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590" tabRatio="797"/>
  </bookViews>
  <sheets>
    <sheet name="0731" sheetId="278" r:id="rId1"/>
    <sheet name="0731 4度C" sheetId="279" r:id="rId2"/>
    <sheet name="0730" sheetId="276" r:id="rId3"/>
    <sheet name="0730 4度C" sheetId="277" r:id="rId4"/>
    <sheet name="0729" sheetId="274" r:id="rId5"/>
    <sheet name="0729 4度C" sheetId="275" r:id="rId6"/>
    <sheet name="0728" sheetId="270" r:id="rId7"/>
    <sheet name="0728 4度C" sheetId="271" r:id="rId8"/>
    <sheet name="0727" sheetId="268" r:id="rId9"/>
    <sheet name="0727 4度C" sheetId="269" r:id="rId10"/>
    <sheet name="0726" sheetId="266" r:id="rId11"/>
    <sheet name="0726 4度C" sheetId="267" r:id="rId12"/>
    <sheet name="0725" sheetId="264" r:id="rId13"/>
    <sheet name="0725 4度C" sheetId="265" r:id="rId14"/>
    <sheet name="0724" sheetId="262" r:id="rId15"/>
    <sheet name="0724 4度C" sheetId="263" r:id="rId16"/>
    <sheet name="0723" sheetId="260" r:id="rId17"/>
    <sheet name="0723 4度C" sheetId="261" r:id="rId18"/>
    <sheet name="0722" sheetId="258" r:id="rId19"/>
    <sheet name="0722 4度C" sheetId="259" r:id="rId20"/>
    <sheet name="0721" sheetId="256" r:id="rId21"/>
    <sheet name="0721 4度C" sheetId="257" r:id="rId22"/>
    <sheet name="0720" sheetId="254" r:id="rId23"/>
    <sheet name="0720 4度C" sheetId="255" r:id="rId24"/>
    <sheet name="0719" sheetId="252" r:id="rId25"/>
    <sheet name="0719 4度C" sheetId="253" r:id="rId26"/>
    <sheet name="0718" sheetId="250" r:id="rId27"/>
    <sheet name="0718 4度C" sheetId="251" r:id="rId28"/>
    <sheet name="0717" sheetId="248" r:id="rId29"/>
    <sheet name="0717 4度C" sheetId="249" r:id="rId30"/>
    <sheet name="0716" sheetId="246" r:id="rId31"/>
    <sheet name="0716 4度C" sheetId="247" r:id="rId32"/>
    <sheet name="0715" sheetId="244" r:id="rId33"/>
    <sheet name="0715 4度C" sheetId="245" r:id="rId34"/>
    <sheet name="0714" sheetId="242" r:id="rId35"/>
    <sheet name="0714 4度C" sheetId="243" r:id="rId36"/>
    <sheet name="0713" sheetId="240" r:id="rId37"/>
    <sheet name="0713 4度C" sheetId="241" r:id="rId38"/>
    <sheet name="0712" sheetId="238" r:id="rId39"/>
    <sheet name="0712 4度C" sheetId="239" r:id="rId40"/>
    <sheet name="0711" sheetId="236" r:id="rId41"/>
    <sheet name="0711 4度C" sheetId="237" r:id="rId42"/>
    <sheet name="0710" sheetId="234" r:id="rId43"/>
    <sheet name="0710 4度C" sheetId="235" r:id="rId44"/>
    <sheet name="0709" sheetId="232" r:id="rId45"/>
    <sheet name="0709 4度C" sheetId="233" r:id="rId46"/>
    <sheet name="0708" sheetId="230" r:id="rId47"/>
    <sheet name="0708 4度C" sheetId="231" r:id="rId48"/>
    <sheet name="0707" sheetId="228" r:id="rId49"/>
    <sheet name="0707 4度C" sheetId="229" r:id="rId50"/>
    <sheet name="0706" sheetId="224" r:id="rId51"/>
    <sheet name="0706 4度C" sheetId="225" r:id="rId52"/>
    <sheet name="0705" sheetId="222" r:id="rId53"/>
    <sheet name="0705 4度C" sheetId="223" r:id="rId54"/>
    <sheet name="0704" sheetId="220" r:id="rId55"/>
    <sheet name="0704 4度C" sheetId="221" r:id="rId56"/>
    <sheet name="0703" sheetId="218" r:id="rId57"/>
    <sheet name="0703 4度C" sheetId="219" r:id="rId58"/>
    <sheet name="0702" sheetId="216" r:id="rId59"/>
    <sheet name="0702 4度C" sheetId="217" r:id="rId60"/>
    <sheet name="0701" sheetId="214" r:id="rId61"/>
    <sheet name="0701 4度C" sheetId="215" r:id="rId62"/>
  </sheets>
  <definedNames>
    <definedName name="_xlnm._FilterDatabase" localSheetId="61" hidden="1">'0701 4度C'!$A$4:$AE$4</definedName>
    <definedName name="_xlnm._FilterDatabase" localSheetId="59" hidden="1">'0702 4度C'!$A$4:$AE$4</definedName>
    <definedName name="_xlnm._FilterDatabase" localSheetId="57" hidden="1">'0703 4度C'!$A$4:$AE$4</definedName>
    <definedName name="_xlnm._FilterDatabase" localSheetId="55" hidden="1">'0704 4度C'!$A$4:$AE$4</definedName>
    <definedName name="_xlnm._FilterDatabase" localSheetId="53" hidden="1">'0705 4度C'!$A$4:$AE$4</definedName>
    <definedName name="_xlnm._FilterDatabase" localSheetId="51" hidden="1">'0706 4度C'!$A$4:$AE$4</definedName>
    <definedName name="_xlnm._FilterDatabase" localSheetId="49" hidden="1">'0707 4度C'!$A$4:$AE$4</definedName>
    <definedName name="_xlnm._FilterDatabase" localSheetId="47" hidden="1">'0708 4度C'!$A$4:$AE$4</definedName>
    <definedName name="_xlnm._FilterDatabase" localSheetId="45" hidden="1">'0709 4度C'!$A$4:$AE$4</definedName>
    <definedName name="_xlnm._FilterDatabase" localSheetId="43" hidden="1">'0710 4度C'!$A$4:$AE$4</definedName>
    <definedName name="_xlnm._FilterDatabase" localSheetId="41" hidden="1">'0711 4度C'!$A$4:$AE$4</definedName>
    <definedName name="_xlnm._FilterDatabase" localSheetId="39" hidden="1">'0712 4度C'!$A$4:$AE$4</definedName>
    <definedName name="_xlnm._FilterDatabase" localSheetId="37" hidden="1">'0713 4度C'!$A$4:$AE$4</definedName>
    <definedName name="_xlnm._FilterDatabase" localSheetId="35" hidden="1">'0714 4度C'!$A$4:$AE$4</definedName>
    <definedName name="_xlnm._FilterDatabase" localSheetId="33" hidden="1">'0715 4度C'!$A$4:$AE$4</definedName>
    <definedName name="_xlnm._FilterDatabase" localSheetId="31" hidden="1">'0716 4度C'!$A$4:$AE$4</definedName>
    <definedName name="_xlnm._FilterDatabase" localSheetId="29" hidden="1">'0717 4度C'!$A$4:$AE$4</definedName>
    <definedName name="_xlnm._FilterDatabase" localSheetId="27" hidden="1">'0718 4度C'!$A$4:$AE$4</definedName>
    <definedName name="_xlnm._FilterDatabase" localSheetId="25" hidden="1">'0719 4度C'!$A$4:$AE$4</definedName>
    <definedName name="_xlnm._FilterDatabase" localSheetId="23" hidden="1">'0720 4度C'!$A$4:$AE$4</definedName>
    <definedName name="_xlnm._FilterDatabase" localSheetId="21" hidden="1">'0721 4度C'!$A$4:$AE$4</definedName>
    <definedName name="_xlnm._FilterDatabase" localSheetId="19" hidden="1">'0722 4度C'!$A$4:$AE$4</definedName>
    <definedName name="_xlnm._FilterDatabase" localSheetId="17" hidden="1">'0723 4度C'!$A$4:$AE$4</definedName>
    <definedName name="_xlnm._FilterDatabase" localSheetId="15" hidden="1">'0724 4度C'!$A$4:$AE$4</definedName>
    <definedName name="_xlnm._FilterDatabase" localSheetId="13" hidden="1">'0725 4度C'!$A$4:$AE$4</definedName>
    <definedName name="_xlnm._FilterDatabase" localSheetId="11" hidden="1">'0726 4度C'!$A$4:$AE$4</definedName>
    <definedName name="_xlnm._FilterDatabase" localSheetId="9" hidden="1">'0727 4度C'!$A$4:$AE$4</definedName>
    <definedName name="_xlnm._FilterDatabase" localSheetId="7" hidden="1">'0728 4度C'!$A$4:$AE$4</definedName>
    <definedName name="_xlnm._FilterDatabase" localSheetId="5" hidden="1">'0729 4度C'!$A$4:$AE$4</definedName>
    <definedName name="_xlnm._FilterDatabase" localSheetId="3" hidden="1">'0730 4度C'!$A$4:$AE$4</definedName>
    <definedName name="_xlnm._FilterDatabase" localSheetId="1" hidden="1">'0731 4度C'!$A$4:$AE$4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3" i="279" l="1"/>
  <c r="K73" i="279"/>
  <c r="M13" i="278" s="1"/>
  <c r="V72" i="279"/>
  <c r="M72" i="279" s="1"/>
  <c r="U72" i="279"/>
  <c r="O72" i="279"/>
  <c r="K72" i="279"/>
  <c r="G72" i="279"/>
  <c r="AB71" i="279"/>
  <c r="AA71" i="279"/>
  <c r="V71" i="279"/>
  <c r="U71" i="279"/>
  <c r="O71" i="279"/>
  <c r="M71" i="279"/>
  <c r="N71" i="279" s="1"/>
  <c r="K71" i="279"/>
  <c r="G71" i="279"/>
  <c r="V70" i="279"/>
  <c r="M70" i="279" s="1"/>
  <c r="U70" i="279"/>
  <c r="O70" i="279"/>
  <c r="K70" i="279"/>
  <c r="G70" i="279"/>
  <c r="V69" i="279"/>
  <c r="M69" i="279" s="1"/>
  <c r="U69" i="279"/>
  <c r="O69" i="279"/>
  <c r="K69" i="279"/>
  <c r="G69" i="279"/>
  <c r="V68" i="279"/>
  <c r="M68" i="279" s="1"/>
  <c r="U68" i="279"/>
  <c r="O68" i="279"/>
  <c r="K68" i="279"/>
  <c r="G68" i="279"/>
  <c r="V67" i="279"/>
  <c r="M67" i="279" s="1"/>
  <c r="O67" i="279"/>
  <c r="K67" i="279"/>
  <c r="G67" i="279"/>
  <c r="O66" i="279"/>
  <c r="K66" i="279"/>
  <c r="V65" i="279"/>
  <c r="U65" i="279"/>
  <c r="O65" i="279"/>
  <c r="M65" i="279"/>
  <c r="AA65" i="279" s="1"/>
  <c r="K65" i="279"/>
  <c r="G65" i="279"/>
  <c r="AB64" i="279"/>
  <c r="AA64" i="279"/>
  <c r="V64" i="279"/>
  <c r="U64" i="279"/>
  <c r="O64" i="279"/>
  <c r="M64" i="279"/>
  <c r="N64" i="279" s="1"/>
  <c r="K64" i="279"/>
  <c r="G64" i="279"/>
  <c r="V63" i="279"/>
  <c r="M63" i="279" s="1"/>
  <c r="U63" i="279"/>
  <c r="O63" i="279"/>
  <c r="K63" i="279"/>
  <c r="G63" i="279"/>
  <c r="V62" i="279"/>
  <c r="M62" i="279" s="1"/>
  <c r="U62" i="279"/>
  <c r="O62" i="279"/>
  <c r="K62" i="279"/>
  <c r="G62" i="279"/>
  <c r="AB61" i="279"/>
  <c r="AA61" i="279"/>
  <c r="V61" i="279"/>
  <c r="U61" i="279"/>
  <c r="O61" i="279"/>
  <c r="M61" i="279"/>
  <c r="N61" i="279" s="1"/>
  <c r="K61" i="279"/>
  <c r="G61" i="279"/>
  <c r="AB60" i="279"/>
  <c r="AA60" i="279"/>
  <c r="V60" i="279"/>
  <c r="O60" i="279"/>
  <c r="M60" i="279"/>
  <c r="N60" i="279" s="1"/>
  <c r="K60" i="279"/>
  <c r="G60" i="279"/>
  <c r="O59" i="279"/>
  <c r="K59" i="279"/>
  <c r="AA58" i="279"/>
  <c r="V58" i="279"/>
  <c r="U58" i="279"/>
  <c r="O58" i="279"/>
  <c r="M58" i="279"/>
  <c r="AB58" i="279" s="1"/>
  <c r="K58" i="279"/>
  <c r="G58" i="279"/>
  <c r="V57" i="279"/>
  <c r="M57" i="279" s="1"/>
  <c r="U57" i="279"/>
  <c r="O57" i="279"/>
  <c r="K57" i="279"/>
  <c r="G57" i="279"/>
  <c r="V56" i="279"/>
  <c r="U56" i="279"/>
  <c r="O56" i="279"/>
  <c r="M56" i="279"/>
  <c r="AB56" i="279" s="1"/>
  <c r="K56" i="279"/>
  <c r="G56" i="279"/>
  <c r="V55" i="279"/>
  <c r="O55" i="279"/>
  <c r="M55" i="279"/>
  <c r="M59" i="279" s="1"/>
  <c r="K55" i="279"/>
  <c r="G55" i="279"/>
  <c r="O54" i="279"/>
  <c r="K54" i="279"/>
  <c r="AB53" i="279"/>
  <c r="AA53" i="279"/>
  <c r="V53" i="279"/>
  <c r="U53" i="279"/>
  <c r="O53" i="279"/>
  <c r="M53" i="279"/>
  <c r="N53" i="279" s="1"/>
  <c r="K53" i="279"/>
  <c r="G53" i="279"/>
  <c r="V52" i="279"/>
  <c r="M52" i="279" s="1"/>
  <c r="U52" i="279"/>
  <c r="O52" i="279"/>
  <c r="K52" i="279"/>
  <c r="G52" i="279"/>
  <c r="V51" i="279"/>
  <c r="M51" i="279" s="1"/>
  <c r="U51" i="279"/>
  <c r="O51" i="279"/>
  <c r="K51" i="279"/>
  <c r="G51" i="279"/>
  <c r="V50" i="279"/>
  <c r="M50" i="279" s="1"/>
  <c r="U50" i="279"/>
  <c r="O50" i="279"/>
  <c r="K50" i="279"/>
  <c r="G50" i="279"/>
  <c r="AB49" i="279"/>
  <c r="V49" i="279"/>
  <c r="U49" i="279"/>
  <c r="Q49" i="279"/>
  <c r="P49" i="279"/>
  <c r="O49" i="279"/>
  <c r="N49" i="279"/>
  <c r="M49" i="279"/>
  <c r="AA49" i="279" s="1"/>
  <c r="K49" i="279"/>
  <c r="G49" i="279"/>
  <c r="AA48" i="279"/>
  <c r="V48" i="279"/>
  <c r="U48" i="279"/>
  <c r="O48" i="279"/>
  <c r="M48" i="279"/>
  <c r="AB48" i="279" s="1"/>
  <c r="K48" i="279"/>
  <c r="G48" i="279"/>
  <c r="V47" i="279"/>
  <c r="M47" i="279" s="1"/>
  <c r="U47" i="279"/>
  <c r="O47" i="279"/>
  <c r="K47" i="279"/>
  <c r="G47" i="279"/>
  <c r="V46" i="279"/>
  <c r="M46" i="279" s="1"/>
  <c r="O46" i="279"/>
  <c r="K46" i="279"/>
  <c r="G46" i="279"/>
  <c r="O45" i="279"/>
  <c r="K45" i="279"/>
  <c r="L13" i="278" s="1"/>
  <c r="V44" i="279"/>
  <c r="M44" i="279" s="1"/>
  <c r="U44" i="279"/>
  <c r="O44" i="279"/>
  <c r="K44" i="279"/>
  <c r="G44" i="279"/>
  <c r="AB43" i="279"/>
  <c r="AA43" i="279"/>
  <c r="V43" i="279"/>
  <c r="U43" i="279"/>
  <c r="O43" i="279"/>
  <c r="M43" i="279"/>
  <c r="N43" i="279" s="1"/>
  <c r="K43" i="279"/>
  <c r="G43" i="279"/>
  <c r="V42" i="279"/>
  <c r="M42" i="279" s="1"/>
  <c r="U42" i="279"/>
  <c r="O42" i="279"/>
  <c r="K42" i="279"/>
  <c r="G42" i="279"/>
  <c r="V41" i="279"/>
  <c r="M41" i="279" s="1"/>
  <c r="U41" i="279"/>
  <c r="O41" i="279"/>
  <c r="K41" i="279"/>
  <c r="G41" i="279"/>
  <c r="V40" i="279"/>
  <c r="M40" i="279" s="1"/>
  <c r="U40" i="279"/>
  <c r="O40" i="279"/>
  <c r="K40" i="279"/>
  <c r="G40" i="279"/>
  <c r="AB39" i="279"/>
  <c r="V39" i="279"/>
  <c r="U39" i="279"/>
  <c r="Q39" i="279"/>
  <c r="P39" i="279"/>
  <c r="O39" i="279"/>
  <c r="N39" i="279"/>
  <c r="M39" i="279"/>
  <c r="AA39" i="279" s="1"/>
  <c r="K39" i="279"/>
  <c r="G39" i="279"/>
  <c r="AB38" i="279"/>
  <c r="V38" i="279"/>
  <c r="Q38" i="279"/>
  <c r="P38" i="279"/>
  <c r="O38" i="279"/>
  <c r="N38" i="279"/>
  <c r="M38" i="279"/>
  <c r="AA38" i="279" s="1"/>
  <c r="K38" i="279"/>
  <c r="G38" i="279"/>
  <c r="O37" i="279"/>
  <c r="K37" i="279"/>
  <c r="AB36" i="279"/>
  <c r="AA36" i="279"/>
  <c r="V36" i="279"/>
  <c r="U36" i="279"/>
  <c r="O36" i="279"/>
  <c r="M36" i="279"/>
  <c r="N36" i="279" s="1"/>
  <c r="K36" i="279"/>
  <c r="G36" i="279"/>
  <c r="V35" i="279"/>
  <c r="M35" i="279" s="1"/>
  <c r="U35" i="279"/>
  <c r="O35" i="279"/>
  <c r="K35" i="279"/>
  <c r="G35" i="279"/>
  <c r="V34" i="279"/>
  <c r="M34" i="279" s="1"/>
  <c r="U34" i="279"/>
  <c r="O34" i="279"/>
  <c r="K34" i="279"/>
  <c r="G34" i="279"/>
  <c r="AB33" i="279"/>
  <c r="AA33" i="279"/>
  <c r="V33" i="279"/>
  <c r="U33" i="279"/>
  <c r="O33" i="279"/>
  <c r="M33" i="279"/>
  <c r="N33" i="279" s="1"/>
  <c r="K33" i="279"/>
  <c r="G33" i="279"/>
  <c r="V32" i="279"/>
  <c r="M32" i="279" s="1"/>
  <c r="U32" i="279"/>
  <c r="O32" i="279"/>
  <c r="K32" i="279"/>
  <c r="G32" i="279"/>
  <c r="V31" i="279"/>
  <c r="M31" i="279" s="1"/>
  <c r="O31" i="279"/>
  <c r="K31" i="279"/>
  <c r="G31" i="279"/>
  <c r="O30" i="279"/>
  <c r="K30" i="279"/>
  <c r="V29" i="279"/>
  <c r="M29" i="279" s="1"/>
  <c r="U29" i="279"/>
  <c r="O29" i="279"/>
  <c r="K29" i="279"/>
  <c r="G29" i="279"/>
  <c r="V28" i="279"/>
  <c r="U28" i="279"/>
  <c r="O28" i="279"/>
  <c r="M28" i="279"/>
  <c r="AB28" i="279" s="1"/>
  <c r="K28" i="279"/>
  <c r="G28" i="279"/>
  <c r="V27" i="279"/>
  <c r="U27" i="279"/>
  <c r="O27" i="279"/>
  <c r="M27" i="279"/>
  <c r="AA27" i="279" s="1"/>
  <c r="K27" i="279"/>
  <c r="G27" i="279"/>
  <c r="AB26" i="279"/>
  <c r="AA26" i="279"/>
  <c r="V26" i="279"/>
  <c r="U26" i="279"/>
  <c r="O26" i="279"/>
  <c r="M26" i="279"/>
  <c r="N26" i="279" s="1"/>
  <c r="K26" i="279"/>
  <c r="G26" i="279"/>
  <c r="V25" i="279"/>
  <c r="M25" i="279" s="1"/>
  <c r="U25" i="279"/>
  <c r="O25" i="279"/>
  <c r="K25" i="279"/>
  <c r="G25" i="279"/>
  <c r="V24" i="279"/>
  <c r="M24" i="279" s="1"/>
  <c r="U24" i="279"/>
  <c r="O24" i="279"/>
  <c r="K24" i="279"/>
  <c r="G24" i="279"/>
  <c r="AB23" i="279"/>
  <c r="AA23" i="279"/>
  <c r="V23" i="279"/>
  <c r="U23" i="279"/>
  <c r="O23" i="279"/>
  <c r="M23" i="279"/>
  <c r="N23" i="279" s="1"/>
  <c r="K23" i="279"/>
  <c r="G23" i="279"/>
  <c r="V22" i="279"/>
  <c r="M22" i="279" s="1"/>
  <c r="U22" i="279"/>
  <c r="O22" i="279"/>
  <c r="K22" i="279"/>
  <c r="G22" i="279"/>
  <c r="V21" i="279"/>
  <c r="M21" i="279" s="1"/>
  <c r="U21" i="279"/>
  <c r="O21" i="279"/>
  <c r="K21" i="279"/>
  <c r="G21" i="279"/>
  <c r="V20" i="279"/>
  <c r="M20" i="279" s="1"/>
  <c r="O20" i="279"/>
  <c r="K20" i="279"/>
  <c r="G20" i="279"/>
  <c r="O19" i="279"/>
  <c r="K19" i="279"/>
  <c r="V18" i="279"/>
  <c r="U18" i="279"/>
  <c r="O18" i="279"/>
  <c r="M18" i="279"/>
  <c r="AB18" i="279" s="1"/>
  <c r="K18" i="279"/>
  <c r="G18" i="279"/>
  <c r="V17" i="279"/>
  <c r="U17" i="279"/>
  <c r="O17" i="279"/>
  <c r="M17" i="279"/>
  <c r="AA17" i="279" s="1"/>
  <c r="K17" i="279"/>
  <c r="G17" i="279"/>
  <c r="AB16" i="279"/>
  <c r="AA16" i="279"/>
  <c r="V16" i="279"/>
  <c r="U16" i="279"/>
  <c r="O16" i="279"/>
  <c r="M16" i="279"/>
  <c r="N16" i="279" s="1"/>
  <c r="K16" i="279"/>
  <c r="G16" i="279"/>
  <c r="V15" i="279"/>
  <c r="M15" i="279" s="1"/>
  <c r="U15" i="279"/>
  <c r="O15" i="279"/>
  <c r="K15" i="279"/>
  <c r="G15" i="279"/>
  <c r="V14" i="279"/>
  <c r="M14" i="279" s="1"/>
  <c r="O14" i="279"/>
  <c r="K14" i="279"/>
  <c r="G14" i="279"/>
  <c r="O13" i="279"/>
  <c r="K13" i="279"/>
  <c r="V12" i="279"/>
  <c r="M12" i="279" s="1"/>
  <c r="U12" i="279"/>
  <c r="O12" i="279"/>
  <c r="K12" i="279"/>
  <c r="G12" i="279"/>
  <c r="AB11" i="279"/>
  <c r="V11" i="279"/>
  <c r="U11" i="279"/>
  <c r="Q11" i="279"/>
  <c r="P11" i="279"/>
  <c r="O11" i="279"/>
  <c r="N11" i="279"/>
  <c r="M11" i="279"/>
  <c r="AA11" i="279" s="1"/>
  <c r="K11" i="279"/>
  <c r="G11" i="279"/>
  <c r="AA10" i="279"/>
  <c r="V10" i="279"/>
  <c r="U10" i="279"/>
  <c r="O10" i="279"/>
  <c r="M10" i="279"/>
  <c r="AB10" i="279" s="1"/>
  <c r="K10" i="279"/>
  <c r="G10" i="279"/>
  <c r="AA9" i="279"/>
  <c r="V9" i="279"/>
  <c r="O9" i="279"/>
  <c r="M9" i="279"/>
  <c r="M13" i="279" s="1"/>
  <c r="K9" i="279"/>
  <c r="G9" i="279"/>
  <c r="O8" i="279"/>
  <c r="K8" i="279"/>
  <c r="D13" i="278" s="1"/>
  <c r="V7" i="279"/>
  <c r="M7" i="279" s="1"/>
  <c r="U7" i="279"/>
  <c r="O7" i="279"/>
  <c r="K7" i="279"/>
  <c r="G7" i="279"/>
  <c r="F1" i="279" s="1"/>
  <c r="V6" i="279"/>
  <c r="M6" i="279" s="1"/>
  <c r="U6" i="279"/>
  <c r="O6" i="279"/>
  <c r="K6" i="279"/>
  <c r="G6" i="279"/>
  <c r="V5" i="279"/>
  <c r="M5" i="279" s="1"/>
  <c r="O5" i="279"/>
  <c r="K5" i="279"/>
  <c r="G5" i="279"/>
  <c r="H2" i="279"/>
  <c r="H1" i="279"/>
  <c r="D1" i="279"/>
  <c r="M18" i="278"/>
  <c r="L18" i="278"/>
  <c r="K18" i="278"/>
  <c r="J18" i="278"/>
  <c r="I18" i="278"/>
  <c r="H18" i="278"/>
  <c r="G18" i="278"/>
  <c r="F18" i="278"/>
  <c r="E18" i="278"/>
  <c r="D18" i="278"/>
  <c r="M17" i="278"/>
  <c r="L17" i="278"/>
  <c r="K17" i="278"/>
  <c r="J17" i="278"/>
  <c r="I17" i="278"/>
  <c r="H17" i="278"/>
  <c r="G17" i="278"/>
  <c r="F17" i="278"/>
  <c r="E17" i="278"/>
  <c r="D17" i="278"/>
  <c r="M16" i="278"/>
  <c r="L16" i="278"/>
  <c r="K16" i="278"/>
  <c r="J16" i="278"/>
  <c r="I16" i="278"/>
  <c r="H16" i="278"/>
  <c r="G16" i="278"/>
  <c r="F16" i="278"/>
  <c r="E16" i="278"/>
  <c r="D16" i="278"/>
  <c r="K13" i="278"/>
  <c r="J13" i="278"/>
  <c r="I13" i="278"/>
  <c r="H13" i="278"/>
  <c r="G13" i="278"/>
  <c r="F13" i="278"/>
  <c r="E13" i="278"/>
  <c r="F3" i="278"/>
  <c r="C3" i="278"/>
  <c r="AB59" i="279" l="1"/>
  <c r="AC55" i="279" s="1"/>
  <c r="AA59" i="279"/>
  <c r="N59" i="279"/>
  <c r="P60" i="279"/>
  <c r="Q60" i="279"/>
  <c r="N7" i="279"/>
  <c r="AB7" i="279"/>
  <c r="AA7" i="279"/>
  <c r="N14" i="279"/>
  <c r="AB14" i="279"/>
  <c r="M19" i="279"/>
  <c r="AA14" i="279"/>
  <c r="N21" i="279"/>
  <c r="AB21" i="279"/>
  <c r="AA21" i="279"/>
  <c r="AB29" i="279"/>
  <c r="AA29" i="279"/>
  <c r="N29" i="279"/>
  <c r="AB34" i="279"/>
  <c r="AA34" i="279"/>
  <c r="N34" i="279"/>
  <c r="P53" i="279"/>
  <c r="Q53" i="279"/>
  <c r="Q64" i="279"/>
  <c r="P64" i="279"/>
  <c r="AB68" i="279"/>
  <c r="AA68" i="279"/>
  <c r="N68" i="279"/>
  <c r="AB57" i="279"/>
  <c r="AA57" i="279"/>
  <c r="N57" i="279"/>
  <c r="N69" i="279"/>
  <c r="AB69" i="279"/>
  <c r="AA69" i="279"/>
  <c r="P43" i="279"/>
  <c r="Q43" i="279"/>
  <c r="N51" i="279"/>
  <c r="AB51" i="279"/>
  <c r="AA51" i="279"/>
  <c r="AB62" i="279"/>
  <c r="AA62" i="279"/>
  <c r="N62" i="279"/>
  <c r="N32" i="279"/>
  <c r="AB32" i="279"/>
  <c r="AA32" i="279"/>
  <c r="AB50" i="279"/>
  <c r="AA50" i="279"/>
  <c r="N50" i="279"/>
  <c r="P71" i="279"/>
  <c r="Q71" i="279"/>
  <c r="N42" i="279"/>
  <c r="AB42" i="279"/>
  <c r="AA42" i="279"/>
  <c r="AB5" i="279"/>
  <c r="AA5" i="279"/>
  <c r="N5" i="279"/>
  <c r="M8" i="279"/>
  <c r="AB44" i="279"/>
  <c r="AA44" i="279"/>
  <c r="N44" i="279"/>
  <c r="N22" i="279"/>
  <c r="AB22" i="279"/>
  <c r="AA22" i="279"/>
  <c r="AB12" i="279"/>
  <c r="AA12" i="279"/>
  <c r="N12" i="279"/>
  <c r="AB24" i="279"/>
  <c r="AA24" i="279"/>
  <c r="N24" i="279"/>
  <c r="N31" i="279"/>
  <c r="M37" i="279"/>
  <c r="AB31" i="279"/>
  <c r="AA31" i="279"/>
  <c r="P61" i="279"/>
  <c r="Q61" i="279"/>
  <c r="F6" i="278"/>
  <c r="E6" i="278"/>
  <c r="G6" i="278"/>
  <c r="Q26" i="279"/>
  <c r="P26" i="279"/>
  <c r="P33" i="279"/>
  <c r="Q33" i="279"/>
  <c r="AB40" i="279"/>
  <c r="AA40" i="279"/>
  <c r="N40" i="279"/>
  <c r="N15" i="279"/>
  <c r="AB15" i="279"/>
  <c r="AA15" i="279"/>
  <c r="N35" i="279"/>
  <c r="AB35" i="279"/>
  <c r="AA35" i="279"/>
  <c r="AB6" i="279"/>
  <c r="AA6" i="279"/>
  <c r="N6" i="279"/>
  <c r="N20" i="279"/>
  <c r="AB20" i="279"/>
  <c r="AA20" i="279"/>
  <c r="M30" i="279"/>
  <c r="N25" i="279"/>
  <c r="AB25" i="279"/>
  <c r="AA25" i="279"/>
  <c r="I6" i="278"/>
  <c r="AB47" i="279"/>
  <c r="AA47" i="279"/>
  <c r="N47" i="279"/>
  <c r="N13" i="279"/>
  <c r="AB13" i="279"/>
  <c r="AC9" i="279" s="1"/>
  <c r="AA13" i="279"/>
  <c r="AB67" i="279"/>
  <c r="AA67" i="279"/>
  <c r="M73" i="279"/>
  <c r="N67" i="279"/>
  <c r="F2" i="279"/>
  <c r="I3" i="278"/>
  <c r="Q16" i="279"/>
  <c r="P16" i="279"/>
  <c r="P23" i="279"/>
  <c r="Q23" i="279"/>
  <c r="Q36" i="279"/>
  <c r="P36" i="279"/>
  <c r="N41" i="279"/>
  <c r="AB41" i="279"/>
  <c r="AA41" i="279"/>
  <c r="AB46" i="279"/>
  <c r="AA46" i="279"/>
  <c r="N46" i="279"/>
  <c r="M54" i="279"/>
  <c r="N70" i="279"/>
  <c r="AB70" i="279"/>
  <c r="AA70" i="279"/>
  <c r="N52" i="279"/>
  <c r="AB52" i="279"/>
  <c r="AA52" i="279"/>
  <c r="N63" i="279"/>
  <c r="AB63" i="279"/>
  <c r="AA63" i="279"/>
  <c r="AB72" i="279"/>
  <c r="AA72" i="279"/>
  <c r="N72" i="279"/>
  <c r="AB17" i="279"/>
  <c r="AB27" i="279"/>
  <c r="AB65" i="279"/>
  <c r="N18" i="279"/>
  <c r="N28" i="279"/>
  <c r="N55" i="279"/>
  <c r="N56" i="279"/>
  <c r="N9" i="279"/>
  <c r="N10" i="279"/>
  <c r="N48" i="279"/>
  <c r="N58" i="279"/>
  <c r="M66" i="279"/>
  <c r="N17" i="279"/>
  <c r="N27" i="279"/>
  <c r="M45" i="279"/>
  <c r="N65" i="279"/>
  <c r="AB9" i="279"/>
  <c r="AA18" i="279"/>
  <c r="AA28" i="279"/>
  <c r="AA55" i="279"/>
  <c r="AA56" i="279"/>
  <c r="AB55" i="279"/>
  <c r="L19" i="275"/>
  <c r="I19" i="275"/>
  <c r="L75" i="275"/>
  <c r="I75" i="275"/>
  <c r="L19" i="277"/>
  <c r="I19" i="277"/>
  <c r="L74" i="277"/>
  <c r="I74" i="277"/>
  <c r="Q50" i="279" l="1"/>
  <c r="P50" i="279"/>
  <c r="Q31" i="279"/>
  <c r="P31" i="279"/>
  <c r="P27" i="279"/>
  <c r="Q27" i="279"/>
  <c r="Q47" i="279"/>
  <c r="P47" i="279"/>
  <c r="Q24" i="279"/>
  <c r="P24" i="279"/>
  <c r="AB8" i="279"/>
  <c r="AC5" i="279" s="1"/>
  <c r="AA8" i="279"/>
  <c r="N8" i="279"/>
  <c r="Q34" i="279"/>
  <c r="P34" i="279"/>
  <c r="Q14" i="279"/>
  <c r="P14" i="279"/>
  <c r="Q41" i="279"/>
  <c r="P41" i="279"/>
  <c r="Q40" i="279"/>
  <c r="P40" i="279"/>
  <c r="Q44" i="279"/>
  <c r="P44" i="279"/>
  <c r="Q69" i="279"/>
  <c r="P69" i="279"/>
  <c r="Q72" i="279"/>
  <c r="P72" i="279"/>
  <c r="AA54" i="279"/>
  <c r="N54" i="279"/>
  <c r="AB54" i="279"/>
  <c r="AC46" i="279" s="1"/>
  <c r="Q32" i="279"/>
  <c r="P32" i="279"/>
  <c r="Q57" i="279"/>
  <c r="P57" i="279"/>
  <c r="Q51" i="279"/>
  <c r="P51" i="279"/>
  <c r="Q28" i="279"/>
  <c r="P28" i="279"/>
  <c r="P65" i="279"/>
  <c r="Q65" i="279"/>
  <c r="AB19" i="279"/>
  <c r="AC14" i="279" s="1"/>
  <c r="AA19" i="279"/>
  <c r="N19" i="279"/>
  <c r="N66" i="279"/>
  <c r="AA66" i="279"/>
  <c r="AB66" i="279"/>
  <c r="AC60" i="279" s="1"/>
  <c r="Q58" i="279"/>
  <c r="P58" i="279"/>
  <c r="Q46" i="279"/>
  <c r="P46" i="279"/>
  <c r="Q12" i="279"/>
  <c r="P12" i="279"/>
  <c r="Q62" i="279"/>
  <c r="P62" i="279"/>
  <c r="Q29" i="279"/>
  <c r="P29" i="279"/>
  <c r="Q7" i="279"/>
  <c r="P7" i="279"/>
  <c r="Q48" i="279"/>
  <c r="P48" i="279"/>
  <c r="Q35" i="279"/>
  <c r="P35" i="279"/>
  <c r="Q55" i="279"/>
  <c r="P55" i="279"/>
  <c r="Q22" i="279"/>
  <c r="P22" i="279"/>
  <c r="Q21" i="279"/>
  <c r="P21" i="279"/>
  <c r="Q52" i="279"/>
  <c r="P52" i="279"/>
  <c r="Q20" i="279"/>
  <c r="P20" i="279"/>
  <c r="AB45" i="279"/>
  <c r="AC38" i="279" s="1"/>
  <c r="AA45" i="279"/>
  <c r="N45" i="279"/>
  <c r="E14" i="278"/>
  <c r="E15" i="278" s="1"/>
  <c r="Q13" i="279"/>
  <c r="R9" i="279" s="1"/>
  <c r="P13" i="279"/>
  <c r="P17" i="279"/>
  <c r="Q17" i="279"/>
  <c r="Q70" i="279"/>
  <c r="P70" i="279"/>
  <c r="Q5" i="279"/>
  <c r="P5" i="279"/>
  <c r="Q10" i="279"/>
  <c r="P10" i="279"/>
  <c r="Q67" i="279"/>
  <c r="P67" i="279"/>
  <c r="Q68" i="279"/>
  <c r="P68" i="279"/>
  <c r="Q18" i="279"/>
  <c r="P18" i="279"/>
  <c r="AB37" i="279"/>
  <c r="AC31" i="279" s="1"/>
  <c r="AA37" i="279"/>
  <c r="N37" i="279"/>
  <c r="Q6" i="279"/>
  <c r="P6" i="279"/>
  <c r="Q9" i="279"/>
  <c r="P9" i="279"/>
  <c r="AB73" i="279"/>
  <c r="AC67" i="279" s="1"/>
  <c r="AA73" i="279"/>
  <c r="N73" i="279"/>
  <c r="Q25" i="279"/>
  <c r="P25" i="279"/>
  <c r="Q42" i="279"/>
  <c r="P42" i="279"/>
  <c r="Q59" i="279"/>
  <c r="R55" i="279" s="1"/>
  <c r="P59" i="279"/>
  <c r="I14" i="278"/>
  <c r="I15" i="278" s="1"/>
  <c r="Q56" i="279"/>
  <c r="P56" i="279"/>
  <c r="Q63" i="279"/>
  <c r="P63" i="279"/>
  <c r="AB30" i="279"/>
  <c r="AC20" i="279" s="1"/>
  <c r="AA30" i="279"/>
  <c r="N30" i="279"/>
  <c r="Q15" i="279"/>
  <c r="P15" i="279"/>
  <c r="O74" i="277"/>
  <c r="K74" i="277"/>
  <c r="AB73" i="277"/>
  <c r="AA73" i="277"/>
  <c r="V73" i="277"/>
  <c r="U73" i="277"/>
  <c r="O73" i="277"/>
  <c r="N73" i="277"/>
  <c r="Q73" i="277" s="1"/>
  <c r="M73" i="277"/>
  <c r="K73" i="277"/>
  <c r="G73" i="277"/>
  <c r="AB72" i="277"/>
  <c r="AA72" i="277"/>
  <c r="V72" i="277"/>
  <c r="U72" i="277"/>
  <c r="O72" i="277"/>
  <c r="M72" i="277"/>
  <c r="N72" i="277" s="1"/>
  <c r="K72" i="277"/>
  <c r="G72" i="277"/>
  <c r="AB71" i="277"/>
  <c r="AA71" i="277"/>
  <c r="V71" i="277"/>
  <c r="U71" i="277"/>
  <c r="Q71" i="277"/>
  <c r="P71" i="277"/>
  <c r="O71" i="277"/>
  <c r="N71" i="277"/>
  <c r="M71" i="277"/>
  <c r="K71" i="277"/>
  <c r="G71" i="277"/>
  <c r="AB70" i="277"/>
  <c r="AA70" i="277"/>
  <c r="V70" i="277"/>
  <c r="U70" i="277"/>
  <c r="O70" i="277"/>
  <c r="M70" i="277"/>
  <c r="N70" i="277" s="1"/>
  <c r="K70" i="277"/>
  <c r="G70" i="277"/>
  <c r="AB69" i="277"/>
  <c r="AA69" i="277"/>
  <c r="V69" i="277"/>
  <c r="U69" i="277"/>
  <c r="Q69" i="277"/>
  <c r="P69" i="277"/>
  <c r="O69" i="277"/>
  <c r="N69" i="277"/>
  <c r="M69" i="277"/>
  <c r="K69" i="277"/>
  <c r="G69" i="277"/>
  <c r="AB68" i="277"/>
  <c r="AA68" i="277"/>
  <c r="V68" i="277"/>
  <c r="Q68" i="277"/>
  <c r="P68" i="277"/>
  <c r="O68" i="277"/>
  <c r="N68" i="277"/>
  <c r="M68" i="277"/>
  <c r="K68" i="277"/>
  <c r="G68" i="277"/>
  <c r="O67" i="277"/>
  <c r="N67" i="277"/>
  <c r="Q67" i="277" s="1"/>
  <c r="R61" i="277" s="1"/>
  <c r="M67" i="277"/>
  <c r="AB67" i="277" s="1"/>
  <c r="AC61" i="277" s="1"/>
  <c r="K67" i="277"/>
  <c r="AB66" i="277"/>
  <c r="AA66" i="277"/>
  <c r="V66" i="277"/>
  <c r="U66" i="277"/>
  <c r="Q66" i="277"/>
  <c r="P66" i="277"/>
  <c r="O66" i="277"/>
  <c r="N66" i="277"/>
  <c r="M66" i="277"/>
  <c r="K66" i="277"/>
  <c r="G66" i="277"/>
  <c r="AB65" i="277"/>
  <c r="AA65" i="277"/>
  <c r="V65" i="277"/>
  <c r="U65" i="277"/>
  <c r="P65" i="277"/>
  <c r="O65" i="277"/>
  <c r="N65" i="277"/>
  <c r="Q65" i="277" s="1"/>
  <c r="M65" i="277"/>
  <c r="K65" i="277"/>
  <c r="G65" i="277"/>
  <c r="AB64" i="277"/>
  <c r="AA64" i="277"/>
  <c r="V64" i="277"/>
  <c r="U64" i="277"/>
  <c r="O64" i="277"/>
  <c r="N64" i="277"/>
  <c r="Q64" i="277" s="1"/>
  <c r="M64" i="277"/>
  <c r="K64" i="277"/>
  <c r="G64" i="277"/>
  <c r="AB63" i="277"/>
  <c r="AA63" i="277"/>
  <c r="V63" i="277"/>
  <c r="U63" i="277"/>
  <c r="O63" i="277"/>
  <c r="N63" i="277"/>
  <c r="Q63" i="277" s="1"/>
  <c r="M63" i="277"/>
  <c r="K63" i="277"/>
  <c r="G63" i="277"/>
  <c r="AB62" i="277"/>
  <c r="AA62" i="277"/>
  <c r="V62" i="277"/>
  <c r="U62" i="277"/>
  <c r="O62" i="277"/>
  <c r="M62" i="277"/>
  <c r="N62" i="277" s="1"/>
  <c r="K62" i="277"/>
  <c r="G62" i="277"/>
  <c r="AB61" i="277"/>
  <c r="AA61" i="277"/>
  <c r="V61" i="277"/>
  <c r="O61" i="277"/>
  <c r="M61" i="277"/>
  <c r="N61" i="277" s="1"/>
  <c r="K61" i="277"/>
  <c r="G61" i="277"/>
  <c r="AB60" i="277"/>
  <c r="AC56" i="277" s="1"/>
  <c r="AA60" i="277"/>
  <c r="Q60" i="277"/>
  <c r="R56" i="277" s="1"/>
  <c r="P60" i="277"/>
  <c r="O60" i="277"/>
  <c r="N60" i="277"/>
  <c r="M60" i="277"/>
  <c r="K60" i="277"/>
  <c r="AB59" i="277"/>
  <c r="AA59" i="277"/>
  <c r="V59" i="277"/>
  <c r="U59" i="277"/>
  <c r="Q59" i="277"/>
  <c r="P59" i="277"/>
  <c r="O59" i="277"/>
  <c r="N59" i="277"/>
  <c r="M59" i="277"/>
  <c r="K59" i="277"/>
  <c r="G59" i="277"/>
  <c r="AB58" i="277"/>
  <c r="AA58" i="277"/>
  <c r="V58" i="277"/>
  <c r="U58" i="277"/>
  <c r="O58" i="277"/>
  <c r="N58" i="277"/>
  <c r="Q58" i="277" s="1"/>
  <c r="M58" i="277"/>
  <c r="K58" i="277"/>
  <c r="G58" i="277"/>
  <c r="AB57" i="277"/>
  <c r="AA57" i="277"/>
  <c r="V57" i="277"/>
  <c r="U57" i="277"/>
  <c r="O57" i="277"/>
  <c r="N57" i="277"/>
  <c r="Q57" i="277" s="1"/>
  <c r="M57" i="277"/>
  <c r="K57" i="277"/>
  <c r="G57" i="277"/>
  <c r="AB56" i="277"/>
  <c r="AA56" i="277"/>
  <c r="V56" i="277"/>
  <c r="O56" i="277"/>
  <c r="N56" i="277"/>
  <c r="Q56" i="277" s="1"/>
  <c r="M56" i="277"/>
  <c r="K56" i="277"/>
  <c r="G56" i="277"/>
  <c r="O55" i="277"/>
  <c r="K55" i="277"/>
  <c r="AB54" i="277"/>
  <c r="AA54" i="277"/>
  <c r="V54" i="277"/>
  <c r="U54" i="277"/>
  <c r="O54" i="277"/>
  <c r="M54" i="277"/>
  <c r="N54" i="277" s="1"/>
  <c r="K54" i="277"/>
  <c r="G54" i="277"/>
  <c r="AB53" i="277"/>
  <c r="AA53" i="277"/>
  <c r="V53" i="277"/>
  <c r="U53" i="277"/>
  <c r="Q53" i="277"/>
  <c r="P53" i="277"/>
  <c r="O53" i="277"/>
  <c r="N53" i="277"/>
  <c r="M53" i="277"/>
  <c r="K53" i="277"/>
  <c r="G53" i="277"/>
  <c r="AB52" i="277"/>
  <c r="AA52" i="277"/>
  <c r="V52" i="277"/>
  <c r="U52" i="277"/>
  <c r="Q52" i="277"/>
  <c r="P52" i="277"/>
  <c r="O52" i="277"/>
  <c r="N52" i="277"/>
  <c r="M52" i="277"/>
  <c r="K52" i="277"/>
  <c r="G52" i="277"/>
  <c r="AB51" i="277"/>
  <c r="AA51" i="277"/>
  <c r="V51" i="277"/>
  <c r="U51" i="277"/>
  <c r="Q51" i="277"/>
  <c r="P51" i="277"/>
  <c r="O51" i="277"/>
  <c r="N51" i="277"/>
  <c r="M51" i="277"/>
  <c r="K51" i="277"/>
  <c r="G51" i="277"/>
  <c r="AB50" i="277"/>
  <c r="AA50" i="277"/>
  <c r="V50" i="277"/>
  <c r="U50" i="277"/>
  <c r="Q50" i="277"/>
  <c r="P50" i="277"/>
  <c r="O50" i="277"/>
  <c r="N50" i="277"/>
  <c r="M50" i="277"/>
  <c r="K50" i="277"/>
  <c r="G50" i="277"/>
  <c r="AB49" i="277"/>
  <c r="AA49" i="277"/>
  <c r="V49" i="277"/>
  <c r="U49" i="277"/>
  <c r="Q49" i="277"/>
  <c r="P49" i="277"/>
  <c r="O49" i="277"/>
  <c r="N49" i="277"/>
  <c r="M49" i="277"/>
  <c r="K49" i="277"/>
  <c r="G49" i="277"/>
  <c r="AB48" i="277"/>
  <c r="AA48" i="277"/>
  <c r="V48" i="277"/>
  <c r="U48" i="277"/>
  <c r="O48" i="277"/>
  <c r="N48" i="277"/>
  <c r="Q48" i="277" s="1"/>
  <c r="M48" i="277"/>
  <c r="K48" i="277"/>
  <c r="G48" i="277"/>
  <c r="AB47" i="277"/>
  <c r="AA47" i="277"/>
  <c r="V47" i="277"/>
  <c r="O47" i="277"/>
  <c r="N47" i="277"/>
  <c r="Q47" i="277" s="1"/>
  <c r="M47" i="277"/>
  <c r="K47" i="277"/>
  <c r="G47" i="277"/>
  <c r="O46" i="277"/>
  <c r="K46" i="277"/>
  <c r="AB45" i="277"/>
  <c r="AA45" i="277"/>
  <c r="V45" i="277"/>
  <c r="U45" i="277"/>
  <c r="O45" i="277"/>
  <c r="N45" i="277"/>
  <c r="Q45" i="277" s="1"/>
  <c r="M45" i="277"/>
  <c r="K45" i="277"/>
  <c r="G45" i="277"/>
  <c r="AB44" i="277"/>
  <c r="AA44" i="277"/>
  <c r="V44" i="277"/>
  <c r="U44" i="277"/>
  <c r="O44" i="277"/>
  <c r="M44" i="277"/>
  <c r="N44" i="277" s="1"/>
  <c r="K44" i="277"/>
  <c r="G44" i="277"/>
  <c r="AB43" i="277"/>
  <c r="AA43" i="277"/>
  <c r="V43" i="277"/>
  <c r="U43" i="277"/>
  <c r="Q43" i="277"/>
  <c r="P43" i="277"/>
  <c r="O43" i="277"/>
  <c r="N43" i="277"/>
  <c r="M43" i="277"/>
  <c r="K43" i="277"/>
  <c r="G43" i="277"/>
  <c r="AB42" i="277"/>
  <c r="AA42" i="277"/>
  <c r="V42" i="277"/>
  <c r="U42" i="277"/>
  <c r="Q42" i="277"/>
  <c r="P42" i="277"/>
  <c r="O42" i="277"/>
  <c r="N42" i="277"/>
  <c r="M42" i="277"/>
  <c r="K42" i="277"/>
  <c r="G42" i="277"/>
  <c r="AB41" i="277"/>
  <c r="AA41" i="277"/>
  <c r="V41" i="277"/>
  <c r="U41" i="277"/>
  <c r="Q41" i="277"/>
  <c r="P41" i="277"/>
  <c r="O41" i="277"/>
  <c r="N41" i="277"/>
  <c r="M41" i="277"/>
  <c r="K41" i="277"/>
  <c r="G41" i="277"/>
  <c r="AB40" i="277"/>
  <c r="AA40" i="277"/>
  <c r="V40" i="277"/>
  <c r="U40" i="277"/>
  <c r="Q40" i="277"/>
  <c r="P40" i="277"/>
  <c r="O40" i="277"/>
  <c r="N40" i="277"/>
  <c r="M40" i="277"/>
  <c r="K40" i="277"/>
  <c r="G40" i="277"/>
  <c r="AB39" i="277"/>
  <c r="AA39" i="277"/>
  <c r="V39" i="277"/>
  <c r="Q39" i="277"/>
  <c r="P39" i="277"/>
  <c r="O39" i="277"/>
  <c r="N39" i="277"/>
  <c r="M39" i="277"/>
  <c r="K39" i="277"/>
  <c r="G39" i="277"/>
  <c r="O38" i="277"/>
  <c r="M38" i="277"/>
  <c r="AB38" i="277" s="1"/>
  <c r="AC31" i="277" s="1"/>
  <c r="K38" i="277"/>
  <c r="AB37" i="277"/>
  <c r="AA37" i="277"/>
  <c r="V37" i="277"/>
  <c r="U37" i="277"/>
  <c r="P37" i="277"/>
  <c r="O37" i="277"/>
  <c r="N37" i="277"/>
  <c r="Q37" i="277" s="1"/>
  <c r="M37" i="277"/>
  <c r="K37" i="277"/>
  <c r="G37" i="277"/>
  <c r="AB36" i="277"/>
  <c r="AA36" i="277"/>
  <c r="V36" i="277"/>
  <c r="U36" i="277"/>
  <c r="O36" i="277"/>
  <c r="N36" i="277"/>
  <c r="Q36" i="277" s="1"/>
  <c r="M36" i="277"/>
  <c r="K36" i="277"/>
  <c r="G36" i="277"/>
  <c r="AB35" i="277"/>
  <c r="AA35" i="277"/>
  <c r="V35" i="277"/>
  <c r="U35" i="277"/>
  <c r="O35" i="277"/>
  <c r="N35" i="277"/>
  <c r="Q35" i="277" s="1"/>
  <c r="M35" i="277"/>
  <c r="K35" i="277"/>
  <c r="G35" i="277"/>
  <c r="AB34" i="277"/>
  <c r="AA34" i="277"/>
  <c r="V34" i="277"/>
  <c r="U34" i="277"/>
  <c r="O34" i="277"/>
  <c r="M34" i="277"/>
  <c r="N34" i="277" s="1"/>
  <c r="K34" i="277"/>
  <c r="G34" i="277"/>
  <c r="AB33" i="277"/>
  <c r="AA33" i="277"/>
  <c r="V33" i="277"/>
  <c r="U33" i="277"/>
  <c r="Q33" i="277"/>
  <c r="P33" i="277"/>
  <c r="O33" i="277"/>
  <c r="N33" i="277"/>
  <c r="M33" i="277"/>
  <c r="K33" i="277"/>
  <c r="G33" i="277"/>
  <c r="AB32" i="277"/>
  <c r="AA32" i="277"/>
  <c r="V32" i="277"/>
  <c r="U32" i="277"/>
  <c r="Q32" i="277"/>
  <c r="P32" i="277"/>
  <c r="O32" i="277"/>
  <c r="N32" i="277"/>
  <c r="M32" i="277"/>
  <c r="K32" i="277"/>
  <c r="G32" i="277"/>
  <c r="AB31" i="277"/>
  <c r="AA31" i="277"/>
  <c r="V31" i="277"/>
  <c r="Q31" i="277"/>
  <c r="P31" i="277"/>
  <c r="O31" i="277"/>
  <c r="N31" i="277"/>
  <c r="M31" i="277"/>
  <c r="K31" i="277"/>
  <c r="G31" i="277"/>
  <c r="O30" i="277"/>
  <c r="M30" i="277"/>
  <c r="AB30" i="277" s="1"/>
  <c r="AC20" i="277" s="1"/>
  <c r="K30" i="277"/>
  <c r="AB29" i="277"/>
  <c r="AA29" i="277"/>
  <c r="V29" i="277"/>
  <c r="U29" i="277"/>
  <c r="O29" i="277"/>
  <c r="N29" i="277"/>
  <c r="Q29" i="277" s="1"/>
  <c r="M29" i="277"/>
  <c r="K29" i="277"/>
  <c r="G29" i="277"/>
  <c r="AB28" i="277"/>
  <c r="AA28" i="277"/>
  <c r="V28" i="277"/>
  <c r="U28" i="277"/>
  <c r="Q28" i="277"/>
  <c r="P28" i="277"/>
  <c r="O28" i="277"/>
  <c r="N28" i="277"/>
  <c r="M28" i="277"/>
  <c r="K28" i="277"/>
  <c r="G28" i="277"/>
  <c r="AB27" i="277"/>
  <c r="AA27" i="277"/>
  <c r="V27" i="277"/>
  <c r="U27" i="277"/>
  <c r="P27" i="277"/>
  <c r="O27" i="277"/>
  <c r="N27" i="277"/>
  <c r="Q27" i="277" s="1"/>
  <c r="M27" i="277"/>
  <c r="K27" i="277"/>
  <c r="G27" i="277"/>
  <c r="AB26" i="277"/>
  <c r="AA26" i="277"/>
  <c r="V26" i="277"/>
  <c r="U26" i="277"/>
  <c r="O26" i="277"/>
  <c r="M26" i="277"/>
  <c r="N26" i="277" s="1"/>
  <c r="K26" i="277"/>
  <c r="G26" i="277"/>
  <c r="AB25" i="277"/>
  <c r="AA25" i="277"/>
  <c r="V25" i="277"/>
  <c r="U25" i="277"/>
  <c r="O25" i="277"/>
  <c r="N25" i="277"/>
  <c r="Q25" i="277" s="1"/>
  <c r="M25" i="277"/>
  <c r="K25" i="277"/>
  <c r="G25" i="277"/>
  <c r="AB24" i="277"/>
  <c r="AA24" i="277"/>
  <c r="V24" i="277"/>
  <c r="U24" i="277"/>
  <c r="O24" i="277"/>
  <c r="M24" i="277"/>
  <c r="N24" i="277" s="1"/>
  <c r="K24" i="277"/>
  <c r="G24" i="277"/>
  <c r="AB23" i="277"/>
  <c r="AA23" i="277"/>
  <c r="V23" i="277"/>
  <c r="U23" i="277"/>
  <c r="Q23" i="277"/>
  <c r="P23" i="277"/>
  <c r="O23" i="277"/>
  <c r="N23" i="277"/>
  <c r="M23" i="277"/>
  <c r="K23" i="277"/>
  <c r="G23" i="277"/>
  <c r="AB22" i="277"/>
  <c r="AA22" i="277"/>
  <c r="V22" i="277"/>
  <c r="U22" i="277"/>
  <c r="Q22" i="277"/>
  <c r="P22" i="277"/>
  <c r="O22" i="277"/>
  <c r="N22" i="277"/>
  <c r="M22" i="277"/>
  <c r="K22" i="277"/>
  <c r="G22" i="277"/>
  <c r="AB21" i="277"/>
  <c r="AA21" i="277"/>
  <c r="V21" i="277"/>
  <c r="U21" i="277"/>
  <c r="Q21" i="277"/>
  <c r="P21" i="277"/>
  <c r="O21" i="277"/>
  <c r="N21" i="277"/>
  <c r="M21" i="277"/>
  <c r="K21" i="277"/>
  <c r="G21" i="277"/>
  <c r="AB20" i="277"/>
  <c r="AA20" i="277"/>
  <c r="V20" i="277"/>
  <c r="Q20" i="277"/>
  <c r="P20" i="277"/>
  <c r="O20" i="277"/>
  <c r="N20" i="277"/>
  <c r="M20" i="277"/>
  <c r="K20" i="277"/>
  <c r="G20" i="277"/>
  <c r="O19" i="277"/>
  <c r="N19" i="277"/>
  <c r="Q19" i="277" s="1"/>
  <c r="R14" i="277" s="1"/>
  <c r="M19" i="277"/>
  <c r="AB19" i="277" s="1"/>
  <c r="AC14" i="277" s="1"/>
  <c r="K19" i="277"/>
  <c r="AB18" i="277"/>
  <c r="AA18" i="277"/>
  <c r="V18" i="277"/>
  <c r="U18" i="277"/>
  <c r="Q18" i="277"/>
  <c r="P18" i="277"/>
  <c r="O18" i="277"/>
  <c r="N18" i="277"/>
  <c r="M18" i="277"/>
  <c r="K18" i="277"/>
  <c r="G18" i="277"/>
  <c r="AB17" i="277"/>
  <c r="AA17" i="277"/>
  <c r="V17" i="277"/>
  <c r="U17" i="277"/>
  <c r="P17" i="277"/>
  <c r="O17" i="277"/>
  <c r="N17" i="277"/>
  <c r="Q17" i="277" s="1"/>
  <c r="M17" i="277"/>
  <c r="K17" i="277"/>
  <c r="G17" i="277"/>
  <c r="AB16" i="277"/>
  <c r="AA16" i="277"/>
  <c r="V16" i="277"/>
  <c r="U16" i="277"/>
  <c r="O16" i="277"/>
  <c r="N16" i="277"/>
  <c r="Q16" i="277" s="1"/>
  <c r="M16" i="277"/>
  <c r="K16" i="277"/>
  <c r="G16" i="277"/>
  <c r="AB15" i="277"/>
  <c r="AA15" i="277"/>
  <c r="V15" i="277"/>
  <c r="U15" i="277"/>
  <c r="O15" i="277"/>
  <c r="N15" i="277"/>
  <c r="Q15" i="277" s="1"/>
  <c r="M15" i="277"/>
  <c r="K15" i="277"/>
  <c r="G15" i="277"/>
  <c r="AB14" i="277"/>
  <c r="AA14" i="277"/>
  <c r="V14" i="277"/>
  <c r="O14" i="277"/>
  <c r="N14" i="277"/>
  <c r="Q14" i="277" s="1"/>
  <c r="M14" i="277"/>
  <c r="K14" i="277"/>
  <c r="G14" i="277"/>
  <c r="AB13" i="277"/>
  <c r="AC9" i="277" s="1"/>
  <c r="AA13" i="277"/>
  <c r="Q13" i="277"/>
  <c r="R9" i="277" s="1"/>
  <c r="P13" i="277"/>
  <c r="O13" i="277"/>
  <c r="N13" i="277"/>
  <c r="M13" i="277"/>
  <c r="K13" i="277"/>
  <c r="AB12" i="277"/>
  <c r="AA12" i="277"/>
  <c r="V12" i="277"/>
  <c r="U12" i="277"/>
  <c r="Q12" i="277"/>
  <c r="P12" i="277"/>
  <c r="O12" i="277"/>
  <c r="N12" i="277"/>
  <c r="M12" i="277"/>
  <c r="K12" i="277"/>
  <c r="G12" i="277"/>
  <c r="AB11" i="277"/>
  <c r="AA11" i="277"/>
  <c r="V11" i="277"/>
  <c r="U11" i="277"/>
  <c r="Q11" i="277"/>
  <c r="P11" i="277"/>
  <c r="O11" i="277"/>
  <c r="N11" i="277"/>
  <c r="M11" i="277"/>
  <c r="K11" i="277"/>
  <c r="G11" i="277"/>
  <c r="AB10" i="277"/>
  <c r="AA10" i="277"/>
  <c r="V10" i="277"/>
  <c r="U10" i="277"/>
  <c r="O10" i="277"/>
  <c r="N10" i="277"/>
  <c r="Q10" i="277" s="1"/>
  <c r="M10" i="277"/>
  <c r="K10" i="277"/>
  <c r="G10" i="277"/>
  <c r="AB9" i="277"/>
  <c r="AA9" i="277"/>
  <c r="V9" i="277"/>
  <c r="O9" i="277"/>
  <c r="N9" i="277"/>
  <c r="Q9" i="277" s="1"/>
  <c r="M9" i="277"/>
  <c r="K9" i="277"/>
  <c r="G9" i="277"/>
  <c r="O8" i="277"/>
  <c r="K8" i="277"/>
  <c r="AB7" i="277"/>
  <c r="AA7" i="277"/>
  <c r="V7" i="277"/>
  <c r="U7" i="277"/>
  <c r="O7" i="277"/>
  <c r="N7" i="277"/>
  <c r="Q7" i="277" s="1"/>
  <c r="M7" i="277"/>
  <c r="K7" i="277"/>
  <c r="G7" i="277"/>
  <c r="AB6" i="277"/>
  <c r="AA6" i="277"/>
  <c r="V6" i="277"/>
  <c r="U6" i="277"/>
  <c r="O6" i="277"/>
  <c r="M6" i="277"/>
  <c r="N6" i="277" s="1"/>
  <c r="K6" i="277"/>
  <c r="G6" i="277"/>
  <c r="AB5" i="277"/>
  <c r="AA5" i="277"/>
  <c r="V5" i="277"/>
  <c r="O5" i="277"/>
  <c r="M5" i="277"/>
  <c r="N5" i="277" s="1"/>
  <c r="K5" i="277"/>
  <c r="G5" i="277"/>
  <c r="H2" i="277"/>
  <c r="H1" i="277"/>
  <c r="F1" i="277"/>
  <c r="I3" i="276" s="1"/>
  <c r="D1" i="277"/>
  <c r="M18" i="276"/>
  <c r="L18" i="276"/>
  <c r="K18" i="276"/>
  <c r="J18" i="276"/>
  <c r="I18" i="276"/>
  <c r="H18" i="276"/>
  <c r="G18" i="276"/>
  <c r="F18" i="276"/>
  <c r="E18" i="276"/>
  <c r="D18" i="276"/>
  <c r="M17" i="276"/>
  <c r="L17" i="276"/>
  <c r="K17" i="276"/>
  <c r="J17" i="276"/>
  <c r="I17" i="276"/>
  <c r="H17" i="276"/>
  <c r="G17" i="276"/>
  <c r="F17" i="276"/>
  <c r="E17" i="276"/>
  <c r="D17" i="276"/>
  <c r="M16" i="276"/>
  <c r="L16" i="276"/>
  <c r="K16" i="276"/>
  <c r="J16" i="276"/>
  <c r="I16" i="276"/>
  <c r="H16" i="276"/>
  <c r="G16" i="276"/>
  <c r="F16" i="276"/>
  <c r="E16" i="276"/>
  <c r="D16" i="276"/>
  <c r="J14" i="276"/>
  <c r="I14" i="276"/>
  <c r="E14" i="276"/>
  <c r="M13" i="276"/>
  <c r="L13" i="276"/>
  <c r="K13" i="276"/>
  <c r="J13" i="276"/>
  <c r="I13" i="276"/>
  <c r="H13" i="276"/>
  <c r="G13" i="276"/>
  <c r="F13" i="276"/>
  <c r="E13" i="276"/>
  <c r="D13" i="276"/>
  <c r="F3" i="276"/>
  <c r="C3" i="276"/>
  <c r="K14" i="278" l="1"/>
  <c r="Q37" i="279"/>
  <c r="R31" i="279" s="1"/>
  <c r="P37" i="279"/>
  <c r="Q66" i="279"/>
  <c r="R60" i="279" s="1"/>
  <c r="P66" i="279"/>
  <c r="J14" i="278"/>
  <c r="J15" i="278" s="1"/>
  <c r="Q19" i="279"/>
  <c r="R14" i="279" s="1"/>
  <c r="F14" i="278"/>
  <c r="F15" i="278" s="1"/>
  <c r="P19" i="279"/>
  <c r="P30" i="279"/>
  <c r="G14" i="278"/>
  <c r="G15" i="278" s="1"/>
  <c r="Q30" i="279"/>
  <c r="R20" i="279" s="1"/>
  <c r="Q73" i="279"/>
  <c r="R67" i="279" s="1"/>
  <c r="P73" i="279"/>
  <c r="M14" i="278"/>
  <c r="M15" i="278" s="1"/>
  <c r="Q54" i="279"/>
  <c r="R46" i="279" s="1"/>
  <c r="P54" i="279"/>
  <c r="H14" i="278"/>
  <c r="H15" i="278" s="1"/>
  <c r="Q45" i="279"/>
  <c r="R38" i="279" s="1"/>
  <c r="P45" i="279"/>
  <c r="L14" i="278"/>
  <c r="L15" i="278" s="1"/>
  <c r="P8" i="279"/>
  <c r="D2" i="279"/>
  <c r="D14" i="278"/>
  <c r="Q8" i="279"/>
  <c r="R5" i="279" s="1"/>
  <c r="J15" i="276"/>
  <c r="I6" i="276"/>
  <c r="F6" i="276"/>
  <c r="E15" i="276"/>
  <c r="I15" i="276"/>
  <c r="P70" i="277"/>
  <c r="Q70" i="277"/>
  <c r="P24" i="277"/>
  <c r="Q24" i="277"/>
  <c r="P5" i="277"/>
  <c r="Q5" i="277"/>
  <c r="P61" i="277"/>
  <c r="Q61" i="277"/>
  <c r="P34" i="277"/>
  <c r="Q34" i="277"/>
  <c r="P72" i="277"/>
  <c r="Q72" i="277"/>
  <c r="P6" i="277"/>
  <c r="Q6" i="277"/>
  <c r="P54" i="277"/>
  <c r="Q54" i="277"/>
  <c r="P62" i="277"/>
  <c r="Q62" i="277"/>
  <c r="P44" i="277"/>
  <c r="Q44" i="277"/>
  <c r="Q26" i="277"/>
  <c r="P26" i="277"/>
  <c r="E6" i="276"/>
  <c r="F14" i="276"/>
  <c r="F15" i="276" s="1"/>
  <c r="N30" i="277"/>
  <c r="N38" i="277"/>
  <c r="M8" i="277"/>
  <c r="P9" i="277"/>
  <c r="P10" i="277"/>
  <c r="P19" i="277"/>
  <c r="M46" i="277"/>
  <c r="P47" i="277"/>
  <c r="P48" i="277"/>
  <c r="P58" i="277"/>
  <c r="P67" i="277"/>
  <c r="M74" i="277"/>
  <c r="P29" i="277"/>
  <c r="AA30" i="277"/>
  <c r="M55" i="277"/>
  <c r="P56" i="277"/>
  <c r="P57" i="277"/>
  <c r="F2" i="277"/>
  <c r="AA19" i="277"/>
  <c r="AA67" i="277"/>
  <c r="AA38" i="277"/>
  <c r="P16" i="277"/>
  <c r="P36" i="277"/>
  <c r="P64" i="277"/>
  <c r="G6" i="276"/>
  <c r="P7" i="277"/>
  <c r="P14" i="277"/>
  <c r="P15" i="277"/>
  <c r="P25" i="277"/>
  <c r="P35" i="277"/>
  <c r="P45" i="277"/>
  <c r="P63" i="277"/>
  <c r="P73" i="277"/>
  <c r="AB75" i="275"/>
  <c r="AC69" i="275" s="1"/>
  <c r="O75" i="275"/>
  <c r="M75" i="275"/>
  <c r="AA75" i="275" s="1"/>
  <c r="K75" i="275"/>
  <c r="M13" i="274" s="1"/>
  <c r="V74" i="275"/>
  <c r="U74" i="275"/>
  <c r="O74" i="275"/>
  <c r="M74" i="275"/>
  <c r="N74" i="275" s="1"/>
  <c r="K74" i="275"/>
  <c r="G74" i="275"/>
  <c r="V73" i="275"/>
  <c r="U73" i="275"/>
  <c r="O73" i="275"/>
  <c r="M73" i="275"/>
  <c r="N73" i="275" s="1"/>
  <c r="K73" i="275"/>
  <c r="G73" i="275"/>
  <c r="AB72" i="275"/>
  <c r="V72" i="275"/>
  <c r="U72" i="275"/>
  <c r="O72" i="275"/>
  <c r="N72" i="275"/>
  <c r="P72" i="275" s="1"/>
  <c r="M72" i="275"/>
  <c r="AA72" i="275" s="1"/>
  <c r="K72" i="275"/>
  <c r="G72" i="275"/>
  <c r="V71" i="275"/>
  <c r="U71" i="275"/>
  <c r="O71" i="275"/>
  <c r="M71" i="275"/>
  <c r="AB71" i="275" s="1"/>
  <c r="K71" i="275"/>
  <c r="G71" i="275"/>
  <c r="V70" i="275"/>
  <c r="U70" i="275"/>
  <c r="O70" i="275"/>
  <c r="M70" i="275"/>
  <c r="AB70" i="275" s="1"/>
  <c r="K70" i="275"/>
  <c r="G70" i="275"/>
  <c r="V69" i="275"/>
  <c r="O69" i="275"/>
  <c r="M69" i="275"/>
  <c r="AB69" i="275" s="1"/>
  <c r="K69" i="275"/>
  <c r="G69" i="275"/>
  <c r="O68" i="275"/>
  <c r="K68" i="275"/>
  <c r="AB67" i="275"/>
  <c r="AA67" i="275"/>
  <c r="V67" i="275"/>
  <c r="U67" i="275"/>
  <c r="Q67" i="275"/>
  <c r="P67" i="275"/>
  <c r="O67" i="275"/>
  <c r="N67" i="275"/>
  <c r="M67" i="275"/>
  <c r="K67" i="275"/>
  <c r="G67" i="275"/>
  <c r="AB66" i="275"/>
  <c r="AA66" i="275"/>
  <c r="V66" i="275"/>
  <c r="U66" i="275"/>
  <c r="O66" i="275"/>
  <c r="N66" i="275"/>
  <c r="Q66" i="275" s="1"/>
  <c r="M66" i="275"/>
  <c r="K66" i="275"/>
  <c r="G66" i="275"/>
  <c r="V65" i="275"/>
  <c r="U65" i="275"/>
  <c r="Q65" i="275"/>
  <c r="O65" i="275"/>
  <c r="N65" i="275"/>
  <c r="P65" i="275" s="1"/>
  <c r="M65" i="275"/>
  <c r="AB65" i="275" s="1"/>
  <c r="K65" i="275"/>
  <c r="G65" i="275"/>
  <c r="V64" i="275"/>
  <c r="U64" i="275"/>
  <c r="O64" i="275"/>
  <c r="M64" i="275"/>
  <c r="N64" i="275" s="1"/>
  <c r="K64" i="275"/>
  <c r="G64" i="275"/>
  <c r="V63" i="275"/>
  <c r="U63" i="275"/>
  <c r="O63" i="275"/>
  <c r="M63" i="275"/>
  <c r="N63" i="275" s="1"/>
  <c r="K63" i="275"/>
  <c r="G63" i="275"/>
  <c r="V62" i="275"/>
  <c r="O62" i="275"/>
  <c r="M62" i="275"/>
  <c r="N62" i="275" s="1"/>
  <c r="K62" i="275"/>
  <c r="G62" i="275"/>
  <c r="O61" i="275"/>
  <c r="M61" i="275"/>
  <c r="AB61" i="275" s="1"/>
  <c r="AC57" i="275" s="1"/>
  <c r="K61" i="275"/>
  <c r="AA60" i="275"/>
  <c r="V60" i="275"/>
  <c r="U60" i="275"/>
  <c r="Q60" i="275"/>
  <c r="O60" i="275"/>
  <c r="N60" i="275"/>
  <c r="P60" i="275" s="1"/>
  <c r="M60" i="275"/>
  <c r="AB60" i="275" s="1"/>
  <c r="K60" i="275"/>
  <c r="G60" i="275"/>
  <c r="AB59" i="275"/>
  <c r="AA59" i="275"/>
  <c r="V59" i="275"/>
  <c r="U59" i="275"/>
  <c r="Q59" i="275"/>
  <c r="P59" i="275"/>
  <c r="O59" i="275"/>
  <c r="N59" i="275"/>
  <c r="M59" i="275"/>
  <c r="K59" i="275"/>
  <c r="G59" i="275"/>
  <c r="AB58" i="275"/>
  <c r="AA58" i="275"/>
  <c r="V58" i="275"/>
  <c r="U58" i="275"/>
  <c r="Q58" i="275"/>
  <c r="P58" i="275"/>
  <c r="O58" i="275"/>
  <c r="N58" i="275"/>
  <c r="M58" i="275"/>
  <c r="K58" i="275"/>
  <c r="G58" i="275"/>
  <c r="AB57" i="275"/>
  <c r="AA57" i="275"/>
  <c r="V57" i="275"/>
  <c r="Q57" i="275"/>
  <c r="P57" i="275"/>
  <c r="O57" i="275"/>
  <c r="N57" i="275"/>
  <c r="M57" i="275"/>
  <c r="K57" i="275"/>
  <c r="G57" i="275"/>
  <c r="O56" i="275"/>
  <c r="K56" i="275"/>
  <c r="V55" i="275"/>
  <c r="U55" i="275"/>
  <c r="O55" i="275"/>
  <c r="M55" i="275"/>
  <c r="N55" i="275" s="1"/>
  <c r="K55" i="275"/>
  <c r="G55" i="275"/>
  <c r="AB54" i="275"/>
  <c r="V54" i="275"/>
  <c r="U54" i="275"/>
  <c r="O54" i="275"/>
  <c r="N54" i="275"/>
  <c r="P54" i="275" s="1"/>
  <c r="M54" i="275"/>
  <c r="AA54" i="275" s="1"/>
  <c r="K54" i="275"/>
  <c r="G54" i="275"/>
  <c r="V53" i="275"/>
  <c r="U53" i="275"/>
  <c r="O53" i="275"/>
  <c r="M53" i="275"/>
  <c r="AA53" i="275" s="1"/>
  <c r="K53" i="275"/>
  <c r="G53" i="275"/>
  <c r="V52" i="275"/>
  <c r="U52" i="275"/>
  <c r="O52" i="275"/>
  <c r="M52" i="275"/>
  <c r="AB52" i="275" s="1"/>
  <c r="K52" i="275"/>
  <c r="G52" i="275"/>
  <c r="AB51" i="275"/>
  <c r="AA51" i="275"/>
  <c r="V51" i="275"/>
  <c r="U51" i="275"/>
  <c r="P51" i="275"/>
  <c r="O51" i="275"/>
  <c r="N51" i="275"/>
  <c r="Q51" i="275" s="1"/>
  <c r="M51" i="275"/>
  <c r="K51" i="275"/>
  <c r="G51" i="275"/>
  <c r="AA50" i="275"/>
  <c r="V50" i="275"/>
  <c r="U50" i="275"/>
  <c r="Q50" i="275"/>
  <c r="O50" i="275"/>
  <c r="N50" i="275"/>
  <c r="P50" i="275" s="1"/>
  <c r="M50" i="275"/>
  <c r="AB50" i="275" s="1"/>
  <c r="K50" i="275"/>
  <c r="G50" i="275"/>
  <c r="AB49" i="275"/>
  <c r="AA49" i="275"/>
  <c r="V49" i="275"/>
  <c r="U49" i="275"/>
  <c r="Q49" i="275"/>
  <c r="P49" i="275"/>
  <c r="O49" i="275"/>
  <c r="N49" i="275"/>
  <c r="M49" i="275"/>
  <c r="K49" i="275"/>
  <c r="G49" i="275"/>
  <c r="AB48" i="275"/>
  <c r="AA48" i="275"/>
  <c r="V48" i="275"/>
  <c r="Q48" i="275"/>
  <c r="P48" i="275"/>
  <c r="O48" i="275"/>
  <c r="N48" i="275"/>
  <c r="M48" i="275"/>
  <c r="K48" i="275"/>
  <c r="G48" i="275"/>
  <c r="O47" i="275"/>
  <c r="K47" i="275"/>
  <c r="V46" i="275"/>
  <c r="U46" i="275"/>
  <c r="O46" i="275"/>
  <c r="M46" i="275"/>
  <c r="N46" i="275" s="1"/>
  <c r="K46" i="275"/>
  <c r="G46" i="275"/>
  <c r="AA45" i="275"/>
  <c r="V45" i="275"/>
  <c r="U45" i="275"/>
  <c r="O45" i="275"/>
  <c r="M45" i="275"/>
  <c r="N45" i="275" s="1"/>
  <c r="K45" i="275"/>
  <c r="G45" i="275"/>
  <c r="AB44" i="275"/>
  <c r="V44" i="275"/>
  <c r="U44" i="275"/>
  <c r="O44" i="275"/>
  <c r="N44" i="275"/>
  <c r="P44" i="275" s="1"/>
  <c r="M44" i="275"/>
  <c r="AA44" i="275" s="1"/>
  <c r="K44" i="275"/>
  <c r="G44" i="275"/>
  <c r="V43" i="275"/>
  <c r="U43" i="275"/>
  <c r="O43" i="275"/>
  <c r="M43" i="275"/>
  <c r="AA43" i="275" s="1"/>
  <c r="K43" i="275"/>
  <c r="G43" i="275"/>
  <c r="V42" i="275"/>
  <c r="U42" i="275"/>
  <c r="O42" i="275"/>
  <c r="M42" i="275"/>
  <c r="AB42" i="275" s="1"/>
  <c r="K42" i="275"/>
  <c r="G42" i="275"/>
  <c r="AB41" i="275"/>
  <c r="AA41" i="275"/>
  <c r="V41" i="275"/>
  <c r="U41" i="275"/>
  <c r="P41" i="275"/>
  <c r="O41" i="275"/>
  <c r="N41" i="275"/>
  <c r="Q41" i="275" s="1"/>
  <c r="M41" i="275"/>
  <c r="K41" i="275"/>
  <c r="G41" i="275"/>
  <c r="AA40" i="275"/>
  <c r="V40" i="275"/>
  <c r="U40" i="275"/>
  <c r="Q40" i="275"/>
  <c r="O40" i="275"/>
  <c r="N40" i="275"/>
  <c r="P40" i="275" s="1"/>
  <c r="M40" i="275"/>
  <c r="AB40" i="275" s="1"/>
  <c r="K40" i="275"/>
  <c r="G40" i="275"/>
  <c r="AA39" i="275"/>
  <c r="V39" i="275"/>
  <c r="Q39" i="275"/>
  <c r="O39" i="275"/>
  <c r="N39" i="275"/>
  <c r="P39" i="275" s="1"/>
  <c r="M39" i="275"/>
  <c r="AB39" i="275" s="1"/>
  <c r="K39" i="275"/>
  <c r="G39" i="275"/>
  <c r="O38" i="275"/>
  <c r="K38" i="275"/>
  <c r="V37" i="275"/>
  <c r="U37" i="275"/>
  <c r="Q37" i="275"/>
  <c r="O37" i="275"/>
  <c r="N37" i="275"/>
  <c r="P37" i="275" s="1"/>
  <c r="M37" i="275"/>
  <c r="AB37" i="275" s="1"/>
  <c r="K37" i="275"/>
  <c r="G37" i="275"/>
  <c r="V36" i="275"/>
  <c r="U36" i="275"/>
  <c r="O36" i="275"/>
  <c r="M36" i="275"/>
  <c r="N36" i="275" s="1"/>
  <c r="K36" i="275"/>
  <c r="G36" i="275"/>
  <c r="AA35" i="275"/>
  <c r="V35" i="275"/>
  <c r="U35" i="275"/>
  <c r="O35" i="275"/>
  <c r="M35" i="275"/>
  <c r="N35" i="275" s="1"/>
  <c r="K35" i="275"/>
  <c r="G35" i="275"/>
  <c r="AB34" i="275"/>
  <c r="AA34" i="275"/>
  <c r="V34" i="275"/>
  <c r="U34" i="275"/>
  <c r="O34" i="275"/>
  <c r="N34" i="275"/>
  <c r="P34" i="275" s="1"/>
  <c r="M34" i="275"/>
  <c r="K34" i="275"/>
  <c r="G34" i="275"/>
  <c r="V33" i="275"/>
  <c r="U33" i="275"/>
  <c r="O33" i="275"/>
  <c r="M33" i="275"/>
  <c r="AA33" i="275" s="1"/>
  <c r="K33" i="275"/>
  <c r="G33" i="275"/>
  <c r="V32" i="275"/>
  <c r="U32" i="275"/>
  <c r="O32" i="275"/>
  <c r="M32" i="275"/>
  <c r="AB32" i="275" s="1"/>
  <c r="K32" i="275"/>
  <c r="G32" i="275"/>
  <c r="V31" i="275"/>
  <c r="O31" i="275"/>
  <c r="M31" i="275"/>
  <c r="AB31" i="275" s="1"/>
  <c r="K31" i="275"/>
  <c r="G31" i="275"/>
  <c r="O30" i="275"/>
  <c r="K30" i="275"/>
  <c r="AB29" i="275"/>
  <c r="AA29" i="275"/>
  <c r="V29" i="275"/>
  <c r="U29" i="275"/>
  <c r="Q29" i="275"/>
  <c r="P29" i="275"/>
  <c r="O29" i="275"/>
  <c r="N29" i="275"/>
  <c r="M29" i="275"/>
  <c r="K29" i="275"/>
  <c r="G29" i="275"/>
  <c r="AB28" i="275"/>
  <c r="AA28" i="275"/>
  <c r="V28" i="275"/>
  <c r="U28" i="275"/>
  <c r="O28" i="275"/>
  <c r="N28" i="275"/>
  <c r="Q28" i="275" s="1"/>
  <c r="M28" i="275"/>
  <c r="K28" i="275"/>
  <c r="G28" i="275"/>
  <c r="V27" i="275"/>
  <c r="U27" i="275"/>
  <c r="Q27" i="275"/>
  <c r="O27" i="275"/>
  <c r="N27" i="275"/>
  <c r="P27" i="275" s="1"/>
  <c r="M27" i="275"/>
  <c r="AB27" i="275" s="1"/>
  <c r="K27" i="275"/>
  <c r="G27" i="275"/>
  <c r="V26" i="275"/>
  <c r="U26" i="275"/>
  <c r="O26" i="275"/>
  <c r="M26" i="275"/>
  <c r="N26" i="275" s="1"/>
  <c r="K26" i="275"/>
  <c r="G26" i="275"/>
  <c r="AA25" i="275"/>
  <c r="V25" i="275"/>
  <c r="U25" i="275"/>
  <c r="O25" i="275"/>
  <c r="M25" i="275"/>
  <c r="N25" i="275" s="1"/>
  <c r="K25" i="275"/>
  <c r="G25" i="275"/>
  <c r="AB24" i="275"/>
  <c r="AA24" i="275"/>
  <c r="V24" i="275"/>
  <c r="U24" i="275"/>
  <c r="O24" i="275"/>
  <c r="N24" i="275"/>
  <c r="P24" i="275" s="1"/>
  <c r="M24" i="275"/>
  <c r="K24" i="275"/>
  <c r="G24" i="275"/>
  <c r="V23" i="275"/>
  <c r="U23" i="275"/>
  <c r="O23" i="275"/>
  <c r="M23" i="275"/>
  <c r="AB23" i="275" s="1"/>
  <c r="K23" i="275"/>
  <c r="G23" i="275"/>
  <c r="V22" i="275"/>
  <c r="U22" i="275"/>
  <c r="O22" i="275"/>
  <c r="M22" i="275"/>
  <c r="AB22" i="275" s="1"/>
  <c r="K22" i="275"/>
  <c r="G22" i="275"/>
  <c r="AB21" i="275"/>
  <c r="AA21" i="275"/>
  <c r="V21" i="275"/>
  <c r="U21" i="275"/>
  <c r="P21" i="275"/>
  <c r="O21" i="275"/>
  <c r="N21" i="275"/>
  <c r="Q21" i="275" s="1"/>
  <c r="M21" i="275"/>
  <c r="K21" i="275"/>
  <c r="G21" i="275"/>
  <c r="AB20" i="275"/>
  <c r="AA20" i="275"/>
  <c r="V20" i="275"/>
  <c r="P20" i="275"/>
  <c r="O20" i="275"/>
  <c r="N20" i="275"/>
  <c r="Q20" i="275" s="1"/>
  <c r="M20" i="275"/>
  <c r="K20" i="275"/>
  <c r="G20" i="275"/>
  <c r="O19" i="275"/>
  <c r="K19" i="275"/>
  <c r="AB18" i="275"/>
  <c r="AA18" i="275"/>
  <c r="V18" i="275"/>
  <c r="U18" i="275"/>
  <c r="O18" i="275"/>
  <c r="N18" i="275"/>
  <c r="Q18" i="275" s="1"/>
  <c r="M18" i="275"/>
  <c r="K18" i="275"/>
  <c r="G18" i="275"/>
  <c r="V17" i="275"/>
  <c r="U17" i="275"/>
  <c r="Q17" i="275"/>
  <c r="O17" i="275"/>
  <c r="N17" i="275"/>
  <c r="P17" i="275" s="1"/>
  <c r="M17" i="275"/>
  <c r="AB17" i="275" s="1"/>
  <c r="K17" i="275"/>
  <c r="G17" i="275"/>
  <c r="V16" i="275"/>
  <c r="U16" i="275"/>
  <c r="O16" i="275"/>
  <c r="M16" i="275"/>
  <c r="N16" i="275" s="1"/>
  <c r="K16" i="275"/>
  <c r="G16" i="275"/>
  <c r="AA15" i="275"/>
  <c r="V15" i="275"/>
  <c r="U15" i="275"/>
  <c r="O15" i="275"/>
  <c r="M15" i="275"/>
  <c r="N15" i="275" s="1"/>
  <c r="K15" i="275"/>
  <c r="G15" i="275"/>
  <c r="AA14" i="275"/>
  <c r="V14" i="275"/>
  <c r="O14" i="275"/>
  <c r="M14" i="275"/>
  <c r="N14" i="275" s="1"/>
  <c r="K14" i="275"/>
  <c r="G14" i="275"/>
  <c r="O13" i="275"/>
  <c r="M13" i="275"/>
  <c r="AB13" i="275" s="1"/>
  <c r="AC9" i="275" s="1"/>
  <c r="K13" i="275"/>
  <c r="AA12" i="275"/>
  <c r="V12" i="275"/>
  <c r="U12" i="275"/>
  <c r="Q12" i="275"/>
  <c r="O12" i="275"/>
  <c r="N12" i="275"/>
  <c r="P12" i="275" s="1"/>
  <c r="M12" i="275"/>
  <c r="AB12" i="275" s="1"/>
  <c r="K12" i="275"/>
  <c r="G12" i="275"/>
  <c r="AB11" i="275"/>
  <c r="V11" i="275"/>
  <c r="U11" i="275"/>
  <c r="Q11" i="275"/>
  <c r="P11" i="275"/>
  <c r="O11" i="275"/>
  <c r="N11" i="275"/>
  <c r="M11" i="275"/>
  <c r="AA11" i="275" s="1"/>
  <c r="K11" i="275"/>
  <c r="G11" i="275"/>
  <c r="AB10" i="275"/>
  <c r="AA10" i="275"/>
  <c r="V10" i="275"/>
  <c r="U10" i="275"/>
  <c r="Q10" i="275"/>
  <c r="P10" i="275"/>
  <c r="O10" i="275"/>
  <c r="N10" i="275"/>
  <c r="M10" i="275"/>
  <c r="K10" i="275"/>
  <c r="G10" i="275"/>
  <c r="AB9" i="275"/>
  <c r="AA9" i="275"/>
  <c r="V9" i="275"/>
  <c r="Q9" i="275"/>
  <c r="P9" i="275"/>
  <c r="O9" i="275"/>
  <c r="N9" i="275"/>
  <c r="M9" i="275"/>
  <c r="K9" i="275"/>
  <c r="G9" i="275"/>
  <c r="AB8" i="275"/>
  <c r="AC5" i="275" s="1"/>
  <c r="AA8" i="275"/>
  <c r="Q8" i="275"/>
  <c r="R5" i="275" s="1"/>
  <c r="O8" i="275"/>
  <c r="N8" i="275"/>
  <c r="P8" i="275" s="1"/>
  <c r="M8" i="275"/>
  <c r="K8" i="275"/>
  <c r="AA7" i="275"/>
  <c r="V7" i="275"/>
  <c r="U7" i="275"/>
  <c r="O7" i="275"/>
  <c r="M7" i="275"/>
  <c r="N7" i="275" s="1"/>
  <c r="K7" i="275"/>
  <c r="G7" i="275"/>
  <c r="AB6" i="275"/>
  <c r="V6" i="275"/>
  <c r="U6" i="275"/>
  <c r="O6" i="275"/>
  <c r="N6" i="275"/>
  <c r="P6" i="275" s="1"/>
  <c r="M6" i="275"/>
  <c r="AA6" i="275" s="1"/>
  <c r="K6" i="275"/>
  <c r="G6" i="275"/>
  <c r="AB5" i="275"/>
  <c r="V5" i="275"/>
  <c r="O5" i="275"/>
  <c r="N5" i="275"/>
  <c r="P5" i="275" s="1"/>
  <c r="M5" i="275"/>
  <c r="AA5" i="275" s="1"/>
  <c r="K5" i="275"/>
  <c r="G5" i="275"/>
  <c r="H2" i="275"/>
  <c r="F2" i="275"/>
  <c r="H1" i="275"/>
  <c r="F1" i="275"/>
  <c r="D1" i="275"/>
  <c r="M18" i="274"/>
  <c r="L18" i="274"/>
  <c r="K18" i="274"/>
  <c r="J18" i="274"/>
  <c r="I18" i="274"/>
  <c r="H18" i="274"/>
  <c r="G18" i="274"/>
  <c r="F18" i="274"/>
  <c r="E18" i="274"/>
  <c r="D18" i="274"/>
  <c r="M17" i="274"/>
  <c r="L17" i="274"/>
  <c r="K17" i="274"/>
  <c r="J17" i="274"/>
  <c r="I17" i="274"/>
  <c r="H17" i="274"/>
  <c r="G17" i="274"/>
  <c r="F17" i="274"/>
  <c r="E17" i="274"/>
  <c r="D17" i="274"/>
  <c r="M16" i="274"/>
  <c r="L16" i="274"/>
  <c r="K16" i="274"/>
  <c r="J16" i="274"/>
  <c r="I16" i="274"/>
  <c r="H16" i="274"/>
  <c r="G16" i="274"/>
  <c r="F16" i="274"/>
  <c r="E16" i="274"/>
  <c r="D16" i="274"/>
  <c r="D14" i="274"/>
  <c r="L13" i="274"/>
  <c r="K13" i="274"/>
  <c r="J13" i="274"/>
  <c r="I13" i="274"/>
  <c r="H13" i="274"/>
  <c r="G13" i="274"/>
  <c r="F13" i="274"/>
  <c r="E13" i="274"/>
  <c r="D13" i="274"/>
  <c r="I3" i="274"/>
  <c r="F3" i="274"/>
  <c r="C3" i="274"/>
  <c r="F7" i="278" l="1"/>
  <c r="E7" i="278"/>
  <c r="D15" i="278"/>
  <c r="G7" i="278"/>
  <c r="K15" i="278"/>
  <c r="I8" i="278" s="1"/>
  <c r="I7" i="278"/>
  <c r="I6" i="274"/>
  <c r="G6" i="274"/>
  <c r="D15" i="274"/>
  <c r="E6" i="274"/>
  <c r="AA55" i="277"/>
  <c r="N55" i="277"/>
  <c r="AB55" i="277"/>
  <c r="AC47" i="277" s="1"/>
  <c r="Q38" i="277"/>
  <c r="R31" i="277" s="1"/>
  <c r="P38" i="277"/>
  <c r="K14" i="276"/>
  <c r="AB74" i="277"/>
  <c r="AC68" i="277" s="1"/>
  <c r="AA74" i="277"/>
  <c r="N74" i="277"/>
  <c r="AB46" i="277"/>
  <c r="AC39" i="277" s="1"/>
  <c r="AA46" i="277"/>
  <c r="N46" i="277"/>
  <c r="AB8" i="277"/>
  <c r="AC5" i="277" s="1"/>
  <c r="AA8" i="277"/>
  <c r="N8" i="277"/>
  <c r="G14" i="276"/>
  <c r="G15" i="276" s="1"/>
  <c r="Q30" i="277"/>
  <c r="R20" i="277" s="1"/>
  <c r="P30" i="277"/>
  <c r="P16" i="275"/>
  <c r="Q16" i="275"/>
  <c r="P26" i="275"/>
  <c r="Q26" i="275"/>
  <c r="P74" i="275"/>
  <c r="Q74" i="275"/>
  <c r="Q35" i="275"/>
  <c r="P35" i="275"/>
  <c r="Q55" i="275"/>
  <c r="P55" i="275"/>
  <c r="P36" i="275"/>
  <c r="Q36" i="275"/>
  <c r="Q45" i="275"/>
  <c r="P45" i="275"/>
  <c r="Q7" i="275"/>
  <c r="P7" i="275"/>
  <c r="Q14" i="275"/>
  <c r="P14" i="275"/>
  <c r="Q63" i="275"/>
  <c r="P63" i="275"/>
  <c r="Q15" i="275"/>
  <c r="P15" i="275"/>
  <c r="Q25" i="275"/>
  <c r="P25" i="275"/>
  <c r="P64" i="275"/>
  <c r="Q64" i="275"/>
  <c r="P46" i="275"/>
  <c r="Q46" i="275"/>
  <c r="Q62" i="275"/>
  <c r="P62" i="275"/>
  <c r="P73" i="275"/>
  <c r="Q73" i="275"/>
  <c r="Q5" i="275"/>
  <c r="Q6" i="275"/>
  <c r="AA17" i="275"/>
  <c r="Q24" i="275"/>
  <c r="AA27" i="275"/>
  <c r="Q34" i="275"/>
  <c r="AA37" i="275"/>
  <c r="Q44" i="275"/>
  <c r="Q54" i="275"/>
  <c r="AA65" i="275"/>
  <c r="Q72" i="275"/>
  <c r="AA16" i="275"/>
  <c r="AA26" i="275"/>
  <c r="M30" i="275"/>
  <c r="AA36" i="275"/>
  <c r="AA46" i="275"/>
  <c r="AA64" i="275"/>
  <c r="M68" i="275"/>
  <c r="AA74" i="275"/>
  <c r="AB26" i="275"/>
  <c r="AB36" i="275"/>
  <c r="AB46" i="275"/>
  <c r="AA55" i="275"/>
  <c r="AA62" i="275"/>
  <c r="AA63" i="275"/>
  <c r="AB64" i="275"/>
  <c r="AA73" i="275"/>
  <c r="AB74" i="275"/>
  <c r="N23" i="275"/>
  <c r="N33" i="275"/>
  <c r="N43" i="275"/>
  <c r="N53" i="275"/>
  <c r="N71" i="275"/>
  <c r="N13" i="275"/>
  <c r="N22" i="275"/>
  <c r="N31" i="275"/>
  <c r="N32" i="275"/>
  <c r="N42" i="275"/>
  <c r="N52" i="275"/>
  <c r="N61" i="275"/>
  <c r="N69" i="275"/>
  <c r="N70" i="275"/>
  <c r="F6" i="274"/>
  <c r="AB16" i="275"/>
  <c r="M19" i="275"/>
  <c r="AB7" i="275"/>
  <c r="AA13" i="275"/>
  <c r="AB14" i="275"/>
  <c r="AB15" i="275"/>
  <c r="AB25" i="275"/>
  <c r="AB35" i="275"/>
  <c r="M38" i="275"/>
  <c r="AB45" i="275"/>
  <c r="AB55" i="275"/>
  <c r="AA61" i="275"/>
  <c r="AB62" i="275"/>
  <c r="AB63" i="275"/>
  <c r="AB73" i="275"/>
  <c r="AA23" i="275"/>
  <c r="M47" i="275"/>
  <c r="AA71" i="275"/>
  <c r="AA22" i="275"/>
  <c r="AA31" i="275"/>
  <c r="AA32" i="275"/>
  <c r="AB33" i="275"/>
  <c r="AA42" i="275"/>
  <c r="AB43" i="275"/>
  <c r="AA52" i="275"/>
  <c r="AB53" i="275"/>
  <c r="M56" i="275"/>
  <c r="AA69" i="275"/>
  <c r="AA70" i="275"/>
  <c r="N75" i="275"/>
  <c r="P18" i="275"/>
  <c r="P28" i="275"/>
  <c r="P66" i="275"/>
  <c r="O75" i="271"/>
  <c r="M75" i="271"/>
  <c r="AB75" i="271" s="1"/>
  <c r="AC69" i="271" s="1"/>
  <c r="K75" i="271"/>
  <c r="AB74" i="271"/>
  <c r="AA74" i="271"/>
  <c r="V74" i="271"/>
  <c r="U74" i="271"/>
  <c r="O74" i="271"/>
  <c r="M74" i="271"/>
  <c r="N74" i="271" s="1"/>
  <c r="K74" i="271"/>
  <c r="G74" i="271"/>
  <c r="AB73" i="271"/>
  <c r="AA73" i="271"/>
  <c r="V73" i="271"/>
  <c r="U73" i="271"/>
  <c r="Q73" i="271"/>
  <c r="O73" i="271"/>
  <c r="N73" i="271"/>
  <c r="P73" i="271" s="1"/>
  <c r="M73" i="271"/>
  <c r="K73" i="271"/>
  <c r="G73" i="271"/>
  <c r="AB72" i="271"/>
  <c r="AA72" i="271"/>
  <c r="V72" i="271"/>
  <c r="U72" i="271"/>
  <c r="Q72" i="271"/>
  <c r="P72" i="271"/>
  <c r="O72" i="271"/>
  <c r="N72" i="271"/>
  <c r="M72" i="271"/>
  <c r="K72" i="271"/>
  <c r="G72" i="271"/>
  <c r="AB71" i="271"/>
  <c r="AA71" i="271"/>
  <c r="V71" i="271"/>
  <c r="U71" i="271"/>
  <c r="O71" i="271"/>
  <c r="M71" i="271"/>
  <c r="N71" i="271" s="1"/>
  <c r="K71" i="271"/>
  <c r="G71" i="271"/>
  <c r="AB70" i="271"/>
  <c r="AA70" i="271"/>
  <c r="V70" i="271"/>
  <c r="U70" i="271"/>
  <c r="Q70" i="271"/>
  <c r="P70" i="271"/>
  <c r="O70" i="271"/>
  <c r="N70" i="271"/>
  <c r="M70" i="271"/>
  <c r="K70" i="271"/>
  <c r="G70" i="271"/>
  <c r="AB69" i="271"/>
  <c r="AA69" i="271"/>
  <c r="V69" i="271"/>
  <c r="Q69" i="271"/>
  <c r="P69" i="271"/>
  <c r="O69" i="271"/>
  <c r="N69" i="271"/>
  <c r="M69" i="271"/>
  <c r="K69" i="271"/>
  <c r="G69" i="271"/>
  <c r="O68" i="271"/>
  <c r="M68" i="271"/>
  <c r="AB68" i="271" s="1"/>
  <c r="AC62" i="271" s="1"/>
  <c r="K68" i="271"/>
  <c r="AB67" i="271"/>
  <c r="AA67" i="271"/>
  <c r="V67" i="271"/>
  <c r="U67" i="271"/>
  <c r="O67" i="271"/>
  <c r="N67" i="271"/>
  <c r="Q67" i="271" s="1"/>
  <c r="M67" i="271"/>
  <c r="K67" i="271"/>
  <c r="G67" i="271"/>
  <c r="AB66" i="271"/>
  <c r="AA66" i="271"/>
  <c r="V66" i="271"/>
  <c r="U66" i="271"/>
  <c r="O66" i="271"/>
  <c r="N66" i="271"/>
  <c r="Q66" i="271" s="1"/>
  <c r="M66" i="271"/>
  <c r="K66" i="271"/>
  <c r="G66" i="271"/>
  <c r="AB65" i="271"/>
  <c r="AA65" i="271"/>
  <c r="V65" i="271"/>
  <c r="U65" i="271"/>
  <c r="O65" i="271"/>
  <c r="M65" i="271"/>
  <c r="N65" i="271" s="1"/>
  <c r="K65" i="271"/>
  <c r="G65" i="271"/>
  <c r="AB64" i="271"/>
  <c r="AA64" i="271"/>
  <c r="V64" i="271"/>
  <c r="U64" i="271"/>
  <c r="O64" i="271"/>
  <c r="M64" i="271"/>
  <c r="N64" i="271" s="1"/>
  <c r="K64" i="271"/>
  <c r="G64" i="271"/>
  <c r="AB63" i="271"/>
  <c r="AA63" i="271"/>
  <c r="V63" i="271"/>
  <c r="U63" i="271"/>
  <c r="Q63" i="271"/>
  <c r="O63" i="271"/>
  <c r="N63" i="271"/>
  <c r="P63" i="271" s="1"/>
  <c r="M63" i="271"/>
  <c r="K63" i="271"/>
  <c r="G63" i="271"/>
  <c r="AB62" i="271"/>
  <c r="AA62" i="271"/>
  <c r="V62" i="271"/>
  <c r="Q62" i="271"/>
  <c r="O62" i="271"/>
  <c r="N62" i="271"/>
  <c r="P62" i="271" s="1"/>
  <c r="M62" i="271"/>
  <c r="K62" i="271"/>
  <c r="G62" i="271"/>
  <c r="O61" i="271"/>
  <c r="K61" i="271"/>
  <c r="AB60" i="271"/>
  <c r="AA60" i="271"/>
  <c r="V60" i="271"/>
  <c r="U60" i="271"/>
  <c r="O60" i="271"/>
  <c r="N60" i="271"/>
  <c r="P60" i="271" s="1"/>
  <c r="M60" i="271"/>
  <c r="K60" i="271"/>
  <c r="G60" i="271"/>
  <c r="V59" i="271"/>
  <c r="U59" i="271"/>
  <c r="O59" i="271"/>
  <c r="M59" i="271"/>
  <c r="N59" i="271" s="1"/>
  <c r="K59" i="271"/>
  <c r="G59" i="271"/>
  <c r="V58" i="271"/>
  <c r="U58" i="271"/>
  <c r="O58" i="271"/>
  <c r="M58" i="271"/>
  <c r="AB58" i="271" s="1"/>
  <c r="K58" i="271"/>
  <c r="G58" i="271"/>
  <c r="V57" i="271"/>
  <c r="O57" i="271"/>
  <c r="M57" i="271"/>
  <c r="M61" i="271" s="1"/>
  <c r="K57" i="271"/>
  <c r="G57" i="271"/>
  <c r="O56" i="271"/>
  <c r="K56" i="271"/>
  <c r="AB55" i="271"/>
  <c r="AA55" i="271"/>
  <c r="V55" i="271"/>
  <c r="U55" i="271"/>
  <c r="Q55" i="271"/>
  <c r="O55" i="271"/>
  <c r="N55" i="271"/>
  <c r="P55" i="271" s="1"/>
  <c r="M55" i="271"/>
  <c r="K55" i="271"/>
  <c r="G55" i="271"/>
  <c r="AB54" i="271"/>
  <c r="AA54" i="271"/>
  <c r="V54" i="271"/>
  <c r="U54" i="271"/>
  <c r="Q54" i="271"/>
  <c r="P54" i="271"/>
  <c r="O54" i="271"/>
  <c r="N54" i="271"/>
  <c r="M54" i="271"/>
  <c r="K54" i="271"/>
  <c r="G54" i="271"/>
  <c r="AB53" i="271"/>
  <c r="AA53" i="271"/>
  <c r="V53" i="271"/>
  <c r="U53" i="271"/>
  <c r="Q53" i="271"/>
  <c r="P53" i="271"/>
  <c r="O53" i="271"/>
  <c r="N53" i="271"/>
  <c r="M53" i="271"/>
  <c r="K53" i="271"/>
  <c r="G53" i="271"/>
  <c r="AB52" i="271"/>
  <c r="AA52" i="271"/>
  <c r="V52" i="271"/>
  <c r="U52" i="271"/>
  <c r="Q52" i="271"/>
  <c r="P52" i="271"/>
  <c r="O52" i="271"/>
  <c r="N52" i="271"/>
  <c r="M52" i="271"/>
  <c r="K52" i="271"/>
  <c r="G52" i="271"/>
  <c r="AB51" i="271"/>
  <c r="AA51" i="271"/>
  <c r="V51" i="271"/>
  <c r="U51" i="271"/>
  <c r="Q51" i="271"/>
  <c r="P51" i="271"/>
  <c r="O51" i="271"/>
  <c r="N51" i="271"/>
  <c r="M51" i="271"/>
  <c r="K51" i="271"/>
  <c r="G51" i="271"/>
  <c r="AB50" i="271"/>
  <c r="AA50" i="271"/>
  <c r="V50" i="271"/>
  <c r="U50" i="271"/>
  <c r="O50" i="271"/>
  <c r="N50" i="271"/>
  <c r="P50" i="271" s="1"/>
  <c r="M50" i="271"/>
  <c r="K50" i="271"/>
  <c r="G50" i="271"/>
  <c r="V49" i="271"/>
  <c r="U49" i="271"/>
  <c r="O49" i="271"/>
  <c r="M49" i="271"/>
  <c r="AB49" i="271" s="1"/>
  <c r="K49" i="271"/>
  <c r="G49" i="271"/>
  <c r="V48" i="271"/>
  <c r="O48" i="271"/>
  <c r="M48" i="271"/>
  <c r="N48" i="271" s="1"/>
  <c r="K48" i="271"/>
  <c r="G48" i="271"/>
  <c r="O47" i="271"/>
  <c r="M47" i="271"/>
  <c r="AB47" i="271" s="1"/>
  <c r="AC39" i="271" s="1"/>
  <c r="K47" i="271"/>
  <c r="AB46" i="271"/>
  <c r="AA46" i="271"/>
  <c r="V46" i="271"/>
  <c r="U46" i="271"/>
  <c r="O46" i="271"/>
  <c r="M46" i="271"/>
  <c r="N46" i="271" s="1"/>
  <c r="K46" i="271"/>
  <c r="G46" i="271"/>
  <c r="AB45" i="271"/>
  <c r="AA45" i="271"/>
  <c r="V45" i="271"/>
  <c r="U45" i="271"/>
  <c r="Q45" i="271"/>
  <c r="O45" i="271"/>
  <c r="N45" i="271"/>
  <c r="P45" i="271" s="1"/>
  <c r="M45" i="271"/>
  <c r="K45" i="271"/>
  <c r="G45" i="271"/>
  <c r="AB44" i="271"/>
  <c r="AA44" i="271"/>
  <c r="V44" i="271"/>
  <c r="U44" i="271"/>
  <c r="Q44" i="271"/>
  <c r="P44" i="271"/>
  <c r="O44" i="271"/>
  <c r="N44" i="271"/>
  <c r="M44" i="271"/>
  <c r="K44" i="271"/>
  <c r="G44" i="271"/>
  <c r="AB43" i="271"/>
  <c r="AA43" i="271"/>
  <c r="V43" i="271"/>
  <c r="U43" i="271"/>
  <c r="Q43" i="271"/>
  <c r="P43" i="271"/>
  <c r="O43" i="271"/>
  <c r="N43" i="271"/>
  <c r="M43" i="271"/>
  <c r="K43" i="271"/>
  <c r="G43" i="271"/>
  <c r="AB42" i="271"/>
  <c r="AA42" i="271"/>
  <c r="V42" i="271"/>
  <c r="U42" i="271"/>
  <c r="Q42" i="271"/>
  <c r="P42" i="271"/>
  <c r="O42" i="271"/>
  <c r="N42" i="271"/>
  <c r="M42" i="271"/>
  <c r="K42" i="271"/>
  <c r="G42" i="271"/>
  <c r="AB41" i="271"/>
  <c r="AA41" i="271"/>
  <c r="V41" i="271"/>
  <c r="U41" i="271"/>
  <c r="Q41" i="271"/>
  <c r="P41" i="271"/>
  <c r="O41" i="271"/>
  <c r="N41" i="271"/>
  <c r="M41" i="271"/>
  <c r="K41" i="271"/>
  <c r="G41" i="271"/>
  <c r="AB40" i="271"/>
  <c r="AA40" i="271"/>
  <c r="V40" i="271"/>
  <c r="U40" i="271"/>
  <c r="O40" i="271"/>
  <c r="N40" i="271"/>
  <c r="P40" i="271" s="1"/>
  <c r="M40" i="271"/>
  <c r="K40" i="271"/>
  <c r="G40" i="271"/>
  <c r="AB39" i="271"/>
  <c r="AA39" i="271"/>
  <c r="V39" i="271"/>
  <c r="O39" i="271"/>
  <c r="N39" i="271"/>
  <c r="P39" i="271" s="1"/>
  <c r="M39" i="271"/>
  <c r="K39" i="271"/>
  <c r="G39" i="271"/>
  <c r="O38" i="271"/>
  <c r="M38" i="271"/>
  <c r="AB38" i="271" s="1"/>
  <c r="AC31" i="271" s="1"/>
  <c r="K38" i="271"/>
  <c r="AB37" i="271"/>
  <c r="AA37" i="271"/>
  <c r="V37" i="271"/>
  <c r="U37" i="271"/>
  <c r="O37" i="271"/>
  <c r="M37" i="271"/>
  <c r="N37" i="271" s="1"/>
  <c r="K37" i="271"/>
  <c r="G37" i="271"/>
  <c r="AB36" i="271"/>
  <c r="AA36" i="271"/>
  <c r="V36" i="271"/>
  <c r="U36" i="271"/>
  <c r="O36" i="271"/>
  <c r="M36" i="271"/>
  <c r="N36" i="271" s="1"/>
  <c r="K36" i="271"/>
  <c r="G36" i="271"/>
  <c r="AB35" i="271"/>
  <c r="AA35" i="271"/>
  <c r="V35" i="271"/>
  <c r="U35" i="271"/>
  <c r="Q35" i="271"/>
  <c r="O35" i="271"/>
  <c r="N35" i="271"/>
  <c r="P35" i="271" s="1"/>
  <c r="M35" i="271"/>
  <c r="K35" i="271"/>
  <c r="G35" i="271"/>
  <c r="AB34" i="271"/>
  <c r="AA34" i="271"/>
  <c r="V34" i="271"/>
  <c r="U34" i="271"/>
  <c r="Q34" i="271"/>
  <c r="P34" i="271"/>
  <c r="O34" i="271"/>
  <c r="N34" i="271"/>
  <c r="M34" i="271"/>
  <c r="K34" i="271"/>
  <c r="G34" i="271"/>
  <c r="AB33" i="271"/>
  <c r="AA33" i="271"/>
  <c r="V33" i="271"/>
  <c r="U33" i="271"/>
  <c r="O33" i="271"/>
  <c r="M33" i="271"/>
  <c r="N33" i="271" s="1"/>
  <c r="K33" i="271"/>
  <c r="G33" i="271"/>
  <c r="AB32" i="271"/>
  <c r="AA32" i="271"/>
  <c r="V32" i="271"/>
  <c r="U32" i="271"/>
  <c r="Q32" i="271"/>
  <c r="P32" i="271"/>
  <c r="O32" i="271"/>
  <c r="N32" i="271"/>
  <c r="M32" i="271"/>
  <c r="K32" i="271"/>
  <c r="G32" i="271"/>
  <c r="AB31" i="271"/>
  <c r="AA31" i="271"/>
  <c r="V31" i="271"/>
  <c r="Q31" i="271"/>
  <c r="P31" i="271"/>
  <c r="O31" i="271"/>
  <c r="N31" i="271"/>
  <c r="M31" i="271"/>
  <c r="K31" i="271"/>
  <c r="G31" i="271"/>
  <c r="O30" i="271"/>
  <c r="M30" i="271"/>
  <c r="AB30" i="271" s="1"/>
  <c r="AC20" i="271" s="1"/>
  <c r="K30" i="271"/>
  <c r="AB29" i="271"/>
  <c r="AA29" i="271"/>
  <c r="V29" i="271"/>
  <c r="U29" i="271"/>
  <c r="O29" i="271"/>
  <c r="N29" i="271"/>
  <c r="Q29" i="271" s="1"/>
  <c r="M29" i="271"/>
  <c r="K29" i="271"/>
  <c r="G29" i="271"/>
  <c r="AB28" i="271"/>
  <c r="AA28" i="271"/>
  <c r="V28" i="271"/>
  <c r="U28" i="271"/>
  <c r="O28" i="271"/>
  <c r="N28" i="271"/>
  <c r="Q28" i="271" s="1"/>
  <c r="M28" i="271"/>
  <c r="K28" i="271"/>
  <c r="G28" i="271"/>
  <c r="AB27" i="271"/>
  <c r="AA27" i="271"/>
  <c r="V27" i="271"/>
  <c r="U27" i="271"/>
  <c r="O27" i="271"/>
  <c r="M27" i="271"/>
  <c r="N27" i="271" s="1"/>
  <c r="K27" i="271"/>
  <c r="G27" i="271"/>
  <c r="AB26" i="271"/>
  <c r="AA26" i="271"/>
  <c r="V26" i="271"/>
  <c r="U26" i="271"/>
  <c r="O26" i="271"/>
  <c r="M26" i="271"/>
  <c r="N26" i="271" s="1"/>
  <c r="K26" i="271"/>
  <c r="G26" i="271"/>
  <c r="AB25" i="271"/>
  <c r="AA25" i="271"/>
  <c r="V25" i="271"/>
  <c r="U25" i="271"/>
  <c r="Q25" i="271"/>
  <c r="O25" i="271"/>
  <c r="N25" i="271"/>
  <c r="P25" i="271" s="1"/>
  <c r="M25" i="271"/>
  <c r="K25" i="271"/>
  <c r="G25" i="271"/>
  <c r="AB24" i="271"/>
  <c r="AA24" i="271"/>
  <c r="V24" i="271"/>
  <c r="U24" i="271"/>
  <c r="Q24" i="271"/>
  <c r="P24" i="271"/>
  <c r="O24" i="271"/>
  <c r="N24" i="271"/>
  <c r="M24" i="271"/>
  <c r="K24" i="271"/>
  <c r="G24" i="271"/>
  <c r="AB23" i="271"/>
  <c r="AA23" i="271"/>
  <c r="V23" i="271"/>
  <c r="U23" i="271"/>
  <c r="Q23" i="271"/>
  <c r="P23" i="271"/>
  <c r="O23" i="271"/>
  <c r="N23" i="271"/>
  <c r="M23" i="271"/>
  <c r="K23" i="271"/>
  <c r="G23" i="271"/>
  <c r="AB22" i="271"/>
  <c r="AA22" i="271"/>
  <c r="V22" i="271"/>
  <c r="U22" i="271"/>
  <c r="Q22" i="271"/>
  <c r="P22" i="271"/>
  <c r="O22" i="271"/>
  <c r="N22" i="271"/>
  <c r="M22" i="271"/>
  <c r="K22" i="271"/>
  <c r="G22" i="271"/>
  <c r="AB21" i="271"/>
  <c r="AA21" i="271"/>
  <c r="V21" i="271"/>
  <c r="U21" i="271"/>
  <c r="Q21" i="271"/>
  <c r="P21" i="271"/>
  <c r="O21" i="271"/>
  <c r="N21" i="271"/>
  <c r="M21" i="271"/>
  <c r="K21" i="271"/>
  <c r="G21" i="271"/>
  <c r="AB20" i="271"/>
  <c r="AA20" i="271"/>
  <c r="V20" i="271"/>
  <c r="Q20" i="271"/>
  <c r="P20" i="271"/>
  <c r="O20" i="271"/>
  <c r="N20" i="271"/>
  <c r="M20" i="271"/>
  <c r="K20" i="271"/>
  <c r="G20" i="271"/>
  <c r="O19" i="271"/>
  <c r="M19" i="271"/>
  <c r="AB19" i="271" s="1"/>
  <c r="AC14" i="271" s="1"/>
  <c r="K19" i="271"/>
  <c r="AB18" i="271"/>
  <c r="V18" i="271"/>
  <c r="U18" i="271"/>
  <c r="O18" i="271"/>
  <c r="M18" i="271"/>
  <c r="N18" i="271" s="1"/>
  <c r="K18" i="271"/>
  <c r="G18" i="271"/>
  <c r="AB17" i="271"/>
  <c r="AA17" i="271"/>
  <c r="V17" i="271"/>
  <c r="U17" i="271"/>
  <c r="O17" i="271"/>
  <c r="M17" i="271"/>
  <c r="N17" i="271" s="1"/>
  <c r="K17" i="271"/>
  <c r="G17" i="271"/>
  <c r="AB16" i="271"/>
  <c r="AA16" i="271"/>
  <c r="V16" i="271"/>
  <c r="U16" i="271"/>
  <c r="O16" i="271"/>
  <c r="M16" i="271"/>
  <c r="N16" i="271" s="1"/>
  <c r="K16" i="271"/>
  <c r="G16" i="271"/>
  <c r="AB15" i="271"/>
  <c r="AA15" i="271"/>
  <c r="V15" i="271"/>
  <c r="U15" i="271"/>
  <c r="Q15" i="271"/>
  <c r="O15" i="271"/>
  <c r="N15" i="271"/>
  <c r="P15" i="271" s="1"/>
  <c r="M15" i="271"/>
  <c r="K15" i="271"/>
  <c r="G15" i="271"/>
  <c r="AB14" i="271"/>
  <c r="AA14" i="271"/>
  <c r="V14" i="271"/>
  <c r="Q14" i="271"/>
  <c r="O14" i="271"/>
  <c r="N14" i="271"/>
  <c r="P14" i="271" s="1"/>
  <c r="M14" i="271"/>
  <c r="K14" i="271"/>
  <c r="G14" i="271"/>
  <c r="O13" i="271"/>
  <c r="K13" i="271"/>
  <c r="AB12" i="271"/>
  <c r="AA12" i="271"/>
  <c r="V12" i="271"/>
  <c r="U12" i="271"/>
  <c r="O12" i="271"/>
  <c r="N12" i="271"/>
  <c r="P12" i="271" s="1"/>
  <c r="M12" i="271"/>
  <c r="K12" i="271"/>
  <c r="G12" i="271"/>
  <c r="V11" i="271"/>
  <c r="U11" i="271"/>
  <c r="O11" i="271"/>
  <c r="M11" i="271"/>
  <c r="AB11" i="271" s="1"/>
  <c r="K11" i="271"/>
  <c r="G11" i="271"/>
  <c r="V10" i="271"/>
  <c r="U10" i="271"/>
  <c r="O10" i="271"/>
  <c r="M10" i="271"/>
  <c r="AB10" i="271" s="1"/>
  <c r="K10" i="271"/>
  <c r="G10" i="271"/>
  <c r="V9" i="271"/>
  <c r="O9" i="271"/>
  <c r="M9" i="271"/>
  <c r="M13" i="271" s="1"/>
  <c r="K9" i="271"/>
  <c r="G9" i="271"/>
  <c r="AB8" i="271"/>
  <c r="AC5" i="271" s="1"/>
  <c r="O8" i="271"/>
  <c r="M8" i="271"/>
  <c r="AA8" i="271" s="1"/>
  <c r="K8" i="271"/>
  <c r="AB7" i="271"/>
  <c r="AA7" i="271"/>
  <c r="V7" i="271"/>
  <c r="U7" i="271"/>
  <c r="O7" i="271"/>
  <c r="M7" i="271"/>
  <c r="N7" i="271" s="1"/>
  <c r="K7" i="271"/>
  <c r="G7" i="271"/>
  <c r="AB6" i="271"/>
  <c r="AA6" i="271"/>
  <c r="V6" i="271"/>
  <c r="U6" i="271"/>
  <c r="Q6" i="271"/>
  <c r="P6" i="271"/>
  <c r="O6" i="271"/>
  <c r="N6" i="271"/>
  <c r="M6" i="271"/>
  <c r="K6" i="271"/>
  <c r="G6" i="271"/>
  <c r="AB5" i="271"/>
  <c r="AA5" i="271"/>
  <c r="V5" i="271"/>
  <c r="Q5" i="271"/>
  <c r="P5" i="271"/>
  <c r="O5" i="271"/>
  <c r="N5" i="271"/>
  <c r="M5" i="271"/>
  <c r="K5" i="271"/>
  <c r="G5" i="271"/>
  <c r="H2" i="271"/>
  <c r="H1" i="271"/>
  <c r="F1" i="271"/>
  <c r="F2" i="271" s="1"/>
  <c r="D1" i="271"/>
  <c r="M18" i="270"/>
  <c r="L18" i="270"/>
  <c r="K18" i="270"/>
  <c r="J18" i="270"/>
  <c r="I18" i="270"/>
  <c r="H18" i="270"/>
  <c r="G18" i="270"/>
  <c r="F18" i="270"/>
  <c r="E18" i="270"/>
  <c r="D18" i="270"/>
  <c r="M17" i="270"/>
  <c r="L17" i="270"/>
  <c r="K17" i="270"/>
  <c r="J17" i="270"/>
  <c r="I17" i="270"/>
  <c r="H17" i="270"/>
  <c r="G17" i="270"/>
  <c r="F17" i="270"/>
  <c r="E17" i="270"/>
  <c r="D17" i="270"/>
  <c r="M16" i="270"/>
  <c r="L16" i="270"/>
  <c r="K16" i="270"/>
  <c r="J16" i="270"/>
  <c r="I16" i="270"/>
  <c r="H16" i="270"/>
  <c r="G16" i="270"/>
  <c r="F16" i="270"/>
  <c r="E16" i="270"/>
  <c r="D16" i="270"/>
  <c r="M13" i="270"/>
  <c r="L13" i="270"/>
  <c r="K13" i="270"/>
  <c r="J13" i="270"/>
  <c r="I13" i="270"/>
  <c r="H13" i="270"/>
  <c r="G13" i="270"/>
  <c r="F6" i="270" s="1"/>
  <c r="F13" i="270"/>
  <c r="E13" i="270"/>
  <c r="D13" i="270"/>
  <c r="I6" i="270"/>
  <c r="F3" i="270"/>
  <c r="C3" i="270"/>
  <c r="G8" i="278" l="1"/>
  <c r="F8" i="278"/>
  <c r="E8" i="278"/>
  <c r="Q46" i="277"/>
  <c r="R39" i="277" s="1"/>
  <c r="P46" i="277"/>
  <c r="L14" i="276"/>
  <c r="L15" i="276" s="1"/>
  <c r="Q74" i="277"/>
  <c r="R68" i="277" s="1"/>
  <c r="P74" i="277"/>
  <c r="M14" i="276"/>
  <c r="M15" i="276" s="1"/>
  <c r="K15" i="276"/>
  <c r="Q55" i="277"/>
  <c r="R47" i="277" s="1"/>
  <c r="P55" i="277"/>
  <c r="H14" i="276"/>
  <c r="H15" i="276" s="1"/>
  <c r="D14" i="276"/>
  <c r="Q8" i="277"/>
  <c r="R5" i="277" s="1"/>
  <c r="P8" i="277"/>
  <c r="D2" i="277"/>
  <c r="AA47" i="275"/>
  <c r="N47" i="275"/>
  <c r="AB47" i="275"/>
  <c r="AC39" i="275" s="1"/>
  <c r="Q32" i="275"/>
  <c r="P32" i="275"/>
  <c r="Q31" i="275"/>
  <c r="P31" i="275"/>
  <c r="Q13" i="275"/>
  <c r="R9" i="275" s="1"/>
  <c r="E14" i="274"/>
  <c r="P13" i="275"/>
  <c r="AB19" i="275"/>
  <c r="AC14" i="275" s="1"/>
  <c r="AA19" i="275"/>
  <c r="N19" i="275"/>
  <c r="Q71" i="275"/>
  <c r="P71" i="275"/>
  <c r="N56" i="275"/>
  <c r="AB56" i="275"/>
  <c r="AC48" i="275" s="1"/>
  <c r="AA56" i="275"/>
  <c r="Q22" i="275"/>
  <c r="P22" i="275"/>
  <c r="Q53" i="275"/>
  <c r="P53" i="275"/>
  <c r="Q43" i="275"/>
  <c r="P43" i="275"/>
  <c r="Q33" i="275"/>
  <c r="P33" i="275"/>
  <c r="Q69" i="275"/>
  <c r="P69" i="275"/>
  <c r="Q70" i="275"/>
  <c r="P70" i="275"/>
  <c r="AB68" i="275"/>
  <c r="AC62" i="275" s="1"/>
  <c r="AA68" i="275"/>
  <c r="N68" i="275"/>
  <c r="AB38" i="275"/>
  <c r="AC31" i="275" s="1"/>
  <c r="AA38" i="275"/>
  <c r="N38" i="275"/>
  <c r="Q23" i="275"/>
  <c r="P23" i="275"/>
  <c r="I14" i="274"/>
  <c r="I15" i="274" s="1"/>
  <c r="Q61" i="275"/>
  <c r="R57" i="275" s="1"/>
  <c r="P61" i="275"/>
  <c r="Q75" i="275"/>
  <c r="R69" i="275" s="1"/>
  <c r="M14" i="274"/>
  <c r="M15" i="274" s="1"/>
  <c r="P75" i="275"/>
  <c r="Q52" i="275"/>
  <c r="P52" i="275"/>
  <c r="Q42" i="275"/>
  <c r="P42" i="275"/>
  <c r="AB30" i="275"/>
  <c r="AC20" i="275" s="1"/>
  <c r="AA30" i="275"/>
  <c r="N30" i="275"/>
  <c r="AA61" i="271"/>
  <c r="AB61" i="271"/>
  <c r="AC57" i="271" s="1"/>
  <c r="N61" i="271"/>
  <c r="Q17" i="271"/>
  <c r="P17" i="271"/>
  <c r="Q36" i="271"/>
  <c r="P36" i="271"/>
  <c r="Q16" i="271"/>
  <c r="P16" i="271"/>
  <c r="P7" i="271"/>
  <c r="Q7" i="271"/>
  <c r="Q65" i="271"/>
  <c r="P65" i="271"/>
  <c r="Q27" i="271"/>
  <c r="P27" i="271"/>
  <c r="Q48" i="271"/>
  <c r="P48" i="271"/>
  <c r="Q64" i="271"/>
  <c r="P64" i="271"/>
  <c r="AA13" i="271"/>
  <c r="AB13" i="271"/>
  <c r="AC9" i="271" s="1"/>
  <c r="N13" i="271"/>
  <c r="Q46" i="271"/>
  <c r="P46" i="271"/>
  <c r="P71" i="271"/>
  <c r="Q71" i="271"/>
  <c r="Q37" i="271"/>
  <c r="P37" i="271"/>
  <c r="Q59" i="271"/>
  <c r="P59" i="271"/>
  <c r="Q26" i="271"/>
  <c r="P26" i="271"/>
  <c r="Q74" i="271"/>
  <c r="P74" i="271"/>
  <c r="Q18" i="271"/>
  <c r="P18" i="271"/>
  <c r="Q33" i="271"/>
  <c r="P33" i="271"/>
  <c r="I3" i="270"/>
  <c r="AA18" i="271"/>
  <c r="N10" i="271"/>
  <c r="Q12" i="271"/>
  <c r="N38" i="271"/>
  <c r="Q39" i="271"/>
  <c r="Q40" i="271"/>
  <c r="Q50" i="271"/>
  <c r="Q60" i="271"/>
  <c r="G6" i="270"/>
  <c r="N30" i="271"/>
  <c r="N68" i="271"/>
  <c r="N19" i="271"/>
  <c r="N57" i="271"/>
  <c r="N58" i="271"/>
  <c r="N47" i="271"/>
  <c r="M56" i="271"/>
  <c r="N75" i="271"/>
  <c r="E6" i="270"/>
  <c r="N9" i="271"/>
  <c r="N8" i="271"/>
  <c r="P29" i="271"/>
  <c r="AA30" i="271"/>
  <c r="P67" i="271"/>
  <c r="AA68" i="271"/>
  <c r="N11" i="271"/>
  <c r="N49" i="271"/>
  <c r="AA19" i="271"/>
  <c r="P28" i="271"/>
  <c r="P66" i="271"/>
  <c r="AA11" i="271"/>
  <c r="AA38" i="271"/>
  <c r="AA48" i="271"/>
  <c r="AA49" i="271"/>
  <c r="AA59" i="271"/>
  <c r="AA9" i="271"/>
  <c r="AA10" i="271"/>
  <c r="AA47" i="271"/>
  <c r="AB48" i="271"/>
  <c r="AA57" i="271"/>
  <c r="AA58" i="271"/>
  <c r="AB59" i="271"/>
  <c r="AA75" i="271"/>
  <c r="AB9" i="271"/>
  <c r="AB57" i="271"/>
  <c r="O73" i="269"/>
  <c r="M73" i="269"/>
  <c r="N73" i="269" s="1"/>
  <c r="K73" i="269"/>
  <c r="AB72" i="269"/>
  <c r="V72" i="269"/>
  <c r="U72" i="269"/>
  <c r="O72" i="269"/>
  <c r="N72" i="269"/>
  <c r="M72" i="269"/>
  <c r="AA72" i="269" s="1"/>
  <c r="K72" i="269"/>
  <c r="G72" i="269"/>
  <c r="AB71" i="269"/>
  <c r="AA71" i="269"/>
  <c r="V71" i="269"/>
  <c r="U71" i="269"/>
  <c r="O71" i="269"/>
  <c r="M71" i="269"/>
  <c r="N71" i="269" s="1"/>
  <c r="K71" i="269"/>
  <c r="G71" i="269"/>
  <c r="AB70" i="269"/>
  <c r="AA70" i="269"/>
  <c r="V70" i="269"/>
  <c r="M70" i="269" s="1"/>
  <c r="N70" i="269" s="1"/>
  <c r="U70" i="269"/>
  <c r="O70" i="269"/>
  <c r="K70" i="269"/>
  <c r="G70" i="269"/>
  <c r="AB69" i="269"/>
  <c r="AA69" i="269"/>
  <c r="V69" i="269"/>
  <c r="M69" i="269" s="1"/>
  <c r="N69" i="269" s="1"/>
  <c r="U69" i="269"/>
  <c r="O69" i="269"/>
  <c r="K69" i="269"/>
  <c r="G69" i="269"/>
  <c r="AB68" i="269"/>
  <c r="AA68" i="269"/>
  <c r="V68" i="269"/>
  <c r="M68" i="269" s="1"/>
  <c r="N68" i="269" s="1"/>
  <c r="P68" i="269" s="1"/>
  <c r="U68" i="269"/>
  <c r="Q68" i="269"/>
  <c r="O68" i="269"/>
  <c r="K68" i="269"/>
  <c r="G68" i="269"/>
  <c r="AB67" i="269"/>
  <c r="AA67" i="269"/>
  <c r="V67" i="269"/>
  <c r="M67" i="269" s="1"/>
  <c r="N67" i="269" s="1"/>
  <c r="P67" i="269" s="1"/>
  <c r="Q67" i="269"/>
  <c r="O67" i="269"/>
  <c r="K67" i="269"/>
  <c r="G67" i="269"/>
  <c r="O66" i="269"/>
  <c r="K66" i="269"/>
  <c r="V65" i="269"/>
  <c r="U65" i="269"/>
  <c r="O65" i="269"/>
  <c r="N65" i="269"/>
  <c r="Q65" i="269" s="1"/>
  <c r="M65" i="269"/>
  <c r="K65" i="269"/>
  <c r="G65" i="269"/>
  <c r="V64" i="269"/>
  <c r="U64" i="269"/>
  <c r="P64" i="269"/>
  <c r="O64" i="269"/>
  <c r="N64" i="269"/>
  <c r="Q64" i="269" s="1"/>
  <c r="M64" i="269"/>
  <c r="K64" i="269"/>
  <c r="G64" i="269"/>
  <c r="V63" i="269"/>
  <c r="U63" i="269"/>
  <c r="O63" i="269"/>
  <c r="N63" i="269"/>
  <c r="M63" i="269"/>
  <c r="K63" i="269"/>
  <c r="G63" i="269"/>
  <c r="AB62" i="269"/>
  <c r="V62" i="269"/>
  <c r="U62" i="269"/>
  <c r="O62" i="269"/>
  <c r="N62" i="269"/>
  <c r="M62" i="269"/>
  <c r="AA62" i="269" s="1"/>
  <c r="K62" i="269"/>
  <c r="G62" i="269"/>
  <c r="AB61" i="269"/>
  <c r="AA61" i="269"/>
  <c r="V61" i="269"/>
  <c r="U61" i="269"/>
  <c r="O61" i="269"/>
  <c r="M61" i="269"/>
  <c r="N61" i="269" s="1"/>
  <c r="K61" i="269"/>
  <c r="G61" i="269"/>
  <c r="AB60" i="269"/>
  <c r="AA60" i="269"/>
  <c r="V60" i="269"/>
  <c r="M60" i="269" s="1"/>
  <c r="N60" i="269" s="1"/>
  <c r="U60" i="269"/>
  <c r="O60" i="269"/>
  <c r="K60" i="269"/>
  <c r="G60" i="269"/>
  <c r="AB59" i="269"/>
  <c r="AA59" i="269"/>
  <c r="V59" i="269"/>
  <c r="M59" i="269" s="1"/>
  <c r="O59" i="269"/>
  <c r="K59" i="269"/>
  <c r="G59" i="269"/>
  <c r="AB58" i="269"/>
  <c r="AC54" i="269" s="1"/>
  <c r="AA58" i="269"/>
  <c r="Q58" i="269"/>
  <c r="R54" i="269" s="1"/>
  <c r="P58" i="269"/>
  <c r="O58" i="269"/>
  <c r="M58" i="269"/>
  <c r="N58" i="269" s="1"/>
  <c r="I14" i="268" s="1"/>
  <c r="K58" i="269"/>
  <c r="V57" i="269"/>
  <c r="M57" i="269" s="1"/>
  <c r="U57" i="269"/>
  <c r="Q57" i="269"/>
  <c r="P57" i="269"/>
  <c r="O57" i="269"/>
  <c r="N57" i="269"/>
  <c r="K57" i="269"/>
  <c r="G57" i="269"/>
  <c r="V56" i="269"/>
  <c r="U56" i="269"/>
  <c r="Q56" i="269"/>
  <c r="P56" i="269"/>
  <c r="O56" i="269"/>
  <c r="N56" i="269"/>
  <c r="M56" i="269"/>
  <c r="K56" i="269"/>
  <c r="G56" i="269"/>
  <c r="AB55" i="269"/>
  <c r="V55" i="269"/>
  <c r="U55" i="269"/>
  <c r="Q55" i="269"/>
  <c r="P55" i="269"/>
  <c r="O55" i="269"/>
  <c r="N55" i="269"/>
  <c r="M55" i="269"/>
  <c r="AA55" i="269" s="1"/>
  <c r="K55" i="269"/>
  <c r="G55" i="269"/>
  <c r="AB54" i="269"/>
  <c r="V54" i="269"/>
  <c r="Q54" i="269"/>
  <c r="P54" i="269"/>
  <c r="O54" i="269"/>
  <c r="N54" i="269"/>
  <c r="M54" i="269"/>
  <c r="AA54" i="269" s="1"/>
  <c r="K54" i="269"/>
  <c r="G54" i="269"/>
  <c r="O53" i="269"/>
  <c r="M53" i="269"/>
  <c r="AB53" i="269" s="1"/>
  <c r="K53" i="269"/>
  <c r="AB52" i="269"/>
  <c r="AA52" i="269"/>
  <c r="V52" i="269"/>
  <c r="M52" i="269" s="1"/>
  <c r="N52" i="269" s="1"/>
  <c r="Q52" i="269" s="1"/>
  <c r="U52" i="269"/>
  <c r="P52" i="269"/>
  <c r="O52" i="269"/>
  <c r="K52" i="269"/>
  <c r="G52" i="269"/>
  <c r="AB51" i="269"/>
  <c r="AA51" i="269"/>
  <c r="V51" i="269"/>
  <c r="M51" i="269" s="1"/>
  <c r="N51" i="269" s="1"/>
  <c r="U51" i="269"/>
  <c r="O51" i="269"/>
  <c r="K51" i="269"/>
  <c r="G51" i="269"/>
  <c r="AB50" i="269"/>
  <c r="AA50" i="269"/>
  <c r="V50" i="269"/>
  <c r="M50" i="269" s="1"/>
  <c r="U50" i="269"/>
  <c r="O50" i="269"/>
  <c r="N50" i="269"/>
  <c r="P50" i="269" s="1"/>
  <c r="K50" i="269"/>
  <c r="G50" i="269"/>
  <c r="AB49" i="269"/>
  <c r="AA49" i="269"/>
  <c r="V49" i="269"/>
  <c r="U49" i="269"/>
  <c r="Q49" i="269"/>
  <c r="P49" i="269"/>
  <c r="O49" i="269"/>
  <c r="M49" i="269"/>
  <c r="N49" i="269" s="1"/>
  <c r="K49" i="269"/>
  <c r="G49" i="269"/>
  <c r="AA48" i="269"/>
  <c r="V48" i="269"/>
  <c r="M48" i="269" s="1"/>
  <c r="U48" i="269"/>
  <c r="O48" i="269"/>
  <c r="K48" i="269"/>
  <c r="G48" i="269"/>
  <c r="V47" i="269"/>
  <c r="M47" i="269" s="1"/>
  <c r="U47" i="269"/>
  <c r="O47" i="269"/>
  <c r="N47" i="269"/>
  <c r="Q47" i="269" s="1"/>
  <c r="K47" i="269"/>
  <c r="G47" i="269"/>
  <c r="V46" i="269"/>
  <c r="U46" i="269"/>
  <c r="Q46" i="269"/>
  <c r="P46" i="269"/>
  <c r="O46" i="269"/>
  <c r="N46" i="269"/>
  <c r="M46" i="269"/>
  <c r="K46" i="269"/>
  <c r="G46" i="269"/>
  <c r="AC45" i="269"/>
  <c r="V45" i="269"/>
  <c r="Q45" i="269"/>
  <c r="P45" i="269"/>
  <c r="O45" i="269"/>
  <c r="N45" i="269"/>
  <c r="M45" i="269"/>
  <c r="K45" i="269"/>
  <c r="G45" i="269"/>
  <c r="O44" i="269"/>
  <c r="N44" i="269"/>
  <c r="M44" i="269"/>
  <c r="AA44" i="269" s="1"/>
  <c r="K44" i="269"/>
  <c r="AB43" i="269"/>
  <c r="AA43" i="269"/>
  <c r="V43" i="269"/>
  <c r="U43" i="269"/>
  <c r="Q43" i="269"/>
  <c r="O43" i="269"/>
  <c r="M43" i="269"/>
  <c r="N43" i="269" s="1"/>
  <c r="P43" i="269" s="1"/>
  <c r="K43" i="269"/>
  <c r="G43" i="269"/>
  <c r="AB42" i="269"/>
  <c r="AA42" i="269"/>
  <c r="V42" i="269"/>
  <c r="M42" i="269" s="1"/>
  <c r="N42" i="269" s="1"/>
  <c r="Q42" i="269" s="1"/>
  <c r="U42" i="269"/>
  <c r="P42" i="269"/>
  <c r="O42" i="269"/>
  <c r="K42" i="269"/>
  <c r="G42" i="269"/>
  <c r="AB41" i="269"/>
  <c r="AA41" i="269"/>
  <c r="V41" i="269"/>
  <c r="M41" i="269" s="1"/>
  <c r="N41" i="269" s="1"/>
  <c r="U41" i="269"/>
  <c r="O41" i="269"/>
  <c r="K41" i="269"/>
  <c r="G41" i="269"/>
  <c r="AB40" i="269"/>
  <c r="AA40" i="269"/>
  <c r="V40" i="269"/>
  <c r="M40" i="269" s="1"/>
  <c r="U40" i="269"/>
  <c r="Q40" i="269"/>
  <c r="O40" i="269"/>
  <c r="N40" i="269"/>
  <c r="P40" i="269" s="1"/>
  <c r="K40" i="269"/>
  <c r="G40" i="269"/>
  <c r="AB39" i="269"/>
  <c r="AA39" i="269"/>
  <c r="V39" i="269"/>
  <c r="U39" i="269"/>
  <c r="Q39" i="269"/>
  <c r="P39" i="269"/>
  <c r="O39" i="269"/>
  <c r="M39" i="269"/>
  <c r="N39" i="269" s="1"/>
  <c r="K39" i="269"/>
  <c r="G39" i="269"/>
  <c r="AA38" i="269"/>
  <c r="V38" i="269"/>
  <c r="M38" i="269" s="1"/>
  <c r="U38" i="269"/>
  <c r="O38" i="269"/>
  <c r="K38" i="269"/>
  <c r="G38" i="269"/>
  <c r="V37" i="269"/>
  <c r="M37" i="269" s="1"/>
  <c r="U37" i="269"/>
  <c r="O37" i="269"/>
  <c r="N37" i="269"/>
  <c r="Q37" i="269" s="1"/>
  <c r="K37" i="269"/>
  <c r="G37" i="269"/>
  <c r="V36" i="269"/>
  <c r="M36" i="269" s="1"/>
  <c r="Q36" i="269"/>
  <c r="P36" i="269"/>
  <c r="O36" i="269"/>
  <c r="N36" i="269"/>
  <c r="K36" i="269"/>
  <c r="G36" i="269"/>
  <c r="O35" i="269"/>
  <c r="N35" i="269"/>
  <c r="Q35" i="269" s="1"/>
  <c r="R28" i="269" s="1"/>
  <c r="M35" i="269"/>
  <c r="K35" i="269"/>
  <c r="AB34" i="269"/>
  <c r="V34" i="269"/>
  <c r="U34" i="269"/>
  <c r="O34" i="269"/>
  <c r="N34" i="269"/>
  <c r="M34" i="269"/>
  <c r="AA34" i="269" s="1"/>
  <c r="K34" i="269"/>
  <c r="G34" i="269"/>
  <c r="AB33" i="269"/>
  <c r="AA33" i="269"/>
  <c r="V33" i="269"/>
  <c r="U33" i="269"/>
  <c r="Q33" i="269"/>
  <c r="O33" i="269"/>
  <c r="M33" i="269"/>
  <c r="N33" i="269" s="1"/>
  <c r="P33" i="269" s="1"/>
  <c r="K33" i="269"/>
  <c r="G33" i="269"/>
  <c r="AB32" i="269"/>
  <c r="AA32" i="269"/>
  <c r="V32" i="269"/>
  <c r="M32" i="269" s="1"/>
  <c r="N32" i="269" s="1"/>
  <c r="Q32" i="269" s="1"/>
  <c r="U32" i="269"/>
  <c r="P32" i="269"/>
  <c r="O32" i="269"/>
  <c r="K32" i="269"/>
  <c r="G32" i="269"/>
  <c r="AB31" i="269"/>
  <c r="AA31" i="269"/>
  <c r="V31" i="269"/>
  <c r="M31" i="269" s="1"/>
  <c r="N31" i="269" s="1"/>
  <c r="U31" i="269"/>
  <c r="O31" i="269"/>
  <c r="K31" i="269"/>
  <c r="G31" i="269"/>
  <c r="AB30" i="269"/>
  <c r="AA30" i="269"/>
  <c r="V30" i="269"/>
  <c r="M30" i="269" s="1"/>
  <c r="U30" i="269"/>
  <c r="Q30" i="269"/>
  <c r="O30" i="269"/>
  <c r="N30" i="269"/>
  <c r="P30" i="269" s="1"/>
  <c r="K30" i="269"/>
  <c r="G30" i="269"/>
  <c r="AB29" i="269"/>
  <c r="AA29" i="269"/>
  <c r="V29" i="269"/>
  <c r="U29" i="269"/>
  <c r="Q29" i="269"/>
  <c r="P29" i="269"/>
  <c r="O29" i="269"/>
  <c r="M29" i="269"/>
  <c r="N29" i="269" s="1"/>
  <c r="K29" i="269"/>
  <c r="G29" i="269"/>
  <c r="AB28" i="269"/>
  <c r="AA28" i="269"/>
  <c r="V28" i="269"/>
  <c r="Q28" i="269"/>
  <c r="P28" i="269"/>
  <c r="O28" i="269"/>
  <c r="M28" i="269"/>
  <c r="N28" i="269" s="1"/>
  <c r="K28" i="269"/>
  <c r="G28" i="269"/>
  <c r="AA27" i="269"/>
  <c r="O27" i="269"/>
  <c r="M27" i="269"/>
  <c r="AB27" i="269" s="1"/>
  <c r="AC19" i="269" s="1"/>
  <c r="K27" i="269"/>
  <c r="AA26" i="269"/>
  <c r="V26" i="269"/>
  <c r="U26" i="269"/>
  <c r="P26" i="269"/>
  <c r="O26" i="269"/>
  <c r="N26" i="269"/>
  <c r="Q26" i="269" s="1"/>
  <c r="M26" i="269"/>
  <c r="AB26" i="269" s="1"/>
  <c r="K26" i="269"/>
  <c r="G26" i="269"/>
  <c r="V25" i="269"/>
  <c r="U25" i="269"/>
  <c r="O25" i="269"/>
  <c r="N25" i="269"/>
  <c r="M25" i="269"/>
  <c r="K25" i="269"/>
  <c r="G25" i="269"/>
  <c r="AB24" i="269"/>
  <c r="V24" i="269"/>
  <c r="U24" i="269"/>
  <c r="O24" i="269"/>
  <c r="N24" i="269"/>
  <c r="M24" i="269"/>
  <c r="AA24" i="269" s="1"/>
  <c r="K24" i="269"/>
  <c r="G24" i="269"/>
  <c r="AB23" i="269"/>
  <c r="AA23" i="269"/>
  <c r="V23" i="269"/>
  <c r="U23" i="269"/>
  <c r="Q23" i="269"/>
  <c r="O23" i="269"/>
  <c r="M23" i="269"/>
  <c r="N23" i="269" s="1"/>
  <c r="P23" i="269" s="1"/>
  <c r="K23" i="269"/>
  <c r="G23" i="269"/>
  <c r="AB22" i="269"/>
  <c r="AA22" i="269"/>
  <c r="V22" i="269"/>
  <c r="M22" i="269" s="1"/>
  <c r="N22" i="269" s="1"/>
  <c r="Q22" i="269" s="1"/>
  <c r="U22" i="269"/>
  <c r="P22" i="269"/>
  <c r="O22" i="269"/>
  <c r="K22" i="269"/>
  <c r="G22" i="269"/>
  <c r="AB21" i="269"/>
  <c r="AA21" i="269"/>
  <c r="V21" i="269"/>
  <c r="M21" i="269" s="1"/>
  <c r="N21" i="269" s="1"/>
  <c r="U21" i="269"/>
  <c r="O21" i="269"/>
  <c r="K21" i="269"/>
  <c r="G21" i="269"/>
  <c r="AB20" i="269"/>
  <c r="AA20" i="269"/>
  <c r="V20" i="269"/>
  <c r="M20" i="269" s="1"/>
  <c r="U20" i="269"/>
  <c r="Q20" i="269"/>
  <c r="O20" i="269"/>
  <c r="N20" i="269"/>
  <c r="P20" i="269" s="1"/>
  <c r="K20" i="269"/>
  <c r="G20" i="269"/>
  <c r="AB19" i="269"/>
  <c r="AA19" i="269"/>
  <c r="V19" i="269"/>
  <c r="M19" i="269" s="1"/>
  <c r="Q19" i="269"/>
  <c r="O19" i="269"/>
  <c r="N19" i="269"/>
  <c r="P19" i="269" s="1"/>
  <c r="K19" i="269"/>
  <c r="G19" i="269"/>
  <c r="O18" i="269"/>
  <c r="K18" i="269"/>
  <c r="AB17" i="269"/>
  <c r="V17" i="269"/>
  <c r="U17" i="269"/>
  <c r="Q17" i="269"/>
  <c r="P17" i="269"/>
  <c r="O17" i="269"/>
  <c r="N17" i="269"/>
  <c r="M17" i="269"/>
  <c r="AA17" i="269" s="1"/>
  <c r="K17" i="269"/>
  <c r="G17" i="269"/>
  <c r="AA16" i="269"/>
  <c r="V16" i="269"/>
  <c r="U16" i="269"/>
  <c r="P16" i="269"/>
  <c r="O16" i="269"/>
  <c r="N16" i="269"/>
  <c r="Q16" i="269" s="1"/>
  <c r="M16" i="269"/>
  <c r="AB16" i="269" s="1"/>
  <c r="K16" i="269"/>
  <c r="G16" i="269"/>
  <c r="V15" i="269"/>
  <c r="U15" i="269"/>
  <c r="O15" i="269"/>
  <c r="N15" i="269"/>
  <c r="M15" i="269"/>
  <c r="K15" i="269"/>
  <c r="G15" i="269"/>
  <c r="V14" i="269"/>
  <c r="O14" i="269"/>
  <c r="N14" i="269"/>
  <c r="M14" i="269"/>
  <c r="K14" i="269"/>
  <c r="G14" i="269"/>
  <c r="O13" i="269"/>
  <c r="K13" i="269"/>
  <c r="AB12" i="269"/>
  <c r="AA12" i="269"/>
  <c r="V12" i="269"/>
  <c r="M12" i="269" s="1"/>
  <c r="U12" i="269"/>
  <c r="Q12" i="269"/>
  <c r="O12" i="269"/>
  <c r="N12" i="269"/>
  <c r="P12" i="269" s="1"/>
  <c r="K12" i="269"/>
  <c r="G12" i="269"/>
  <c r="AB11" i="269"/>
  <c r="AA11" i="269"/>
  <c r="V11" i="269"/>
  <c r="U11" i="269"/>
  <c r="Q11" i="269"/>
  <c r="P11" i="269"/>
  <c r="O11" i="269"/>
  <c r="M11" i="269"/>
  <c r="N11" i="269" s="1"/>
  <c r="K11" i="269"/>
  <c r="G11" i="269"/>
  <c r="AA10" i="269"/>
  <c r="V10" i="269"/>
  <c r="M10" i="269" s="1"/>
  <c r="U10" i="269"/>
  <c r="O10" i="269"/>
  <c r="K10" i="269"/>
  <c r="G10" i="269"/>
  <c r="AA9" i="269"/>
  <c r="V9" i="269"/>
  <c r="M9" i="269" s="1"/>
  <c r="O9" i="269"/>
  <c r="K9" i="269"/>
  <c r="G9" i="269"/>
  <c r="O8" i="269"/>
  <c r="M8" i="269"/>
  <c r="N8" i="269" s="1"/>
  <c r="K8" i="269"/>
  <c r="V7" i="269"/>
  <c r="U7" i="269"/>
  <c r="O7" i="269"/>
  <c r="M7" i="269"/>
  <c r="N7" i="269" s="1"/>
  <c r="K7" i="269"/>
  <c r="G7" i="269"/>
  <c r="AB6" i="269"/>
  <c r="V6" i="269"/>
  <c r="U6" i="269"/>
  <c r="O6" i="269"/>
  <c r="N6" i="269"/>
  <c r="M6" i="269"/>
  <c r="AA6" i="269" s="1"/>
  <c r="K6" i="269"/>
  <c r="G6" i="269"/>
  <c r="AB5" i="269"/>
  <c r="V5" i="269"/>
  <c r="O5" i="269"/>
  <c r="N5" i="269"/>
  <c r="M5" i="269"/>
  <c r="AA5" i="269" s="1"/>
  <c r="K5" i="269"/>
  <c r="G5" i="269"/>
  <c r="H2" i="269"/>
  <c r="H1" i="269"/>
  <c r="F1" i="269"/>
  <c r="F2" i="269" s="1"/>
  <c r="D1" i="269"/>
  <c r="M18" i="268"/>
  <c r="L18" i="268"/>
  <c r="K18" i="268"/>
  <c r="J18" i="268"/>
  <c r="I18" i="268"/>
  <c r="H18" i="268"/>
  <c r="G18" i="268"/>
  <c r="F18" i="268"/>
  <c r="E18" i="268"/>
  <c r="D18" i="268"/>
  <c r="M17" i="268"/>
  <c r="L17" i="268"/>
  <c r="K17" i="268"/>
  <c r="J17" i="268"/>
  <c r="I17" i="268"/>
  <c r="H17" i="268"/>
  <c r="G17" i="268"/>
  <c r="F17" i="268"/>
  <c r="E17" i="268"/>
  <c r="D17" i="268"/>
  <c r="M16" i="268"/>
  <c r="L16" i="268"/>
  <c r="K16" i="268"/>
  <c r="J16" i="268"/>
  <c r="I16" i="268"/>
  <c r="H16" i="268"/>
  <c r="G16" i="268"/>
  <c r="F16" i="268"/>
  <c r="E16" i="268"/>
  <c r="D16" i="268"/>
  <c r="I15" i="268"/>
  <c r="L14" i="268"/>
  <c r="L15" i="268" s="1"/>
  <c r="K14" i="268"/>
  <c r="K15" i="268" s="1"/>
  <c r="M13" i="268"/>
  <c r="L13" i="268"/>
  <c r="K13" i="268"/>
  <c r="I6" i="268" s="1"/>
  <c r="J13" i="268"/>
  <c r="I13" i="268"/>
  <c r="H13" i="268"/>
  <c r="G13" i="268"/>
  <c r="F13" i="268"/>
  <c r="E13" i="268"/>
  <c r="D13" i="268"/>
  <c r="G6" i="268" s="1"/>
  <c r="F6" i="268"/>
  <c r="E6" i="268"/>
  <c r="I3" i="268"/>
  <c r="F3" i="268"/>
  <c r="C3" i="268"/>
  <c r="D15" i="276" l="1"/>
  <c r="E7" i="276"/>
  <c r="F7" i="276"/>
  <c r="G7" i="276"/>
  <c r="I8" i="276"/>
  <c r="I7" i="276"/>
  <c r="E15" i="274"/>
  <c r="Q38" i="275"/>
  <c r="R31" i="275" s="1"/>
  <c r="P38" i="275"/>
  <c r="K14" i="274"/>
  <c r="Q56" i="275"/>
  <c r="R48" i="275" s="1"/>
  <c r="P56" i="275"/>
  <c r="H14" i="274"/>
  <c r="H15" i="274" s="1"/>
  <c r="D2" i="275"/>
  <c r="J14" i="274"/>
  <c r="J15" i="274" s="1"/>
  <c r="Q68" i="275"/>
  <c r="R62" i="275" s="1"/>
  <c r="P68" i="275"/>
  <c r="Q30" i="275"/>
  <c r="R20" i="275" s="1"/>
  <c r="P30" i="275"/>
  <c r="G14" i="274"/>
  <c r="G15" i="274" s="1"/>
  <c r="Q47" i="275"/>
  <c r="R39" i="275" s="1"/>
  <c r="P47" i="275"/>
  <c r="L14" i="274"/>
  <c r="L15" i="274" s="1"/>
  <c r="Q19" i="275"/>
  <c r="R14" i="275" s="1"/>
  <c r="P19" i="275"/>
  <c r="F14" i="274"/>
  <c r="F15" i="274" s="1"/>
  <c r="D14" i="270"/>
  <c r="Q8" i="271"/>
  <c r="R5" i="271" s="1"/>
  <c r="P8" i="271"/>
  <c r="F14" i="270"/>
  <c r="F15" i="270" s="1"/>
  <c r="Q19" i="271"/>
  <c r="R14" i="271" s="1"/>
  <c r="P19" i="271"/>
  <c r="Q61" i="271"/>
  <c r="R57" i="271" s="1"/>
  <c r="I14" i="270"/>
  <c r="I15" i="270" s="1"/>
  <c r="P61" i="271"/>
  <c r="Q13" i="271"/>
  <c r="R9" i="271" s="1"/>
  <c r="P13" i="271"/>
  <c r="E14" i="270"/>
  <c r="E15" i="270" s="1"/>
  <c r="M14" i="270"/>
  <c r="M15" i="270" s="1"/>
  <c r="Q75" i="271"/>
  <c r="R69" i="271" s="1"/>
  <c r="P75" i="271"/>
  <c r="AA56" i="271"/>
  <c r="N56" i="271"/>
  <c r="D2" i="271" s="1"/>
  <c r="AB56" i="271"/>
  <c r="AC48" i="271" s="1"/>
  <c r="Q49" i="271"/>
  <c r="P49" i="271"/>
  <c r="Q10" i="271"/>
  <c r="P10" i="271"/>
  <c r="Q57" i="271"/>
  <c r="P57" i="271"/>
  <c r="Q68" i="271"/>
  <c r="R62" i="271" s="1"/>
  <c r="P68" i="271"/>
  <c r="J14" i="270"/>
  <c r="J15" i="270" s="1"/>
  <c r="Q9" i="271"/>
  <c r="P9" i="271"/>
  <c r="Q38" i="271"/>
  <c r="R31" i="271" s="1"/>
  <c r="P38" i="271"/>
  <c r="K14" i="270"/>
  <c r="Q47" i="271"/>
  <c r="R39" i="271" s="1"/>
  <c r="P47" i="271"/>
  <c r="L14" i="270"/>
  <c r="L15" i="270" s="1"/>
  <c r="Q58" i="271"/>
  <c r="P58" i="271"/>
  <c r="Q11" i="271"/>
  <c r="P11" i="271"/>
  <c r="Q30" i="271"/>
  <c r="R20" i="271" s="1"/>
  <c r="G14" i="270"/>
  <c r="G15" i="270" s="1"/>
  <c r="P30" i="271"/>
  <c r="Q73" i="269"/>
  <c r="R67" i="269" s="1"/>
  <c r="P73" i="269"/>
  <c r="M14" i="268"/>
  <c r="M15" i="268" s="1"/>
  <c r="I8" i="268" s="1"/>
  <c r="D14" i="268"/>
  <c r="Q8" i="269"/>
  <c r="R5" i="269" s="1"/>
  <c r="P8" i="269"/>
  <c r="P35" i="269"/>
  <c r="AB44" i="269"/>
  <c r="AC36" i="269" s="1"/>
  <c r="P47" i="269"/>
  <c r="N53" i="269"/>
  <c r="Q53" i="269" s="1"/>
  <c r="R45" i="269" s="1"/>
  <c r="P65" i="269"/>
  <c r="P37" i="269"/>
  <c r="N27" i="269"/>
  <c r="Q50" i="269"/>
  <c r="AA53" i="269"/>
  <c r="Q5" i="269"/>
  <c r="P5" i="269"/>
  <c r="Q6" i="269"/>
  <c r="P6" i="269"/>
  <c r="AB7" i="269"/>
  <c r="AA7" i="269"/>
  <c r="Q7" i="269"/>
  <c r="P7" i="269"/>
  <c r="AB8" i="269"/>
  <c r="AC5" i="269" s="1"/>
  <c r="AA8" i="269"/>
  <c r="M13" i="269"/>
  <c r="AB13" i="269" s="1"/>
  <c r="AC9" i="269" s="1"/>
  <c r="AB9" i="269"/>
  <c r="N9" i="269"/>
  <c r="AB10" i="269"/>
  <c r="N10" i="269"/>
  <c r="M18" i="269"/>
  <c r="AB14" i="269"/>
  <c r="AA14" i="269"/>
  <c r="Q14" i="269"/>
  <c r="P14" i="269"/>
  <c r="AB15" i="269"/>
  <c r="AA15" i="269"/>
  <c r="Q15" i="269"/>
  <c r="P15" i="269"/>
  <c r="Q21" i="269"/>
  <c r="P21" i="269"/>
  <c r="Q24" i="269"/>
  <c r="P24" i="269"/>
  <c r="AB25" i="269"/>
  <c r="AA25" i="269"/>
  <c r="Q25" i="269"/>
  <c r="P25" i="269"/>
  <c r="Q31" i="269"/>
  <c r="P31" i="269"/>
  <c r="Q34" i="269"/>
  <c r="P34" i="269"/>
  <c r="AB35" i="269"/>
  <c r="AC28" i="269" s="1"/>
  <c r="AA35" i="269"/>
  <c r="AB36" i="269"/>
  <c r="AA36" i="269"/>
  <c r="AB37" i="269"/>
  <c r="AA37" i="269"/>
  <c r="AB38" i="269"/>
  <c r="N38" i="269"/>
  <c r="Q41" i="269"/>
  <c r="P41" i="269"/>
  <c r="Q44" i="269"/>
  <c r="R36" i="269" s="1"/>
  <c r="P44" i="269"/>
  <c r="AB45" i="269"/>
  <c r="AA45" i="269"/>
  <c r="AB46" i="269"/>
  <c r="AA46" i="269"/>
  <c r="AB47" i="269"/>
  <c r="AA47" i="269"/>
  <c r="AB48" i="269"/>
  <c r="N48" i="269"/>
  <c r="Q51" i="269"/>
  <c r="P51" i="269"/>
  <c r="H14" i="268"/>
  <c r="H15" i="268" s="1"/>
  <c r="AB56" i="269"/>
  <c r="AA56" i="269"/>
  <c r="AB57" i="269"/>
  <c r="AA57" i="269"/>
  <c r="N59" i="269"/>
  <c r="M66" i="269"/>
  <c r="Q60" i="269"/>
  <c r="P60" i="269"/>
  <c r="P61" i="269"/>
  <c r="Q61" i="269"/>
  <c r="Q62" i="269"/>
  <c r="P62" i="269"/>
  <c r="AB63" i="269"/>
  <c r="AA63" i="269"/>
  <c r="Q63" i="269"/>
  <c r="P63" i="269"/>
  <c r="AB64" i="269"/>
  <c r="AA64" i="269"/>
  <c r="AA65" i="269"/>
  <c r="AB65" i="269"/>
  <c r="Q69" i="269"/>
  <c r="P69" i="269"/>
  <c r="Q70" i="269"/>
  <c r="P70" i="269"/>
  <c r="P71" i="269"/>
  <c r="Q71" i="269"/>
  <c r="Q72" i="269"/>
  <c r="P72" i="269"/>
  <c r="AB73" i="269"/>
  <c r="AC67" i="269" s="1"/>
  <c r="AA73" i="269"/>
  <c r="O64" i="267"/>
  <c r="M64" i="267"/>
  <c r="AB64" i="267" s="1"/>
  <c r="AC59" i="267" s="1"/>
  <c r="K64" i="267"/>
  <c r="AB63" i="267"/>
  <c r="AA63" i="267"/>
  <c r="V63" i="267"/>
  <c r="U63" i="267"/>
  <c r="O63" i="267"/>
  <c r="N63" i="267"/>
  <c r="Q63" i="267" s="1"/>
  <c r="M63" i="267"/>
  <c r="K63" i="267"/>
  <c r="G63" i="267"/>
  <c r="AB62" i="267"/>
  <c r="AA62" i="267"/>
  <c r="V62" i="267"/>
  <c r="U62" i="267"/>
  <c r="Q62" i="267"/>
  <c r="O62" i="267"/>
  <c r="N62" i="267"/>
  <c r="P62" i="267" s="1"/>
  <c r="M62" i="267"/>
  <c r="K62" i="267"/>
  <c r="G62" i="267"/>
  <c r="AB61" i="267"/>
  <c r="AA61" i="267"/>
  <c r="V61" i="267"/>
  <c r="U61" i="267"/>
  <c r="Q61" i="267"/>
  <c r="P61" i="267"/>
  <c r="O61" i="267"/>
  <c r="N61" i="267"/>
  <c r="M61" i="267"/>
  <c r="K61" i="267"/>
  <c r="G61" i="267"/>
  <c r="AB60" i="267"/>
  <c r="AA60" i="267"/>
  <c r="V60" i="267"/>
  <c r="U60" i="267"/>
  <c r="Q60" i="267"/>
  <c r="P60" i="267"/>
  <c r="O60" i="267"/>
  <c r="N60" i="267"/>
  <c r="M60" i="267"/>
  <c r="K60" i="267"/>
  <c r="G60" i="267"/>
  <c r="AB59" i="267"/>
  <c r="AA59" i="267"/>
  <c r="V59" i="267"/>
  <c r="Q59" i="267"/>
  <c r="P59" i="267"/>
  <c r="O59" i="267"/>
  <c r="N59" i="267"/>
  <c r="M59" i="267"/>
  <c r="K59" i="267"/>
  <c r="G59" i="267"/>
  <c r="O58" i="267"/>
  <c r="N58" i="267"/>
  <c r="Q58" i="267" s="1"/>
  <c r="R52" i="267" s="1"/>
  <c r="M58" i="267"/>
  <c r="AB58" i="267" s="1"/>
  <c r="AC52" i="267" s="1"/>
  <c r="K58" i="267"/>
  <c r="AB57" i="267"/>
  <c r="AA57" i="267"/>
  <c r="V57" i="267"/>
  <c r="U57" i="267"/>
  <c r="Q57" i="267"/>
  <c r="P57" i="267"/>
  <c r="O57" i="267"/>
  <c r="N57" i="267"/>
  <c r="M57" i="267"/>
  <c r="K57" i="267"/>
  <c r="G57" i="267"/>
  <c r="AB56" i="267"/>
  <c r="AA56" i="267"/>
  <c r="V56" i="267"/>
  <c r="U56" i="267"/>
  <c r="Q56" i="267"/>
  <c r="P56" i="267"/>
  <c r="O56" i="267"/>
  <c r="N56" i="267"/>
  <c r="M56" i="267"/>
  <c r="K56" i="267"/>
  <c r="G56" i="267"/>
  <c r="AB55" i="267"/>
  <c r="AA55" i="267"/>
  <c r="V55" i="267"/>
  <c r="U55" i="267"/>
  <c r="Q55" i="267"/>
  <c r="P55" i="267"/>
  <c r="O55" i="267"/>
  <c r="N55" i="267"/>
  <c r="M55" i="267"/>
  <c r="K55" i="267"/>
  <c r="G55" i="267"/>
  <c r="AB54" i="267"/>
  <c r="AA54" i="267"/>
  <c r="V54" i="267"/>
  <c r="U54" i="267"/>
  <c r="Q54" i="267"/>
  <c r="P54" i="267"/>
  <c r="O54" i="267"/>
  <c r="N54" i="267"/>
  <c r="M54" i="267"/>
  <c r="K54" i="267"/>
  <c r="G54" i="267"/>
  <c r="AB53" i="267"/>
  <c r="AA53" i="267"/>
  <c r="V53" i="267"/>
  <c r="U53" i="267"/>
  <c r="O53" i="267"/>
  <c r="N53" i="267"/>
  <c r="Q53" i="267" s="1"/>
  <c r="M53" i="267"/>
  <c r="K53" i="267"/>
  <c r="G53" i="267"/>
  <c r="AB52" i="267"/>
  <c r="AA52" i="267"/>
  <c r="V52" i="267"/>
  <c r="O52" i="267"/>
  <c r="N52" i="267"/>
  <c r="Q52" i="267" s="1"/>
  <c r="M52" i="267"/>
  <c r="K52" i="267"/>
  <c r="G52" i="267"/>
  <c r="AB51" i="267"/>
  <c r="AC47" i="267" s="1"/>
  <c r="AA51" i="267"/>
  <c r="O51" i="267"/>
  <c r="M51" i="267"/>
  <c r="N51" i="267" s="1"/>
  <c r="K51" i="267"/>
  <c r="AB50" i="267"/>
  <c r="AA50" i="267"/>
  <c r="V50" i="267"/>
  <c r="U50" i="267"/>
  <c r="Q50" i="267"/>
  <c r="P50" i="267"/>
  <c r="O50" i="267"/>
  <c r="N50" i="267"/>
  <c r="M50" i="267"/>
  <c r="K50" i="267"/>
  <c r="G50" i="267"/>
  <c r="AB49" i="267"/>
  <c r="AA49" i="267"/>
  <c r="V49" i="267"/>
  <c r="U49" i="267"/>
  <c r="Q49" i="267"/>
  <c r="P49" i="267"/>
  <c r="O49" i="267"/>
  <c r="N49" i="267"/>
  <c r="M49" i="267"/>
  <c r="K49" i="267"/>
  <c r="G49" i="267"/>
  <c r="AB48" i="267"/>
  <c r="AA48" i="267"/>
  <c r="V48" i="267"/>
  <c r="U48" i="267"/>
  <c r="O48" i="267"/>
  <c r="N48" i="267"/>
  <c r="P48" i="267" s="1"/>
  <c r="M48" i="267"/>
  <c r="K48" i="267"/>
  <c r="G48" i="267"/>
  <c r="AB47" i="267"/>
  <c r="AA47" i="267"/>
  <c r="V47" i="267"/>
  <c r="O47" i="267"/>
  <c r="N47" i="267"/>
  <c r="P47" i="267" s="1"/>
  <c r="M47" i="267"/>
  <c r="K47" i="267"/>
  <c r="G47" i="267"/>
  <c r="O46" i="267"/>
  <c r="M46" i="267"/>
  <c r="AB46" i="267" s="1"/>
  <c r="AC40" i="267" s="1"/>
  <c r="K46" i="267"/>
  <c r="AB45" i="267"/>
  <c r="AA45" i="267"/>
  <c r="V45" i="267"/>
  <c r="U45" i="267"/>
  <c r="O45" i="267"/>
  <c r="N45" i="267"/>
  <c r="Q45" i="267" s="1"/>
  <c r="M45" i="267"/>
  <c r="K45" i="267"/>
  <c r="G45" i="267"/>
  <c r="AB44" i="267"/>
  <c r="AA44" i="267"/>
  <c r="V44" i="267"/>
  <c r="U44" i="267"/>
  <c r="Q44" i="267"/>
  <c r="O44" i="267"/>
  <c r="N44" i="267"/>
  <c r="P44" i="267" s="1"/>
  <c r="M44" i="267"/>
  <c r="K44" i="267"/>
  <c r="G44" i="267"/>
  <c r="AB43" i="267"/>
  <c r="AA43" i="267"/>
  <c r="V43" i="267"/>
  <c r="U43" i="267"/>
  <c r="Q43" i="267"/>
  <c r="P43" i="267"/>
  <c r="O43" i="267"/>
  <c r="N43" i="267"/>
  <c r="M43" i="267"/>
  <c r="K43" i="267"/>
  <c r="G43" i="267"/>
  <c r="AB42" i="267"/>
  <c r="AA42" i="267"/>
  <c r="V42" i="267"/>
  <c r="U42" i="267"/>
  <c r="Q42" i="267"/>
  <c r="P42" i="267"/>
  <c r="O42" i="267"/>
  <c r="N42" i="267"/>
  <c r="M42" i="267"/>
  <c r="K42" i="267"/>
  <c r="G42" i="267"/>
  <c r="AB41" i="267"/>
  <c r="AA41" i="267"/>
  <c r="V41" i="267"/>
  <c r="U41" i="267"/>
  <c r="Q41" i="267"/>
  <c r="P41" i="267"/>
  <c r="O41" i="267"/>
  <c r="N41" i="267"/>
  <c r="M41" i="267"/>
  <c r="K41" i="267"/>
  <c r="G41" i="267"/>
  <c r="AB40" i="267"/>
  <c r="AA40" i="267"/>
  <c r="V40" i="267"/>
  <c r="Q40" i="267"/>
  <c r="P40" i="267"/>
  <c r="O40" i="267"/>
  <c r="N40" i="267"/>
  <c r="M40" i="267"/>
  <c r="K40" i="267"/>
  <c r="G40" i="267"/>
  <c r="AB39" i="267"/>
  <c r="AA39" i="267"/>
  <c r="O39" i="267"/>
  <c r="N39" i="267"/>
  <c r="P39" i="267" s="1"/>
  <c r="M39" i="267"/>
  <c r="K39" i="267"/>
  <c r="AB38" i="267"/>
  <c r="AA38" i="267"/>
  <c r="V38" i="267"/>
  <c r="U38" i="267"/>
  <c r="Q38" i="267"/>
  <c r="P38" i="267"/>
  <c r="O38" i="267"/>
  <c r="N38" i="267"/>
  <c r="M38" i="267"/>
  <c r="K38" i="267"/>
  <c r="G38" i="267"/>
  <c r="AB37" i="267"/>
  <c r="AA37" i="267"/>
  <c r="V37" i="267"/>
  <c r="U37" i="267"/>
  <c r="Q37" i="267"/>
  <c r="P37" i="267"/>
  <c r="O37" i="267"/>
  <c r="N37" i="267"/>
  <c r="M37" i="267"/>
  <c r="K37" i="267"/>
  <c r="G37" i="267"/>
  <c r="AB36" i="267"/>
  <c r="AA36" i="267"/>
  <c r="V36" i="267"/>
  <c r="U36" i="267"/>
  <c r="Q36" i="267"/>
  <c r="P36" i="267"/>
  <c r="O36" i="267"/>
  <c r="N36" i="267"/>
  <c r="M36" i="267"/>
  <c r="K36" i="267"/>
  <c r="G36" i="267"/>
  <c r="AB35" i="267"/>
  <c r="AA35" i="267"/>
  <c r="V35" i="267"/>
  <c r="U35" i="267"/>
  <c r="O35" i="267"/>
  <c r="N35" i="267"/>
  <c r="Q35" i="267" s="1"/>
  <c r="M35" i="267"/>
  <c r="K35" i="267"/>
  <c r="G35" i="267"/>
  <c r="AB34" i="267"/>
  <c r="AA34" i="267"/>
  <c r="V34" i="267"/>
  <c r="U34" i="267"/>
  <c r="Q34" i="267"/>
  <c r="O34" i="267"/>
  <c r="N34" i="267"/>
  <c r="P34" i="267" s="1"/>
  <c r="M34" i="267"/>
  <c r="K34" i="267"/>
  <c r="G34" i="267"/>
  <c r="AC33" i="267"/>
  <c r="AB33" i="267"/>
  <c r="AA33" i="267"/>
  <c r="V33" i="267"/>
  <c r="Q33" i="267"/>
  <c r="O33" i="267"/>
  <c r="N33" i="267"/>
  <c r="P33" i="267" s="1"/>
  <c r="M33" i="267"/>
  <c r="K33" i="267"/>
  <c r="G33" i="267"/>
  <c r="AB32" i="267"/>
  <c r="AA32" i="267"/>
  <c r="O32" i="267"/>
  <c r="N32" i="267"/>
  <c r="K14" i="266" s="1"/>
  <c r="M32" i="267"/>
  <c r="K32" i="267"/>
  <c r="AB31" i="267"/>
  <c r="AA31" i="267"/>
  <c r="V31" i="267"/>
  <c r="U31" i="267"/>
  <c r="Q31" i="267"/>
  <c r="P31" i="267"/>
  <c r="O31" i="267"/>
  <c r="N31" i="267"/>
  <c r="M31" i="267"/>
  <c r="K31" i="267"/>
  <c r="G31" i="267"/>
  <c r="AB30" i="267"/>
  <c r="AA30" i="267"/>
  <c r="V30" i="267"/>
  <c r="U30" i="267"/>
  <c r="O30" i="267"/>
  <c r="N30" i="267"/>
  <c r="P30" i="267" s="1"/>
  <c r="M30" i="267"/>
  <c r="K30" i="267"/>
  <c r="G30" i="267"/>
  <c r="AB29" i="267"/>
  <c r="AA29" i="267"/>
  <c r="V29" i="267"/>
  <c r="U29" i="267"/>
  <c r="Q29" i="267"/>
  <c r="P29" i="267"/>
  <c r="O29" i="267"/>
  <c r="N29" i="267"/>
  <c r="M29" i="267"/>
  <c r="K29" i="267"/>
  <c r="G29" i="267"/>
  <c r="AB28" i="267"/>
  <c r="AA28" i="267"/>
  <c r="V28" i="267"/>
  <c r="U28" i="267"/>
  <c r="Q28" i="267"/>
  <c r="P28" i="267"/>
  <c r="O28" i="267"/>
  <c r="N28" i="267"/>
  <c r="M28" i="267"/>
  <c r="K28" i="267"/>
  <c r="G28" i="267"/>
  <c r="AC27" i="267"/>
  <c r="AB27" i="267"/>
  <c r="AA27" i="267"/>
  <c r="V27" i="267"/>
  <c r="Q27" i="267"/>
  <c r="P27" i="267"/>
  <c r="O27" i="267"/>
  <c r="N27" i="267"/>
  <c r="M27" i="267"/>
  <c r="K27" i="267"/>
  <c r="G27" i="267"/>
  <c r="AB26" i="267"/>
  <c r="AA26" i="267"/>
  <c r="O26" i="267"/>
  <c r="M26" i="267"/>
  <c r="N26" i="267" s="1"/>
  <c r="K26" i="267"/>
  <c r="AB25" i="267"/>
  <c r="AA25" i="267"/>
  <c r="V25" i="267"/>
  <c r="U25" i="267"/>
  <c r="Q25" i="267"/>
  <c r="P25" i="267"/>
  <c r="O25" i="267"/>
  <c r="N25" i="267"/>
  <c r="M25" i="267"/>
  <c r="K25" i="267"/>
  <c r="G25" i="267"/>
  <c r="AB24" i="267"/>
  <c r="AA24" i="267"/>
  <c r="V24" i="267"/>
  <c r="U24" i="267"/>
  <c r="Q24" i="267"/>
  <c r="P24" i="267"/>
  <c r="O24" i="267"/>
  <c r="N24" i="267"/>
  <c r="M24" i="267"/>
  <c r="K24" i="267"/>
  <c r="G24" i="267"/>
  <c r="AB23" i="267"/>
  <c r="AA23" i="267"/>
  <c r="V23" i="267"/>
  <c r="U23" i="267"/>
  <c r="Q23" i="267"/>
  <c r="P23" i="267"/>
  <c r="O23" i="267"/>
  <c r="N23" i="267"/>
  <c r="M23" i="267"/>
  <c r="K23" i="267"/>
  <c r="G23" i="267"/>
  <c r="AB22" i="267"/>
  <c r="AA22" i="267"/>
  <c r="V22" i="267"/>
  <c r="U22" i="267"/>
  <c r="Q22" i="267"/>
  <c r="P22" i="267"/>
  <c r="O22" i="267"/>
  <c r="N22" i="267"/>
  <c r="M22" i="267"/>
  <c r="K22" i="267"/>
  <c r="G22" i="267"/>
  <c r="AB21" i="267"/>
  <c r="AA21" i="267"/>
  <c r="V21" i="267"/>
  <c r="U21" i="267"/>
  <c r="Q21" i="267"/>
  <c r="P21" i="267"/>
  <c r="O21" i="267"/>
  <c r="N21" i="267"/>
  <c r="M21" i="267"/>
  <c r="K21" i="267"/>
  <c r="G21" i="267"/>
  <c r="AB20" i="267"/>
  <c r="AA20" i="267"/>
  <c r="V20" i="267"/>
  <c r="U20" i="267"/>
  <c r="O20" i="267"/>
  <c r="N20" i="267"/>
  <c r="P20" i="267" s="1"/>
  <c r="M20" i="267"/>
  <c r="K20" i="267"/>
  <c r="G20" i="267"/>
  <c r="AB19" i="267"/>
  <c r="AA19" i="267"/>
  <c r="V19" i="267"/>
  <c r="U19" i="267"/>
  <c r="O19" i="267"/>
  <c r="N19" i="267"/>
  <c r="Q19" i="267" s="1"/>
  <c r="M19" i="267"/>
  <c r="K19" i="267"/>
  <c r="G19" i="267"/>
  <c r="AC18" i="267"/>
  <c r="AB18" i="267"/>
  <c r="AA18" i="267"/>
  <c r="V18" i="267"/>
  <c r="O18" i="267"/>
  <c r="N18" i="267"/>
  <c r="Q18" i="267" s="1"/>
  <c r="M18" i="267"/>
  <c r="K18" i="267"/>
  <c r="G18" i="267"/>
  <c r="AB17" i="267"/>
  <c r="AC13" i="267" s="1"/>
  <c r="AA17" i="267"/>
  <c r="O17" i="267"/>
  <c r="N17" i="267"/>
  <c r="Q17" i="267" s="1"/>
  <c r="R13" i="267" s="1"/>
  <c r="M17" i="267"/>
  <c r="K17" i="267"/>
  <c r="AB16" i="267"/>
  <c r="AA16" i="267"/>
  <c r="V16" i="267"/>
  <c r="U16" i="267"/>
  <c r="Q16" i="267"/>
  <c r="P16" i="267"/>
  <c r="O16" i="267"/>
  <c r="N16" i="267"/>
  <c r="M16" i="267"/>
  <c r="K16" i="267"/>
  <c r="G16" i="267"/>
  <c r="AB15" i="267"/>
  <c r="AA15" i="267"/>
  <c r="V15" i="267"/>
  <c r="U15" i="267"/>
  <c r="Q15" i="267"/>
  <c r="P15" i="267"/>
  <c r="O15" i="267"/>
  <c r="N15" i="267"/>
  <c r="M15" i="267"/>
  <c r="K15" i="267"/>
  <c r="G15" i="267"/>
  <c r="AB14" i="267"/>
  <c r="AA14" i="267"/>
  <c r="V14" i="267"/>
  <c r="U14" i="267"/>
  <c r="Q14" i="267"/>
  <c r="P14" i="267"/>
  <c r="O14" i="267"/>
  <c r="N14" i="267"/>
  <c r="M14" i="267"/>
  <c r="K14" i="267"/>
  <c r="G14" i="267"/>
  <c r="AB13" i="267"/>
  <c r="AA13" i="267"/>
  <c r="V13" i="267"/>
  <c r="Q13" i="267"/>
  <c r="P13" i="267"/>
  <c r="O13" i="267"/>
  <c r="N13" i="267"/>
  <c r="M13" i="267"/>
  <c r="K13" i="267"/>
  <c r="G13" i="267"/>
  <c r="O12" i="267"/>
  <c r="N12" i="267"/>
  <c r="Q12" i="267" s="1"/>
  <c r="R9" i="267" s="1"/>
  <c r="M12" i="267"/>
  <c r="AB12" i="267" s="1"/>
  <c r="AC9" i="267" s="1"/>
  <c r="K12" i="267"/>
  <c r="AB11" i="267"/>
  <c r="AA11" i="267"/>
  <c r="V11" i="267"/>
  <c r="U11" i="267"/>
  <c r="O11" i="267"/>
  <c r="N11" i="267"/>
  <c r="Q11" i="267" s="1"/>
  <c r="M11" i="267"/>
  <c r="K11" i="267"/>
  <c r="G11" i="267"/>
  <c r="AB10" i="267"/>
  <c r="AA10" i="267"/>
  <c r="V10" i="267"/>
  <c r="U10" i="267"/>
  <c r="Q10" i="267"/>
  <c r="P10" i="267"/>
  <c r="O10" i="267"/>
  <c r="N10" i="267"/>
  <c r="M10" i="267"/>
  <c r="K10" i="267"/>
  <c r="G10" i="267"/>
  <c r="AB9" i="267"/>
  <c r="AA9" i="267"/>
  <c r="V9" i="267"/>
  <c r="Q9" i="267"/>
  <c r="P9" i="267"/>
  <c r="O9" i="267"/>
  <c r="N9" i="267"/>
  <c r="M9" i="267"/>
  <c r="K9" i="267"/>
  <c r="G9" i="267"/>
  <c r="AB8" i="267"/>
  <c r="AC5" i="267" s="1"/>
  <c r="AA8" i="267"/>
  <c r="O8" i="267"/>
  <c r="M8" i="267"/>
  <c r="N8" i="267" s="1"/>
  <c r="K8" i="267"/>
  <c r="AB7" i="267"/>
  <c r="AA7" i="267"/>
  <c r="V7" i="267"/>
  <c r="U7" i="267"/>
  <c r="Q7" i="267"/>
  <c r="P7" i="267"/>
  <c r="O7" i="267"/>
  <c r="N7" i="267"/>
  <c r="M7" i="267"/>
  <c r="K7" i="267"/>
  <c r="G7" i="267"/>
  <c r="AB6" i="267"/>
  <c r="AA6" i="267"/>
  <c r="V6" i="267"/>
  <c r="U6" i="267"/>
  <c r="Q6" i="267"/>
  <c r="P6" i="267"/>
  <c r="O6" i="267"/>
  <c r="N6" i="267"/>
  <c r="M6" i="267"/>
  <c r="K6" i="267"/>
  <c r="G6" i="267"/>
  <c r="AB5" i="267"/>
  <c r="AA5" i="267"/>
  <c r="V5" i="267"/>
  <c r="Q5" i="267"/>
  <c r="P5" i="267"/>
  <c r="O5" i="267"/>
  <c r="N5" i="267"/>
  <c r="M5" i="267"/>
  <c r="K5" i="267"/>
  <c r="G5" i="267"/>
  <c r="H2" i="267"/>
  <c r="F2" i="267"/>
  <c r="H1" i="267"/>
  <c r="F1" i="267"/>
  <c r="D1" i="267"/>
  <c r="M18" i="266"/>
  <c r="L18" i="266"/>
  <c r="K18" i="266"/>
  <c r="J18" i="266"/>
  <c r="I18" i="266"/>
  <c r="H18" i="266"/>
  <c r="G18" i="266"/>
  <c r="F18" i="266"/>
  <c r="E18" i="266"/>
  <c r="D18" i="266"/>
  <c r="M17" i="266"/>
  <c r="L17" i="266"/>
  <c r="K17" i="266"/>
  <c r="J17" i="266"/>
  <c r="I17" i="266"/>
  <c r="H17" i="266"/>
  <c r="G17" i="266"/>
  <c r="F17" i="266"/>
  <c r="E17" i="266"/>
  <c r="D17" i="266"/>
  <c r="M16" i="266"/>
  <c r="L16" i="266"/>
  <c r="K16" i="266"/>
  <c r="J16" i="266"/>
  <c r="I16" i="266"/>
  <c r="H16" i="266"/>
  <c r="G16" i="266"/>
  <c r="F16" i="266"/>
  <c r="E16" i="266"/>
  <c r="D16" i="266"/>
  <c r="F14" i="266"/>
  <c r="F15" i="266" s="1"/>
  <c r="E14" i="266"/>
  <c r="E15" i="266" s="1"/>
  <c r="M13" i="266"/>
  <c r="L13" i="266"/>
  <c r="K13" i="266"/>
  <c r="J13" i="266"/>
  <c r="I13" i="266"/>
  <c r="H13" i="266"/>
  <c r="G13" i="266"/>
  <c r="F13" i="266"/>
  <c r="E13" i="266"/>
  <c r="D13" i="266"/>
  <c r="I6" i="266"/>
  <c r="G6" i="266"/>
  <c r="F6" i="266"/>
  <c r="E6" i="266"/>
  <c r="I3" i="266"/>
  <c r="F3" i="266"/>
  <c r="C3" i="266"/>
  <c r="G8" i="276" l="1"/>
  <c r="E8" i="276"/>
  <c r="F8" i="276"/>
  <c r="I7" i="274"/>
  <c r="K15" i="274"/>
  <c r="I8" i="274" s="1"/>
  <c r="G7" i="274"/>
  <c r="E7" i="274"/>
  <c r="F7" i="274"/>
  <c r="F8" i="274"/>
  <c r="E8" i="274"/>
  <c r="G8" i="274"/>
  <c r="I7" i="270"/>
  <c r="K15" i="270"/>
  <c r="I8" i="270" s="1"/>
  <c r="H14" i="270"/>
  <c r="H15" i="270" s="1"/>
  <c r="Q56" i="271"/>
  <c r="R48" i="271" s="1"/>
  <c r="P56" i="271"/>
  <c r="D15" i="270"/>
  <c r="D15" i="268"/>
  <c r="N18" i="269"/>
  <c r="AB18" i="269"/>
  <c r="AC14" i="269" s="1"/>
  <c r="AA18" i="269"/>
  <c r="Q10" i="269"/>
  <c r="P10" i="269"/>
  <c r="I7" i="268"/>
  <c r="P48" i="269"/>
  <c r="Q48" i="269"/>
  <c r="Q38" i="269"/>
  <c r="P38" i="269"/>
  <c r="Q9" i="269"/>
  <c r="P9" i="269"/>
  <c r="P53" i="269"/>
  <c r="Q27" i="269"/>
  <c r="R19" i="269" s="1"/>
  <c r="P27" i="269"/>
  <c r="G14" i="268"/>
  <c r="G15" i="268" s="1"/>
  <c r="AB66" i="269"/>
  <c r="AC59" i="269" s="1"/>
  <c r="AA66" i="269"/>
  <c r="N66" i="269"/>
  <c r="Q59" i="269"/>
  <c r="P59" i="269"/>
  <c r="N13" i="269"/>
  <c r="AA13" i="269"/>
  <c r="Q26" i="267"/>
  <c r="R18" i="267" s="1"/>
  <c r="P26" i="267"/>
  <c r="G14" i="266"/>
  <c r="G15" i="266" s="1"/>
  <c r="I14" i="266"/>
  <c r="I15" i="266" s="1"/>
  <c r="Q51" i="267"/>
  <c r="R47" i="267" s="1"/>
  <c r="P51" i="267"/>
  <c r="K15" i="266"/>
  <c r="Q8" i="267"/>
  <c r="R5" i="267" s="1"/>
  <c r="D2" i="267"/>
  <c r="P8" i="267"/>
  <c r="D14" i="266"/>
  <c r="P58" i="267"/>
  <c r="J14" i="266"/>
  <c r="J15" i="266" s="1"/>
  <c r="P11" i="267"/>
  <c r="AA12" i="267"/>
  <c r="P18" i="267"/>
  <c r="P19" i="267"/>
  <c r="Q20" i="267"/>
  <c r="Q30" i="267"/>
  <c r="Q39" i="267"/>
  <c r="R33" i="267" s="1"/>
  <c r="N46" i="267"/>
  <c r="Q47" i="267"/>
  <c r="Q48" i="267"/>
  <c r="AA58" i="267"/>
  <c r="N64" i="267"/>
  <c r="L14" i="266"/>
  <c r="L15" i="266" s="1"/>
  <c r="P32" i="267"/>
  <c r="Q32" i="267"/>
  <c r="R27" i="267" s="1"/>
  <c r="P12" i="267"/>
  <c r="P17" i="267"/>
  <c r="P35" i="267"/>
  <c r="P45" i="267"/>
  <c r="AA46" i="267"/>
  <c r="P52" i="267"/>
  <c r="P53" i="267"/>
  <c r="P63" i="267"/>
  <c r="AA64" i="267"/>
  <c r="O65" i="265"/>
  <c r="K65" i="265"/>
  <c r="AA64" i="265"/>
  <c r="V64" i="265"/>
  <c r="U64" i="265"/>
  <c r="O64" i="265"/>
  <c r="N64" i="265"/>
  <c r="Q64" i="265" s="1"/>
  <c r="M64" i="265"/>
  <c r="AB64" i="265" s="1"/>
  <c r="K64" i="265"/>
  <c r="G64" i="265"/>
  <c r="V63" i="265"/>
  <c r="U63" i="265"/>
  <c r="O63" i="265"/>
  <c r="M63" i="265"/>
  <c r="N63" i="265" s="1"/>
  <c r="K63" i="265"/>
  <c r="G63" i="265"/>
  <c r="V62" i="265"/>
  <c r="U62" i="265"/>
  <c r="O62" i="265"/>
  <c r="M62" i="265"/>
  <c r="N62" i="265" s="1"/>
  <c r="K62" i="265"/>
  <c r="G62" i="265"/>
  <c r="AB61" i="265"/>
  <c r="AA61" i="265"/>
  <c r="V61" i="265"/>
  <c r="U61" i="265"/>
  <c r="Q61" i="265"/>
  <c r="P61" i="265"/>
  <c r="O61" i="265"/>
  <c r="N61" i="265"/>
  <c r="M61" i="265"/>
  <c r="K61" i="265"/>
  <c r="G61" i="265"/>
  <c r="AB60" i="265"/>
  <c r="AA60" i="265"/>
  <c r="V60" i="265"/>
  <c r="Q60" i="265"/>
  <c r="P60" i="265"/>
  <c r="O60" i="265"/>
  <c r="N60" i="265"/>
  <c r="M60" i="265"/>
  <c r="K60" i="265"/>
  <c r="G60" i="265"/>
  <c r="O59" i="265"/>
  <c r="M59" i="265"/>
  <c r="AB59" i="265" s="1"/>
  <c r="AC53" i="265" s="1"/>
  <c r="K59" i="265"/>
  <c r="AB58" i="265"/>
  <c r="AA58" i="265"/>
  <c r="V58" i="265"/>
  <c r="U58" i="265"/>
  <c r="Q58" i="265"/>
  <c r="P58" i="265"/>
  <c r="O58" i="265"/>
  <c r="N58" i="265"/>
  <c r="M58" i="265"/>
  <c r="K58" i="265"/>
  <c r="G58" i="265"/>
  <c r="AB57" i="265"/>
  <c r="AA57" i="265"/>
  <c r="V57" i="265"/>
  <c r="U57" i="265"/>
  <c r="Q57" i="265"/>
  <c r="P57" i="265"/>
  <c r="O57" i="265"/>
  <c r="N57" i="265"/>
  <c r="M57" i="265"/>
  <c r="K57" i="265"/>
  <c r="G57" i="265"/>
  <c r="AB56" i="265"/>
  <c r="AA56" i="265"/>
  <c r="V56" i="265"/>
  <c r="U56" i="265"/>
  <c r="O56" i="265"/>
  <c r="N56" i="265"/>
  <c r="Q56" i="265" s="1"/>
  <c r="M56" i="265"/>
  <c r="K56" i="265"/>
  <c r="G56" i="265"/>
  <c r="AA55" i="265"/>
  <c r="V55" i="265"/>
  <c r="U55" i="265"/>
  <c r="O55" i="265"/>
  <c r="M55" i="265"/>
  <c r="N55" i="265" s="1"/>
  <c r="K55" i="265"/>
  <c r="G55" i="265"/>
  <c r="AA54" i="265"/>
  <c r="V54" i="265"/>
  <c r="U54" i="265"/>
  <c r="O54" i="265"/>
  <c r="N54" i="265"/>
  <c r="Q54" i="265" s="1"/>
  <c r="M54" i="265"/>
  <c r="AB54" i="265" s="1"/>
  <c r="K54" i="265"/>
  <c r="G54" i="265"/>
  <c r="AA53" i="265"/>
  <c r="V53" i="265"/>
  <c r="O53" i="265"/>
  <c r="N53" i="265"/>
  <c r="Q53" i="265" s="1"/>
  <c r="M53" i="265"/>
  <c r="AB53" i="265" s="1"/>
  <c r="K53" i="265"/>
  <c r="G53" i="265"/>
  <c r="Q52" i="265"/>
  <c r="R48" i="265" s="1"/>
  <c r="P52" i="265"/>
  <c r="O52" i="265"/>
  <c r="N52" i="265"/>
  <c r="M52" i="265"/>
  <c r="AB52" i="265" s="1"/>
  <c r="AC48" i="265" s="1"/>
  <c r="K52" i="265"/>
  <c r="AB51" i="265"/>
  <c r="AA51" i="265"/>
  <c r="V51" i="265"/>
  <c r="U51" i="265"/>
  <c r="Q51" i="265"/>
  <c r="P51" i="265"/>
  <c r="O51" i="265"/>
  <c r="N51" i="265"/>
  <c r="M51" i="265"/>
  <c r="K51" i="265"/>
  <c r="G51" i="265"/>
  <c r="AB50" i="265"/>
  <c r="AA50" i="265"/>
  <c r="V50" i="265"/>
  <c r="U50" i="265"/>
  <c r="O50" i="265"/>
  <c r="N50" i="265"/>
  <c r="Q50" i="265" s="1"/>
  <c r="M50" i="265"/>
  <c r="K50" i="265"/>
  <c r="G50" i="265"/>
  <c r="AB49" i="265"/>
  <c r="AA49" i="265"/>
  <c r="V49" i="265"/>
  <c r="U49" i="265"/>
  <c r="Q49" i="265"/>
  <c r="P49" i="265"/>
  <c r="O49" i="265"/>
  <c r="N49" i="265"/>
  <c r="M49" i="265"/>
  <c r="K49" i="265"/>
  <c r="G49" i="265"/>
  <c r="AB48" i="265"/>
  <c r="AA48" i="265"/>
  <c r="V48" i="265"/>
  <c r="Q48" i="265"/>
  <c r="P48" i="265"/>
  <c r="O48" i="265"/>
  <c r="N48" i="265"/>
  <c r="M48" i="265"/>
  <c r="K48" i="265"/>
  <c r="G48" i="265"/>
  <c r="O47" i="265"/>
  <c r="K47" i="265"/>
  <c r="AA46" i="265"/>
  <c r="V46" i="265"/>
  <c r="U46" i="265"/>
  <c r="O46" i="265"/>
  <c r="N46" i="265"/>
  <c r="Q46" i="265" s="1"/>
  <c r="M46" i="265"/>
  <c r="AB46" i="265" s="1"/>
  <c r="K46" i="265"/>
  <c r="G46" i="265"/>
  <c r="V45" i="265"/>
  <c r="U45" i="265"/>
  <c r="Q45" i="265"/>
  <c r="O45" i="265"/>
  <c r="N45" i="265"/>
  <c r="P45" i="265" s="1"/>
  <c r="M45" i="265"/>
  <c r="AB45" i="265" s="1"/>
  <c r="K45" i="265"/>
  <c r="G45" i="265"/>
  <c r="V44" i="265"/>
  <c r="U44" i="265"/>
  <c r="O44" i="265"/>
  <c r="M44" i="265"/>
  <c r="N44" i="265" s="1"/>
  <c r="K44" i="265"/>
  <c r="G44" i="265"/>
  <c r="AB43" i="265"/>
  <c r="AA43" i="265"/>
  <c r="V43" i="265"/>
  <c r="U43" i="265"/>
  <c r="Q43" i="265"/>
  <c r="P43" i="265"/>
  <c r="O43" i="265"/>
  <c r="N43" i="265"/>
  <c r="M43" i="265"/>
  <c r="K43" i="265"/>
  <c r="G43" i="265"/>
  <c r="AA42" i="265"/>
  <c r="V42" i="265"/>
  <c r="U42" i="265"/>
  <c r="O42" i="265"/>
  <c r="N42" i="265"/>
  <c r="Q42" i="265" s="1"/>
  <c r="M42" i="265"/>
  <c r="AB42" i="265" s="1"/>
  <c r="K42" i="265"/>
  <c r="G42" i="265"/>
  <c r="AA41" i="265"/>
  <c r="V41" i="265"/>
  <c r="O41" i="265"/>
  <c r="N41" i="265"/>
  <c r="Q41" i="265" s="1"/>
  <c r="M41" i="265"/>
  <c r="AB41" i="265" s="1"/>
  <c r="K41" i="265"/>
  <c r="G41" i="265"/>
  <c r="O40" i="265"/>
  <c r="K40" i="265"/>
  <c r="AB39" i="265"/>
  <c r="AA39" i="265"/>
  <c r="V39" i="265"/>
  <c r="U39" i="265"/>
  <c r="Q39" i="265"/>
  <c r="P39" i="265"/>
  <c r="O39" i="265"/>
  <c r="N39" i="265"/>
  <c r="M39" i="265"/>
  <c r="K39" i="265"/>
  <c r="G39" i="265"/>
  <c r="AB38" i="265"/>
  <c r="AA38" i="265"/>
  <c r="V38" i="265"/>
  <c r="U38" i="265"/>
  <c r="O38" i="265"/>
  <c r="N38" i="265"/>
  <c r="Q38" i="265" s="1"/>
  <c r="M38" i="265"/>
  <c r="K38" i="265"/>
  <c r="G38" i="265"/>
  <c r="AA37" i="265"/>
  <c r="V37" i="265"/>
  <c r="U37" i="265"/>
  <c r="O37" i="265"/>
  <c r="M37" i="265"/>
  <c r="N37" i="265" s="1"/>
  <c r="K37" i="265"/>
  <c r="G37" i="265"/>
  <c r="AA36" i="265"/>
  <c r="V36" i="265"/>
  <c r="U36" i="265"/>
  <c r="O36" i="265"/>
  <c r="N36" i="265"/>
  <c r="Q36" i="265" s="1"/>
  <c r="M36" i="265"/>
  <c r="AB36" i="265" s="1"/>
  <c r="K36" i="265"/>
  <c r="G36" i="265"/>
  <c r="V35" i="265"/>
  <c r="U35" i="265"/>
  <c r="Q35" i="265"/>
  <c r="O35" i="265"/>
  <c r="N35" i="265"/>
  <c r="P35" i="265" s="1"/>
  <c r="M35" i="265"/>
  <c r="AB35" i="265" s="1"/>
  <c r="K35" i="265"/>
  <c r="G35" i="265"/>
  <c r="V34" i="265"/>
  <c r="Q34" i="265"/>
  <c r="O34" i="265"/>
  <c r="N34" i="265"/>
  <c r="P34" i="265" s="1"/>
  <c r="M34" i="265"/>
  <c r="AB34" i="265" s="1"/>
  <c r="K34" i="265"/>
  <c r="G34" i="265"/>
  <c r="O33" i="265"/>
  <c r="N33" i="265"/>
  <c r="Q33" i="265" s="1"/>
  <c r="R28" i="265" s="1"/>
  <c r="M33" i="265"/>
  <c r="AB33" i="265" s="1"/>
  <c r="AC28" i="265" s="1"/>
  <c r="K33" i="265"/>
  <c r="AB32" i="265"/>
  <c r="AA32" i="265"/>
  <c r="V32" i="265"/>
  <c r="U32" i="265"/>
  <c r="O32" i="265"/>
  <c r="N32" i="265"/>
  <c r="Q32" i="265" s="1"/>
  <c r="M32" i="265"/>
  <c r="K32" i="265"/>
  <c r="G32" i="265"/>
  <c r="AB31" i="265"/>
  <c r="AA31" i="265"/>
  <c r="V31" i="265"/>
  <c r="U31" i="265"/>
  <c r="Q31" i="265"/>
  <c r="P31" i="265"/>
  <c r="O31" i="265"/>
  <c r="N31" i="265"/>
  <c r="M31" i="265"/>
  <c r="K31" i="265"/>
  <c r="G31" i="265"/>
  <c r="AB30" i="265"/>
  <c r="AA30" i="265"/>
  <c r="V30" i="265"/>
  <c r="U30" i="265"/>
  <c r="Q30" i="265"/>
  <c r="P30" i="265"/>
  <c r="O30" i="265"/>
  <c r="N30" i="265"/>
  <c r="M30" i="265"/>
  <c r="K30" i="265"/>
  <c r="G30" i="265"/>
  <c r="AB29" i="265"/>
  <c r="AA29" i="265"/>
  <c r="V29" i="265"/>
  <c r="U29" i="265"/>
  <c r="Q29" i="265"/>
  <c r="P29" i="265"/>
  <c r="O29" i="265"/>
  <c r="N29" i="265"/>
  <c r="M29" i="265"/>
  <c r="K29" i="265"/>
  <c r="G29" i="265"/>
  <c r="AB28" i="265"/>
  <c r="AA28" i="265"/>
  <c r="V28" i="265"/>
  <c r="Q28" i="265"/>
  <c r="P28" i="265"/>
  <c r="O28" i="265"/>
  <c r="N28" i="265"/>
  <c r="M28" i="265"/>
  <c r="K28" i="265"/>
  <c r="G28" i="265"/>
  <c r="O27" i="265"/>
  <c r="K27" i="265"/>
  <c r="V26" i="265"/>
  <c r="U26" i="265"/>
  <c r="O26" i="265"/>
  <c r="M26" i="265"/>
  <c r="N26" i="265" s="1"/>
  <c r="K26" i="265"/>
  <c r="G26" i="265"/>
  <c r="AB25" i="265"/>
  <c r="AA25" i="265"/>
  <c r="V25" i="265"/>
  <c r="U25" i="265"/>
  <c r="Q25" i="265"/>
  <c r="P25" i="265"/>
  <c r="O25" i="265"/>
  <c r="N25" i="265"/>
  <c r="M25" i="265"/>
  <c r="K25" i="265"/>
  <c r="G25" i="265"/>
  <c r="AA24" i="265"/>
  <c r="V24" i="265"/>
  <c r="U24" i="265"/>
  <c r="O24" i="265"/>
  <c r="N24" i="265"/>
  <c r="Q24" i="265" s="1"/>
  <c r="M24" i="265"/>
  <c r="M27" i="265" s="1"/>
  <c r="K24" i="265"/>
  <c r="G24" i="265"/>
  <c r="AB23" i="265"/>
  <c r="AA23" i="265"/>
  <c r="V23" i="265"/>
  <c r="U23" i="265"/>
  <c r="Q23" i="265"/>
  <c r="P23" i="265"/>
  <c r="O23" i="265"/>
  <c r="N23" i="265"/>
  <c r="M23" i="265"/>
  <c r="K23" i="265"/>
  <c r="G23" i="265"/>
  <c r="AB22" i="265"/>
  <c r="AA22" i="265"/>
  <c r="V22" i="265"/>
  <c r="U22" i="265"/>
  <c r="O22" i="265"/>
  <c r="N22" i="265"/>
  <c r="Q22" i="265" s="1"/>
  <c r="M22" i="265"/>
  <c r="K22" i="265"/>
  <c r="G22" i="265"/>
  <c r="AB21" i="265"/>
  <c r="AA21" i="265"/>
  <c r="V21" i="265"/>
  <c r="U21" i="265"/>
  <c r="Q21" i="265"/>
  <c r="P21" i="265"/>
  <c r="O21" i="265"/>
  <c r="N21" i="265"/>
  <c r="M21" i="265"/>
  <c r="K21" i="265"/>
  <c r="G21" i="265"/>
  <c r="AB20" i="265"/>
  <c r="AA20" i="265"/>
  <c r="V20" i="265"/>
  <c r="U20" i="265"/>
  <c r="Q20" i="265"/>
  <c r="P20" i="265"/>
  <c r="O20" i="265"/>
  <c r="N20" i="265"/>
  <c r="M20" i="265"/>
  <c r="K20" i="265"/>
  <c r="G20" i="265"/>
  <c r="AB19" i="265"/>
  <c r="AA19" i="265"/>
  <c r="V19" i="265"/>
  <c r="Q19" i="265"/>
  <c r="P19" i="265"/>
  <c r="O19" i="265"/>
  <c r="N19" i="265"/>
  <c r="M19" i="265"/>
  <c r="K19" i="265"/>
  <c r="G19" i="265"/>
  <c r="AB18" i="265"/>
  <c r="AC13" i="265" s="1"/>
  <c r="O18" i="265"/>
  <c r="M18" i="265"/>
  <c r="AA18" i="265" s="1"/>
  <c r="K18" i="265"/>
  <c r="V17" i="265"/>
  <c r="U17" i="265"/>
  <c r="Q17" i="265"/>
  <c r="O17" i="265"/>
  <c r="N17" i="265"/>
  <c r="P17" i="265" s="1"/>
  <c r="M17" i="265"/>
  <c r="AB17" i="265" s="1"/>
  <c r="K17" i="265"/>
  <c r="G17" i="265"/>
  <c r="V16" i="265"/>
  <c r="U16" i="265"/>
  <c r="O16" i="265"/>
  <c r="M16" i="265"/>
  <c r="N16" i="265" s="1"/>
  <c r="K16" i="265"/>
  <c r="G16" i="265"/>
  <c r="AB15" i="265"/>
  <c r="AA15" i="265"/>
  <c r="V15" i="265"/>
  <c r="U15" i="265"/>
  <c r="P15" i="265"/>
  <c r="O15" i="265"/>
  <c r="N15" i="265"/>
  <c r="Q15" i="265" s="1"/>
  <c r="M15" i="265"/>
  <c r="K15" i="265"/>
  <c r="G15" i="265"/>
  <c r="AA14" i="265"/>
  <c r="V14" i="265"/>
  <c r="U14" i="265"/>
  <c r="O14" i="265"/>
  <c r="N14" i="265"/>
  <c r="Q14" i="265" s="1"/>
  <c r="M14" i="265"/>
  <c r="AB14" i="265" s="1"/>
  <c r="K14" i="265"/>
  <c r="G14" i="265"/>
  <c r="AA13" i="265"/>
  <c r="V13" i="265"/>
  <c r="O13" i="265"/>
  <c r="N13" i="265"/>
  <c r="Q13" i="265" s="1"/>
  <c r="M13" i="265"/>
  <c r="AB13" i="265" s="1"/>
  <c r="K13" i="265"/>
  <c r="G13" i="265"/>
  <c r="AB12" i="265"/>
  <c r="AC9" i="265" s="1"/>
  <c r="AA12" i="265"/>
  <c r="Q12" i="265"/>
  <c r="R9" i="265" s="1"/>
  <c r="P12" i="265"/>
  <c r="O12" i="265"/>
  <c r="N12" i="265"/>
  <c r="M12" i="265"/>
  <c r="K12" i="265"/>
  <c r="AB11" i="265"/>
  <c r="AA11" i="265"/>
  <c r="V11" i="265"/>
  <c r="U11" i="265"/>
  <c r="Q11" i="265"/>
  <c r="P11" i="265"/>
  <c r="O11" i="265"/>
  <c r="N11" i="265"/>
  <c r="M11" i="265"/>
  <c r="K11" i="265"/>
  <c r="G11" i="265"/>
  <c r="AB10" i="265"/>
  <c r="AA10" i="265"/>
  <c r="V10" i="265"/>
  <c r="U10" i="265"/>
  <c r="O10" i="265"/>
  <c r="N10" i="265"/>
  <c r="Q10" i="265" s="1"/>
  <c r="M10" i="265"/>
  <c r="K10" i="265"/>
  <c r="G10" i="265"/>
  <c r="AB9" i="265"/>
  <c r="AA9" i="265"/>
  <c r="V9" i="265"/>
  <c r="O9" i="265"/>
  <c r="N9" i="265"/>
  <c r="Q9" i="265" s="1"/>
  <c r="M9" i="265"/>
  <c r="K9" i="265"/>
  <c r="G9" i="265"/>
  <c r="AA8" i="265"/>
  <c r="Q8" i="265"/>
  <c r="R5" i="265" s="1"/>
  <c r="O8" i="265"/>
  <c r="N8" i="265"/>
  <c r="P8" i="265" s="1"/>
  <c r="M8" i="265"/>
  <c r="AB8" i="265" s="1"/>
  <c r="AC5" i="265" s="1"/>
  <c r="K8" i="265"/>
  <c r="AB7" i="265"/>
  <c r="AA7" i="265"/>
  <c r="V7" i="265"/>
  <c r="U7" i="265"/>
  <c r="P7" i="265"/>
  <c r="O7" i="265"/>
  <c r="N7" i="265"/>
  <c r="Q7" i="265" s="1"/>
  <c r="M7" i="265"/>
  <c r="K7" i="265"/>
  <c r="G7" i="265"/>
  <c r="AA6" i="265"/>
  <c r="V6" i="265"/>
  <c r="U6" i="265"/>
  <c r="O6" i="265"/>
  <c r="N6" i="265"/>
  <c r="Q6" i="265" s="1"/>
  <c r="M6" i="265"/>
  <c r="AB6" i="265" s="1"/>
  <c r="K6" i="265"/>
  <c r="G6" i="265"/>
  <c r="AA5" i="265"/>
  <c r="V5" i="265"/>
  <c r="O5" i="265"/>
  <c r="N5" i="265"/>
  <c r="Q5" i="265" s="1"/>
  <c r="M5" i="265"/>
  <c r="AB5" i="265" s="1"/>
  <c r="K5" i="265"/>
  <c r="G5" i="265"/>
  <c r="H2" i="265"/>
  <c r="F2" i="265"/>
  <c r="H1" i="265"/>
  <c r="F1" i="265"/>
  <c r="D1" i="265"/>
  <c r="M18" i="264"/>
  <c r="L18" i="264"/>
  <c r="K18" i="264"/>
  <c r="J18" i="264"/>
  <c r="I18" i="264"/>
  <c r="H18" i="264"/>
  <c r="G18" i="264"/>
  <c r="F18" i="264"/>
  <c r="E18" i="264"/>
  <c r="D18" i="264"/>
  <c r="M17" i="264"/>
  <c r="L17" i="264"/>
  <c r="K17" i="264"/>
  <c r="J17" i="264"/>
  <c r="I17" i="264"/>
  <c r="H17" i="264"/>
  <c r="G17" i="264"/>
  <c r="F17" i="264"/>
  <c r="E17" i="264"/>
  <c r="D17" i="264"/>
  <c r="M16" i="264"/>
  <c r="L16" i="264"/>
  <c r="K16" i="264"/>
  <c r="J16" i="264"/>
  <c r="I16" i="264"/>
  <c r="H16" i="264"/>
  <c r="G16" i="264"/>
  <c r="F16" i="264"/>
  <c r="E16" i="264"/>
  <c r="D16" i="264"/>
  <c r="K14" i="264"/>
  <c r="I14" i="264"/>
  <c r="I15" i="264" s="1"/>
  <c r="E14" i="264"/>
  <c r="E15" i="264" s="1"/>
  <c r="D14" i="264"/>
  <c r="D15" i="264" s="1"/>
  <c r="M13" i="264"/>
  <c r="L13" i="264"/>
  <c r="K13" i="264"/>
  <c r="J13" i="264"/>
  <c r="I13" i="264"/>
  <c r="H13" i="264"/>
  <c r="G13" i="264"/>
  <c r="F13" i="264"/>
  <c r="E13" i="264"/>
  <c r="D13" i="264"/>
  <c r="I6" i="264"/>
  <c r="G6" i="264"/>
  <c r="F6" i="264"/>
  <c r="E6" i="264"/>
  <c r="I3" i="264"/>
  <c r="F3" i="264"/>
  <c r="C3" i="264"/>
  <c r="F7" i="270" l="1"/>
  <c r="E7" i="270"/>
  <c r="G7" i="270"/>
  <c r="G8" i="270"/>
  <c r="F8" i="270"/>
  <c r="E8" i="270"/>
  <c r="P66" i="269"/>
  <c r="Q66" i="269"/>
  <c r="R59" i="269" s="1"/>
  <c r="J14" i="268"/>
  <c r="J15" i="268" s="1"/>
  <c r="Q18" i="269"/>
  <c r="R14" i="269" s="1"/>
  <c r="P18" i="269"/>
  <c r="F14" i="268"/>
  <c r="F15" i="268" s="1"/>
  <c r="Q13" i="269"/>
  <c r="R9" i="269" s="1"/>
  <c r="E14" i="268"/>
  <c r="P13" i="269"/>
  <c r="D2" i="269"/>
  <c r="D15" i="266"/>
  <c r="Q46" i="267"/>
  <c r="R40" i="267" s="1"/>
  <c r="P46" i="267"/>
  <c r="H14" i="266"/>
  <c r="H15" i="266" s="1"/>
  <c r="Q64" i="267"/>
  <c r="R59" i="267" s="1"/>
  <c r="M14" i="266"/>
  <c r="M15" i="266" s="1"/>
  <c r="I8" i="266" s="1"/>
  <c r="P64" i="267"/>
  <c r="Q44" i="265"/>
  <c r="P44" i="265"/>
  <c r="Q37" i="265"/>
  <c r="P37" i="265"/>
  <c r="P63" i="265"/>
  <c r="Q63" i="265"/>
  <c r="Q26" i="265"/>
  <c r="P26" i="265"/>
  <c r="Q55" i="265"/>
  <c r="P55" i="265"/>
  <c r="Q62" i="265"/>
  <c r="P62" i="265"/>
  <c r="N27" i="265"/>
  <c r="AB27" i="265"/>
  <c r="AC19" i="265" s="1"/>
  <c r="AA27" i="265"/>
  <c r="Q16" i="265"/>
  <c r="P16" i="265"/>
  <c r="P5" i="265"/>
  <c r="P6" i="265"/>
  <c r="P13" i="265"/>
  <c r="P14" i="265"/>
  <c r="P24" i="265"/>
  <c r="P33" i="265"/>
  <c r="AB37" i="265"/>
  <c r="M40" i="265"/>
  <c r="P41" i="265"/>
  <c r="P42" i="265"/>
  <c r="AB55" i="265"/>
  <c r="N59" i="265"/>
  <c r="AA17" i="265"/>
  <c r="AA34" i="265"/>
  <c r="AA35" i="265"/>
  <c r="AA45" i="265"/>
  <c r="AA52" i="265"/>
  <c r="AA63" i="265"/>
  <c r="AA16" i="265"/>
  <c r="P22" i="265"/>
  <c r="AA26" i="265"/>
  <c r="P32" i="265"/>
  <c r="AA33" i="265"/>
  <c r="AA44" i="265"/>
  <c r="P50" i="265"/>
  <c r="AA62" i="265"/>
  <c r="AB63" i="265"/>
  <c r="AB16" i="265"/>
  <c r="AB26" i="265"/>
  <c r="AB44" i="265"/>
  <c r="M47" i="265"/>
  <c r="AB62" i="265"/>
  <c r="M65" i="265"/>
  <c r="K15" i="264"/>
  <c r="AA59" i="265"/>
  <c r="N18" i="265"/>
  <c r="AB24" i="265"/>
  <c r="P9" i="265"/>
  <c r="P10" i="265"/>
  <c r="P38" i="265"/>
  <c r="P56" i="265"/>
  <c r="P36" i="265"/>
  <c r="P46" i="265"/>
  <c r="P53" i="265"/>
  <c r="P54" i="265"/>
  <c r="P64" i="265"/>
  <c r="O73" i="263"/>
  <c r="K73" i="263"/>
  <c r="AB72" i="263"/>
  <c r="V72" i="263"/>
  <c r="U72" i="263"/>
  <c r="O72" i="263"/>
  <c r="M72" i="263"/>
  <c r="N72" i="263" s="1"/>
  <c r="Q72" i="263" s="1"/>
  <c r="K72" i="263"/>
  <c r="G72" i="263"/>
  <c r="AB71" i="263"/>
  <c r="AA71" i="263"/>
  <c r="V71" i="263"/>
  <c r="U71" i="263"/>
  <c r="O71" i="263"/>
  <c r="M71" i="263"/>
  <c r="N71" i="263" s="1"/>
  <c r="K71" i="263"/>
  <c r="G71" i="263"/>
  <c r="AB70" i="263"/>
  <c r="AA70" i="263"/>
  <c r="V70" i="263"/>
  <c r="U70" i="263"/>
  <c r="O70" i="263"/>
  <c r="N70" i="263"/>
  <c r="M70" i="263"/>
  <c r="K70" i="263"/>
  <c r="G70" i="263"/>
  <c r="V69" i="263"/>
  <c r="U69" i="263"/>
  <c r="O69" i="263"/>
  <c r="M69" i="263"/>
  <c r="K69" i="263"/>
  <c r="G69" i="263"/>
  <c r="V68" i="263"/>
  <c r="U68" i="263"/>
  <c r="O68" i="263"/>
  <c r="M68" i="263"/>
  <c r="AB68" i="263" s="1"/>
  <c r="K68" i="263"/>
  <c r="G68" i="263"/>
  <c r="V67" i="263"/>
  <c r="O67" i="263"/>
  <c r="M67" i="263"/>
  <c r="AB67" i="263" s="1"/>
  <c r="K67" i="263"/>
  <c r="G67" i="263"/>
  <c r="O66" i="263"/>
  <c r="K66" i="263"/>
  <c r="AB65" i="263"/>
  <c r="AA65" i="263"/>
  <c r="V65" i="263"/>
  <c r="U65" i="263"/>
  <c r="O65" i="263"/>
  <c r="N65" i="263"/>
  <c r="Q65" i="263" s="1"/>
  <c r="M65" i="263"/>
  <c r="K65" i="263"/>
  <c r="G65" i="263"/>
  <c r="AB64" i="263"/>
  <c r="AA64" i="263"/>
  <c r="V64" i="263"/>
  <c r="U64" i="263"/>
  <c r="Q64" i="263"/>
  <c r="P64" i="263"/>
  <c r="O64" i="263"/>
  <c r="N64" i="263"/>
  <c r="M64" i="263"/>
  <c r="K64" i="263"/>
  <c r="G64" i="263"/>
  <c r="AB63" i="263"/>
  <c r="AA63" i="263"/>
  <c r="V63" i="263"/>
  <c r="U63" i="263"/>
  <c r="Q63" i="263"/>
  <c r="P63" i="263"/>
  <c r="O63" i="263"/>
  <c r="N63" i="263"/>
  <c r="M63" i="263"/>
  <c r="K63" i="263"/>
  <c r="G63" i="263"/>
  <c r="AB62" i="263"/>
  <c r="V62" i="263"/>
  <c r="U62" i="263"/>
  <c r="O62" i="263"/>
  <c r="M62" i="263"/>
  <c r="N62" i="263" s="1"/>
  <c r="Q62" i="263" s="1"/>
  <c r="K62" i="263"/>
  <c r="G62" i="263"/>
  <c r="AB61" i="263"/>
  <c r="AA61" i="263"/>
  <c r="V61" i="263"/>
  <c r="U61" i="263"/>
  <c r="O61" i="263"/>
  <c r="M61" i="263"/>
  <c r="N61" i="263" s="1"/>
  <c r="K61" i="263"/>
  <c r="G61" i="263"/>
  <c r="AB60" i="263"/>
  <c r="AA60" i="263"/>
  <c r="V60" i="263"/>
  <c r="U60" i="263"/>
  <c r="O60" i="263"/>
  <c r="N60" i="263"/>
  <c r="M60" i="263"/>
  <c r="K60" i="263"/>
  <c r="G60" i="263"/>
  <c r="AB59" i="263"/>
  <c r="AA59" i="263"/>
  <c r="V59" i="263"/>
  <c r="O59" i="263"/>
  <c r="N59" i="263"/>
  <c r="M59" i="263"/>
  <c r="K59" i="263"/>
  <c r="G59" i="263"/>
  <c r="AB58" i="263"/>
  <c r="AC54" i="263" s="1"/>
  <c r="AA58" i="263"/>
  <c r="O58" i="263"/>
  <c r="M58" i="263"/>
  <c r="N58" i="263" s="1"/>
  <c r="I14" i="262" s="1"/>
  <c r="I15" i="262" s="1"/>
  <c r="K58" i="263"/>
  <c r="AB57" i="263"/>
  <c r="AA57" i="263"/>
  <c r="V57" i="263"/>
  <c r="U57" i="263"/>
  <c r="O57" i="263"/>
  <c r="N57" i="263"/>
  <c r="M57" i="263"/>
  <c r="K57" i="263"/>
  <c r="G57" i="263"/>
  <c r="AB56" i="263"/>
  <c r="AA56" i="263"/>
  <c r="V56" i="263"/>
  <c r="U56" i="263"/>
  <c r="Q56" i="263"/>
  <c r="P56" i="263"/>
  <c r="O56" i="263"/>
  <c r="N56" i="263"/>
  <c r="M56" i="263"/>
  <c r="K56" i="263"/>
  <c r="G56" i="263"/>
  <c r="AB55" i="263"/>
  <c r="AA55" i="263"/>
  <c r="V55" i="263"/>
  <c r="U55" i="263"/>
  <c r="O55" i="263"/>
  <c r="N55" i="263"/>
  <c r="M55" i="263"/>
  <c r="K55" i="263"/>
  <c r="G55" i="263"/>
  <c r="AB54" i="263"/>
  <c r="AA54" i="263"/>
  <c r="V54" i="263"/>
  <c r="O54" i="263"/>
  <c r="N54" i="263"/>
  <c r="M54" i="263"/>
  <c r="K54" i="263"/>
  <c r="G54" i="263"/>
  <c r="O53" i="263"/>
  <c r="K53" i="263"/>
  <c r="AB52" i="263"/>
  <c r="AA52" i="263"/>
  <c r="V52" i="263"/>
  <c r="U52" i="263"/>
  <c r="O52" i="263"/>
  <c r="N52" i="263"/>
  <c r="M52" i="263"/>
  <c r="K52" i="263"/>
  <c r="G52" i="263"/>
  <c r="V51" i="263"/>
  <c r="U51" i="263"/>
  <c r="O51" i="263"/>
  <c r="M51" i="263"/>
  <c r="K51" i="263"/>
  <c r="G51" i="263"/>
  <c r="V50" i="263"/>
  <c r="U50" i="263"/>
  <c r="O50" i="263"/>
  <c r="M50" i="263"/>
  <c r="K50" i="263"/>
  <c r="G50" i="263"/>
  <c r="AA49" i="263"/>
  <c r="V49" i="263"/>
  <c r="U49" i="263"/>
  <c r="O49" i="263"/>
  <c r="M49" i="263"/>
  <c r="AB49" i="263" s="1"/>
  <c r="K49" i="263"/>
  <c r="G49" i="263"/>
  <c r="AB48" i="263"/>
  <c r="AA48" i="263"/>
  <c r="V48" i="263"/>
  <c r="U48" i="263"/>
  <c r="Q48" i="263"/>
  <c r="P48" i="263"/>
  <c r="O48" i="263"/>
  <c r="N48" i="263"/>
  <c r="M48" i="263"/>
  <c r="K48" i="263"/>
  <c r="G48" i="263"/>
  <c r="AB47" i="263"/>
  <c r="AA47" i="263"/>
  <c r="V47" i="263"/>
  <c r="U47" i="263"/>
  <c r="P47" i="263"/>
  <c r="O47" i="263"/>
  <c r="N47" i="263"/>
  <c r="Q47" i="263" s="1"/>
  <c r="M47" i="263"/>
  <c r="K47" i="263"/>
  <c r="G47" i="263"/>
  <c r="AB46" i="263"/>
  <c r="AA46" i="263"/>
  <c r="V46" i="263"/>
  <c r="U46" i="263"/>
  <c r="Q46" i="263"/>
  <c r="P46" i="263"/>
  <c r="O46" i="263"/>
  <c r="N46" i="263"/>
  <c r="M46" i="263"/>
  <c r="K46" i="263"/>
  <c r="G46" i="263"/>
  <c r="AB45" i="263"/>
  <c r="AA45" i="263"/>
  <c r="V45" i="263"/>
  <c r="Q45" i="263"/>
  <c r="P45" i="263"/>
  <c r="O45" i="263"/>
  <c r="N45" i="263"/>
  <c r="M45" i="263"/>
  <c r="K45" i="263"/>
  <c r="G45" i="263"/>
  <c r="O44" i="263"/>
  <c r="K44" i="263"/>
  <c r="AB43" i="263"/>
  <c r="AA43" i="263"/>
  <c r="V43" i="263"/>
  <c r="U43" i="263"/>
  <c r="O43" i="263"/>
  <c r="M43" i="263"/>
  <c r="N43" i="263" s="1"/>
  <c r="K43" i="263"/>
  <c r="G43" i="263"/>
  <c r="AB42" i="263"/>
  <c r="AA42" i="263"/>
  <c r="V42" i="263"/>
  <c r="U42" i="263"/>
  <c r="O42" i="263"/>
  <c r="N42" i="263"/>
  <c r="M42" i="263"/>
  <c r="K42" i="263"/>
  <c r="G42" i="263"/>
  <c r="V41" i="263"/>
  <c r="U41" i="263"/>
  <c r="O41" i="263"/>
  <c r="M41" i="263"/>
  <c r="K41" i="263"/>
  <c r="G41" i="263"/>
  <c r="V40" i="263"/>
  <c r="U40" i="263"/>
  <c r="O40" i="263"/>
  <c r="M40" i="263"/>
  <c r="AB40" i="263" s="1"/>
  <c r="K40" i="263"/>
  <c r="G40" i="263"/>
  <c r="AA39" i="263"/>
  <c r="V39" i="263"/>
  <c r="U39" i="263"/>
  <c r="O39" i="263"/>
  <c r="M39" i="263"/>
  <c r="AB39" i="263" s="1"/>
  <c r="K39" i="263"/>
  <c r="G39" i="263"/>
  <c r="AB38" i="263"/>
  <c r="AA38" i="263"/>
  <c r="V38" i="263"/>
  <c r="U38" i="263"/>
  <c r="Q38" i="263"/>
  <c r="P38" i="263"/>
  <c r="O38" i="263"/>
  <c r="N38" i="263"/>
  <c r="M38" i="263"/>
  <c r="K38" i="263"/>
  <c r="G38" i="263"/>
  <c r="AB37" i="263"/>
  <c r="AA37" i="263"/>
  <c r="V37" i="263"/>
  <c r="Q37" i="263"/>
  <c r="P37" i="263"/>
  <c r="O37" i="263"/>
  <c r="N37" i="263"/>
  <c r="M37" i="263"/>
  <c r="K37" i="263"/>
  <c r="G37" i="263"/>
  <c r="O36" i="263"/>
  <c r="K36" i="263"/>
  <c r="AB35" i="263"/>
  <c r="AA35" i="263"/>
  <c r="V35" i="263"/>
  <c r="U35" i="263"/>
  <c r="Q35" i="263"/>
  <c r="P35" i="263"/>
  <c r="O35" i="263"/>
  <c r="N35" i="263"/>
  <c r="M35" i="263"/>
  <c r="K35" i="263"/>
  <c r="G35" i="263"/>
  <c r="AB34" i="263"/>
  <c r="V34" i="263"/>
  <c r="U34" i="263"/>
  <c r="O34" i="263"/>
  <c r="M34" i="263"/>
  <c r="N34" i="263" s="1"/>
  <c r="Q34" i="263" s="1"/>
  <c r="K34" i="263"/>
  <c r="G34" i="263"/>
  <c r="AB33" i="263"/>
  <c r="AA33" i="263"/>
  <c r="V33" i="263"/>
  <c r="U33" i="263"/>
  <c r="O33" i="263"/>
  <c r="M33" i="263"/>
  <c r="N33" i="263" s="1"/>
  <c r="K33" i="263"/>
  <c r="G33" i="263"/>
  <c r="AB32" i="263"/>
  <c r="AA32" i="263"/>
  <c r="V32" i="263"/>
  <c r="U32" i="263"/>
  <c r="O32" i="263"/>
  <c r="N32" i="263"/>
  <c r="M32" i="263"/>
  <c r="K32" i="263"/>
  <c r="G32" i="263"/>
  <c r="V31" i="263"/>
  <c r="U31" i="263"/>
  <c r="O31" i="263"/>
  <c r="M31" i="263"/>
  <c r="AA31" i="263" s="1"/>
  <c r="K31" i="263"/>
  <c r="G31" i="263"/>
  <c r="V30" i="263"/>
  <c r="U30" i="263"/>
  <c r="O30" i="263"/>
  <c r="M30" i="263"/>
  <c r="AB30" i="263" s="1"/>
  <c r="K30" i="263"/>
  <c r="G30" i="263"/>
  <c r="V29" i="263"/>
  <c r="O29" i="263"/>
  <c r="M29" i="263"/>
  <c r="AB29" i="263" s="1"/>
  <c r="K29" i="263"/>
  <c r="G29" i="263"/>
  <c r="O28" i="263"/>
  <c r="K28" i="263"/>
  <c r="AB27" i="263"/>
  <c r="AA27" i="263"/>
  <c r="V27" i="263"/>
  <c r="U27" i="263"/>
  <c r="O27" i="263"/>
  <c r="N27" i="263"/>
  <c r="M27" i="263"/>
  <c r="K27" i="263"/>
  <c r="G27" i="263"/>
  <c r="AB26" i="263"/>
  <c r="AA26" i="263"/>
  <c r="V26" i="263"/>
  <c r="U26" i="263"/>
  <c r="Q26" i="263"/>
  <c r="P26" i="263"/>
  <c r="O26" i="263"/>
  <c r="N26" i="263"/>
  <c r="M26" i="263"/>
  <c r="K26" i="263"/>
  <c r="G26" i="263"/>
  <c r="AB25" i="263"/>
  <c r="AA25" i="263"/>
  <c r="V25" i="263"/>
  <c r="U25" i="263"/>
  <c r="Q25" i="263"/>
  <c r="P25" i="263"/>
  <c r="O25" i="263"/>
  <c r="N25" i="263"/>
  <c r="M25" i="263"/>
  <c r="K25" i="263"/>
  <c r="G25" i="263"/>
  <c r="AB24" i="263"/>
  <c r="V24" i="263"/>
  <c r="U24" i="263"/>
  <c r="P24" i="263"/>
  <c r="O24" i="263"/>
  <c r="M24" i="263"/>
  <c r="N24" i="263" s="1"/>
  <c r="Q24" i="263" s="1"/>
  <c r="K24" i="263"/>
  <c r="G24" i="263"/>
  <c r="AB23" i="263"/>
  <c r="AA23" i="263"/>
  <c r="V23" i="263"/>
  <c r="U23" i="263"/>
  <c r="O23" i="263"/>
  <c r="M23" i="263"/>
  <c r="N23" i="263" s="1"/>
  <c r="K23" i="263"/>
  <c r="G23" i="263"/>
  <c r="AB22" i="263"/>
  <c r="AA22" i="263"/>
  <c r="V22" i="263"/>
  <c r="U22" i="263"/>
  <c r="O22" i="263"/>
  <c r="N22" i="263"/>
  <c r="M22" i="263"/>
  <c r="K22" i="263"/>
  <c r="G22" i="263"/>
  <c r="V21" i="263"/>
  <c r="U21" i="263"/>
  <c r="O21" i="263"/>
  <c r="M21" i="263"/>
  <c r="K21" i="263"/>
  <c r="G21" i="263"/>
  <c r="AA20" i="263"/>
  <c r="V20" i="263"/>
  <c r="O20" i="263"/>
  <c r="M20" i="263"/>
  <c r="K20" i="263"/>
  <c r="G20" i="263"/>
  <c r="AB19" i="263"/>
  <c r="AA19" i="263"/>
  <c r="Q19" i="263"/>
  <c r="R14" i="263" s="1"/>
  <c r="P19" i="263"/>
  <c r="O19" i="263"/>
  <c r="N19" i="263"/>
  <c r="M19" i="263"/>
  <c r="K19" i="263"/>
  <c r="AB18" i="263"/>
  <c r="AA18" i="263"/>
  <c r="V18" i="263"/>
  <c r="U18" i="263"/>
  <c r="Q18" i="263"/>
  <c r="P18" i="263"/>
  <c r="O18" i="263"/>
  <c r="N18" i="263"/>
  <c r="M18" i="263"/>
  <c r="K18" i="263"/>
  <c r="G18" i="263"/>
  <c r="AB17" i="263"/>
  <c r="AA17" i="263"/>
  <c r="V17" i="263"/>
  <c r="U17" i="263"/>
  <c r="O17" i="263"/>
  <c r="N17" i="263"/>
  <c r="M17" i="263"/>
  <c r="K17" i="263"/>
  <c r="G17" i="263"/>
  <c r="AB16" i="263"/>
  <c r="AA16" i="263"/>
  <c r="V16" i="263"/>
  <c r="U16" i="263"/>
  <c r="Q16" i="263"/>
  <c r="P16" i="263"/>
  <c r="O16" i="263"/>
  <c r="N16" i="263"/>
  <c r="M16" i="263"/>
  <c r="K16" i="263"/>
  <c r="G16" i="263"/>
  <c r="AB15" i="263"/>
  <c r="AA15" i="263"/>
  <c r="V15" i="263"/>
  <c r="U15" i="263"/>
  <c r="Q15" i="263"/>
  <c r="P15" i="263"/>
  <c r="O15" i="263"/>
  <c r="N15" i="263"/>
  <c r="M15" i="263"/>
  <c r="K15" i="263"/>
  <c r="G15" i="263"/>
  <c r="AC14" i="263"/>
  <c r="AB14" i="263"/>
  <c r="AA14" i="263"/>
  <c r="V14" i="263"/>
  <c r="Q14" i="263"/>
  <c r="P14" i="263"/>
  <c r="O14" i="263"/>
  <c r="N14" i="263"/>
  <c r="M14" i="263"/>
  <c r="K14" i="263"/>
  <c r="G14" i="263"/>
  <c r="O13" i="263"/>
  <c r="K13" i="263"/>
  <c r="V12" i="263"/>
  <c r="U12" i="263"/>
  <c r="O12" i="263"/>
  <c r="M12" i="263"/>
  <c r="AB12" i="263" s="1"/>
  <c r="K12" i="263"/>
  <c r="G12" i="263"/>
  <c r="AA11" i="263"/>
  <c r="V11" i="263"/>
  <c r="U11" i="263"/>
  <c r="O11" i="263"/>
  <c r="M11" i="263"/>
  <c r="M13" i="263" s="1"/>
  <c r="AA13" i="263" s="1"/>
  <c r="K11" i="263"/>
  <c r="G11" i="263"/>
  <c r="AB10" i="263"/>
  <c r="AA10" i="263"/>
  <c r="V10" i="263"/>
  <c r="U10" i="263"/>
  <c r="Q10" i="263"/>
  <c r="P10" i="263"/>
  <c r="O10" i="263"/>
  <c r="N10" i="263"/>
  <c r="M10" i="263"/>
  <c r="K10" i="263"/>
  <c r="G10" i="263"/>
  <c r="AB9" i="263"/>
  <c r="AA9" i="263"/>
  <c r="V9" i="263"/>
  <c r="Q9" i="263"/>
  <c r="P9" i="263"/>
  <c r="O9" i="263"/>
  <c r="N9" i="263"/>
  <c r="M9" i="263"/>
  <c r="K9" i="263"/>
  <c r="G9" i="263"/>
  <c r="AB8" i="263"/>
  <c r="O8" i="263"/>
  <c r="M8" i="263"/>
  <c r="AA8" i="263" s="1"/>
  <c r="K8" i="263"/>
  <c r="AB7" i="263"/>
  <c r="AA7" i="263"/>
  <c r="V7" i="263"/>
  <c r="U7" i="263"/>
  <c r="Q7" i="263"/>
  <c r="P7" i="263"/>
  <c r="O7" i="263"/>
  <c r="N7" i="263"/>
  <c r="M7" i="263"/>
  <c r="K7" i="263"/>
  <c r="G7" i="263"/>
  <c r="AB6" i="263"/>
  <c r="V6" i="263"/>
  <c r="U6" i="263"/>
  <c r="O6" i="263"/>
  <c r="M6" i="263"/>
  <c r="N6" i="263" s="1"/>
  <c r="Q6" i="263" s="1"/>
  <c r="K6" i="263"/>
  <c r="G6" i="263"/>
  <c r="AC5" i="263"/>
  <c r="AB5" i="263"/>
  <c r="V5" i="263"/>
  <c r="O5" i="263"/>
  <c r="M5" i="263"/>
  <c r="N5" i="263" s="1"/>
  <c r="Q5" i="263" s="1"/>
  <c r="K5" i="263"/>
  <c r="G5" i="263"/>
  <c r="H2" i="263"/>
  <c r="F2" i="263"/>
  <c r="H1" i="263"/>
  <c r="F1" i="263"/>
  <c r="D1" i="263"/>
  <c r="M18" i="262"/>
  <c r="L18" i="262"/>
  <c r="K18" i="262"/>
  <c r="J18" i="262"/>
  <c r="I18" i="262"/>
  <c r="H18" i="262"/>
  <c r="G18" i="262"/>
  <c r="F18" i="262"/>
  <c r="E18" i="262"/>
  <c r="D18" i="262"/>
  <c r="M17" i="262"/>
  <c r="L17" i="262"/>
  <c r="K17" i="262"/>
  <c r="J17" i="262"/>
  <c r="I17" i="262"/>
  <c r="H17" i="262"/>
  <c r="G17" i="262"/>
  <c r="F17" i="262"/>
  <c r="E17" i="262"/>
  <c r="D17" i="262"/>
  <c r="M16" i="262"/>
  <c r="L16" i="262"/>
  <c r="K16" i="262"/>
  <c r="J16" i="262"/>
  <c r="I16" i="262"/>
  <c r="H16" i="262"/>
  <c r="G16" i="262"/>
  <c r="F16" i="262"/>
  <c r="E16" i="262"/>
  <c r="D16" i="262"/>
  <c r="F14" i="262"/>
  <c r="F15" i="262" s="1"/>
  <c r="M13" i="262"/>
  <c r="L13" i="262"/>
  <c r="K13" i="262"/>
  <c r="J13" i="262"/>
  <c r="I13" i="262"/>
  <c r="H13" i="262"/>
  <c r="G13" i="262"/>
  <c r="F13" i="262"/>
  <c r="E13" i="262"/>
  <c r="D13" i="262"/>
  <c r="I6" i="262"/>
  <c r="G6" i="262"/>
  <c r="F6" i="262"/>
  <c r="E6" i="262"/>
  <c r="I3" i="262"/>
  <c r="F3" i="262"/>
  <c r="C3" i="262"/>
  <c r="E15" i="268" l="1"/>
  <c r="F7" i="268"/>
  <c r="G7" i="268"/>
  <c r="E7" i="268"/>
  <c r="I7" i="266"/>
  <c r="F8" i="266"/>
  <c r="E8" i="266"/>
  <c r="G8" i="266"/>
  <c r="E7" i="266"/>
  <c r="F7" i="266"/>
  <c r="G7" i="266"/>
  <c r="Q18" i="265"/>
  <c r="R13" i="265" s="1"/>
  <c r="P18" i="265"/>
  <c r="F14" i="264"/>
  <c r="J14" i="264"/>
  <c r="J15" i="264" s="1"/>
  <c r="Q59" i="265"/>
  <c r="R53" i="265" s="1"/>
  <c r="P59" i="265"/>
  <c r="Q27" i="265"/>
  <c r="R19" i="265" s="1"/>
  <c r="P27" i="265"/>
  <c r="G14" i="264"/>
  <c r="G15" i="264" s="1"/>
  <c r="AB65" i="265"/>
  <c r="AC60" i="265" s="1"/>
  <c r="AA65" i="265"/>
  <c r="N65" i="265"/>
  <c r="AB40" i="265"/>
  <c r="AC34" i="265" s="1"/>
  <c r="AA40" i="265"/>
  <c r="N40" i="265"/>
  <c r="AB47" i="265"/>
  <c r="AC41" i="265" s="1"/>
  <c r="AA47" i="265"/>
  <c r="N47" i="265"/>
  <c r="P58" i="263"/>
  <c r="Q58" i="263"/>
  <c r="R54" i="263" s="1"/>
  <c r="N13" i="263"/>
  <c r="P34" i="263"/>
  <c r="AB41" i="263"/>
  <c r="N41" i="263"/>
  <c r="Q27" i="263"/>
  <c r="P27" i="263"/>
  <c r="Q42" i="263"/>
  <c r="P42" i="263"/>
  <c r="P6" i="263"/>
  <c r="AB21" i="263"/>
  <c r="N21" i="263"/>
  <c r="AB51" i="263"/>
  <c r="N51" i="263"/>
  <c r="Q57" i="263"/>
  <c r="P57" i="263"/>
  <c r="Q60" i="263"/>
  <c r="P60" i="263"/>
  <c r="AB69" i="263"/>
  <c r="AA69" i="263"/>
  <c r="M73" i="263"/>
  <c r="N69" i="263"/>
  <c r="AB13" i="263"/>
  <c r="AC9" i="263" s="1"/>
  <c r="Q33" i="263"/>
  <c r="P33" i="263"/>
  <c r="P72" i="263"/>
  <c r="Q54" i="263"/>
  <c r="P54" i="263"/>
  <c r="Q61" i="263"/>
  <c r="P61" i="263"/>
  <c r="Q43" i="263"/>
  <c r="P43" i="263"/>
  <c r="P71" i="263"/>
  <c r="Q71" i="263"/>
  <c r="AA21" i="263"/>
  <c r="Q59" i="263"/>
  <c r="P59" i="263"/>
  <c r="Q52" i="263"/>
  <c r="P52" i="263"/>
  <c r="AB31" i="263"/>
  <c r="N31" i="263"/>
  <c r="Q17" i="263"/>
  <c r="P17" i="263"/>
  <c r="M36" i="263"/>
  <c r="AA41" i="263"/>
  <c r="P5" i="263"/>
  <c r="Q23" i="263"/>
  <c r="P23" i="263"/>
  <c r="AA51" i="263"/>
  <c r="Q55" i="263"/>
  <c r="P55" i="263"/>
  <c r="Q70" i="263"/>
  <c r="P70" i="263"/>
  <c r="Q22" i="263"/>
  <c r="P22" i="263"/>
  <c r="N8" i="263"/>
  <c r="AB20" i="263"/>
  <c r="M28" i="263"/>
  <c r="N20" i="263"/>
  <c r="Q32" i="263"/>
  <c r="P32" i="263"/>
  <c r="M53" i="263"/>
  <c r="P62" i="263"/>
  <c r="N12" i="263"/>
  <c r="N29" i="263"/>
  <c r="N30" i="263"/>
  <c r="N40" i="263"/>
  <c r="N50" i="263"/>
  <c r="N67" i="263"/>
  <c r="N68" i="263"/>
  <c r="N11" i="263"/>
  <c r="N39" i="263"/>
  <c r="N49" i="263"/>
  <c r="AA5" i="263"/>
  <c r="AA6" i="263"/>
  <c r="AA24" i="263"/>
  <c r="AA34" i="263"/>
  <c r="AA62" i="263"/>
  <c r="M66" i="263"/>
  <c r="AA72" i="263"/>
  <c r="AA12" i="263"/>
  <c r="AA29" i="263"/>
  <c r="AA30" i="263"/>
  <c r="AA40" i="263"/>
  <c r="M44" i="263"/>
  <c r="AA50" i="263"/>
  <c r="AA67" i="263"/>
  <c r="AA68" i="263"/>
  <c r="AB50" i="263"/>
  <c r="P65" i="263"/>
  <c r="AB11" i="263"/>
  <c r="O75" i="261"/>
  <c r="K75" i="261"/>
  <c r="V74" i="261"/>
  <c r="M74" i="261" s="1"/>
  <c r="U74" i="261"/>
  <c r="O74" i="261"/>
  <c r="K74" i="261"/>
  <c r="G74" i="261"/>
  <c r="AB73" i="261"/>
  <c r="AA73" i="261"/>
  <c r="V73" i="261"/>
  <c r="U73" i="261"/>
  <c r="O73" i="261"/>
  <c r="M73" i="261"/>
  <c r="N73" i="261" s="1"/>
  <c r="K73" i="261"/>
  <c r="G73" i="261"/>
  <c r="AB72" i="261"/>
  <c r="AA72" i="261"/>
  <c r="V72" i="261"/>
  <c r="U72" i="261"/>
  <c r="Q72" i="261"/>
  <c r="P72" i="261"/>
  <c r="O72" i="261"/>
  <c r="N72" i="261"/>
  <c r="M72" i="261"/>
  <c r="K72" i="261"/>
  <c r="G72" i="261"/>
  <c r="AB71" i="261"/>
  <c r="AA71" i="261"/>
  <c r="V71" i="261"/>
  <c r="U71" i="261"/>
  <c r="O71" i="261"/>
  <c r="M71" i="261"/>
  <c r="N71" i="261" s="1"/>
  <c r="K71" i="261"/>
  <c r="G71" i="261"/>
  <c r="AB70" i="261"/>
  <c r="AA70" i="261"/>
  <c r="V70" i="261"/>
  <c r="U70" i="261"/>
  <c r="O70" i="261"/>
  <c r="N70" i="261"/>
  <c r="P70" i="261" s="1"/>
  <c r="M70" i="261"/>
  <c r="K70" i="261"/>
  <c r="G70" i="261"/>
  <c r="AB69" i="261"/>
  <c r="AA69" i="261"/>
  <c r="V69" i="261"/>
  <c r="O69" i="261"/>
  <c r="N69" i="261"/>
  <c r="P69" i="261" s="1"/>
  <c r="M69" i="261"/>
  <c r="K69" i="261"/>
  <c r="G69" i="261"/>
  <c r="O68" i="261"/>
  <c r="K68" i="261"/>
  <c r="J13" i="260" s="1"/>
  <c r="AB67" i="261"/>
  <c r="AA67" i="261"/>
  <c r="V67" i="261"/>
  <c r="U67" i="261"/>
  <c r="O67" i="261"/>
  <c r="N67" i="261"/>
  <c r="Q67" i="261" s="1"/>
  <c r="M67" i="261"/>
  <c r="K67" i="261"/>
  <c r="G67" i="261"/>
  <c r="AB66" i="261"/>
  <c r="AA66" i="261"/>
  <c r="V66" i="261"/>
  <c r="U66" i="261"/>
  <c r="Q66" i="261"/>
  <c r="P66" i="261"/>
  <c r="O66" i="261"/>
  <c r="N66" i="261"/>
  <c r="M66" i="261"/>
  <c r="K66" i="261"/>
  <c r="G66" i="261"/>
  <c r="V65" i="261"/>
  <c r="M65" i="261" s="1"/>
  <c r="U65" i="261"/>
  <c r="O65" i="261"/>
  <c r="K65" i="261"/>
  <c r="G65" i="261"/>
  <c r="V64" i="261"/>
  <c r="M64" i="261" s="1"/>
  <c r="U64" i="261"/>
  <c r="O64" i="261"/>
  <c r="K64" i="261"/>
  <c r="G64" i="261"/>
  <c r="V63" i="261"/>
  <c r="M63" i="261" s="1"/>
  <c r="U63" i="261"/>
  <c r="O63" i="261"/>
  <c r="K63" i="261"/>
  <c r="G63" i="261"/>
  <c r="AB62" i="261"/>
  <c r="AA62" i="261"/>
  <c r="V62" i="261"/>
  <c r="U62" i="261"/>
  <c r="Q62" i="261"/>
  <c r="P62" i="261"/>
  <c r="O62" i="261"/>
  <c r="N62" i="261"/>
  <c r="M62" i="261"/>
  <c r="K62" i="261"/>
  <c r="G62" i="261"/>
  <c r="AB61" i="261"/>
  <c r="AA61" i="261"/>
  <c r="V61" i="261"/>
  <c r="Q61" i="261"/>
  <c r="P61" i="261"/>
  <c r="O61" i="261"/>
  <c r="N61" i="261"/>
  <c r="M61" i="261"/>
  <c r="K61" i="261"/>
  <c r="G61" i="261"/>
  <c r="O60" i="261"/>
  <c r="M60" i="261"/>
  <c r="N60" i="261" s="1"/>
  <c r="K60" i="261"/>
  <c r="V59" i="261"/>
  <c r="U59" i="261"/>
  <c r="O59" i="261"/>
  <c r="M59" i="261"/>
  <c r="AB59" i="261" s="1"/>
  <c r="K59" i="261"/>
  <c r="G59" i="261"/>
  <c r="AB58" i="261"/>
  <c r="AA58" i="261"/>
  <c r="V58" i="261"/>
  <c r="U58" i="261"/>
  <c r="O58" i="261"/>
  <c r="N58" i="261"/>
  <c r="Q58" i="261" s="1"/>
  <c r="M58" i="261"/>
  <c r="K58" i="261"/>
  <c r="G58" i="261"/>
  <c r="AB57" i="261"/>
  <c r="AA57" i="261"/>
  <c r="V57" i="261"/>
  <c r="U57" i="261"/>
  <c r="O57" i="261"/>
  <c r="N57" i="261"/>
  <c r="Q57" i="261" s="1"/>
  <c r="M57" i="261"/>
  <c r="K57" i="261"/>
  <c r="G57" i="261"/>
  <c r="AB56" i="261"/>
  <c r="AA56" i="261"/>
  <c r="V56" i="261"/>
  <c r="O56" i="261"/>
  <c r="N56" i="261"/>
  <c r="Q56" i="261" s="1"/>
  <c r="M56" i="261"/>
  <c r="K56" i="261"/>
  <c r="G56" i="261"/>
  <c r="O55" i="261"/>
  <c r="K55" i="261"/>
  <c r="AB54" i="261"/>
  <c r="AA54" i="261"/>
  <c r="V54" i="261"/>
  <c r="U54" i="261"/>
  <c r="Q54" i="261"/>
  <c r="P54" i="261"/>
  <c r="O54" i="261"/>
  <c r="N54" i="261"/>
  <c r="M54" i="261"/>
  <c r="K54" i="261"/>
  <c r="G54" i="261"/>
  <c r="AB53" i="261"/>
  <c r="AA53" i="261"/>
  <c r="V53" i="261"/>
  <c r="U53" i="261"/>
  <c r="O53" i="261"/>
  <c r="M53" i="261"/>
  <c r="N53" i="261" s="1"/>
  <c r="K53" i="261"/>
  <c r="G53" i="261"/>
  <c r="AB52" i="261"/>
  <c r="AA52" i="261"/>
  <c r="V52" i="261"/>
  <c r="U52" i="261"/>
  <c r="O52" i="261"/>
  <c r="N52" i="261"/>
  <c r="P52" i="261" s="1"/>
  <c r="M52" i="261"/>
  <c r="K52" i="261"/>
  <c r="G52" i="261"/>
  <c r="V51" i="261"/>
  <c r="U51" i="261"/>
  <c r="O51" i="261"/>
  <c r="M51" i="261"/>
  <c r="AB51" i="261" s="1"/>
  <c r="K51" i="261"/>
  <c r="G51" i="261"/>
  <c r="V50" i="261"/>
  <c r="U50" i="261"/>
  <c r="O50" i="261"/>
  <c r="M50" i="261"/>
  <c r="AB50" i="261" s="1"/>
  <c r="K50" i="261"/>
  <c r="G50" i="261"/>
  <c r="V49" i="261"/>
  <c r="U49" i="261"/>
  <c r="O49" i="261"/>
  <c r="M49" i="261"/>
  <c r="AB49" i="261" s="1"/>
  <c r="K49" i="261"/>
  <c r="G49" i="261"/>
  <c r="AB48" i="261"/>
  <c r="AA48" i="261"/>
  <c r="V48" i="261"/>
  <c r="U48" i="261"/>
  <c r="O48" i="261"/>
  <c r="N48" i="261"/>
  <c r="Q48" i="261" s="1"/>
  <c r="M48" i="261"/>
  <c r="K48" i="261"/>
  <c r="G48" i="261"/>
  <c r="AB47" i="261"/>
  <c r="AA47" i="261"/>
  <c r="V47" i="261"/>
  <c r="O47" i="261"/>
  <c r="N47" i="261"/>
  <c r="Q47" i="261" s="1"/>
  <c r="M47" i="261"/>
  <c r="K47" i="261"/>
  <c r="G47" i="261"/>
  <c r="O46" i="261"/>
  <c r="K46" i="261"/>
  <c r="V45" i="261"/>
  <c r="M45" i="261" s="1"/>
  <c r="U45" i="261"/>
  <c r="O45" i="261"/>
  <c r="K45" i="261"/>
  <c r="G45" i="261"/>
  <c r="AB44" i="261"/>
  <c r="AA44" i="261"/>
  <c r="V44" i="261"/>
  <c r="U44" i="261"/>
  <c r="Q44" i="261"/>
  <c r="P44" i="261"/>
  <c r="O44" i="261"/>
  <c r="N44" i="261"/>
  <c r="M44" i="261"/>
  <c r="K44" i="261"/>
  <c r="G44" i="261"/>
  <c r="AB43" i="261"/>
  <c r="AA43" i="261"/>
  <c r="V43" i="261"/>
  <c r="U43" i="261"/>
  <c r="O43" i="261"/>
  <c r="M43" i="261"/>
  <c r="N43" i="261" s="1"/>
  <c r="K43" i="261"/>
  <c r="G43" i="261"/>
  <c r="AB42" i="261"/>
  <c r="AA42" i="261"/>
  <c r="V42" i="261"/>
  <c r="U42" i="261"/>
  <c r="O42" i="261"/>
  <c r="N42" i="261"/>
  <c r="P42" i="261" s="1"/>
  <c r="M42" i="261"/>
  <c r="K42" i="261"/>
  <c r="G42" i="261"/>
  <c r="V41" i="261"/>
  <c r="U41" i="261"/>
  <c r="O41" i="261"/>
  <c r="M41" i="261"/>
  <c r="AB41" i="261" s="1"/>
  <c r="K41" i="261"/>
  <c r="G41" i="261"/>
  <c r="V40" i="261"/>
  <c r="U40" i="261"/>
  <c r="O40" i="261"/>
  <c r="M40" i="261"/>
  <c r="AB40" i="261" s="1"/>
  <c r="K40" i="261"/>
  <c r="G40" i="261"/>
  <c r="V39" i="261"/>
  <c r="U39" i="261"/>
  <c r="O39" i="261"/>
  <c r="M39" i="261"/>
  <c r="AB39" i="261" s="1"/>
  <c r="K39" i="261"/>
  <c r="G39" i="261"/>
  <c r="V38" i="261"/>
  <c r="O38" i="261"/>
  <c r="M38" i="261"/>
  <c r="AB38" i="261" s="1"/>
  <c r="K38" i="261"/>
  <c r="G38" i="261"/>
  <c r="O37" i="261"/>
  <c r="K37" i="261"/>
  <c r="V36" i="261"/>
  <c r="M36" i="261" s="1"/>
  <c r="U36" i="261"/>
  <c r="O36" i="261"/>
  <c r="K36" i="261"/>
  <c r="G36" i="261"/>
  <c r="V35" i="261"/>
  <c r="M35" i="261" s="1"/>
  <c r="U35" i="261"/>
  <c r="O35" i="261"/>
  <c r="K35" i="261"/>
  <c r="G35" i="261"/>
  <c r="AB34" i="261"/>
  <c r="AA34" i="261"/>
  <c r="V34" i="261"/>
  <c r="U34" i="261"/>
  <c r="Q34" i="261"/>
  <c r="P34" i="261"/>
  <c r="O34" i="261"/>
  <c r="N34" i="261"/>
  <c r="M34" i="261"/>
  <c r="K34" i="261"/>
  <c r="G34" i="261"/>
  <c r="AB33" i="261"/>
  <c r="AA33" i="261"/>
  <c r="V33" i="261"/>
  <c r="U33" i="261"/>
  <c r="O33" i="261"/>
  <c r="M33" i="261"/>
  <c r="N33" i="261" s="1"/>
  <c r="K33" i="261"/>
  <c r="G33" i="261"/>
  <c r="AB32" i="261"/>
  <c r="AA32" i="261"/>
  <c r="V32" i="261"/>
  <c r="U32" i="261"/>
  <c r="O32" i="261"/>
  <c r="N32" i="261"/>
  <c r="P32" i="261" s="1"/>
  <c r="M32" i="261"/>
  <c r="K32" i="261"/>
  <c r="G32" i="261"/>
  <c r="V31" i="261"/>
  <c r="U31" i="261"/>
  <c r="O31" i="261"/>
  <c r="M31" i="261"/>
  <c r="N31" i="261" s="1"/>
  <c r="K31" i="261"/>
  <c r="G31" i="261"/>
  <c r="V30" i="261"/>
  <c r="O30" i="261"/>
  <c r="M30" i="261"/>
  <c r="AB30" i="261" s="1"/>
  <c r="K30" i="261"/>
  <c r="G30" i="261"/>
  <c r="O29" i="261"/>
  <c r="K29" i="261"/>
  <c r="G13" i="260" s="1"/>
  <c r="AB28" i="261"/>
  <c r="AA28" i="261"/>
  <c r="V28" i="261"/>
  <c r="U28" i="261"/>
  <c r="Q28" i="261"/>
  <c r="P28" i="261"/>
  <c r="O28" i="261"/>
  <c r="N28" i="261"/>
  <c r="M28" i="261"/>
  <c r="K28" i="261"/>
  <c r="G28" i="261"/>
  <c r="V27" i="261"/>
  <c r="M27" i="261" s="1"/>
  <c r="U27" i="261"/>
  <c r="O27" i="261"/>
  <c r="K27" i="261"/>
  <c r="G27" i="261"/>
  <c r="V26" i="261"/>
  <c r="M26" i="261" s="1"/>
  <c r="U26" i="261"/>
  <c r="O26" i="261"/>
  <c r="K26" i="261"/>
  <c r="G26" i="261"/>
  <c r="V25" i="261"/>
  <c r="M25" i="261" s="1"/>
  <c r="U25" i="261"/>
  <c r="O25" i="261"/>
  <c r="K25" i="261"/>
  <c r="G25" i="261"/>
  <c r="AB24" i="261"/>
  <c r="AA24" i="261"/>
  <c r="V24" i="261"/>
  <c r="U24" i="261"/>
  <c r="Q24" i="261"/>
  <c r="P24" i="261"/>
  <c r="O24" i="261"/>
  <c r="N24" i="261"/>
  <c r="M24" i="261"/>
  <c r="K24" i="261"/>
  <c r="G24" i="261"/>
  <c r="AB23" i="261"/>
  <c r="AA23" i="261"/>
  <c r="V23" i="261"/>
  <c r="U23" i="261"/>
  <c r="O23" i="261"/>
  <c r="M23" i="261"/>
  <c r="N23" i="261" s="1"/>
  <c r="K23" i="261"/>
  <c r="G23" i="261"/>
  <c r="AB22" i="261"/>
  <c r="AA22" i="261"/>
  <c r="V22" i="261"/>
  <c r="U22" i="261"/>
  <c r="O22" i="261"/>
  <c r="N22" i="261"/>
  <c r="P22" i="261" s="1"/>
  <c r="M22" i="261"/>
  <c r="K22" i="261"/>
  <c r="G22" i="261"/>
  <c r="V21" i="261"/>
  <c r="U21" i="261"/>
  <c r="O21" i="261"/>
  <c r="M21" i="261"/>
  <c r="AB21" i="261" s="1"/>
  <c r="K21" i="261"/>
  <c r="G21" i="261"/>
  <c r="V20" i="261"/>
  <c r="O20" i="261"/>
  <c r="M20" i="261"/>
  <c r="N20" i="261" s="1"/>
  <c r="K20" i="261"/>
  <c r="G20" i="261"/>
  <c r="O19" i="261"/>
  <c r="K19" i="261"/>
  <c r="F13" i="260" s="1"/>
  <c r="AB18" i="261"/>
  <c r="AA18" i="261"/>
  <c r="V18" i="261"/>
  <c r="U18" i="261"/>
  <c r="O18" i="261"/>
  <c r="N18" i="261"/>
  <c r="Q18" i="261" s="1"/>
  <c r="M18" i="261"/>
  <c r="K18" i="261"/>
  <c r="G18" i="261"/>
  <c r="V17" i="261"/>
  <c r="M17" i="261" s="1"/>
  <c r="U17" i="261"/>
  <c r="O17" i="261"/>
  <c r="K17" i="261"/>
  <c r="G17" i="261"/>
  <c r="V16" i="261"/>
  <c r="M16" i="261" s="1"/>
  <c r="U16" i="261"/>
  <c r="O16" i="261"/>
  <c r="K16" i="261"/>
  <c r="G16" i="261"/>
  <c r="V15" i="261"/>
  <c r="M15" i="261" s="1"/>
  <c r="U15" i="261"/>
  <c r="O15" i="261"/>
  <c r="K15" i="261"/>
  <c r="G15" i="261"/>
  <c r="V14" i="261"/>
  <c r="M14" i="261" s="1"/>
  <c r="O14" i="261"/>
  <c r="K14" i="261"/>
  <c r="G14" i="261"/>
  <c r="O13" i="261"/>
  <c r="K13" i="261"/>
  <c r="V12" i="261"/>
  <c r="U12" i="261"/>
  <c r="O12" i="261"/>
  <c r="M12" i="261"/>
  <c r="AB12" i="261" s="1"/>
  <c r="K12" i="261"/>
  <c r="G12" i="261"/>
  <c r="V11" i="261"/>
  <c r="U11" i="261"/>
  <c r="O11" i="261"/>
  <c r="M11" i="261"/>
  <c r="M13" i="261" s="1"/>
  <c r="K11" i="261"/>
  <c r="G11" i="261"/>
  <c r="AB10" i="261"/>
  <c r="AA10" i="261"/>
  <c r="V10" i="261"/>
  <c r="U10" i="261"/>
  <c r="O10" i="261"/>
  <c r="N10" i="261"/>
  <c r="Q10" i="261" s="1"/>
  <c r="M10" i="261"/>
  <c r="K10" i="261"/>
  <c r="G10" i="261"/>
  <c r="AB9" i="261"/>
  <c r="AA9" i="261"/>
  <c r="V9" i="261"/>
  <c r="O9" i="261"/>
  <c r="N9" i="261"/>
  <c r="Q9" i="261" s="1"/>
  <c r="M9" i="261"/>
  <c r="K9" i="261"/>
  <c r="G9" i="261"/>
  <c r="F1" i="261" s="1"/>
  <c r="O8" i="261"/>
  <c r="K8" i="261"/>
  <c r="V7" i="261"/>
  <c r="M7" i="261" s="1"/>
  <c r="U7" i="261"/>
  <c r="O7" i="261"/>
  <c r="K7" i="261"/>
  <c r="G7" i="261"/>
  <c r="AB6" i="261"/>
  <c r="AA6" i="261"/>
  <c r="V6" i="261"/>
  <c r="U6" i="261"/>
  <c r="Q6" i="261"/>
  <c r="P6" i="261"/>
  <c r="O6" i="261"/>
  <c r="N6" i="261"/>
  <c r="M6" i="261"/>
  <c r="K6" i="261"/>
  <c r="G6" i="261"/>
  <c r="AB5" i="261"/>
  <c r="AA5" i="261"/>
  <c r="V5" i="261"/>
  <c r="Q5" i="261"/>
  <c r="P5" i="261"/>
  <c r="O5" i="261"/>
  <c r="N5" i="261"/>
  <c r="M5" i="261"/>
  <c r="K5" i="261"/>
  <c r="G5" i="261"/>
  <c r="H2" i="261"/>
  <c r="H1" i="261"/>
  <c r="D1" i="261"/>
  <c r="F3" i="260" s="1"/>
  <c r="M18" i="260"/>
  <c r="L18" i="260"/>
  <c r="K18" i="260"/>
  <c r="J18" i="260"/>
  <c r="I18" i="260"/>
  <c r="H18" i="260"/>
  <c r="G18" i="260"/>
  <c r="F18" i="260"/>
  <c r="E18" i="260"/>
  <c r="D18" i="260"/>
  <c r="M17" i="260"/>
  <c r="L17" i="260"/>
  <c r="K17" i="260"/>
  <c r="J17" i="260"/>
  <c r="I17" i="260"/>
  <c r="H17" i="260"/>
  <c r="G17" i="260"/>
  <c r="F17" i="260"/>
  <c r="E17" i="260"/>
  <c r="D17" i="260"/>
  <c r="M16" i="260"/>
  <c r="L16" i="260"/>
  <c r="K16" i="260"/>
  <c r="J16" i="260"/>
  <c r="I16" i="260"/>
  <c r="H16" i="260"/>
  <c r="G16" i="260"/>
  <c r="F16" i="260"/>
  <c r="E16" i="260"/>
  <c r="D16" i="260"/>
  <c r="M13" i="260"/>
  <c r="L13" i="260"/>
  <c r="K13" i="260"/>
  <c r="I13" i="260"/>
  <c r="H13" i="260"/>
  <c r="E13" i="260"/>
  <c r="D13" i="260"/>
  <c r="I6" i="260"/>
  <c r="C3" i="260"/>
  <c r="G8" i="268" l="1"/>
  <c r="E8" i="268"/>
  <c r="F8" i="268"/>
  <c r="Q47" i="265"/>
  <c r="R41" i="265" s="1"/>
  <c r="D2" i="265"/>
  <c r="P47" i="265"/>
  <c r="H14" i="264"/>
  <c r="H15" i="264" s="1"/>
  <c r="L14" i="264"/>
  <c r="Q40" i="265"/>
  <c r="R34" i="265" s="1"/>
  <c r="P40" i="265"/>
  <c r="F15" i="264"/>
  <c r="M14" i="264"/>
  <c r="M15" i="264" s="1"/>
  <c r="Q65" i="265"/>
  <c r="R60" i="265" s="1"/>
  <c r="P65" i="265"/>
  <c r="Q11" i="263"/>
  <c r="P11" i="263"/>
  <c r="Q20" i="263"/>
  <c r="P20" i="263"/>
  <c r="D14" i="262"/>
  <c r="Q8" i="263"/>
  <c r="R5" i="263" s="1"/>
  <c r="P8" i="263"/>
  <c r="P40" i="263"/>
  <c r="Q40" i="263"/>
  <c r="P67" i="263"/>
  <c r="Q67" i="263"/>
  <c r="P30" i="263"/>
  <c r="Q30" i="263"/>
  <c r="AB28" i="263"/>
  <c r="AC20" i="263" s="1"/>
  <c r="AA28" i="263"/>
  <c r="N28" i="263"/>
  <c r="AA36" i="263"/>
  <c r="AB36" i="263"/>
  <c r="AC29" i="263" s="1"/>
  <c r="N36" i="263"/>
  <c r="P68" i="263"/>
  <c r="Q68" i="263"/>
  <c r="P29" i="263"/>
  <c r="Q29" i="263"/>
  <c r="Q31" i="263"/>
  <c r="P31" i="263"/>
  <c r="Q41" i="263"/>
  <c r="P41" i="263"/>
  <c r="P12" i="263"/>
  <c r="Q12" i="263"/>
  <c r="AB73" i="263"/>
  <c r="AC67" i="263" s="1"/>
  <c r="AA73" i="263"/>
  <c r="N73" i="263"/>
  <c r="P50" i="263"/>
  <c r="Q50" i="263"/>
  <c r="AB66" i="263"/>
  <c r="AC59" i="263" s="1"/>
  <c r="AA66" i="263"/>
  <c r="N66" i="263"/>
  <c r="N53" i="263"/>
  <c r="AB53" i="263"/>
  <c r="AC45" i="263" s="1"/>
  <c r="AA53" i="263"/>
  <c r="Q51" i="263"/>
  <c r="P51" i="263"/>
  <c r="N44" i="263"/>
  <c r="AB44" i="263"/>
  <c r="AC37" i="263" s="1"/>
  <c r="AA44" i="263"/>
  <c r="Q49" i="263"/>
  <c r="P49" i="263"/>
  <c r="Q69" i="263"/>
  <c r="P69" i="263"/>
  <c r="Q13" i="263"/>
  <c r="R9" i="263" s="1"/>
  <c r="P13" i="263"/>
  <c r="E14" i="262"/>
  <c r="E15" i="262" s="1"/>
  <c r="Q39" i="263"/>
  <c r="P39" i="263"/>
  <c r="Q21" i="263"/>
  <c r="P21" i="263"/>
  <c r="N15" i="261"/>
  <c r="AB15" i="261"/>
  <c r="AA15" i="261"/>
  <c r="N35" i="261"/>
  <c r="AB35" i="261"/>
  <c r="AA35" i="261"/>
  <c r="F6" i="260"/>
  <c r="N64" i="261"/>
  <c r="AA64" i="261"/>
  <c r="AB64" i="261"/>
  <c r="AA27" i="261"/>
  <c r="N27" i="261"/>
  <c r="AB27" i="261"/>
  <c r="N45" i="261"/>
  <c r="AB45" i="261"/>
  <c r="AA45" i="261"/>
  <c r="P71" i="261"/>
  <c r="Q71" i="261"/>
  <c r="N16" i="261"/>
  <c r="AA16" i="261"/>
  <c r="AB16" i="261"/>
  <c r="N25" i="261"/>
  <c r="AB25" i="261"/>
  <c r="AA25" i="261"/>
  <c r="AA36" i="261"/>
  <c r="N36" i="261"/>
  <c r="AB36" i="261"/>
  <c r="N63" i="261"/>
  <c r="AB63" i="261"/>
  <c r="M68" i="261"/>
  <c r="AA63" i="261"/>
  <c r="Q20" i="261"/>
  <c r="P20" i="261"/>
  <c r="Q31" i="261"/>
  <c r="P31" i="261"/>
  <c r="AB13" i="261"/>
  <c r="AC9" i="261" s="1"/>
  <c r="N13" i="261"/>
  <c r="AA13" i="261"/>
  <c r="N7" i="261"/>
  <c r="M8" i="261"/>
  <c r="AB7" i="261"/>
  <c r="AA7" i="261"/>
  <c r="P43" i="261"/>
  <c r="Q43" i="261"/>
  <c r="N14" i="261"/>
  <c r="AB14" i="261"/>
  <c r="M19" i="261"/>
  <c r="AA14" i="261"/>
  <c r="Q23" i="261"/>
  <c r="P23" i="261"/>
  <c r="Q60" i="261"/>
  <c r="R56" i="261" s="1"/>
  <c r="I14" i="260"/>
  <c r="I15" i="260" s="1"/>
  <c r="P60" i="261"/>
  <c r="N74" i="261"/>
  <c r="M75" i="261"/>
  <c r="AA74" i="261"/>
  <c r="AB74" i="261"/>
  <c r="F2" i="261"/>
  <c r="I3" i="260"/>
  <c r="AA65" i="261"/>
  <c r="N65" i="261"/>
  <c r="AB65" i="261"/>
  <c r="P33" i="261"/>
  <c r="Q33" i="261"/>
  <c r="P53" i="261"/>
  <c r="Q53" i="261"/>
  <c r="AB17" i="261"/>
  <c r="AA17" i="261"/>
  <c r="N17" i="261"/>
  <c r="AA26" i="261"/>
  <c r="N26" i="261"/>
  <c r="AB26" i="261"/>
  <c r="P73" i="261"/>
  <c r="Q73" i="261"/>
  <c r="E6" i="260"/>
  <c r="N11" i="261"/>
  <c r="Q22" i="261"/>
  <c r="M29" i="261"/>
  <c r="Q32" i="261"/>
  <c r="N38" i="261"/>
  <c r="N39" i="261"/>
  <c r="Q42" i="261"/>
  <c r="N49" i="261"/>
  <c r="Q52" i="261"/>
  <c r="N59" i="261"/>
  <c r="Q69" i="261"/>
  <c r="Q70" i="261"/>
  <c r="N40" i="261"/>
  <c r="N50" i="261"/>
  <c r="G6" i="260"/>
  <c r="N30" i="261"/>
  <c r="M37" i="261"/>
  <c r="AA60" i="261"/>
  <c r="P9" i="261"/>
  <c r="P10" i="261"/>
  <c r="M46" i="261"/>
  <c r="P47" i="261"/>
  <c r="P48" i="261"/>
  <c r="P58" i="261"/>
  <c r="AB60" i="261"/>
  <c r="AC56" i="261" s="1"/>
  <c r="AA20" i="261"/>
  <c r="AA21" i="261"/>
  <c r="AA30" i="261"/>
  <c r="AA31" i="261"/>
  <c r="AA41" i="261"/>
  <c r="AA51" i="261"/>
  <c r="M55" i="261"/>
  <c r="P56" i="261"/>
  <c r="P57" i="261"/>
  <c r="P67" i="261"/>
  <c r="N21" i="261"/>
  <c r="N41" i="261"/>
  <c r="N51" i="261"/>
  <c r="N12" i="261"/>
  <c r="AA12" i="261"/>
  <c r="P18" i="261"/>
  <c r="AB20" i="261"/>
  <c r="AB31" i="261"/>
  <c r="AA40" i="261"/>
  <c r="AA50" i="261"/>
  <c r="AA11" i="261"/>
  <c r="AA38" i="261"/>
  <c r="AA39" i="261"/>
  <c r="AA49" i="261"/>
  <c r="AA59" i="261"/>
  <c r="AB11" i="261"/>
  <c r="O75" i="259"/>
  <c r="K75" i="259"/>
  <c r="V74" i="259"/>
  <c r="U74" i="259"/>
  <c r="O74" i="259"/>
  <c r="M74" i="259"/>
  <c r="K74" i="259"/>
  <c r="G74" i="259"/>
  <c r="V73" i="259"/>
  <c r="M73" i="259" s="1"/>
  <c r="U73" i="259"/>
  <c r="O73" i="259"/>
  <c r="K73" i="259"/>
  <c r="G73" i="259"/>
  <c r="V72" i="259"/>
  <c r="M72" i="259" s="1"/>
  <c r="U72" i="259"/>
  <c r="O72" i="259"/>
  <c r="K72" i="259"/>
  <c r="G72" i="259"/>
  <c r="V71" i="259"/>
  <c r="M71" i="259" s="1"/>
  <c r="U71" i="259"/>
  <c r="O71" i="259"/>
  <c r="K71" i="259"/>
  <c r="G71" i="259"/>
  <c r="V70" i="259"/>
  <c r="M70" i="259" s="1"/>
  <c r="U70" i="259"/>
  <c r="O70" i="259"/>
  <c r="K70" i="259"/>
  <c r="G70" i="259"/>
  <c r="AB69" i="259"/>
  <c r="V69" i="259"/>
  <c r="M69" i="259" s="1"/>
  <c r="O69" i="259"/>
  <c r="K69" i="259"/>
  <c r="G69" i="259"/>
  <c r="O68" i="259"/>
  <c r="K68" i="259"/>
  <c r="V67" i="259"/>
  <c r="U67" i="259"/>
  <c r="O67" i="259"/>
  <c r="M67" i="259"/>
  <c r="AA67" i="259" s="1"/>
  <c r="K67" i="259"/>
  <c r="G67" i="259"/>
  <c r="AB66" i="259"/>
  <c r="AA66" i="259"/>
  <c r="V66" i="259"/>
  <c r="U66" i="259"/>
  <c r="O66" i="259"/>
  <c r="N66" i="259"/>
  <c r="Q66" i="259" s="1"/>
  <c r="M66" i="259"/>
  <c r="K66" i="259"/>
  <c r="G66" i="259"/>
  <c r="V65" i="259"/>
  <c r="M65" i="259" s="1"/>
  <c r="N65" i="259" s="1"/>
  <c r="U65" i="259"/>
  <c r="O65" i="259"/>
  <c r="K65" i="259"/>
  <c r="G65" i="259"/>
  <c r="V64" i="259"/>
  <c r="U64" i="259"/>
  <c r="O64" i="259"/>
  <c r="M64" i="259"/>
  <c r="K64" i="259"/>
  <c r="G64" i="259"/>
  <c r="V63" i="259"/>
  <c r="M63" i="259" s="1"/>
  <c r="U63" i="259"/>
  <c r="O63" i="259"/>
  <c r="K63" i="259"/>
  <c r="G63" i="259"/>
  <c r="V62" i="259"/>
  <c r="M62" i="259" s="1"/>
  <c r="U62" i="259"/>
  <c r="O62" i="259"/>
  <c r="K62" i="259"/>
  <c r="G62" i="259"/>
  <c r="V61" i="259"/>
  <c r="M61" i="259" s="1"/>
  <c r="O61" i="259"/>
  <c r="K61" i="259"/>
  <c r="G61" i="259"/>
  <c r="O60" i="259"/>
  <c r="K60" i="259"/>
  <c r="V59" i="259"/>
  <c r="U59" i="259"/>
  <c r="O59" i="259"/>
  <c r="M59" i="259"/>
  <c r="K59" i="259"/>
  <c r="G59" i="259"/>
  <c r="V58" i="259"/>
  <c r="U58" i="259"/>
  <c r="O58" i="259"/>
  <c r="M58" i="259"/>
  <c r="AB58" i="259" s="1"/>
  <c r="K58" i="259"/>
  <c r="G58" i="259"/>
  <c r="V57" i="259"/>
  <c r="U57" i="259"/>
  <c r="O57" i="259"/>
  <c r="M57" i="259"/>
  <c r="AA57" i="259" s="1"/>
  <c r="K57" i="259"/>
  <c r="G57" i="259"/>
  <c r="V56" i="259"/>
  <c r="O56" i="259"/>
  <c r="M56" i="259"/>
  <c r="AA56" i="259" s="1"/>
  <c r="K56" i="259"/>
  <c r="G56" i="259"/>
  <c r="O55" i="259"/>
  <c r="K55" i="259"/>
  <c r="V54" i="259"/>
  <c r="M54" i="259" s="1"/>
  <c r="U54" i="259"/>
  <c r="O54" i="259"/>
  <c r="K54" i="259"/>
  <c r="G54" i="259"/>
  <c r="V53" i="259"/>
  <c r="M53" i="259" s="1"/>
  <c r="U53" i="259"/>
  <c r="O53" i="259"/>
  <c r="K53" i="259"/>
  <c r="G53" i="259"/>
  <c r="AB52" i="259"/>
  <c r="V52" i="259"/>
  <c r="M52" i="259" s="1"/>
  <c r="U52" i="259"/>
  <c r="O52" i="259"/>
  <c r="K52" i="259"/>
  <c r="G52" i="259"/>
  <c r="AA51" i="259"/>
  <c r="V51" i="259"/>
  <c r="U51" i="259"/>
  <c r="O51" i="259"/>
  <c r="N51" i="259"/>
  <c r="M51" i="259"/>
  <c r="AB51" i="259" s="1"/>
  <c r="K51" i="259"/>
  <c r="G51" i="259"/>
  <c r="V50" i="259"/>
  <c r="U50" i="259"/>
  <c r="O50" i="259"/>
  <c r="M50" i="259"/>
  <c r="M55" i="259" s="1"/>
  <c r="K50" i="259"/>
  <c r="G50" i="259"/>
  <c r="V49" i="259"/>
  <c r="U49" i="259"/>
  <c r="O49" i="259"/>
  <c r="M49" i="259"/>
  <c r="K49" i="259"/>
  <c r="G49" i="259"/>
  <c r="V48" i="259"/>
  <c r="U48" i="259"/>
  <c r="O48" i="259"/>
  <c r="M48" i="259"/>
  <c r="AB48" i="259" s="1"/>
  <c r="K48" i="259"/>
  <c r="G48" i="259"/>
  <c r="V47" i="259"/>
  <c r="O47" i="259"/>
  <c r="M47" i="259"/>
  <c r="AB47" i="259" s="1"/>
  <c r="K47" i="259"/>
  <c r="G47" i="259"/>
  <c r="O46" i="259"/>
  <c r="K46" i="259"/>
  <c r="V45" i="259"/>
  <c r="M45" i="259" s="1"/>
  <c r="U45" i="259"/>
  <c r="O45" i="259"/>
  <c r="K45" i="259"/>
  <c r="G45" i="259"/>
  <c r="V44" i="259"/>
  <c r="M44" i="259" s="1"/>
  <c r="U44" i="259"/>
  <c r="O44" i="259"/>
  <c r="K44" i="259"/>
  <c r="G44" i="259"/>
  <c r="V43" i="259"/>
  <c r="M43" i="259" s="1"/>
  <c r="U43" i="259"/>
  <c r="O43" i="259"/>
  <c r="K43" i="259"/>
  <c r="G43" i="259"/>
  <c r="V42" i="259"/>
  <c r="M42" i="259" s="1"/>
  <c r="U42" i="259"/>
  <c r="O42" i="259"/>
  <c r="K42" i="259"/>
  <c r="G42" i="259"/>
  <c r="V41" i="259"/>
  <c r="M41" i="259" s="1"/>
  <c r="AB41" i="259" s="1"/>
  <c r="U41" i="259"/>
  <c r="O41" i="259"/>
  <c r="K41" i="259"/>
  <c r="G41" i="259"/>
  <c r="V40" i="259"/>
  <c r="U40" i="259"/>
  <c r="O40" i="259"/>
  <c r="M40" i="259"/>
  <c r="N40" i="259" s="1"/>
  <c r="K40" i="259"/>
  <c r="G40" i="259"/>
  <c r="V39" i="259"/>
  <c r="U39" i="259"/>
  <c r="O39" i="259"/>
  <c r="M39" i="259"/>
  <c r="K39" i="259"/>
  <c r="G39" i="259"/>
  <c r="V38" i="259"/>
  <c r="O38" i="259"/>
  <c r="M38" i="259"/>
  <c r="K38" i="259"/>
  <c r="G38" i="259"/>
  <c r="O37" i="259"/>
  <c r="K37" i="259"/>
  <c r="V36" i="259"/>
  <c r="U36" i="259"/>
  <c r="O36" i="259"/>
  <c r="M36" i="259"/>
  <c r="K36" i="259"/>
  <c r="G36" i="259"/>
  <c r="V35" i="259"/>
  <c r="M35" i="259" s="1"/>
  <c r="U35" i="259"/>
  <c r="O35" i="259"/>
  <c r="K35" i="259"/>
  <c r="G35" i="259"/>
  <c r="V34" i="259"/>
  <c r="M34" i="259" s="1"/>
  <c r="U34" i="259"/>
  <c r="O34" i="259"/>
  <c r="K34" i="259"/>
  <c r="G34" i="259"/>
  <c r="V33" i="259"/>
  <c r="M33" i="259" s="1"/>
  <c r="U33" i="259"/>
  <c r="O33" i="259"/>
  <c r="K33" i="259"/>
  <c r="G33" i="259"/>
  <c r="V32" i="259"/>
  <c r="M32" i="259" s="1"/>
  <c r="U32" i="259"/>
  <c r="O32" i="259"/>
  <c r="K32" i="259"/>
  <c r="G32" i="259"/>
  <c r="V31" i="259"/>
  <c r="M31" i="259" s="1"/>
  <c r="AB31" i="259" s="1"/>
  <c r="U31" i="259"/>
  <c r="O31" i="259"/>
  <c r="K31" i="259"/>
  <c r="G31" i="259"/>
  <c r="V30" i="259"/>
  <c r="M30" i="259" s="1"/>
  <c r="O30" i="259"/>
  <c r="N30" i="259"/>
  <c r="K30" i="259"/>
  <c r="G30" i="259"/>
  <c r="O29" i="259"/>
  <c r="K29" i="259"/>
  <c r="G13" i="258" s="1"/>
  <c r="AB28" i="259"/>
  <c r="V28" i="259"/>
  <c r="U28" i="259"/>
  <c r="O28" i="259"/>
  <c r="M28" i="259"/>
  <c r="N28" i="259" s="1"/>
  <c r="K28" i="259"/>
  <c r="G28" i="259"/>
  <c r="AB27" i="259"/>
  <c r="AA27" i="259"/>
  <c r="V27" i="259"/>
  <c r="U27" i="259"/>
  <c r="O27" i="259"/>
  <c r="N27" i="259"/>
  <c r="M27" i="259"/>
  <c r="K27" i="259"/>
  <c r="G27" i="259"/>
  <c r="V26" i="259"/>
  <c r="M26" i="259" s="1"/>
  <c r="U26" i="259"/>
  <c r="O26" i="259"/>
  <c r="K26" i="259"/>
  <c r="G26" i="259"/>
  <c r="V25" i="259"/>
  <c r="M25" i="259" s="1"/>
  <c r="U25" i="259"/>
  <c r="O25" i="259"/>
  <c r="K25" i="259"/>
  <c r="G25" i="259"/>
  <c r="V24" i="259"/>
  <c r="M24" i="259" s="1"/>
  <c r="U24" i="259"/>
  <c r="O24" i="259"/>
  <c r="K24" i="259"/>
  <c r="G24" i="259"/>
  <c r="V23" i="259"/>
  <c r="M23" i="259" s="1"/>
  <c r="U23" i="259"/>
  <c r="O23" i="259"/>
  <c r="K23" i="259"/>
  <c r="G23" i="259"/>
  <c r="V22" i="259"/>
  <c r="M22" i="259" s="1"/>
  <c r="U22" i="259"/>
  <c r="O22" i="259"/>
  <c r="K22" i="259"/>
  <c r="G22" i="259"/>
  <c r="V21" i="259"/>
  <c r="M21" i="259" s="1"/>
  <c r="AB21" i="259" s="1"/>
  <c r="U21" i="259"/>
  <c r="O21" i="259"/>
  <c r="N21" i="259"/>
  <c r="K21" i="259"/>
  <c r="G21" i="259"/>
  <c r="AA20" i="259"/>
  <c r="V20" i="259"/>
  <c r="M20" i="259" s="1"/>
  <c r="O20" i="259"/>
  <c r="K20" i="259"/>
  <c r="G20" i="259"/>
  <c r="O19" i="259"/>
  <c r="K19" i="259"/>
  <c r="F13" i="258" s="1"/>
  <c r="AB18" i="259"/>
  <c r="V18" i="259"/>
  <c r="U18" i="259"/>
  <c r="O18" i="259"/>
  <c r="M18" i="259"/>
  <c r="N18" i="259" s="1"/>
  <c r="K18" i="259"/>
  <c r="G18" i="259"/>
  <c r="AB17" i="259"/>
  <c r="V17" i="259"/>
  <c r="M17" i="259" s="1"/>
  <c r="AA17" i="259" s="1"/>
  <c r="U17" i="259"/>
  <c r="O17" i="259"/>
  <c r="N17" i="259"/>
  <c r="K17" i="259"/>
  <c r="G17" i="259"/>
  <c r="AA16" i="259"/>
  <c r="V16" i="259"/>
  <c r="U16" i="259"/>
  <c r="O16" i="259"/>
  <c r="M16" i="259"/>
  <c r="K16" i="259"/>
  <c r="G16" i="259"/>
  <c r="V15" i="259"/>
  <c r="M15" i="259" s="1"/>
  <c r="U15" i="259"/>
  <c r="O15" i="259"/>
  <c r="K15" i="259"/>
  <c r="G15" i="259"/>
  <c r="V14" i="259"/>
  <c r="M14" i="259" s="1"/>
  <c r="O14" i="259"/>
  <c r="K14" i="259"/>
  <c r="G14" i="259"/>
  <c r="O13" i="259"/>
  <c r="K13" i="259"/>
  <c r="V12" i="259"/>
  <c r="U12" i="259"/>
  <c r="O12" i="259"/>
  <c r="M12" i="259"/>
  <c r="K12" i="259"/>
  <c r="G12" i="259"/>
  <c r="V11" i="259"/>
  <c r="U11" i="259"/>
  <c r="O11" i="259"/>
  <c r="M11" i="259"/>
  <c r="K11" i="259"/>
  <c r="G11" i="259"/>
  <c r="V10" i="259"/>
  <c r="U10" i="259"/>
  <c r="O10" i="259"/>
  <c r="M10" i="259"/>
  <c r="AB10" i="259" s="1"/>
  <c r="K10" i="259"/>
  <c r="G10" i="259"/>
  <c r="V9" i="259"/>
  <c r="O9" i="259"/>
  <c r="M9" i="259"/>
  <c r="K9" i="259"/>
  <c r="G9" i="259"/>
  <c r="O8" i="259"/>
  <c r="K8" i="259"/>
  <c r="V7" i="259"/>
  <c r="M7" i="259" s="1"/>
  <c r="U7" i="259"/>
  <c r="O7" i="259"/>
  <c r="K7" i="259"/>
  <c r="G7" i="259"/>
  <c r="V6" i="259"/>
  <c r="M6" i="259" s="1"/>
  <c r="U6" i="259"/>
  <c r="O6" i="259"/>
  <c r="K6" i="259"/>
  <c r="G6" i="259"/>
  <c r="F1" i="259" s="1"/>
  <c r="V5" i="259"/>
  <c r="M5" i="259" s="1"/>
  <c r="O5" i="259"/>
  <c r="K5" i="259"/>
  <c r="G5" i="259"/>
  <c r="H2" i="259"/>
  <c r="H1" i="259"/>
  <c r="D1" i="259"/>
  <c r="M18" i="258"/>
  <c r="L18" i="258"/>
  <c r="K18" i="258"/>
  <c r="J18" i="258"/>
  <c r="I18" i="258"/>
  <c r="H18" i="258"/>
  <c r="G18" i="258"/>
  <c r="F18" i="258"/>
  <c r="E18" i="258"/>
  <c r="D18" i="258"/>
  <c r="M17" i="258"/>
  <c r="L17" i="258"/>
  <c r="K17" i="258"/>
  <c r="J17" i="258"/>
  <c r="I17" i="258"/>
  <c r="H17" i="258"/>
  <c r="G17" i="258"/>
  <c r="F17" i="258"/>
  <c r="E17" i="258"/>
  <c r="D17" i="258"/>
  <c r="M16" i="258"/>
  <c r="L16" i="258"/>
  <c r="K16" i="258"/>
  <c r="J16" i="258"/>
  <c r="I16" i="258"/>
  <c r="H16" i="258"/>
  <c r="G16" i="258"/>
  <c r="F16" i="258"/>
  <c r="E16" i="258"/>
  <c r="D16" i="258"/>
  <c r="M13" i="258"/>
  <c r="L13" i="258"/>
  <c r="K13" i="258"/>
  <c r="J13" i="258"/>
  <c r="I13" i="258"/>
  <c r="H13" i="258"/>
  <c r="E13" i="258"/>
  <c r="D13" i="258"/>
  <c r="F3" i="258"/>
  <c r="C3" i="258"/>
  <c r="G7" i="264" l="1"/>
  <c r="E7" i="264"/>
  <c r="F8" i="264"/>
  <c r="G8" i="264"/>
  <c r="L15" i="264"/>
  <c r="I8" i="264" s="1"/>
  <c r="I7" i="264"/>
  <c r="F7" i="264"/>
  <c r="Q73" i="263"/>
  <c r="R67" i="263" s="1"/>
  <c r="M14" i="262"/>
  <c r="M15" i="262" s="1"/>
  <c r="P73" i="263"/>
  <c r="P44" i="263"/>
  <c r="Q44" i="263"/>
  <c r="R37" i="263" s="1"/>
  <c r="L14" i="262"/>
  <c r="L15" i="262" s="1"/>
  <c r="Q36" i="263"/>
  <c r="R29" i="263" s="1"/>
  <c r="P36" i="263"/>
  <c r="K14" i="262"/>
  <c r="D2" i="263"/>
  <c r="D15" i="262"/>
  <c r="Q66" i="263"/>
  <c r="R59" i="263" s="1"/>
  <c r="P66" i="263"/>
  <c r="J14" i="262"/>
  <c r="J15" i="262" s="1"/>
  <c r="Q28" i="263"/>
  <c r="R20" i="263" s="1"/>
  <c r="G14" i="262"/>
  <c r="G15" i="262" s="1"/>
  <c r="P28" i="263"/>
  <c r="H14" i="262"/>
  <c r="H15" i="262" s="1"/>
  <c r="Q53" i="263"/>
  <c r="R45" i="263" s="1"/>
  <c r="P53" i="263"/>
  <c r="AA55" i="261"/>
  <c r="N55" i="261"/>
  <c r="AB55" i="261"/>
  <c r="AC47" i="261" s="1"/>
  <c r="P49" i="261"/>
  <c r="Q49" i="261"/>
  <c r="Q26" i="261"/>
  <c r="P26" i="261"/>
  <c r="AB19" i="261"/>
  <c r="AC14" i="261" s="1"/>
  <c r="AA19" i="261"/>
  <c r="N19" i="261"/>
  <c r="AA46" i="261"/>
  <c r="AB46" i="261"/>
  <c r="AC38" i="261" s="1"/>
  <c r="N46" i="261"/>
  <c r="Q27" i="261"/>
  <c r="P27" i="261"/>
  <c r="Q17" i="261"/>
  <c r="P17" i="261"/>
  <c r="P38" i="261"/>
  <c r="Q38" i="261"/>
  <c r="Q30" i="261"/>
  <c r="P30" i="261"/>
  <c r="Q12" i="261"/>
  <c r="P12" i="261"/>
  <c r="AB75" i="261"/>
  <c r="AC69" i="261" s="1"/>
  <c r="AA75" i="261"/>
  <c r="N75" i="261"/>
  <c r="Q16" i="261"/>
  <c r="P16" i="261"/>
  <c r="AB68" i="261"/>
  <c r="AC61" i="261" s="1"/>
  <c r="AA68" i="261"/>
  <c r="N68" i="261"/>
  <c r="P25" i="261"/>
  <c r="Q25" i="261"/>
  <c r="P39" i="261"/>
  <c r="Q39" i="261"/>
  <c r="P14" i="261"/>
  <c r="Q14" i="261"/>
  <c r="AB37" i="261"/>
  <c r="AC30" i="261" s="1"/>
  <c r="AA37" i="261"/>
  <c r="N37" i="261"/>
  <c r="Q64" i="261"/>
  <c r="P64" i="261"/>
  <c r="AB29" i="261"/>
  <c r="AC20" i="261" s="1"/>
  <c r="AA29" i="261"/>
  <c r="N29" i="261"/>
  <c r="Q74" i="261"/>
  <c r="P74" i="261"/>
  <c r="Q51" i="261"/>
  <c r="P51" i="261"/>
  <c r="Q50" i="261"/>
  <c r="P50" i="261"/>
  <c r="Q41" i="261"/>
  <c r="P41" i="261"/>
  <c r="Q40" i="261"/>
  <c r="P40" i="261"/>
  <c r="P11" i="261"/>
  <c r="Q11" i="261"/>
  <c r="AA8" i="261"/>
  <c r="N8" i="261"/>
  <c r="AB8" i="261"/>
  <c r="AC5" i="261" s="1"/>
  <c r="P63" i="261"/>
  <c r="Q63" i="261"/>
  <c r="P35" i="261"/>
  <c r="Q35" i="261"/>
  <c r="Q21" i="261"/>
  <c r="P21" i="261"/>
  <c r="P7" i="261"/>
  <c r="Q7" i="261"/>
  <c r="Q36" i="261"/>
  <c r="P36" i="261"/>
  <c r="P45" i="261"/>
  <c r="Q45" i="261"/>
  <c r="P59" i="261"/>
  <c r="Q59" i="261"/>
  <c r="Q65" i="261"/>
  <c r="P65" i="261"/>
  <c r="P13" i="261"/>
  <c r="E14" i="260"/>
  <c r="E15" i="260" s="1"/>
  <c r="Q13" i="261"/>
  <c r="R9" i="261" s="1"/>
  <c r="P15" i="261"/>
  <c r="Q15" i="261"/>
  <c r="N55" i="259"/>
  <c r="AA55" i="259"/>
  <c r="AB55" i="259"/>
  <c r="AC47" i="259" s="1"/>
  <c r="Q40" i="259"/>
  <c r="P40" i="259"/>
  <c r="F2" i="259"/>
  <c r="I3" i="258"/>
  <c r="N26" i="259"/>
  <c r="AB26" i="259"/>
  <c r="AA26" i="259"/>
  <c r="Q65" i="259"/>
  <c r="P65" i="259"/>
  <c r="N7" i="259"/>
  <c r="AB7" i="259"/>
  <c r="AA7" i="259"/>
  <c r="Q18" i="259"/>
  <c r="P18" i="259"/>
  <c r="AB20" i="259"/>
  <c r="M29" i="259"/>
  <c r="AA31" i="259"/>
  <c r="AA41" i="259"/>
  <c r="AA22" i="259"/>
  <c r="N22" i="259"/>
  <c r="Q30" i="259"/>
  <c r="P30" i="259"/>
  <c r="N33" i="259"/>
  <c r="AB33" i="259"/>
  <c r="AA33" i="259"/>
  <c r="N43" i="259"/>
  <c r="AB43" i="259"/>
  <c r="AA43" i="259"/>
  <c r="AB50" i="259"/>
  <c r="AA50" i="259"/>
  <c r="AB59" i="259"/>
  <c r="AA59" i="259"/>
  <c r="N59" i="259"/>
  <c r="N61" i="259"/>
  <c r="AB61" i="259"/>
  <c r="AA61" i="259"/>
  <c r="M68" i="259"/>
  <c r="N5" i="259"/>
  <c r="M8" i="259"/>
  <c r="AB5" i="259"/>
  <c r="AA5" i="259"/>
  <c r="AB12" i="259"/>
  <c r="AA12" i="259"/>
  <c r="AB38" i="259"/>
  <c r="AA38" i="259"/>
  <c r="M46" i="259"/>
  <c r="N38" i="259"/>
  <c r="AB40" i="259"/>
  <c r="AA40" i="259"/>
  <c r="N63" i="259"/>
  <c r="AB63" i="259"/>
  <c r="AA63" i="259"/>
  <c r="N12" i="259"/>
  <c r="I6" i="258"/>
  <c r="AB22" i="259"/>
  <c r="N50" i="259"/>
  <c r="AA65" i="259"/>
  <c r="AA69" i="259"/>
  <c r="M75" i="259"/>
  <c r="N69" i="259"/>
  <c r="N73" i="259"/>
  <c r="AB73" i="259"/>
  <c r="AA73" i="259"/>
  <c r="Q17" i="259"/>
  <c r="P17" i="259"/>
  <c r="Q21" i="259"/>
  <c r="P21" i="259"/>
  <c r="N24" i="259"/>
  <c r="AB24" i="259"/>
  <c r="AA24" i="259"/>
  <c r="Q28" i="259"/>
  <c r="P28" i="259"/>
  <c r="AB30" i="259"/>
  <c r="M37" i="259"/>
  <c r="N36" i="259"/>
  <c r="AB36" i="259"/>
  <c r="N53" i="259"/>
  <c r="AB53" i="259"/>
  <c r="AA53" i="259"/>
  <c r="N64" i="259"/>
  <c r="AB64" i="259"/>
  <c r="AB65" i="259"/>
  <c r="N71" i="259"/>
  <c r="AB71" i="259"/>
  <c r="AA71" i="259"/>
  <c r="G6" i="258"/>
  <c r="E6" i="258"/>
  <c r="F6" i="258"/>
  <c r="N14" i="259"/>
  <c r="AB14" i="259"/>
  <c r="M19" i="259"/>
  <c r="AA14" i="259"/>
  <c r="N35" i="259"/>
  <c r="AB35" i="259"/>
  <c r="AA35" i="259"/>
  <c r="N45" i="259"/>
  <c r="AB45" i="259"/>
  <c r="AA45" i="259"/>
  <c r="AA30" i="259"/>
  <c r="M13" i="259"/>
  <c r="N15" i="259"/>
  <c r="AB15" i="259"/>
  <c r="AA15" i="259"/>
  <c r="AA32" i="259"/>
  <c r="N32" i="259"/>
  <c r="AA42" i="259"/>
  <c r="N42" i="259"/>
  <c r="N74" i="259"/>
  <c r="AB74" i="259"/>
  <c r="AA74" i="259"/>
  <c r="N6" i="259"/>
  <c r="AB6" i="259"/>
  <c r="AA6" i="259"/>
  <c r="AB11" i="259"/>
  <c r="AA11" i="259"/>
  <c r="N11" i="259"/>
  <c r="AB32" i="259"/>
  <c r="AB39" i="259"/>
  <c r="AA39" i="259"/>
  <c r="N39" i="259"/>
  <c r="AB42" i="259"/>
  <c r="AA21" i="259"/>
  <c r="Q27" i="259"/>
  <c r="P27" i="259"/>
  <c r="N31" i="259"/>
  <c r="N34" i="259"/>
  <c r="AB34" i="259"/>
  <c r="AA34" i="259"/>
  <c r="AA36" i="259"/>
  <c r="N41" i="259"/>
  <c r="N44" i="259"/>
  <c r="AB44" i="259"/>
  <c r="AA44" i="259"/>
  <c r="AB49" i="259"/>
  <c r="AA49" i="259"/>
  <c r="N49" i="259"/>
  <c r="AA52" i="259"/>
  <c r="N52" i="259"/>
  <c r="N62" i="259"/>
  <c r="AB62" i="259"/>
  <c r="AA62" i="259"/>
  <c r="AA64" i="259"/>
  <c r="N16" i="259"/>
  <c r="AB16" i="259"/>
  <c r="N25" i="259"/>
  <c r="AB25" i="259"/>
  <c r="AA25" i="259"/>
  <c r="AA70" i="259"/>
  <c r="N70" i="259"/>
  <c r="N20" i="259"/>
  <c r="N23" i="259"/>
  <c r="AB23" i="259"/>
  <c r="AA23" i="259"/>
  <c r="Q51" i="259"/>
  <c r="P51" i="259"/>
  <c r="N54" i="259"/>
  <c r="AB54" i="259"/>
  <c r="AA54" i="259"/>
  <c r="AB70" i="259"/>
  <c r="N72" i="259"/>
  <c r="AB72" i="259"/>
  <c r="AA72" i="259"/>
  <c r="AA18" i="259"/>
  <c r="AA28" i="259"/>
  <c r="AB56" i="259"/>
  <c r="AB57" i="259"/>
  <c r="M60" i="259"/>
  <c r="AB67" i="259"/>
  <c r="N9" i="259"/>
  <c r="N10" i="259"/>
  <c r="N47" i="259"/>
  <c r="N48" i="259"/>
  <c r="N58" i="259"/>
  <c r="N56" i="259"/>
  <c r="N57" i="259"/>
  <c r="N67" i="259"/>
  <c r="P66" i="259"/>
  <c r="AA9" i="259"/>
  <c r="AA10" i="259"/>
  <c r="AA47" i="259"/>
  <c r="AA48" i="259"/>
  <c r="AA58" i="259"/>
  <c r="AB9" i="259"/>
  <c r="O73" i="257"/>
  <c r="K73" i="257"/>
  <c r="M13" i="256" s="1"/>
  <c r="AA72" i="257"/>
  <c r="V72" i="257"/>
  <c r="U72" i="257"/>
  <c r="O72" i="257"/>
  <c r="M72" i="257"/>
  <c r="N72" i="257" s="1"/>
  <c r="K72" i="257"/>
  <c r="G72" i="257"/>
  <c r="V71" i="257"/>
  <c r="M71" i="257" s="1"/>
  <c r="U71" i="257"/>
  <c r="O71" i="257"/>
  <c r="K71" i="257"/>
  <c r="G71" i="257"/>
  <c r="AB70" i="257"/>
  <c r="AA70" i="257"/>
  <c r="V70" i="257"/>
  <c r="U70" i="257"/>
  <c r="O70" i="257"/>
  <c r="M70" i="257"/>
  <c r="N70" i="257" s="1"/>
  <c r="K70" i="257"/>
  <c r="G70" i="257"/>
  <c r="V69" i="257"/>
  <c r="M69" i="257" s="1"/>
  <c r="U69" i="257"/>
  <c r="O69" i="257"/>
  <c r="K69" i="257"/>
  <c r="G69" i="257"/>
  <c r="V68" i="257"/>
  <c r="M68" i="257" s="1"/>
  <c r="U68" i="257"/>
  <c r="O68" i="257"/>
  <c r="K68" i="257"/>
  <c r="G68" i="257"/>
  <c r="V67" i="257"/>
  <c r="M67" i="257" s="1"/>
  <c r="O67" i="257"/>
  <c r="K67" i="257"/>
  <c r="G67" i="257"/>
  <c r="O66" i="257"/>
  <c r="M66" i="257"/>
  <c r="AB66" i="257" s="1"/>
  <c r="AC61" i="257" s="1"/>
  <c r="K66" i="257"/>
  <c r="V65" i="257"/>
  <c r="U65" i="257"/>
  <c r="O65" i="257"/>
  <c r="M65" i="257"/>
  <c r="AA65" i="257" s="1"/>
  <c r="K65" i="257"/>
  <c r="G65" i="257"/>
  <c r="V64" i="257"/>
  <c r="U64" i="257"/>
  <c r="O64" i="257"/>
  <c r="M64" i="257"/>
  <c r="N64" i="257" s="1"/>
  <c r="K64" i="257"/>
  <c r="G64" i="257"/>
  <c r="AB63" i="257"/>
  <c r="V63" i="257"/>
  <c r="U63" i="257"/>
  <c r="O63" i="257"/>
  <c r="M63" i="257"/>
  <c r="AA63" i="257" s="1"/>
  <c r="K63" i="257"/>
  <c r="G63" i="257"/>
  <c r="AA62" i="257"/>
  <c r="V62" i="257"/>
  <c r="U62" i="257"/>
  <c r="O62" i="257"/>
  <c r="M62" i="257"/>
  <c r="N62" i="257" s="1"/>
  <c r="K62" i="257"/>
  <c r="G62" i="257"/>
  <c r="AA61" i="257"/>
  <c r="V61" i="257"/>
  <c r="O61" i="257"/>
  <c r="M61" i="257"/>
  <c r="N61" i="257" s="1"/>
  <c r="K61" i="257"/>
  <c r="G61" i="257"/>
  <c r="O60" i="257"/>
  <c r="K60" i="257"/>
  <c r="V59" i="257"/>
  <c r="M59" i="257" s="1"/>
  <c r="U59" i="257"/>
  <c r="O59" i="257"/>
  <c r="K59" i="257"/>
  <c r="G59" i="257"/>
  <c r="V58" i="257"/>
  <c r="M58" i="257" s="1"/>
  <c r="U58" i="257"/>
  <c r="O58" i="257"/>
  <c r="K58" i="257"/>
  <c r="G58" i="257"/>
  <c r="V57" i="257"/>
  <c r="U57" i="257"/>
  <c r="O57" i="257"/>
  <c r="M57" i="257"/>
  <c r="AB57" i="257" s="1"/>
  <c r="K57" i="257"/>
  <c r="G57" i="257"/>
  <c r="V56" i="257"/>
  <c r="O56" i="257"/>
  <c r="M56" i="257"/>
  <c r="K56" i="257"/>
  <c r="G56" i="257"/>
  <c r="O55" i="257"/>
  <c r="K55" i="257"/>
  <c r="AA54" i="257"/>
  <c r="V54" i="257"/>
  <c r="U54" i="257"/>
  <c r="O54" i="257"/>
  <c r="M54" i="257"/>
  <c r="N54" i="257" s="1"/>
  <c r="K54" i="257"/>
  <c r="G54" i="257"/>
  <c r="V53" i="257"/>
  <c r="M53" i="257" s="1"/>
  <c r="U53" i="257"/>
  <c r="O53" i="257"/>
  <c r="K53" i="257"/>
  <c r="G53" i="257"/>
  <c r="AB52" i="257"/>
  <c r="AA52" i="257"/>
  <c r="V52" i="257"/>
  <c r="U52" i="257"/>
  <c r="O52" i="257"/>
  <c r="M52" i="257"/>
  <c r="N52" i="257" s="1"/>
  <c r="K52" i="257"/>
  <c r="G52" i="257"/>
  <c r="V51" i="257"/>
  <c r="M51" i="257" s="1"/>
  <c r="U51" i="257"/>
  <c r="O51" i="257"/>
  <c r="K51" i="257"/>
  <c r="G51" i="257"/>
  <c r="V50" i="257"/>
  <c r="M50" i="257" s="1"/>
  <c r="U50" i="257"/>
  <c r="O50" i="257"/>
  <c r="K50" i="257"/>
  <c r="G50" i="257"/>
  <c r="V49" i="257"/>
  <c r="M49" i="257" s="1"/>
  <c r="U49" i="257"/>
  <c r="O49" i="257"/>
  <c r="K49" i="257"/>
  <c r="G49" i="257"/>
  <c r="V48" i="257"/>
  <c r="M48" i="257" s="1"/>
  <c r="U48" i="257"/>
  <c r="O48" i="257"/>
  <c r="K48" i="257"/>
  <c r="G48" i="257"/>
  <c r="V47" i="257"/>
  <c r="M47" i="257" s="1"/>
  <c r="O47" i="257"/>
  <c r="K47" i="257"/>
  <c r="G47" i="257"/>
  <c r="O46" i="257"/>
  <c r="K46" i="257"/>
  <c r="AB45" i="257"/>
  <c r="V45" i="257"/>
  <c r="U45" i="257"/>
  <c r="O45" i="257"/>
  <c r="M45" i="257"/>
  <c r="AA45" i="257" s="1"/>
  <c r="K45" i="257"/>
  <c r="G45" i="257"/>
  <c r="AA44" i="257"/>
  <c r="V44" i="257"/>
  <c r="U44" i="257"/>
  <c r="O44" i="257"/>
  <c r="M44" i="257"/>
  <c r="N44" i="257" s="1"/>
  <c r="K44" i="257"/>
  <c r="G44" i="257"/>
  <c r="V43" i="257"/>
  <c r="M43" i="257" s="1"/>
  <c r="U43" i="257"/>
  <c r="O43" i="257"/>
  <c r="K43" i="257"/>
  <c r="G43" i="257"/>
  <c r="AB42" i="257"/>
  <c r="AA42" i="257"/>
  <c r="V42" i="257"/>
  <c r="U42" i="257"/>
  <c r="O42" i="257"/>
  <c r="M42" i="257"/>
  <c r="N42" i="257" s="1"/>
  <c r="K42" i="257"/>
  <c r="G42" i="257"/>
  <c r="V41" i="257"/>
  <c r="M41" i="257" s="1"/>
  <c r="U41" i="257"/>
  <c r="O41" i="257"/>
  <c r="K41" i="257"/>
  <c r="G41" i="257"/>
  <c r="V40" i="257"/>
  <c r="M40" i="257" s="1"/>
  <c r="U40" i="257"/>
  <c r="O40" i="257"/>
  <c r="K40" i="257"/>
  <c r="G40" i="257"/>
  <c r="V39" i="257"/>
  <c r="M39" i="257" s="1"/>
  <c r="U39" i="257"/>
  <c r="O39" i="257"/>
  <c r="K39" i="257"/>
  <c r="G39" i="257"/>
  <c r="V38" i="257"/>
  <c r="M38" i="257" s="1"/>
  <c r="O38" i="257"/>
  <c r="K38" i="257"/>
  <c r="G38" i="257"/>
  <c r="O37" i="257"/>
  <c r="K37" i="257"/>
  <c r="K13" i="256" s="1"/>
  <c r="V36" i="257"/>
  <c r="U36" i="257"/>
  <c r="O36" i="257"/>
  <c r="M36" i="257"/>
  <c r="N36" i="257" s="1"/>
  <c r="K36" i="257"/>
  <c r="G36" i="257"/>
  <c r="AB35" i="257"/>
  <c r="V35" i="257"/>
  <c r="U35" i="257"/>
  <c r="O35" i="257"/>
  <c r="M35" i="257"/>
  <c r="AA35" i="257" s="1"/>
  <c r="K35" i="257"/>
  <c r="G35" i="257"/>
  <c r="AA34" i="257"/>
  <c r="V34" i="257"/>
  <c r="U34" i="257"/>
  <c r="O34" i="257"/>
  <c r="M34" i="257"/>
  <c r="N34" i="257" s="1"/>
  <c r="K34" i="257"/>
  <c r="G34" i="257"/>
  <c r="V33" i="257"/>
  <c r="M33" i="257" s="1"/>
  <c r="U33" i="257"/>
  <c r="O33" i="257"/>
  <c r="K33" i="257"/>
  <c r="G33" i="257"/>
  <c r="AB32" i="257"/>
  <c r="AA32" i="257"/>
  <c r="V32" i="257"/>
  <c r="U32" i="257"/>
  <c r="O32" i="257"/>
  <c r="M32" i="257"/>
  <c r="N32" i="257" s="1"/>
  <c r="K32" i="257"/>
  <c r="G32" i="257"/>
  <c r="V31" i="257"/>
  <c r="M31" i="257" s="1"/>
  <c r="U31" i="257"/>
  <c r="O31" i="257"/>
  <c r="K31" i="257"/>
  <c r="G31" i="257"/>
  <c r="V30" i="257"/>
  <c r="M30" i="257" s="1"/>
  <c r="O30" i="257"/>
  <c r="K30" i="257"/>
  <c r="G30" i="257"/>
  <c r="O29" i="257"/>
  <c r="K29" i="257"/>
  <c r="V28" i="257"/>
  <c r="M28" i="257" s="1"/>
  <c r="U28" i="257"/>
  <c r="O28" i="257"/>
  <c r="K28" i="257"/>
  <c r="G28" i="257"/>
  <c r="V27" i="257"/>
  <c r="U27" i="257"/>
  <c r="O27" i="257"/>
  <c r="M27" i="257"/>
  <c r="AA27" i="257" s="1"/>
  <c r="K27" i="257"/>
  <c r="G27" i="257"/>
  <c r="V26" i="257"/>
  <c r="U26" i="257"/>
  <c r="O26" i="257"/>
  <c r="M26" i="257"/>
  <c r="N26" i="257" s="1"/>
  <c r="K26" i="257"/>
  <c r="G26" i="257"/>
  <c r="AB25" i="257"/>
  <c r="V25" i="257"/>
  <c r="U25" i="257"/>
  <c r="O25" i="257"/>
  <c r="M25" i="257"/>
  <c r="AA25" i="257" s="1"/>
  <c r="K25" i="257"/>
  <c r="G25" i="257"/>
  <c r="AA24" i="257"/>
  <c r="V24" i="257"/>
  <c r="U24" i="257"/>
  <c r="O24" i="257"/>
  <c r="M24" i="257"/>
  <c r="N24" i="257" s="1"/>
  <c r="K24" i="257"/>
  <c r="G24" i="257"/>
  <c r="V23" i="257"/>
  <c r="M23" i="257" s="1"/>
  <c r="U23" i="257"/>
  <c r="O23" i="257"/>
  <c r="K23" i="257"/>
  <c r="G23" i="257"/>
  <c r="AB22" i="257"/>
  <c r="AA22" i="257"/>
  <c r="V22" i="257"/>
  <c r="U22" i="257"/>
  <c r="O22" i="257"/>
  <c r="M22" i="257"/>
  <c r="N22" i="257" s="1"/>
  <c r="K22" i="257"/>
  <c r="G22" i="257"/>
  <c r="V21" i="257"/>
  <c r="M21" i="257" s="1"/>
  <c r="U21" i="257"/>
  <c r="O21" i="257"/>
  <c r="K21" i="257"/>
  <c r="G21" i="257"/>
  <c r="V20" i="257"/>
  <c r="M20" i="257" s="1"/>
  <c r="O20" i="257"/>
  <c r="K20" i="257"/>
  <c r="G20" i="257"/>
  <c r="O19" i="257"/>
  <c r="K19" i="257"/>
  <c r="F13" i="256" s="1"/>
  <c r="E6" i="256" s="1"/>
  <c r="V18" i="257"/>
  <c r="M18" i="257" s="1"/>
  <c r="U18" i="257"/>
  <c r="O18" i="257"/>
  <c r="K18" i="257"/>
  <c r="G18" i="257"/>
  <c r="V17" i="257"/>
  <c r="U17" i="257"/>
  <c r="O17" i="257"/>
  <c r="M17" i="257"/>
  <c r="AA17" i="257" s="1"/>
  <c r="K17" i="257"/>
  <c r="G17" i="257"/>
  <c r="V16" i="257"/>
  <c r="U16" i="257"/>
  <c r="O16" i="257"/>
  <c r="M16" i="257"/>
  <c r="N16" i="257" s="1"/>
  <c r="K16" i="257"/>
  <c r="G16" i="257"/>
  <c r="AB15" i="257"/>
  <c r="V15" i="257"/>
  <c r="U15" i="257"/>
  <c r="O15" i="257"/>
  <c r="M15" i="257"/>
  <c r="AA15" i="257" s="1"/>
  <c r="K15" i="257"/>
  <c r="G15" i="257"/>
  <c r="AB14" i="257"/>
  <c r="V14" i="257"/>
  <c r="O14" i="257"/>
  <c r="M14" i="257"/>
  <c r="M19" i="257" s="1"/>
  <c r="K14" i="257"/>
  <c r="G14" i="257"/>
  <c r="O13" i="257"/>
  <c r="K13" i="257"/>
  <c r="V12" i="257"/>
  <c r="M12" i="257" s="1"/>
  <c r="U12" i="257"/>
  <c r="O12" i="257"/>
  <c r="K12" i="257"/>
  <c r="G12" i="257"/>
  <c r="V11" i="257"/>
  <c r="M11" i="257" s="1"/>
  <c r="U11" i="257"/>
  <c r="O11" i="257"/>
  <c r="K11" i="257"/>
  <c r="G11" i="257"/>
  <c r="V10" i="257"/>
  <c r="M10" i="257" s="1"/>
  <c r="U10" i="257"/>
  <c r="O10" i="257"/>
  <c r="K10" i="257"/>
  <c r="G10" i="257"/>
  <c r="V9" i="257"/>
  <c r="M9" i="257" s="1"/>
  <c r="O9" i="257"/>
  <c r="K9" i="257"/>
  <c r="G9" i="257"/>
  <c r="O8" i="257"/>
  <c r="M8" i="257"/>
  <c r="AB8" i="257" s="1"/>
  <c r="AC5" i="257" s="1"/>
  <c r="K8" i="257"/>
  <c r="AB7" i="257"/>
  <c r="V7" i="257"/>
  <c r="U7" i="257"/>
  <c r="O7" i="257"/>
  <c r="M7" i="257"/>
  <c r="AA7" i="257" s="1"/>
  <c r="K7" i="257"/>
  <c r="G7" i="257"/>
  <c r="AA6" i="257"/>
  <c r="V6" i="257"/>
  <c r="U6" i="257"/>
  <c r="O6" i="257"/>
  <c r="M6" i="257"/>
  <c r="N6" i="257" s="1"/>
  <c r="K6" i="257"/>
  <c r="G6" i="257"/>
  <c r="AA5" i="257"/>
  <c r="V5" i="257"/>
  <c r="O5" i="257"/>
  <c r="M5" i="257"/>
  <c r="N5" i="257" s="1"/>
  <c r="K5" i="257"/>
  <c r="G5" i="257"/>
  <c r="F1" i="257" s="1"/>
  <c r="H2" i="257"/>
  <c r="H1" i="257"/>
  <c r="D1" i="257"/>
  <c r="M18" i="256"/>
  <c r="L18" i="256"/>
  <c r="K18" i="256"/>
  <c r="J18" i="256"/>
  <c r="I18" i="256"/>
  <c r="H18" i="256"/>
  <c r="G18" i="256"/>
  <c r="F18" i="256"/>
  <c r="E18" i="256"/>
  <c r="D18" i="256"/>
  <c r="M17" i="256"/>
  <c r="L17" i="256"/>
  <c r="K17" i="256"/>
  <c r="J17" i="256"/>
  <c r="I17" i="256"/>
  <c r="H17" i="256"/>
  <c r="G17" i="256"/>
  <c r="F17" i="256"/>
  <c r="E17" i="256"/>
  <c r="D17" i="256"/>
  <c r="M16" i="256"/>
  <c r="L16" i="256"/>
  <c r="K16" i="256"/>
  <c r="J16" i="256"/>
  <c r="I16" i="256"/>
  <c r="H16" i="256"/>
  <c r="G16" i="256"/>
  <c r="F16" i="256"/>
  <c r="E16" i="256"/>
  <c r="D16" i="256"/>
  <c r="L13" i="256"/>
  <c r="J13" i="256"/>
  <c r="I13" i="256"/>
  <c r="H13" i="256"/>
  <c r="G13" i="256"/>
  <c r="E13" i="256"/>
  <c r="D13" i="256"/>
  <c r="F3" i="256"/>
  <c r="C3" i="256"/>
  <c r="E8" i="264" l="1"/>
  <c r="G7" i="262"/>
  <c r="G8" i="262"/>
  <c r="F8" i="262"/>
  <c r="I7" i="262"/>
  <c r="K15" i="262"/>
  <c r="I8" i="262" s="1"/>
  <c r="E7" i="262"/>
  <c r="F7" i="262"/>
  <c r="Q19" i="261"/>
  <c r="R14" i="261" s="1"/>
  <c r="P19" i="261"/>
  <c r="F14" i="260"/>
  <c r="F15" i="260" s="1"/>
  <c r="J14" i="260"/>
  <c r="J15" i="260" s="1"/>
  <c r="Q68" i="261"/>
  <c r="R61" i="261" s="1"/>
  <c r="P68" i="261"/>
  <c r="D14" i="260"/>
  <c r="Q8" i="261"/>
  <c r="R5" i="261" s="1"/>
  <c r="P8" i="261"/>
  <c r="D2" i="261"/>
  <c r="Q29" i="261"/>
  <c r="R20" i="261" s="1"/>
  <c r="P29" i="261"/>
  <c r="G14" i="260"/>
  <c r="G15" i="260" s="1"/>
  <c r="Q75" i="261"/>
  <c r="R69" i="261" s="1"/>
  <c r="P75" i="261"/>
  <c r="M14" i="260"/>
  <c r="M15" i="260" s="1"/>
  <c r="Q55" i="261"/>
  <c r="R47" i="261" s="1"/>
  <c r="P55" i="261"/>
  <c r="H14" i="260"/>
  <c r="H15" i="260" s="1"/>
  <c r="Q37" i="261"/>
  <c r="R30" i="261" s="1"/>
  <c r="P37" i="261"/>
  <c r="K14" i="260"/>
  <c r="Q46" i="261"/>
  <c r="R38" i="261" s="1"/>
  <c r="P46" i="261"/>
  <c r="L14" i="260"/>
  <c r="L15" i="260" s="1"/>
  <c r="Q67" i="259"/>
  <c r="P67" i="259"/>
  <c r="P24" i="259"/>
  <c r="Q24" i="259"/>
  <c r="Q32" i="259"/>
  <c r="P32" i="259"/>
  <c r="P35" i="259"/>
  <c r="Q35" i="259"/>
  <c r="Q59" i="259"/>
  <c r="P59" i="259"/>
  <c r="Q11" i="259"/>
  <c r="P11" i="259"/>
  <c r="Q64" i="259"/>
  <c r="P64" i="259"/>
  <c r="Q50" i="259"/>
  <c r="P50" i="259"/>
  <c r="Q22" i="259"/>
  <c r="P22" i="259"/>
  <c r="Q57" i="259"/>
  <c r="P57" i="259"/>
  <c r="Q23" i="259"/>
  <c r="P23" i="259"/>
  <c r="P62" i="259"/>
  <c r="Q62" i="259"/>
  <c r="AB19" i="259"/>
  <c r="AC14" i="259" s="1"/>
  <c r="AA19" i="259"/>
  <c r="N19" i="259"/>
  <c r="Q52" i="259"/>
  <c r="P52" i="259"/>
  <c r="P53" i="259"/>
  <c r="Q53" i="259"/>
  <c r="Q36" i="259"/>
  <c r="P36" i="259"/>
  <c r="P10" i="259"/>
  <c r="Q10" i="259"/>
  <c r="AB37" i="259"/>
  <c r="AC30" i="259" s="1"/>
  <c r="AA37" i="259"/>
  <c r="N37" i="259"/>
  <c r="P63" i="259"/>
  <c r="Q63" i="259"/>
  <c r="P5" i="259"/>
  <c r="Q5" i="259"/>
  <c r="P43" i="259"/>
  <c r="Q43" i="259"/>
  <c r="Q56" i="259"/>
  <c r="P56" i="259"/>
  <c r="P34" i="259"/>
  <c r="Q34" i="259"/>
  <c r="Q26" i="259"/>
  <c r="P26" i="259"/>
  <c r="Q49" i="259"/>
  <c r="P49" i="259"/>
  <c r="AB29" i="259"/>
  <c r="AC20" i="259" s="1"/>
  <c r="AA29" i="259"/>
  <c r="N29" i="259"/>
  <c r="P6" i="259"/>
  <c r="Q6" i="259"/>
  <c r="P9" i="259"/>
  <c r="Q9" i="259"/>
  <c r="P25" i="259"/>
  <c r="Q25" i="259"/>
  <c r="P73" i="259"/>
  <c r="Q73" i="259"/>
  <c r="AB68" i="259"/>
  <c r="AC61" i="259" s="1"/>
  <c r="N68" i="259"/>
  <c r="AA68" i="259"/>
  <c r="Q20" i="259"/>
  <c r="P20" i="259"/>
  <c r="Q70" i="259"/>
  <c r="P70" i="259"/>
  <c r="P14" i="259"/>
  <c r="Q14" i="259"/>
  <c r="AB13" i="259"/>
  <c r="AC9" i="259" s="1"/>
  <c r="AA13" i="259"/>
  <c r="N13" i="259"/>
  <c r="P47" i="259"/>
  <c r="Q47" i="259"/>
  <c r="AA8" i="259"/>
  <c r="AB8" i="259"/>
  <c r="AC5" i="259" s="1"/>
  <c r="N8" i="259"/>
  <c r="P54" i="259"/>
  <c r="Q54" i="259"/>
  <c r="Q39" i="259"/>
  <c r="P39" i="259"/>
  <c r="Q74" i="259"/>
  <c r="P74" i="259"/>
  <c r="P45" i="259"/>
  <c r="Q45" i="259"/>
  <c r="Q69" i="259"/>
  <c r="P69" i="259"/>
  <c r="Q31" i="259"/>
  <c r="P31" i="259"/>
  <c r="Q12" i="259"/>
  <c r="P12" i="259"/>
  <c r="P48" i="259"/>
  <c r="Q48" i="259"/>
  <c r="AB60" i="259"/>
  <c r="AC56" i="259" s="1"/>
  <c r="AA60" i="259"/>
  <c r="N60" i="259"/>
  <c r="Q16" i="259"/>
  <c r="P16" i="259"/>
  <c r="P44" i="259"/>
  <c r="Q44" i="259"/>
  <c r="Q42" i="259"/>
  <c r="P42" i="259"/>
  <c r="Q71" i="259"/>
  <c r="P71" i="259"/>
  <c r="AB75" i="259"/>
  <c r="AC69" i="259" s="1"/>
  <c r="AA75" i="259"/>
  <c r="N75" i="259"/>
  <c r="Q38" i="259"/>
  <c r="P38" i="259"/>
  <c r="P33" i="259"/>
  <c r="Q33" i="259"/>
  <c r="P58" i="259"/>
  <c r="Q58" i="259"/>
  <c r="P15" i="259"/>
  <c r="Q15" i="259"/>
  <c r="P72" i="259"/>
  <c r="Q72" i="259"/>
  <c r="Q41" i="259"/>
  <c r="P41" i="259"/>
  <c r="AA46" i="259"/>
  <c r="AB46" i="259"/>
  <c r="AC38" i="259" s="1"/>
  <c r="N46" i="259"/>
  <c r="P61" i="259"/>
  <c r="Q61" i="259"/>
  <c r="P7" i="259"/>
  <c r="Q7" i="259"/>
  <c r="Q55" i="259"/>
  <c r="R47" i="259" s="1"/>
  <c r="P55" i="259"/>
  <c r="H14" i="258"/>
  <c r="H15" i="258" s="1"/>
  <c r="AA19" i="257"/>
  <c r="N19" i="257"/>
  <c r="AB19" i="257"/>
  <c r="AC14" i="257" s="1"/>
  <c r="Q32" i="257"/>
  <c r="P32" i="257"/>
  <c r="AB38" i="257"/>
  <c r="M46" i="257"/>
  <c r="N38" i="257"/>
  <c r="AA38" i="257"/>
  <c r="AB47" i="257"/>
  <c r="AA47" i="257"/>
  <c r="M55" i="257"/>
  <c r="N47" i="257"/>
  <c r="Q16" i="257"/>
  <c r="P16" i="257"/>
  <c r="Q34" i="257"/>
  <c r="P34" i="257"/>
  <c r="AB11" i="257"/>
  <c r="N11" i="257"/>
  <c r="AA11" i="257"/>
  <c r="N41" i="257"/>
  <c r="AB41" i="257"/>
  <c r="AA41" i="257"/>
  <c r="AA50" i="257"/>
  <c r="N50" i="257"/>
  <c r="AB50" i="257"/>
  <c r="Q5" i="257"/>
  <c r="P5" i="257"/>
  <c r="M13" i="257"/>
  <c r="AB9" i="257"/>
  <c r="AA9" i="257"/>
  <c r="N9" i="257"/>
  <c r="AB48" i="257"/>
  <c r="AA48" i="257"/>
  <c r="N48" i="257"/>
  <c r="N69" i="257"/>
  <c r="AB69" i="257"/>
  <c r="AA69" i="257"/>
  <c r="I6" i="256"/>
  <c r="Q44" i="257"/>
  <c r="P44" i="257"/>
  <c r="N71" i="257"/>
  <c r="AB71" i="257"/>
  <c r="AA71" i="257"/>
  <c r="N30" i="257"/>
  <c r="AB30" i="257"/>
  <c r="AA30" i="257"/>
  <c r="M37" i="257"/>
  <c r="N43" i="257"/>
  <c r="AB43" i="257"/>
  <c r="AA43" i="257"/>
  <c r="Q22" i="257"/>
  <c r="P22" i="257"/>
  <c r="AB39" i="257"/>
  <c r="N39" i="257"/>
  <c r="AA39" i="257"/>
  <c r="Q24" i="257"/>
  <c r="P24" i="257"/>
  <c r="Q42" i="257"/>
  <c r="P42" i="257"/>
  <c r="AA12" i="257"/>
  <c r="N12" i="257"/>
  <c r="AB12" i="257"/>
  <c r="Q26" i="257"/>
  <c r="P26" i="257"/>
  <c r="N51" i="257"/>
  <c r="AB51" i="257"/>
  <c r="AA51" i="257"/>
  <c r="Q61" i="257"/>
  <c r="P61" i="257"/>
  <c r="AA67" i="257"/>
  <c r="M73" i="257"/>
  <c r="N67" i="257"/>
  <c r="AB67" i="257"/>
  <c r="Q70" i="257"/>
  <c r="P70" i="257"/>
  <c r="F2" i="257"/>
  <c r="I3" i="256"/>
  <c r="N21" i="257"/>
  <c r="AB21" i="257"/>
  <c r="AA21" i="257"/>
  <c r="AB18" i="257"/>
  <c r="AA18" i="257"/>
  <c r="N18" i="257"/>
  <c r="N23" i="257"/>
  <c r="AB23" i="257"/>
  <c r="AA23" i="257"/>
  <c r="Q36" i="257"/>
  <c r="P36" i="257"/>
  <c r="AB59" i="257"/>
  <c r="N59" i="257"/>
  <c r="AA59" i="257"/>
  <c r="AB10" i="257"/>
  <c r="AA10" i="257"/>
  <c r="N10" i="257"/>
  <c r="N20" i="257"/>
  <c r="AB20" i="257"/>
  <c r="AA20" i="257"/>
  <c r="M29" i="257"/>
  <c r="N31" i="257"/>
  <c r="AB31" i="257"/>
  <c r="AA31" i="257"/>
  <c r="N53" i="257"/>
  <c r="AB53" i="257"/>
  <c r="AA53" i="257"/>
  <c r="M60" i="257"/>
  <c r="G6" i="256"/>
  <c r="Q6" i="257"/>
  <c r="P6" i="257"/>
  <c r="AB28" i="257"/>
  <c r="AA28" i="257"/>
  <c r="N28" i="257"/>
  <c r="N33" i="257"/>
  <c r="AB33" i="257"/>
  <c r="AA33" i="257"/>
  <c r="AA40" i="257"/>
  <c r="N40" i="257"/>
  <c r="AB40" i="257"/>
  <c r="AB49" i="257"/>
  <c r="N49" i="257"/>
  <c r="AA49" i="257"/>
  <c r="AB58" i="257"/>
  <c r="AA58" i="257"/>
  <c r="N58" i="257"/>
  <c r="Q72" i="257"/>
  <c r="P72" i="257"/>
  <c r="Q52" i="257"/>
  <c r="P52" i="257"/>
  <c r="Q54" i="257"/>
  <c r="P54" i="257"/>
  <c r="AA68" i="257"/>
  <c r="N68" i="257"/>
  <c r="AB68" i="257"/>
  <c r="Q62" i="257"/>
  <c r="P62" i="257"/>
  <c r="Q64" i="257"/>
  <c r="P64" i="257"/>
  <c r="N7" i="257"/>
  <c r="N14" i="257"/>
  <c r="N15" i="257"/>
  <c r="N25" i="257"/>
  <c r="N35" i="257"/>
  <c r="N45" i="257"/>
  <c r="N63" i="257"/>
  <c r="AA66" i="257"/>
  <c r="F6" i="256"/>
  <c r="AA16" i="257"/>
  <c r="AB17" i="257"/>
  <c r="AA26" i="257"/>
  <c r="AB27" i="257"/>
  <c r="AA36" i="257"/>
  <c r="AA64" i="257"/>
  <c r="AB65" i="257"/>
  <c r="AA14" i="257"/>
  <c r="AB16" i="257"/>
  <c r="AB26" i="257"/>
  <c r="AB36" i="257"/>
  <c r="AB64" i="257"/>
  <c r="AB5" i="257"/>
  <c r="AB6" i="257"/>
  <c r="AB24" i="257"/>
  <c r="AB34" i="257"/>
  <c r="AB44" i="257"/>
  <c r="AB54" i="257"/>
  <c r="N56" i="257"/>
  <c r="N57" i="257"/>
  <c r="AB61" i="257"/>
  <c r="AB62" i="257"/>
  <c r="N66" i="257"/>
  <c r="AB72" i="257"/>
  <c r="N8" i="257"/>
  <c r="N17" i="257"/>
  <c r="N27" i="257"/>
  <c r="N65" i="257"/>
  <c r="AA8" i="257"/>
  <c r="AA56" i="257"/>
  <c r="AA57" i="257"/>
  <c r="AB56" i="257"/>
  <c r="O71" i="255"/>
  <c r="K71" i="255"/>
  <c r="AB70" i="255"/>
  <c r="AA70" i="255"/>
  <c r="V70" i="255"/>
  <c r="U70" i="255"/>
  <c r="O70" i="255"/>
  <c r="M70" i="255"/>
  <c r="N70" i="255" s="1"/>
  <c r="K70" i="255"/>
  <c r="G70" i="255"/>
  <c r="V69" i="255"/>
  <c r="M69" i="255" s="1"/>
  <c r="U69" i="255"/>
  <c r="O69" i="255"/>
  <c r="K69" i="255"/>
  <c r="G69" i="255"/>
  <c r="V68" i="255"/>
  <c r="M68" i="255" s="1"/>
  <c r="U68" i="255"/>
  <c r="O68" i="255"/>
  <c r="K68" i="255"/>
  <c r="G68" i="255"/>
  <c r="V67" i="255"/>
  <c r="M67" i="255" s="1"/>
  <c r="U67" i="255"/>
  <c r="O67" i="255"/>
  <c r="K67" i="255"/>
  <c r="G67" i="255"/>
  <c r="V66" i="255"/>
  <c r="M66" i="255" s="1"/>
  <c r="U66" i="255"/>
  <c r="O66" i="255"/>
  <c r="K66" i="255"/>
  <c r="G66" i="255"/>
  <c r="V65" i="255"/>
  <c r="M65" i="255" s="1"/>
  <c r="O65" i="255"/>
  <c r="K65" i="255"/>
  <c r="G65" i="255"/>
  <c r="O64" i="255"/>
  <c r="K64" i="255"/>
  <c r="AB63" i="255"/>
  <c r="V63" i="255"/>
  <c r="U63" i="255"/>
  <c r="O63" i="255"/>
  <c r="M63" i="255"/>
  <c r="AA63" i="255" s="1"/>
  <c r="K63" i="255"/>
  <c r="G63" i="255"/>
  <c r="AA62" i="255"/>
  <c r="V62" i="255"/>
  <c r="U62" i="255"/>
  <c r="O62" i="255"/>
  <c r="N62" i="255"/>
  <c r="Q62" i="255" s="1"/>
  <c r="M62" i="255"/>
  <c r="AB62" i="255" s="1"/>
  <c r="K62" i="255"/>
  <c r="G62" i="255"/>
  <c r="V61" i="255"/>
  <c r="M61" i="255" s="1"/>
  <c r="U61" i="255"/>
  <c r="O61" i="255"/>
  <c r="K61" i="255"/>
  <c r="G61" i="255"/>
  <c r="AB60" i="255"/>
  <c r="AA60" i="255"/>
  <c r="V60" i="255"/>
  <c r="U60" i="255"/>
  <c r="O60" i="255"/>
  <c r="M60" i="255"/>
  <c r="N60" i="255" s="1"/>
  <c r="K60" i="255"/>
  <c r="G60" i="255"/>
  <c r="AB59" i="255"/>
  <c r="AA59" i="255"/>
  <c r="V59" i="255"/>
  <c r="O59" i="255"/>
  <c r="M59" i="255"/>
  <c r="N59" i="255" s="1"/>
  <c r="K59" i="255"/>
  <c r="G59" i="255"/>
  <c r="O58" i="255"/>
  <c r="K58" i="255"/>
  <c r="V57" i="255"/>
  <c r="U57" i="255"/>
  <c r="O57" i="255"/>
  <c r="M57" i="255"/>
  <c r="AB57" i="255" s="1"/>
  <c r="K57" i="255"/>
  <c r="G57" i="255"/>
  <c r="V56" i="255"/>
  <c r="M56" i="255" s="1"/>
  <c r="U56" i="255"/>
  <c r="O56" i="255"/>
  <c r="K56" i="255"/>
  <c r="G56" i="255"/>
  <c r="V55" i="255"/>
  <c r="U55" i="255"/>
  <c r="O55" i="255"/>
  <c r="N55" i="255"/>
  <c r="Q55" i="255" s="1"/>
  <c r="M55" i="255"/>
  <c r="AB55" i="255" s="1"/>
  <c r="K55" i="255"/>
  <c r="G55" i="255"/>
  <c r="V54" i="255"/>
  <c r="O54" i="255"/>
  <c r="N54" i="255"/>
  <c r="Q54" i="255" s="1"/>
  <c r="M54" i="255"/>
  <c r="M58" i="255" s="1"/>
  <c r="K54" i="255"/>
  <c r="G54" i="255"/>
  <c r="O53" i="255"/>
  <c r="K53" i="255"/>
  <c r="AB52" i="255"/>
  <c r="AA52" i="255"/>
  <c r="V52" i="255"/>
  <c r="U52" i="255"/>
  <c r="O52" i="255"/>
  <c r="M52" i="255"/>
  <c r="N52" i="255" s="1"/>
  <c r="K52" i="255"/>
  <c r="G52" i="255"/>
  <c r="V51" i="255"/>
  <c r="M51" i="255" s="1"/>
  <c r="U51" i="255"/>
  <c r="O51" i="255"/>
  <c r="K51" i="255"/>
  <c r="G51" i="255"/>
  <c r="V50" i="255"/>
  <c r="M50" i="255" s="1"/>
  <c r="U50" i="255"/>
  <c r="O50" i="255"/>
  <c r="K50" i="255"/>
  <c r="G50" i="255"/>
  <c r="V49" i="255"/>
  <c r="M49" i="255" s="1"/>
  <c r="U49" i="255"/>
  <c r="O49" i="255"/>
  <c r="K49" i="255"/>
  <c r="G49" i="255"/>
  <c r="V48" i="255"/>
  <c r="M48" i="255" s="1"/>
  <c r="U48" i="255"/>
  <c r="O48" i="255"/>
  <c r="K48" i="255"/>
  <c r="G48" i="255"/>
  <c r="V47" i="255"/>
  <c r="U47" i="255"/>
  <c r="O47" i="255"/>
  <c r="M47" i="255"/>
  <c r="AB47" i="255" s="1"/>
  <c r="K47" i="255"/>
  <c r="G47" i="255"/>
  <c r="V46" i="255"/>
  <c r="M46" i="255" s="1"/>
  <c r="U46" i="255"/>
  <c r="O46" i="255"/>
  <c r="K46" i="255"/>
  <c r="G46" i="255"/>
  <c r="V45" i="255"/>
  <c r="M45" i="255" s="1"/>
  <c r="O45" i="255"/>
  <c r="K45" i="255"/>
  <c r="G45" i="255"/>
  <c r="O44" i="255"/>
  <c r="K44" i="255"/>
  <c r="V43" i="255"/>
  <c r="M43" i="255" s="1"/>
  <c r="U43" i="255"/>
  <c r="O43" i="255"/>
  <c r="K43" i="255"/>
  <c r="G43" i="255"/>
  <c r="AB42" i="255"/>
  <c r="AA42" i="255"/>
  <c r="V42" i="255"/>
  <c r="U42" i="255"/>
  <c r="O42" i="255"/>
  <c r="M42" i="255"/>
  <c r="N42" i="255" s="1"/>
  <c r="K42" i="255"/>
  <c r="G42" i="255"/>
  <c r="V41" i="255"/>
  <c r="M41" i="255" s="1"/>
  <c r="U41" i="255"/>
  <c r="O41" i="255"/>
  <c r="K41" i="255"/>
  <c r="G41" i="255"/>
  <c r="V40" i="255"/>
  <c r="M40" i="255" s="1"/>
  <c r="U40" i="255"/>
  <c r="O40" i="255"/>
  <c r="K40" i="255"/>
  <c r="G40" i="255"/>
  <c r="V39" i="255"/>
  <c r="M39" i="255" s="1"/>
  <c r="U39" i="255"/>
  <c r="O39" i="255"/>
  <c r="K39" i="255"/>
  <c r="G39" i="255"/>
  <c r="V38" i="255"/>
  <c r="M38" i="255" s="1"/>
  <c r="U38" i="255"/>
  <c r="O38" i="255"/>
  <c r="K38" i="255"/>
  <c r="G38" i="255"/>
  <c r="V37" i="255"/>
  <c r="U37" i="255"/>
  <c r="O37" i="255"/>
  <c r="M37" i="255"/>
  <c r="AB37" i="255" s="1"/>
  <c r="K37" i="255"/>
  <c r="G37" i="255"/>
  <c r="V36" i="255"/>
  <c r="O36" i="255"/>
  <c r="M36" i="255"/>
  <c r="AB36" i="255" s="1"/>
  <c r="K36" i="255"/>
  <c r="G36" i="255"/>
  <c r="O35" i="255"/>
  <c r="K35" i="255"/>
  <c r="AA34" i="255"/>
  <c r="V34" i="255"/>
  <c r="U34" i="255"/>
  <c r="O34" i="255"/>
  <c r="N34" i="255"/>
  <c r="Q34" i="255" s="1"/>
  <c r="M34" i="255"/>
  <c r="AB34" i="255" s="1"/>
  <c r="K34" i="255"/>
  <c r="G34" i="255"/>
  <c r="V33" i="255"/>
  <c r="M33" i="255" s="1"/>
  <c r="U33" i="255"/>
  <c r="O33" i="255"/>
  <c r="K33" i="255"/>
  <c r="G33" i="255"/>
  <c r="AB32" i="255"/>
  <c r="AA32" i="255"/>
  <c r="V32" i="255"/>
  <c r="U32" i="255"/>
  <c r="O32" i="255"/>
  <c r="M32" i="255"/>
  <c r="N32" i="255" s="1"/>
  <c r="K32" i="255"/>
  <c r="G32" i="255"/>
  <c r="V31" i="255"/>
  <c r="M31" i="255" s="1"/>
  <c r="U31" i="255"/>
  <c r="O31" i="255"/>
  <c r="K31" i="255"/>
  <c r="G31" i="255"/>
  <c r="V30" i="255"/>
  <c r="M30" i="255" s="1"/>
  <c r="U30" i="255"/>
  <c r="O30" i="255"/>
  <c r="K30" i="255"/>
  <c r="G30" i="255"/>
  <c r="V29" i="255"/>
  <c r="M29" i="255" s="1"/>
  <c r="U29" i="255"/>
  <c r="O29" i="255"/>
  <c r="K29" i="255"/>
  <c r="G29" i="255"/>
  <c r="V28" i="255"/>
  <c r="M28" i="255" s="1"/>
  <c r="O28" i="255"/>
  <c r="K28" i="255"/>
  <c r="G28" i="255"/>
  <c r="O27" i="255"/>
  <c r="K27" i="255"/>
  <c r="V26" i="255"/>
  <c r="U26" i="255"/>
  <c r="O26" i="255"/>
  <c r="M26" i="255"/>
  <c r="AB26" i="255" s="1"/>
  <c r="K26" i="255"/>
  <c r="G26" i="255"/>
  <c r="AB25" i="255"/>
  <c r="V25" i="255"/>
  <c r="U25" i="255"/>
  <c r="O25" i="255"/>
  <c r="M25" i="255"/>
  <c r="AA25" i="255" s="1"/>
  <c r="K25" i="255"/>
  <c r="G25" i="255"/>
  <c r="AA24" i="255"/>
  <c r="V24" i="255"/>
  <c r="U24" i="255"/>
  <c r="O24" i="255"/>
  <c r="N24" i="255"/>
  <c r="Q24" i="255" s="1"/>
  <c r="M24" i="255"/>
  <c r="AB24" i="255" s="1"/>
  <c r="K24" i="255"/>
  <c r="G24" i="255"/>
  <c r="V23" i="255"/>
  <c r="M23" i="255" s="1"/>
  <c r="U23" i="255"/>
  <c r="O23" i="255"/>
  <c r="K23" i="255"/>
  <c r="G23" i="255"/>
  <c r="AB22" i="255"/>
  <c r="AA22" i="255"/>
  <c r="V22" i="255"/>
  <c r="U22" i="255"/>
  <c r="O22" i="255"/>
  <c r="M22" i="255"/>
  <c r="N22" i="255" s="1"/>
  <c r="K22" i="255"/>
  <c r="G22" i="255"/>
  <c r="V21" i="255"/>
  <c r="M21" i="255" s="1"/>
  <c r="U21" i="255"/>
  <c r="O21" i="255"/>
  <c r="K21" i="255"/>
  <c r="G21" i="255"/>
  <c r="V20" i="255"/>
  <c r="M20" i="255" s="1"/>
  <c r="O20" i="255"/>
  <c r="K20" i="255"/>
  <c r="G20" i="255"/>
  <c r="O19" i="255"/>
  <c r="K19" i="255"/>
  <c r="V18" i="255"/>
  <c r="M18" i="255" s="1"/>
  <c r="U18" i="255"/>
  <c r="O18" i="255"/>
  <c r="K18" i="255"/>
  <c r="G18" i="255"/>
  <c r="V17" i="255"/>
  <c r="U17" i="255"/>
  <c r="O17" i="255"/>
  <c r="N17" i="255"/>
  <c r="Q17" i="255" s="1"/>
  <c r="M17" i="255"/>
  <c r="AB17" i="255" s="1"/>
  <c r="K17" i="255"/>
  <c r="G17" i="255"/>
  <c r="V16" i="255"/>
  <c r="U16" i="255"/>
  <c r="O16" i="255"/>
  <c r="M16" i="255"/>
  <c r="AB16" i="255" s="1"/>
  <c r="K16" i="255"/>
  <c r="G16" i="255"/>
  <c r="AB15" i="255"/>
  <c r="V15" i="255"/>
  <c r="U15" i="255"/>
  <c r="O15" i="255"/>
  <c r="M15" i="255"/>
  <c r="AA15" i="255" s="1"/>
  <c r="K15" i="255"/>
  <c r="G15" i="255"/>
  <c r="AB14" i="255"/>
  <c r="V14" i="255"/>
  <c r="O14" i="255"/>
  <c r="M14" i="255"/>
  <c r="M19" i="255" s="1"/>
  <c r="K14" i="255"/>
  <c r="G14" i="255"/>
  <c r="O13" i="255"/>
  <c r="K13" i="255"/>
  <c r="V12" i="255"/>
  <c r="M12" i="255" s="1"/>
  <c r="U12" i="255"/>
  <c r="O12" i="255"/>
  <c r="K12" i="255"/>
  <c r="G12" i="255"/>
  <c r="V11" i="255"/>
  <c r="M11" i="255" s="1"/>
  <c r="U11" i="255"/>
  <c r="O11" i="255"/>
  <c r="K11" i="255"/>
  <c r="G11" i="255"/>
  <c r="V10" i="255"/>
  <c r="M10" i="255" s="1"/>
  <c r="U10" i="255"/>
  <c r="O10" i="255"/>
  <c r="K10" i="255"/>
  <c r="G10" i="255"/>
  <c r="V9" i="255"/>
  <c r="M9" i="255" s="1"/>
  <c r="O9" i="255"/>
  <c r="N9" i="255"/>
  <c r="K9" i="255"/>
  <c r="G9" i="255"/>
  <c r="O8" i="255"/>
  <c r="K8" i="255"/>
  <c r="AB7" i="255"/>
  <c r="V7" i="255"/>
  <c r="U7" i="255"/>
  <c r="O7" i="255"/>
  <c r="M7" i="255"/>
  <c r="AA7" i="255" s="1"/>
  <c r="K7" i="255"/>
  <c r="G7" i="255"/>
  <c r="AA6" i="255"/>
  <c r="V6" i="255"/>
  <c r="U6" i="255"/>
  <c r="O6" i="255"/>
  <c r="N6" i="255"/>
  <c r="Q6" i="255" s="1"/>
  <c r="M6" i="255"/>
  <c r="AB6" i="255" s="1"/>
  <c r="K6" i="255"/>
  <c r="G6" i="255"/>
  <c r="AA5" i="255"/>
  <c r="V5" i="255"/>
  <c r="O5" i="255"/>
  <c r="N5" i="255"/>
  <c r="Q5" i="255" s="1"/>
  <c r="M5" i="255"/>
  <c r="AB5" i="255" s="1"/>
  <c r="K5" i="255"/>
  <c r="G5" i="255"/>
  <c r="F1" i="255" s="1"/>
  <c r="H2" i="255"/>
  <c r="H1" i="255"/>
  <c r="D1" i="255"/>
  <c r="M18" i="254"/>
  <c r="L18" i="254"/>
  <c r="K18" i="254"/>
  <c r="J18" i="254"/>
  <c r="I18" i="254"/>
  <c r="H18" i="254"/>
  <c r="G18" i="254"/>
  <c r="F18" i="254"/>
  <c r="E18" i="254"/>
  <c r="D18" i="254"/>
  <c r="M17" i="254"/>
  <c r="L17" i="254"/>
  <c r="K17" i="254"/>
  <c r="J17" i="254"/>
  <c r="I17" i="254"/>
  <c r="H17" i="254"/>
  <c r="G17" i="254"/>
  <c r="F17" i="254"/>
  <c r="E17" i="254"/>
  <c r="D17" i="254"/>
  <c r="M16" i="254"/>
  <c r="L16" i="254"/>
  <c r="K16" i="254"/>
  <c r="J16" i="254"/>
  <c r="I16" i="254"/>
  <c r="H16" i="254"/>
  <c r="G16" i="254"/>
  <c r="F16" i="254"/>
  <c r="E16" i="254"/>
  <c r="D16" i="254"/>
  <c r="M13" i="254"/>
  <c r="L13" i="254"/>
  <c r="K13" i="254"/>
  <c r="J13" i="254"/>
  <c r="I13" i="254"/>
  <c r="H13" i="254"/>
  <c r="G13" i="254"/>
  <c r="E6" i="254" s="1"/>
  <c r="F13" i="254"/>
  <c r="E13" i="254"/>
  <c r="D13" i="254"/>
  <c r="I6" i="254"/>
  <c r="F3" i="254"/>
  <c r="C3" i="254"/>
  <c r="O66" i="253"/>
  <c r="K66" i="253"/>
  <c r="AB65" i="253"/>
  <c r="AA65" i="253"/>
  <c r="V65" i="253"/>
  <c r="U65" i="253"/>
  <c r="O65" i="253"/>
  <c r="M65" i="253"/>
  <c r="N65" i="253" s="1"/>
  <c r="K65" i="253"/>
  <c r="G65" i="253"/>
  <c r="V64" i="253"/>
  <c r="M64" i="253" s="1"/>
  <c r="U64" i="253"/>
  <c r="O64" i="253"/>
  <c r="K64" i="253"/>
  <c r="G64" i="253"/>
  <c r="V63" i="253"/>
  <c r="M63" i="253" s="1"/>
  <c r="U63" i="253"/>
  <c r="O63" i="253"/>
  <c r="K63" i="253"/>
  <c r="G63" i="253"/>
  <c r="V62" i="253"/>
  <c r="M62" i="253" s="1"/>
  <c r="U62" i="253"/>
  <c r="O62" i="253"/>
  <c r="K62" i="253"/>
  <c r="G62" i="253"/>
  <c r="V61" i="253"/>
  <c r="M61" i="253" s="1"/>
  <c r="O61" i="253"/>
  <c r="K61" i="253"/>
  <c r="G61" i="253"/>
  <c r="O60" i="253"/>
  <c r="K60" i="253"/>
  <c r="V59" i="253"/>
  <c r="U59" i="253"/>
  <c r="O59" i="253"/>
  <c r="M59" i="253"/>
  <c r="AB59" i="253" s="1"/>
  <c r="K59" i="253"/>
  <c r="G59" i="253"/>
  <c r="V58" i="253"/>
  <c r="U58" i="253"/>
  <c r="O58" i="253"/>
  <c r="M58" i="253"/>
  <c r="AA58" i="253" s="1"/>
  <c r="K58" i="253"/>
  <c r="G58" i="253"/>
  <c r="AA57" i="253"/>
  <c r="V57" i="253"/>
  <c r="U57" i="253"/>
  <c r="O57" i="253"/>
  <c r="M57" i="253"/>
  <c r="N57" i="253" s="1"/>
  <c r="K57" i="253"/>
  <c r="G57" i="253"/>
  <c r="V56" i="253"/>
  <c r="M56" i="253" s="1"/>
  <c r="U56" i="253"/>
  <c r="O56" i="253"/>
  <c r="K56" i="253"/>
  <c r="G56" i="253"/>
  <c r="V55" i="253"/>
  <c r="M55" i="253" s="1"/>
  <c r="O55" i="253"/>
  <c r="K55" i="253"/>
  <c r="G55" i="253"/>
  <c r="O54" i="253"/>
  <c r="K54" i="253"/>
  <c r="V53" i="253"/>
  <c r="M53" i="253" s="1"/>
  <c r="U53" i="253"/>
  <c r="O53" i="253"/>
  <c r="K53" i="253"/>
  <c r="G53" i="253"/>
  <c r="AA52" i="253"/>
  <c r="V52" i="253"/>
  <c r="U52" i="253"/>
  <c r="O52" i="253"/>
  <c r="M52" i="253"/>
  <c r="AB52" i="253" s="1"/>
  <c r="K52" i="253"/>
  <c r="G52" i="253"/>
  <c r="V51" i="253"/>
  <c r="M51" i="253" s="1"/>
  <c r="U51" i="253"/>
  <c r="O51" i="253"/>
  <c r="K51" i="253"/>
  <c r="G51" i="253"/>
  <c r="V50" i="253"/>
  <c r="M50" i="253" s="1"/>
  <c r="O50" i="253"/>
  <c r="K50" i="253"/>
  <c r="G50" i="253"/>
  <c r="O49" i="253"/>
  <c r="K49" i="253"/>
  <c r="V48" i="253"/>
  <c r="M48" i="253" s="1"/>
  <c r="U48" i="253"/>
  <c r="O48" i="253"/>
  <c r="K48" i="253"/>
  <c r="G48" i="253"/>
  <c r="AB47" i="253"/>
  <c r="AA47" i="253"/>
  <c r="V47" i="253"/>
  <c r="U47" i="253"/>
  <c r="O47" i="253"/>
  <c r="M47" i="253"/>
  <c r="N47" i="253" s="1"/>
  <c r="K47" i="253"/>
  <c r="G47" i="253"/>
  <c r="V46" i="253"/>
  <c r="M46" i="253" s="1"/>
  <c r="U46" i="253"/>
  <c r="O46" i="253"/>
  <c r="K46" i="253"/>
  <c r="G46" i="253"/>
  <c r="V45" i="253"/>
  <c r="M45" i="253" s="1"/>
  <c r="U45" i="253"/>
  <c r="O45" i="253"/>
  <c r="K45" i="253"/>
  <c r="G45" i="253"/>
  <c r="V44" i="253"/>
  <c r="M44" i="253" s="1"/>
  <c r="U44" i="253"/>
  <c r="O44" i="253"/>
  <c r="K44" i="253"/>
  <c r="G44" i="253"/>
  <c r="V43" i="253"/>
  <c r="M43" i="253" s="1"/>
  <c r="U43" i="253"/>
  <c r="O43" i="253"/>
  <c r="K43" i="253"/>
  <c r="G43" i="253"/>
  <c r="V42" i="253"/>
  <c r="M42" i="253" s="1"/>
  <c r="O42" i="253"/>
  <c r="K42" i="253"/>
  <c r="G42" i="253"/>
  <c r="O41" i="253"/>
  <c r="K41" i="253"/>
  <c r="V40" i="253"/>
  <c r="U40" i="253"/>
  <c r="O40" i="253"/>
  <c r="M40" i="253"/>
  <c r="AA40" i="253" s="1"/>
  <c r="K40" i="253"/>
  <c r="G40" i="253"/>
  <c r="AA39" i="253"/>
  <c r="V39" i="253"/>
  <c r="U39" i="253"/>
  <c r="O39" i="253"/>
  <c r="M39" i="253"/>
  <c r="N39" i="253" s="1"/>
  <c r="K39" i="253"/>
  <c r="G39" i="253"/>
  <c r="V38" i="253"/>
  <c r="M38" i="253" s="1"/>
  <c r="U38" i="253"/>
  <c r="O38" i="253"/>
  <c r="K38" i="253"/>
  <c r="G38" i="253"/>
  <c r="AB37" i="253"/>
  <c r="AA37" i="253"/>
  <c r="V37" i="253"/>
  <c r="U37" i="253"/>
  <c r="O37" i="253"/>
  <c r="M37" i="253"/>
  <c r="N37" i="253" s="1"/>
  <c r="K37" i="253"/>
  <c r="G37" i="253"/>
  <c r="V36" i="253"/>
  <c r="M36" i="253" s="1"/>
  <c r="U36" i="253"/>
  <c r="O36" i="253"/>
  <c r="K36" i="253"/>
  <c r="G36" i="253"/>
  <c r="V35" i="253"/>
  <c r="M35" i="253" s="1"/>
  <c r="O35" i="253"/>
  <c r="K35" i="253"/>
  <c r="G35" i="253"/>
  <c r="O34" i="253"/>
  <c r="K34" i="253"/>
  <c r="V33" i="253"/>
  <c r="M33" i="253" s="1"/>
  <c r="U33" i="253"/>
  <c r="O33" i="253"/>
  <c r="K33" i="253"/>
  <c r="G33" i="253"/>
  <c r="V32" i="253"/>
  <c r="U32" i="253"/>
  <c r="O32" i="253"/>
  <c r="N32" i="253"/>
  <c r="Q32" i="253" s="1"/>
  <c r="M32" i="253"/>
  <c r="AB32" i="253" s="1"/>
  <c r="K32" i="253"/>
  <c r="G32" i="253"/>
  <c r="V31" i="253"/>
  <c r="U31" i="253"/>
  <c r="O31" i="253"/>
  <c r="M31" i="253"/>
  <c r="AB31" i="253" s="1"/>
  <c r="K31" i="253"/>
  <c r="G31" i="253"/>
  <c r="V30" i="253"/>
  <c r="U30" i="253"/>
  <c r="O30" i="253"/>
  <c r="M30" i="253"/>
  <c r="AA30" i="253" s="1"/>
  <c r="K30" i="253"/>
  <c r="G30" i="253"/>
  <c r="AA29" i="253"/>
  <c r="V29" i="253"/>
  <c r="U29" i="253"/>
  <c r="O29" i="253"/>
  <c r="M29" i="253"/>
  <c r="N29" i="253" s="1"/>
  <c r="K29" i="253"/>
  <c r="G29" i="253"/>
  <c r="AA28" i="253"/>
  <c r="V28" i="253"/>
  <c r="O28" i="253"/>
  <c r="M28" i="253"/>
  <c r="M34" i="253" s="1"/>
  <c r="K28" i="253"/>
  <c r="G28" i="253"/>
  <c r="O27" i="253"/>
  <c r="K27" i="253"/>
  <c r="V26" i="253"/>
  <c r="M26" i="253" s="1"/>
  <c r="U26" i="253"/>
  <c r="O26" i="253"/>
  <c r="K26" i="253"/>
  <c r="G26" i="253"/>
  <c r="V25" i="253"/>
  <c r="M25" i="253" s="1"/>
  <c r="U25" i="253"/>
  <c r="O25" i="253"/>
  <c r="K25" i="253"/>
  <c r="G25" i="253"/>
  <c r="AA24" i="253"/>
  <c r="V24" i="253"/>
  <c r="U24" i="253"/>
  <c r="O24" i="253"/>
  <c r="M24" i="253"/>
  <c r="AB24" i="253" s="1"/>
  <c r="K24" i="253"/>
  <c r="G24" i="253"/>
  <c r="V23" i="253"/>
  <c r="M23" i="253" s="1"/>
  <c r="U23" i="253"/>
  <c r="O23" i="253"/>
  <c r="K23" i="253"/>
  <c r="G23" i="253"/>
  <c r="V22" i="253"/>
  <c r="U22" i="253"/>
  <c r="O22" i="253"/>
  <c r="N22" i="253"/>
  <c r="Q22" i="253" s="1"/>
  <c r="M22" i="253"/>
  <c r="AB22" i="253" s="1"/>
  <c r="K22" i="253"/>
  <c r="G22" i="253"/>
  <c r="V21" i="253"/>
  <c r="U21" i="253"/>
  <c r="O21" i="253"/>
  <c r="M21" i="253"/>
  <c r="AB21" i="253" s="1"/>
  <c r="K21" i="253"/>
  <c r="G21" i="253"/>
  <c r="V20" i="253"/>
  <c r="O20" i="253"/>
  <c r="M20" i="253"/>
  <c r="AB20" i="253" s="1"/>
  <c r="K20" i="253"/>
  <c r="G20" i="253"/>
  <c r="O19" i="253"/>
  <c r="K19" i="253"/>
  <c r="F13" i="252" s="1"/>
  <c r="E6" i="252" s="1"/>
  <c r="V18" i="253"/>
  <c r="M18" i="253" s="1"/>
  <c r="U18" i="253"/>
  <c r="O18" i="253"/>
  <c r="K18" i="253"/>
  <c r="G18" i="253"/>
  <c r="V17" i="253"/>
  <c r="M17" i="253" s="1"/>
  <c r="U17" i="253"/>
  <c r="O17" i="253"/>
  <c r="K17" i="253"/>
  <c r="G17" i="253"/>
  <c r="V16" i="253"/>
  <c r="M16" i="253" s="1"/>
  <c r="U16" i="253"/>
  <c r="O16" i="253"/>
  <c r="K16" i="253"/>
  <c r="G16" i="253"/>
  <c r="V15" i="253"/>
  <c r="M15" i="253" s="1"/>
  <c r="U15" i="253"/>
  <c r="O15" i="253"/>
  <c r="K15" i="253"/>
  <c r="G15" i="253"/>
  <c r="V14" i="253"/>
  <c r="M14" i="253" s="1"/>
  <c r="O14" i="253"/>
  <c r="K14" i="253"/>
  <c r="G14" i="253"/>
  <c r="O13" i="253"/>
  <c r="K13" i="253"/>
  <c r="V12" i="253"/>
  <c r="U12" i="253"/>
  <c r="O12" i="253"/>
  <c r="M12" i="253"/>
  <c r="AA12" i="253" s="1"/>
  <c r="K12" i="253"/>
  <c r="G12" i="253"/>
  <c r="AA11" i="253"/>
  <c r="V11" i="253"/>
  <c r="U11" i="253"/>
  <c r="O11" i="253"/>
  <c r="M11" i="253"/>
  <c r="N11" i="253" s="1"/>
  <c r="K11" i="253"/>
  <c r="G11" i="253"/>
  <c r="V10" i="253"/>
  <c r="M10" i="253" s="1"/>
  <c r="U10" i="253"/>
  <c r="O10" i="253"/>
  <c r="K10" i="253"/>
  <c r="G10" i="253"/>
  <c r="V9" i="253"/>
  <c r="M9" i="253" s="1"/>
  <c r="O9" i="253"/>
  <c r="K9" i="253"/>
  <c r="G9" i="253"/>
  <c r="F1" i="253" s="1"/>
  <c r="O8" i="253"/>
  <c r="K8" i="253"/>
  <c r="V7" i="253"/>
  <c r="M7" i="253" s="1"/>
  <c r="U7" i="253"/>
  <c r="O7" i="253"/>
  <c r="K7" i="253"/>
  <c r="G7" i="253"/>
  <c r="AA6" i="253"/>
  <c r="V6" i="253"/>
  <c r="U6" i="253"/>
  <c r="O6" i="253"/>
  <c r="M6" i="253"/>
  <c r="AB6" i="253" s="1"/>
  <c r="K6" i="253"/>
  <c r="G6" i="253"/>
  <c r="AA5" i="253"/>
  <c r="V5" i="253"/>
  <c r="O5" i="253"/>
  <c r="M5" i="253"/>
  <c r="M8" i="253" s="1"/>
  <c r="K5" i="253"/>
  <c r="G5" i="253"/>
  <c r="H2" i="253"/>
  <c r="H1" i="253"/>
  <c r="D1" i="253"/>
  <c r="M18" i="252"/>
  <c r="L18" i="252"/>
  <c r="K18" i="252"/>
  <c r="J18" i="252"/>
  <c r="I18" i="252"/>
  <c r="H18" i="252"/>
  <c r="G18" i="252"/>
  <c r="F18" i="252"/>
  <c r="E18" i="252"/>
  <c r="D18" i="252"/>
  <c r="M17" i="252"/>
  <c r="L17" i="252"/>
  <c r="K17" i="252"/>
  <c r="J17" i="252"/>
  <c r="I17" i="252"/>
  <c r="H17" i="252"/>
  <c r="G17" i="252"/>
  <c r="F17" i="252"/>
  <c r="E17" i="252"/>
  <c r="D17" i="252"/>
  <c r="M16" i="252"/>
  <c r="L16" i="252"/>
  <c r="K16" i="252"/>
  <c r="J16" i="252"/>
  <c r="I16" i="252"/>
  <c r="H16" i="252"/>
  <c r="G16" i="252"/>
  <c r="F16" i="252"/>
  <c r="E16" i="252"/>
  <c r="D16" i="252"/>
  <c r="M13" i="252"/>
  <c r="L13" i="252"/>
  <c r="K13" i="252"/>
  <c r="I6" i="252" s="1"/>
  <c r="J13" i="252"/>
  <c r="I13" i="252"/>
  <c r="H13" i="252"/>
  <c r="G13" i="252"/>
  <c r="E13" i="252"/>
  <c r="D13" i="252"/>
  <c r="G6" i="252" s="1"/>
  <c r="F3" i="252"/>
  <c r="C3" i="252"/>
  <c r="O66" i="251"/>
  <c r="K66" i="251"/>
  <c r="V65" i="251"/>
  <c r="U65" i="251"/>
  <c r="O65" i="251"/>
  <c r="M65" i="251"/>
  <c r="N65" i="251" s="1"/>
  <c r="K65" i="251"/>
  <c r="G65" i="251"/>
  <c r="V64" i="251"/>
  <c r="M64" i="251" s="1"/>
  <c r="U64" i="251"/>
  <c r="O64" i="251"/>
  <c r="K64" i="251"/>
  <c r="G64" i="251"/>
  <c r="V63" i="251"/>
  <c r="M63" i="251" s="1"/>
  <c r="U63" i="251"/>
  <c r="O63" i="251"/>
  <c r="K63" i="251"/>
  <c r="G63" i="251"/>
  <c r="V62" i="251"/>
  <c r="M62" i="251" s="1"/>
  <c r="U62" i="251"/>
  <c r="O62" i="251"/>
  <c r="K62" i="251"/>
  <c r="G62" i="251"/>
  <c r="V61" i="251"/>
  <c r="M61" i="251" s="1"/>
  <c r="O61" i="251"/>
  <c r="K61" i="251"/>
  <c r="G61" i="251"/>
  <c r="O60" i="251"/>
  <c r="K60" i="251"/>
  <c r="V59" i="251"/>
  <c r="U59" i="251"/>
  <c r="O59" i="251"/>
  <c r="M59" i="251"/>
  <c r="AB59" i="251" s="1"/>
  <c r="K59" i="251"/>
  <c r="G59" i="251"/>
  <c r="V58" i="251"/>
  <c r="U58" i="251"/>
  <c r="P58" i="251"/>
  <c r="O58" i="251"/>
  <c r="N58" i="251"/>
  <c r="Q58" i="251" s="1"/>
  <c r="M58" i="251"/>
  <c r="AA58" i="251" s="1"/>
  <c r="K58" i="251"/>
  <c r="G58" i="251"/>
  <c r="V57" i="251"/>
  <c r="U57" i="251"/>
  <c r="O57" i="251"/>
  <c r="M57" i="251"/>
  <c r="N57" i="251" s="1"/>
  <c r="K57" i="251"/>
  <c r="G57" i="251"/>
  <c r="AB56" i="251"/>
  <c r="V56" i="251"/>
  <c r="U56" i="251"/>
  <c r="O56" i="251"/>
  <c r="N56" i="251"/>
  <c r="Q56" i="251" s="1"/>
  <c r="M56" i="251"/>
  <c r="AA56" i="251" s="1"/>
  <c r="K56" i="251"/>
  <c r="G56" i="251"/>
  <c r="AB55" i="251"/>
  <c r="V55" i="251"/>
  <c r="O55" i="251"/>
  <c r="N55" i="251"/>
  <c r="Q55" i="251" s="1"/>
  <c r="M55" i="251"/>
  <c r="M60" i="251" s="1"/>
  <c r="K55" i="251"/>
  <c r="G55" i="251"/>
  <c r="O54" i="251"/>
  <c r="K54" i="251"/>
  <c r="V53" i="251"/>
  <c r="M53" i="251" s="1"/>
  <c r="U53" i="251"/>
  <c r="O53" i="251"/>
  <c r="K53" i="251"/>
  <c r="G53" i="251"/>
  <c r="V52" i="251"/>
  <c r="M52" i="251" s="1"/>
  <c r="U52" i="251"/>
  <c r="O52" i="251"/>
  <c r="K52" i="251"/>
  <c r="G52" i="251"/>
  <c r="V51" i="251"/>
  <c r="M51" i="251" s="1"/>
  <c r="U51" i="251"/>
  <c r="O51" i="251"/>
  <c r="K51" i="251"/>
  <c r="G51" i="251"/>
  <c r="V50" i="251"/>
  <c r="M50" i="251" s="1"/>
  <c r="O50" i="251"/>
  <c r="K50" i="251"/>
  <c r="G50" i="251"/>
  <c r="O49" i="251"/>
  <c r="K49" i="251"/>
  <c r="AB48" i="251"/>
  <c r="V48" i="251"/>
  <c r="U48" i="251"/>
  <c r="O48" i="251"/>
  <c r="N48" i="251"/>
  <c r="Q48" i="251" s="1"/>
  <c r="M48" i="251"/>
  <c r="AA48" i="251" s="1"/>
  <c r="K48" i="251"/>
  <c r="G48" i="251"/>
  <c r="V47" i="251"/>
  <c r="U47" i="251"/>
  <c r="O47" i="251"/>
  <c r="M47" i="251"/>
  <c r="N47" i="251" s="1"/>
  <c r="K47" i="251"/>
  <c r="G47" i="251"/>
  <c r="V46" i="251"/>
  <c r="M46" i="251" s="1"/>
  <c r="U46" i="251"/>
  <c r="O46" i="251"/>
  <c r="K46" i="251"/>
  <c r="G46" i="251"/>
  <c r="V45" i="251"/>
  <c r="M45" i="251" s="1"/>
  <c r="U45" i="251"/>
  <c r="O45" i="251"/>
  <c r="K45" i="251"/>
  <c r="G45" i="251"/>
  <c r="V44" i="251"/>
  <c r="M44" i="251" s="1"/>
  <c r="U44" i="251"/>
  <c r="O44" i="251"/>
  <c r="K44" i="251"/>
  <c r="G44" i="251"/>
  <c r="V43" i="251"/>
  <c r="M43" i="251" s="1"/>
  <c r="U43" i="251"/>
  <c r="O43" i="251"/>
  <c r="K43" i="251"/>
  <c r="G43" i="251"/>
  <c r="V42" i="251"/>
  <c r="M42" i="251" s="1"/>
  <c r="O42" i="251"/>
  <c r="K42" i="251"/>
  <c r="G42" i="251"/>
  <c r="O41" i="251"/>
  <c r="K41" i="251"/>
  <c r="V40" i="251"/>
  <c r="U40" i="251"/>
  <c r="P40" i="251"/>
  <c r="O40" i="251"/>
  <c r="N40" i="251"/>
  <c r="Q40" i="251" s="1"/>
  <c r="M40" i="251"/>
  <c r="AA40" i="251" s="1"/>
  <c r="K40" i="251"/>
  <c r="G40" i="251"/>
  <c r="V39" i="251"/>
  <c r="U39" i="251"/>
  <c r="O39" i="251"/>
  <c r="M39" i="251"/>
  <c r="N39" i="251" s="1"/>
  <c r="K39" i="251"/>
  <c r="G39" i="251"/>
  <c r="AB38" i="251"/>
  <c r="V38" i="251"/>
  <c r="U38" i="251"/>
  <c r="O38" i="251"/>
  <c r="N38" i="251"/>
  <c r="Q38" i="251" s="1"/>
  <c r="M38" i="251"/>
  <c r="AA38" i="251" s="1"/>
  <c r="K38" i="251"/>
  <c r="G38" i="251"/>
  <c r="V37" i="251"/>
  <c r="U37" i="251"/>
  <c r="O37" i="251"/>
  <c r="M37" i="251"/>
  <c r="N37" i="251" s="1"/>
  <c r="K37" i="251"/>
  <c r="G37" i="251"/>
  <c r="V36" i="251"/>
  <c r="M36" i="251" s="1"/>
  <c r="U36" i="251"/>
  <c r="O36" i="251"/>
  <c r="K36" i="251"/>
  <c r="G36" i="251"/>
  <c r="V35" i="251"/>
  <c r="M35" i="251" s="1"/>
  <c r="O35" i="251"/>
  <c r="K35" i="251"/>
  <c r="G35" i="251"/>
  <c r="O34" i="251"/>
  <c r="K34" i="251"/>
  <c r="V33" i="251"/>
  <c r="M33" i="251" s="1"/>
  <c r="U33" i="251"/>
  <c r="O33" i="251"/>
  <c r="K33" i="251"/>
  <c r="G33" i="251"/>
  <c r="V32" i="251"/>
  <c r="U32" i="251"/>
  <c r="O32" i="251"/>
  <c r="M32" i="251"/>
  <c r="AB32" i="251" s="1"/>
  <c r="K32" i="251"/>
  <c r="G32" i="251"/>
  <c r="V31" i="251"/>
  <c r="U31" i="251"/>
  <c r="O31" i="251"/>
  <c r="M31" i="251"/>
  <c r="AB31" i="251" s="1"/>
  <c r="K31" i="251"/>
  <c r="G31" i="251"/>
  <c r="V30" i="251"/>
  <c r="U30" i="251"/>
  <c r="P30" i="251"/>
  <c r="O30" i="251"/>
  <c r="N30" i="251"/>
  <c r="Q30" i="251" s="1"/>
  <c r="M30" i="251"/>
  <c r="AA30" i="251" s="1"/>
  <c r="K30" i="251"/>
  <c r="G30" i="251"/>
  <c r="V29" i="251"/>
  <c r="U29" i="251"/>
  <c r="O29" i="251"/>
  <c r="M29" i="251"/>
  <c r="N29" i="251" s="1"/>
  <c r="K29" i="251"/>
  <c r="G29" i="251"/>
  <c r="V28" i="251"/>
  <c r="O28" i="251"/>
  <c r="M28" i="251"/>
  <c r="K28" i="251"/>
  <c r="G28" i="251"/>
  <c r="O27" i="251"/>
  <c r="K27" i="251"/>
  <c r="V26" i="251"/>
  <c r="M26" i="251" s="1"/>
  <c r="U26" i="251"/>
  <c r="O26" i="251"/>
  <c r="K26" i="251"/>
  <c r="G26" i="251"/>
  <c r="V25" i="251"/>
  <c r="M25" i="251" s="1"/>
  <c r="U25" i="251"/>
  <c r="O25" i="251"/>
  <c r="K25" i="251"/>
  <c r="G25" i="251"/>
  <c r="V24" i="251"/>
  <c r="M24" i="251" s="1"/>
  <c r="U24" i="251"/>
  <c r="O24" i="251"/>
  <c r="K24" i="251"/>
  <c r="G24" i="251"/>
  <c r="V23" i="251"/>
  <c r="M23" i="251" s="1"/>
  <c r="U23" i="251"/>
  <c r="O23" i="251"/>
  <c r="K23" i="251"/>
  <c r="G23" i="251"/>
  <c r="V22" i="251"/>
  <c r="U22" i="251"/>
  <c r="O22" i="251"/>
  <c r="M22" i="251"/>
  <c r="AB22" i="251" s="1"/>
  <c r="K22" i="251"/>
  <c r="G22" i="251"/>
  <c r="V21" i="251"/>
  <c r="U21" i="251"/>
  <c r="O21" i="251"/>
  <c r="M21" i="251"/>
  <c r="AB21" i="251" s="1"/>
  <c r="K21" i="251"/>
  <c r="G21" i="251"/>
  <c r="V20" i="251"/>
  <c r="O20" i="251"/>
  <c r="M20" i="251"/>
  <c r="AB20" i="251" s="1"/>
  <c r="K20" i="251"/>
  <c r="G20" i="251"/>
  <c r="O19" i="251"/>
  <c r="K19" i="251"/>
  <c r="V18" i="251"/>
  <c r="M18" i="251" s="1"/>
  <c r="U18" i="251"/>
  <c r="O18" i="251"/>
  <c r="K18" i="251"/>
  <c r="G18" i="251"/>
  <c r="V17" i="251"/>
  <c r="M17" i="251" s="1"/>
  <c r="U17" i="251"/>
  <c r="O17" i="251"/>
  <c r="K17" i="251"/>
  <c r="G17" i="251"/>
  <c r="V16" i="251"/>
  <c r="M16" i="251" s="1"/>
  <c r="U16" i="251"/>
  <c r="O16" i="251"/>
  <c r="K16" i="251"/>
  <c r="G16" i="251"/>
  <c r="V15" i="251"/>
  <c r="M15" i="251" s="1"/>
  <c r="U15" i="251"/>
  <c r="O15" i="251"/>
  <c r="K15" i="251"/>
  <c r="G15" i="251"/>
  <c r="V14" i="251"/>
  <c r="M14" i="251" s="1"/>
  <c r="O14" i="251"/>
  <c r="K14" i="251"/>
  <c r="G14" i="251"/>
  <c r="AA13" i="251"/>
  <c r="O13" i="251"/>
  <c r="M13" i="251"/>
  <c r="AB13" i="251" s="1"/>
  <c r="AC9" i="251" s="1"/>
  <c r="K13" i="251"/>
  <c r="V12" i="251"/>
  <c r="U12" i="251"/>
  <c r="P12" i="251"/>
  <c r="O12" i="251"/>
  <c r="N12" i="251"/>
  <c r="Q12" i="251" s="1"/>
  <c r="M12" i="251"/>
  <c r="AA12" i="251" s="1"/>
  <c r="K12" i="251"/>
  <c r="G12" i="251"/>
  <c r="V11" i="251"/>
  <c r="U11" i="251"/>
  <c r="O11" i="251"/>
  <c r="M11" i="251"/>
  <c r="N11" i="251" s="1"/>
  <c r="K11" i="251"/>
  <c r="G11" i="251"/>
  <c r="F1" i="251" s="1"/>
  <c r="AB10" i="251"/>
  <c r="V10" i="251"/>
  <c r="U10" i="251"/>
  <c r="O10" i="251"/>
  <c r="N10" i="251"/>
  <c r="Q10" i="251" s="1"/>
  <c r="M10" i="251"/>
  <c r="AA10" i="251" s="1"/>
  <c r="K10" i="251"/>
  <c r="G10" i="251"/>
  <c r="AB9" i="251"/>
  <c r="V9" i="251"/>
  <c r="O9" i="251"/>
  <c r="N9" i="251"/>
  <c r="Q9" i="251" s="1"/>
  <c r="M9" i="251"/>
  <c r="AA9" i="251" s="1"/>
  <c r="K9" i="251"/>
  <c r="G9" i="251"/>
  <c r="O8" i="251"/>
  <c r="K8" i="251"/>
  <c r="V7" i="251"/>
  <c r="M7" i="251" s="1"/>
  <c r="U7" i="251"/>
  <c r="O7" i="251"/>
  <c r="K7" i="251"/>
  <c r="G7" i="251"/>
  <c r="V6" i="251"/>
  <c r="M6" i="251" s="1"/>
  <c r="U6" i="251"/>
  <c r="O6" i="251"/>
  <c r="K6" i="251"/>
  <c r="G6" i="251"/>
  <c r="V5" i="251"/>
  <c r="M5" i="251" s="1"/>
  <c r="O5" i="251"/>
  <c r="K5" i="251"/>
  <c r="G5" i="251"/>
  <c r="H2" i="251"/>
  <c r="H1" i="251"/>
  <c r="D1" i="251"/>
  <c r="M18" i="250"/>
  <c r="L18" i="250"/>
  <c r="K18" i="250"/>
  <c r="J18" i="250"/>
  <c r="I18" i="250"/>
  <c r="H18" i="250"/>
  <c r="G18" i="250"/>
  <c r="F18" i="250"/>
  <c r="E18" i="250"/>
  <c r="D18" i="250"/>
  <c r="M17" i="250"/>
  <c r="L17" i="250"/>
  <c r="K17" i="250"/>
  <c r="J17" i="250"/>
  <c r="I17" i="250"/>
  <c r="H17" i="250"/>
  <c r="G17" i="250"/>
  <c r="F17" i="250"/>
  <c r="E17" i="250"/>
  <c r="D17" i="250"/>
  <c r="M16" i="250"/>
  <c r="L16" i="250"/>
  <c r="K16" i="250"/>
  <c r="J16" i="250"/>
  <c r="I16" i="250"/>
  <c r="H16" i="250"/>
  <c r="G16" i="250"/>
  <c r="F16" i="250"/>
  <c r="E16" i="250"/>
  <c r="D16" i="250"/>
  <c r="M13" i="250"/>
  <c r="L13" i="250"/>
  <c r="K13" i="250"/>
  <c r="I6" i="250" s="1"/>
  <c r="J13" i="250"/>
  <c r="I13" i="250"/>
  <c r="H13" i="250"/>
  <c r="G13" i="250"/>
  <c r="F13" i="250"/>
  <c r="E13" i="250"/>
  <c r="D13" i="250"/>
  <c r="G6" i="250" s="1"/>
  <c r="F3" i="250"/>
  <c r="C3" i="250"/>
  <c r="E8" i="262" l="1"/>
  <c r="I7" i="260"/>
  <c r="K15" i="260"/>
  <c r="I8" i="260" s="1"/>
  <c r="D15" i="260"/>
  <c r="G7" i="260"/>
  <c r="F7" i="260"/>
  <c r="E7" i="260"/>
  <c r="Q8" i="259"/>
  <c r="R5" i="259" s="1"/>
  <c r="P8" i="259"/>
  <c r="D2" i="259"/>
  <c r="D14" i="258"/>
  <c r="P29" i="259"/>
  <c r="Q29" i="259"/>
  <c r="R20" i="259" s="1"/>
  <c r="G14" i="258"/>
  <c r="G15" i="258" s="1"/>
  <c r="Q46" i="259"/>
  <c r="R38" i="259" s="1"/>
  <c r="P46" i="259"/>
  <c r="L14" i="258"/>
  <c r="L15" i="258" s="1"/>
  <c r="Q68" i="259"/>
  <c r="R61" i="259" s="1"/>
  <c r="P68" i="259"/>
  <c r="J14" i="258"/>
  <c r="J15" i="258" s="1"/>
  <c r="Q60" i="259"/>
  <c r="R56" i="259" s="1"/>
  <c r="I14" i="258"/>
  <c r="I15" i="258" s="1"/>
  <c r="P60" i="259"/>
  <c r="Q13" i="259"/>
  <c r="R9" i="259" s="1"/>
  <c r="P13" i="259"/>
  <c r="E14" i="258"/>
  <c r="E15" i="258" s="1"/>
  <c r="P19" i="259"/>
  <c r="F14" i="258"/>
  <c r="F15" i="258" s="1"/>
  <c r="Q19" i="259"/>
  <c r="R14" i="259" s="1"/>
  <c r="Q75" i="259"/>
  <c r="R69" i="259" s="1"/>
  <c r="P75" i="259"/>
  <c r="M14" i="258"/>
  <c r="M15" i="258" s="1"/>
  <c r="Q37" i="259"/>
  <c r="R30" i="259" s="1"/>
  <c r="P37" i="259"/>
  <c r="K14" i="258"/>
  <c r="Q63" i="257"/>
  <c r="P63" i="257"/>
  <c r="Q68" i="257"/>
  <c r="P68" i="257"/>
  <c r="Q49" i="257"/>
  <c r="P49" i="257"/>
  <c r="Q20" i="257"/>
  <c r="P20" i="257"/>
  <c r="P18" i="257"/>
  <c r="Q18" i="257"/>
  <c r="AB73" i="257"/>
  <c r="AC67" i="257" s="1"/>
  <c r="AA73" i="257"/>
  <c r="N73" i="257"/>
  <c r="AB37" i="257"/>
  <c r="AC30" i="257" s="1"/>
  <c r="AA37" i="257"/>
  <c r="N37" i="257"/>
  <c r="Q69" i="257"/>
  <c r="P69" i="257"/>
  <c r="AB55" i="257"/>
  <c r="AC47" i="257" s="1"/>
  <c r="AA55" i="257"/>
  <c r="N55" i="257"/>
  <c r="Q57" i="257"/>
  <c r="P57" i="257"/>
  <c r="Q35" i="257"/>
  <c r="P35" i="257"/>
  <c r="N60" i="257"/>
  <c r="AB60" i="257"/>
  <c r="AC56" i="257" s="1"/>
  <c r="AA60" i="257"/>
  <c r="Q56" i="257"/>
  <c r="P56" i="257"/>
  <c r="Q25" i="257"/>
  <c r="P25" i="257"/>
  <c r="Q40" i="257"/>
  <c r="P40" i="257"/>
  <c r="Q30" i="257"/>
  <c r="P30" i="257"/>
  <c r="Q41" i="257"/>
  <c r="P41" i="257"/>
  <c r="Q48" i="257"/>
  <c r="P48" i="257"/>
  <c r="Q15" i="257"/>
  <c r="P15" i="257"/>
  <c r="Q9" i="257"/>
  <c r="P9" i="257"/>
  <c r="Q38" i="257"/>
  <c r="P38" i="257"/>
  <c r="Q14" i="257"/>
  <c r="P14" i="257"/>
  <c r="P53" i="257"/>
  <c r="Q53" i="257"/>
  <c r="Q59" i="257"/>
  <c r="P59" i="257"/>
  <c r="Q21" i="257"/>
  <c r="P21" i="257"/>
  <c r="Q39" i="257"/>
  <c r="P39" i="257"/>
  <c r="Q11" i="257"/>
  <c r="P11" i="257"/>
  <c r="AB46" i="257"/>
  <c r="AC38" i="257" s="1"/>
  <c r="AA46" i="257"/>
  <c r="N46" i="257"/>
  <c r="Q65" i="257"/>
  <c r="P65" i="257"/>
  <c r="Q7" i="257"/>
  <c r="P7" i="257"/>
  <c r="Q51" i="257"/>
  <c r="P51" i="257"/>
  <c r="P71" i="257"/>
  <c r="Q71" i="257"/>
  <c r="Q27" i="257"/>
  <c r="P27" i="257"/>
  <c r="P33" i="257"/>
  <c r="Q33" i="257"/>
  <c r="N13" i="257"/>
  <c r="AB13" i="257"/>
  <c r="AC9" i="257" s="1"/>
  <c r="AA13" i="257"/>
  <c r="Q10" i="257"/>
  <c r="P10" i="257"/>
  <c r="Q17" i="257"/>
  <c r="P17" i="257"/>
  <c r="Q58" i="257"/>
  <c r="P58" i="257"/>
  <c r="P28" i="257"/>
  <c r="Q28" i="257"/>
  <c r="Q31" i="257"/>
  <c r="P31" i="257"/>
  <c r="Q8" i="257"/>
  <c r="R5" i="257" s="1"/>
  <c r="D14" i="256"/>
  <c r="P8" i="257"/>
  <c r="AA29" i="257"/>
  <c r="N29" i="257"/>
  <c r="AB29" i="257"/>
  <c r="AC20" i="257" s="1"/>
  <c r="Q45" i="257"/>
  <c r="P45" i="257"/>
  <c r="Q12" i="257"/>
  <c r="P12" i="257"/>
  <c r="Q19" i="257"/>
  <c r="R14" i="257" s="1"/>
  <c r="P19" i="257"/>
  <c r="F14" i="256"/>
  <c r="F15" i="256" s="1"/>
  <c r="Q66" i="257"/>
  <c r="R61" i="257" s="1"/>
  <c r="P66" i="257"/>
  <c r="J14" i="256"/>
  <c r="J15" i="256" s="1"/>
  <c r="P23" i="257"/>
  <c r="Q23" i="257"/>
  <c r="Q67" i="257"/>
  <c r="P67" i="257"/>
  <c r="P43" i="257"/>
  <c r="Q43" i="257"/>
  <c r="Q50" i="257"/>
  <c r="P50" i="257"/>
  <c r="Q47" i="257"/>
  <c r="P47" i="257"/>
  <c r="N69" i="255"/>
  <c r="AB69" i="255"/>
  <c r="AA69" i="255"/>
  <c r="N20" i="255"/>
  <c r="AB20" i="255"/>
  <c r="AA20" i="255"/>
  <c r="M27" i="255"/>
  <c r="N31" i="255"/>
  <c r="AB31" i="255"/>
  <c r="AA31" i="255"/>
  <c r="AB56" i="255"/>
  <c r="AA56" i="255"/>
  <c r="N56" i="255"/>
  <c r="Q70" i="255"/>
  <c r="P70" i="255"/>
  <c r="N33" i="255"/>
  <c r="AB33" i="255"/>
  <c r="AA33" i="255"/>
  <c r="N40" i="255"/>
  <c r="AB40" i="255"/>
  <c r="AA40" i="255"/>
  <c r="AB45" i="255"/>
  <c r="AA45" i="255"/>
  <c r="M53" i="255"/>
  <c r="N45" i="255"/>
  <c r="N65" i="255"/>
  <c r="AB65" i="255"/>
  <c r="AA65" i="255"/>
  <c r="M71" i="255"/>
  <c r="N39" i="255"/>
  <c r="AB39" i="255"/>
  <c r="AA39" i="255"/>
  <c r="N51" i="255"/>
  <c r="AB51" i="255"/>
  <c r="AA51" i="255"/>
  <c r="N12" i="255"/>
  <c r="AB12" i="255"/>
  <c r="AA12" i="255"/>
  <c r="N28" i="255"/>
  <c r="AB28" i="255"/>
  <c r="AA28" i="255"/>
  <c r="M35" i="255"/>
  <c r="N58" i="255"/>
  <c r="AB58" i="255"/>
  <c r="AC54" i="255" s="1"/>
  <c r="AA58" i="255"/>
  <c r="N19" i="255"/>
  <c r="AB19" i="255"/>
  <c r="AC14" i="255" s="1"/>
  <c r="AA19" i="255"/>
  <c r="AB10" i="255"/>
  <c r="AA10" i="255"/>
  <c r="N49" i="255"/>
  <c r="AB49" i="255"/>
  <c r="AA49" i="255"/>
  <c r="N67" i="255"/>
  <c r="AB67" i="255"/>
  <c r="AA67" i="255"/>
  <c r="G6" i="254"/>
  <c r="Q9" i="255"/>
  <c r="P9" i="255"/>
  <c r="N11" i="255"/>
  <c r="AB11" i="255"/>
  <c r="AA11" i="255"/>
  <c r="Q32" i="255"/>
  <c r="P32" i="255"/>
  <c r="N38" i="255"/>
  <c r="AB38" i="255"/>
  <c r="AA38" i="255"/>
  <c r="N50" i="255"/>
  <c r="AB50" i="255"/>
  <c r="AA50" i="255"/>
  <c r="I3" i="254"/>
  <c r="F2" i="255"/>
  <c r="N29" i="255"/>
  <c r="AB29" i="255"/>
  <c r="AA29" i="255"/>
  <c r="M13" i="255"/>
  <c r="AB9" i="255"/>
  <c r="AA9" i="255"/>
  <c r="N61" i="255"/>
  <c r="M64" i="255"/>
  <c r="AB61" i="255"/>
  <c r="AA61" i="255"/>
  <c r="N68" i="255"/>
  <c r="AB68" i="255"/>
  <c r="AA68" i="255"/>
  <c r="Q22" i="255"/>
  <c r="P22" i="255"/>
  <c r="Q42" i="255"/>
  <c r="P42" i="255"/>
  <c r="Q52" i="255"/>
  <c r="P52" i="255"/>
  <c r="Q59" i="255"/>
  <c r="P59" i="255"/>
  <c r="AB18" i="255"/>
  <c r="AA18" i="255"/>
  <c r="N18" i="255"/>
  <c r="N23" i="255"/>
  <c r="AB23" i="255"/>
  <c r="AA23" i="255"/>
  <c r="N41" i="255"/>
  <c r="AB41" i="255"/>
  <c r="AA41" i="255"/>
  <c r="AB46" i="255"/>
  <c r="AA46" i="255"/>
  <c r="N46" i="255"/>
  <c r="Q60" i="255"/>
  <c r="P60" i="255"/>
  <c r="N66" i="255"/>
  <c r="AB66" i="255"/>
  <c r="AA66" i="255"/>
  <c r="N21" i="255"/>
  <c r="AB21" i="255"/>
  <c r="AA21" i="255"/>
  <c r="N48" i="255"/>
  <c r="AB48" i="255"/>
  <c r="AA48" i="255"/>
  <c r="N10" i="255"/>
  <c r="N30" i="255"/>
  <c r="AB30" i="255"/>
  <c r="AA30" i="255"/>
  <c r="N43" i="255"/>
  <c r="AB43" i="255"/>
  <c r="AA43" i="255"/>
  <c r="N36" i="255"/>
  <c r="N37" i="255"/>
  <c r="N47" i="255"/>
  <c r="N57" i="255"/>
  <c r="M8" i="255"/>
  <c r="N16" i="255"/>
  <c r="N26" i="255"/>
  <c r="M44" i="255"/>
  <c r="N7" i="255"/>
  <c r="N14" i="255"/>
  <c r="N15" i="255"/>
  <c r="P17" i="255"/>
  <c r="N25" i="255"/>
  <c r="P54" i="255"/>
  <c r="P55" i="255"/>
  <c r="N63" i="255"/>
  <c r="AA36" i="255"/>
  <c r="AA37" i="255"/>
  <c r="AA47" i="255"/>
  <c r="AA57" i="255"/>
  <c r="P5" i="255"/>
  <c r="P6" i="255"/>
  <c r="P24" i="255"/>
  <c r="P34" i="255"/>
  <c r="P62" i="255"/>
  <c r="AA17" i="255"/>
  <c r="AA54" i="255"/>
  <c r="AA55" i="255"/>
  <c r="AA16" i="255"/>
  <c r="AA26" i="255"/>
  <c r="AB54" i="255"/>
  <c r="F6" i="254"/>
  <c r="AA14" i="255"/>
  <c r="N8" i="253"/>
  <c r="AB8" i="253"/>
  <c r="AC5" i="253" s="1"/>
  <c r="AA8" i="253"/>
  <c r="AB7" i="253"/>
  <c r="AA7" i="253"/>
  <c r="N7" i="253"/>
  <c r="F2" i="253"/>
  <c r="I3" i="252"/>
  <c r="N9" i="253"/>
  <c r="M13" i="253"/>
  <c r="AB9" i="253"/>
  <c r="AA9" i="253"/>
  <c r="N10" i="253"/>
  <c r="AB10" i="253"/>
  <c r="AA10" i="253"/>
  <c r="Q11" i="253"/>
  <c r="P11" i="253"/>
  <c r="AB14" i="253"/>
  <c r="M19" i="253"/>
  <c r="AA14" i="253"/>
  <c r="N14" i="253"/>
  <c r="AB15" i="253"/>
  <c r="AA15" i="253"/>
  <c r="N15" i="253"/>
  <c r="N16" i="253"/>
  <c r="AB16" i="253"/>
  <c r="AA16" i="253"/>
  <c r="N17" i="253"/>
  <c r="AA17" i="253"/>
  <c r="AB17" i="253"/>
  <c r="N18" i="253"/>
  <c r="AA18" i="253"/>
  <c r="AB18" i="253"/>
  <c r="AB23" i="253"/>
  <c r="AA23" i="253"/>
  <c r="N23" i="253"/>
  <c r="AB25" i="253"/>
  <c r="AA25" i="253"/>
  <c r="N25" i="253"/>
  <c r="N26" i="253"/>
  <c r="AB26" i="253"/>
  <c r="AA26" i="253"/>
  <c r="AB34" i="253"/>
  <c r="AC28" i="253" s="1"/>
  <c r="AA34" i="253"/>
  <c r="N34" i="253"/>
  <c r="Q29" i="253"/>
  <c r="P29" i="253"/>
  <c r="AB33" i="253"/>
  <c r="AA33" i="253"/>
  <c r="N33" i="253"/>
  <c r="N35" i="253"/>
  <c r="AB35" i="253"/>
  <c r="AA35" i="253"/>
  <c r="M41" i="253"/>
  <c r="N36" i="253"/>
  <c r="AA36" i="253"/>
  <c r="AB36" i="253"/>
  <c r="Q37" i="253"/>
  <c r="P37" i="253"/>
  <c r="N38" i="253"/>
  <c r="AB38" i="253"/>
  <c r="AA38" i="253"/>
  <c r="Q39" i="253"/>
  <c r="P39" i="253"/>
  <c r="AB42" i="253"/>
  <c r="M49" i="253"/>
  <c r="AA42" i="253"/>
  <c r="N42" i="253"/>
  <c r="AB43" i="253"/>
  <c r="AA43" i="253"/>
  <c r="N43" i="253"/>
  <c r="N44" i="253"/>
  <c r="AB44" i="253"/>
  <c r="AA44" i="253"/>
  <c r="N45" i="253"/>
  <c r="AA45" i="253"/>
  <c r="AB45" i="253"/>
  <c r="N46" i="253"/>
  <c r="AB46" i="253"/>
  <c r="AA46" i="253"/>
  <c r="Q47" i="253"/>
  <c r="P47" i="253"/>
  <c r="N48" i="253"/>
  <c r="AB48" i="253"/>
  <c r="AA48" i="253"/>
  <c r="M54" i="253"/>
  <c r="AB50" i="253"/>
  <c r="AA50" i="253"/>
  <c r="N50" i="253"/>
  <c r="AB51" i="253"/>
  <c r="AA51" i="253"/>
  <c r="N51" i="253"/>
  <c r="AB53" i="253"/>
  <c r="AA53" i="253"/>
  <c r="N53" i="253"/>
  <c r="N55" i="253"/>
  <c r="AB55" i="253"/>
  <c r="M60" i="253"/>
  <c r="AA55" i="253"/>
  <c r="N56" i="253"/>
  <c r="AB56" i="253"/>
  <c r="AA56" i="253"/>
  <c r="Q57" i="253"/>
  <c r="P57" i="253"/>
  <c r="N61" i="253"/>
  <c r="AB61" i="253"/>
  <c r="M66" i="253"/>
  <c r="AA61" i="253"/>
  <c r="N62" i="253"/>
  <c r="AB62" i="253"/>
  <c r="AA62" i="253"/>
  <c r="N63" i="253"/>
  <c r="AA63" i="253"/>
  <c r="AB63" i="253"/>
  <c r="N64" i="253"/>
  <c r="AA64" i="253"/>
  <c r="AB64" i="253"/>
  <c r="Q65" i="253"/>
  <c r="P65" i="253"/>
  <c r="AB12" i="253"/>
  <c r="AB30" i="253"/>
  <c r="AB40" i="253"/>
  <c r="AB58" i="253"/>
  <c r="N5" i="253"/>
  <c r="N6" i="253"/>
  <c r="AB11" i="253"/>
  <c r="N24" i="253"/>
  <c r="AB28" i="253"/>
  <c r="AB29" i="253"/>
  <c r="AB39" i="253"/>
  <c r="N52" i="253"/>
  <c r="AB57" i="253"/>
  <c r="F6" i="252"/>
  <c r="N12" i="253"/>
  <c r="P22" i="253"/>
  <c r="N30" i="253"/>
  <c r="P32" i="253"/>
  <c r="N40" i="253"/>
  <c r="N58" i="253"/>
  <c r="N28" i="253"/>
  <c r="N20" i="253"/>
  <c r="N21" i="253"/>
  <c r="N31" i="253"/>
  <c r="N59" i="253"/>
  <c r="AB5" i="253"/>
  <c r="M27" i="253"/>
  <c r="AA22" i="253"/>
  <c r="AA32" i="253"/>
  <c r="AA20" i="253"/>
  <c r="AA21" i="253"/>
  <c r="AA31" i="253"/>
  <c r="AA59" i="253"/>
  <c r="N61" i="251"/>
  <c r="AB61" i="251"/>
  <c r="M66" i="251"/>
  <c r="AA61" i="251"/>
  <c r="Q57" i="251"/>
  <c r="P57" i="251"/>
  <c r="M54" i="251"/>
  <c r="AB50" i="251"/>
  <c r="AA50" i="251"/>
  <c r="N50" i="251"/>
  <c r="N64" i="251"/>
  <c r="AB64" i="251"/>
  <c r="AA64" i="251"/>
  <c r="N62" i="251"/>
  <c r="AB62" i="251"/>
  <c r="AA62" i="251"/>
  <c r="N36" i="251"/>
  <c r="AB36" i="251"/>
  <c r="AA36" i="251"/>
  <c r="AB24" i="251"/>
  <c r="AA24" i="251"/>
  <c r="N24" i="251"/>
  <c r="AB33" i="251"/>
  <c r="AA33" i="251"/>
  <c r="N33" i="251"/>
  <c r="N45" i="251"/>
  <c r="AB45" i="251"/>
  <c r="AA45" i="251"/>
  <c r="M34" i="251"/>
  <c r="AB15" i="251"/>
  <c r="AA15" i="251"/>
  <c r="N15" i="251"/>
  <c r="Q39" i="251"/>
  <c r="P39" i="251"/>
  <c r="Q65" i="251"/>
  <c r="P65" i="251"/>
  <c r="AB14" i="251"/>
  <c r="M19" i="251"/>
  <c r="AA14" i="251"/>
  <c r="N14" i="251"/>
  <c r="AB52" i="251"/>
  <c r="AA52" i="251"/>
  <c r="N52" i="251"/>
  <c r="F2" i="251"/>
  <c r="I3" i="250"/>
  <c r="N17" i="251"/>
  <c r="AB17" i="251"/>
  <c r="AA17" i="251"/>
  <c r="Q37" i="251"/>
  <c r="P37" i="251"/>
  <c r="AB43" i="251"/>
  <c r="AA43" i="251"/>
  <c r="N43" i="251"/>
  <c r="AB6" i="251"/>
  <c r="AA6" i="251"/>
  <c r="N6" i="251"/>
  <c r="Q11" i="251"/>
  <c r="P11" i="251"/>
  <c r="AB53" i="251"/>
  <c r="AA53" i="251"/>
  <c r="N53" i="251"/>
  <c r="AB25" i="251"/>
  <c r="AA25" i="251"/>
  <c r="N25" i="251"/>
  <c r="N46" i="251"/>
  <c r="AB46" i="251"/>
  <c r="AA46" i="251"/>
  <c r="N35" i="251"/>
  <c r="AB35" i="251"/>
  <c r="AA35" i="251"/>
  <c r="M41" i="251"/>
  <c r="AB51" i="251"/>
  <c r="AA51" i="251"/>
  <c r="N51" i="251"/>
  <c r="Q47" i="251"/>
  <c r="P47" i="251"/>
  <c r="N18" i="251"/>
  <c r="AB18" i="251"/>
  <c r="AA18" i="251"/>
  <c r="N63" i="251"/>
  <c r="AB63" i="251"/>
  <c r="AA63" i="251"/>
  <c r="AB23" i="251"/>
  <c r="AA23" i="251"/>
  <c r="N23" i="251"/>
  <c r="N44" i="251"/>
  <c r="AB44" i="251"/>
  <c r="AA44" i="251"/>
  <c r="AB7" i="251"/>
  <c r="AA7" i="251"/>
  <c r="N7" i="251"/>
  <c r="Q29" i="251"/>
  <c r="P29" i="251"/>
  <c r="N16" i="251"/>
  <c r="AB16" i="251"/>
  <c r="AA16" i="251"/>
  <c r="AB42" i="251"/>
  <c r="AA42" i="251"/>
  <c r="M49" i="251"/>
  <c r="N42" i="251"/>
  <c r="AB60" i="251"/>
  <c r="AC55" i="251" s="1"/>
  <c r="AA60" i="251"/>
  <c r="N60" i="251"/>
  <c r="M8" i="251"/>
  <c r="AB5" i="251"/>
  <c r="AA5" i="251"/>
  <c r="N5" i="251"/>
  <c r="N26" i="251"/>
  <c r="AB26" i="251"/>
  <c r="AA26" i="251"/>
  <c r="AA11" i="251"/>
  <c r="AB12" i="251"/>
  <c r="AA28" i="251"/>
  <c r="AA29" i="251"/>
  <c r="AB30" i="251"/>
  <c r="AA39" i="251"/>
  <c r="AB40" i="251"/>
  <c r="AA57" i="251"/>
  <c r="AB58" i="251"/>
  <c r="AB11" i="251"/>
  <c r="AB28" i="251"/>
  <c r="AB29" i="251"/>
  <c r="AB39" i="251"/>
  <c r="AA55" i="251"/>
  <c r="AB57" i="251"/>
  <c r="AA37" i="251"/>
  <c r="AA47" i="251"/>
  <c r="AA65" i="251"/>
  <c r="N13" i="251"/>
  <c r="N22" i="251"/>
  <c r="N32" i="251"/>
  <c r="AB37" i="251"/>
  <c r="AB47" i="251"/>
  <c r="AB65" i="251"/>
  <c r="N20" i="251"/>
  <c r="N21" i="251"/>
  <c r="N31" i="251"/>
  <c r="N59" i="251"/>
  <c r="E6" i="250"/>
  <c r="N28" i="251"/>
  <c r="F6" i="250"/>
  <c r="M27" i="251"/>
  <c r="P9" i="251"/>
  <c r="P10" i="251"/>
  <c r="AA22" i="251"/>
  <c r="AA32" i="251"/>
  <c r="P38" i="251"/>
  <c r="P48" i="251"/>
  <c r="P55" i="251"/>
  <c r="P56" i="251"/>
  <c r="AA20" i="251"/>
  <c r="AA21" i="251"/>
  <c r="AA31" i="251"/>
  <c r="AA59" i="251"/>
  <c r="O73" i="249"/>
  <c r="K73" i="249"/>
  <c r="V72" i="249"/>
  <c r="U72" i="249"/>
  <c r="O72" i="249"/>
  <c r="M72" i="249"/>
  <c r="K72" i="249"/>
  <c r="G72" i="249"/>
  <c r="AB71" i="249"/>
  <c r="V71" i="249"/>
  <c r="U71" i="249"/>
  <c r="Q71" i="249"/>
  <c r="O71" i="249"/>
  <c r="N71" i="249"/>
  <c r="P71" i="249" s="1"/>
  <c r="M71" i="249"/>
  <c r="AA71" i="249" s="1"/>
  <c r="K71" i="249"/>
  <c r="G71" i="249"/>
  <c r="V70" i="249"/>
  <c r="U70" i="249"/>
  <c r="O70" i="249"/>
  <c r="M70" i="249"/>
  <c r="K70" i="249"/>
  <c r="G70" i="249"/>
  <c r="V69" i="249"/>
  <c r="M69" i="249" s="1"/>
  <c r="U69" i="249"/>
  <c r="O69" i="249"/>
  <c r="K69" i="249"/>
  <c r="G69" i="249"/>
  <c r="V68" i="249"/>
  <c r="M68" i="249" s="1"/>
  <c r="AB68" i="249" s="1"/>
  <c r="U68" i="249"/>
  <c r="O68" i="249"/>
  <c r="N68" i="249"/>
  <c r="Q68" i="249" s="1"/>
  <c r="K68" i="249"/>
  <c r="G68" i="249"/>
  <c r="V67" i="249"/>
  <c r="M67" i="249" s="1"/>
  <c r="U67" i="249"/>
  <c r="O67" i="249"/>
  <c r="K67" i="249"/>
  <c r="G67" i="249"/>
  <c r="V66" i="249"/>
  <c r="M66" i="249" s="1"/>
  <c r="O66" i="249"/>
  <c r="K66" i="249"/>
  <c r="G66" i="249"/>
  <c r="O65" i="249"/>
  <c r="K65" i="249"/>
  <c r="V64" i="249"/>
  <c r="U64" i="249"/>
  <c r="O64" i="249"/>
  <c r="M64" i="249"/>
  <c r="N64" i="249" s="1"/>
  <c r="Q64" i="249" s="1"/>
  <c r="K64" i="249"/>
  <c r="G64" i="249"/>
  <c r="AA63" i="249"/>
  <c r="V63" i="249"/>
  <c r="U63" i="249"/>
  <c r="O63" i="249"/>
  <c r="M63" i="249"/>
  <c r="K63" i="249"/>
  <c r="G63" i="249"/>
  <c r="AB62" i="249"/>
  <c r="V62" i="249"/>
  <c r="M62" i="249" s="1"/>
  <c r="AA62" i="249" s="1"/>
  <c r="U62" i="249"/>
  <c r="O62" i="249"/>
  <c r="K62" i="249"/>
  <c r="G62" i="249"/>
  <c r="V61" i="249"/>
  <c r="U61" i="249"/>
  <c r="O61" i="249"/>
  <c r="M61" i="249"/>
  <c r="K61" i="249"/>
  <c r="G61" i="249"/>
  <c r="AB60" i="249"/>
  <c r="V60" i="249"/>
  <c r="O60" i="249"/>
  <c r="N60" i="249"/>
  <c r="P60" i="249" s="1"/>
  <c r="M60" i="249"/>
  <c r="AA60" i="249" s="1"/>
  <c r="K60" i="249"/>
  <c r="G60" i="249"/>
  <c r="O59" i="249"/>
  <c r="K59" i="249"/>
  <c r="AB58" i="249"/>
  <c r="AA58" i="249"/>
  <c r="V58" i="249"/>
  <c r="U58" i="249"/>
  <c r="Q58" i="249"/>
  <c r="P58" i="249"/>
  <c r="O58" i="249"/>
  <c r="M58" i="249"/>
  <c r="N58" i="249" s="1"/>
  <c r="K58" i="249"/>
  <c r="G58" i="249"/>
  <c r="V57" i="249"/>
  <c r="U57" i="249"/>
  <c r="O57" i="249"/>
  <c r="M57" i="249"/>
  <c r="K57" i="249"/>
  <c r="G57" i="249"/>
  <c r="V56" i="249"/>
  <c r="M56" i="249" s="1"/>
  <c r="U56" i="249"/>
  <c r="O56" i="249"/>
  <c r="K56" i="249"/>
  <c r="G56" i="249"/>
  <c r="V55" i="249"/>
  <c r="M55" i="249" s="1"/>
  <c r="AB55" i="249" s="1"/>
  <c r="O55" i="249"/>
  <c r="N55" i="249"/>
  <c r="Q55" i="249" s="1"/>
  <c r="K55" i="249"/>
  <c r="G55" i="249"/>
  <c r="O54" i="249"/>
  <c r="K54" i="249"/>
  <c r="V53" i="249"/>
  <c r="U53" i="249"/>
  <c r="O53" i="249"/>
  <c r="N53" i="249"/>
  <c r="Q53" i="249" s="1"/>
  <c r="M53" i="249"/>
  <c r="K53" i="249"/>
  <c r="G53" i="249"/>
  <c r="AB52" i="249"/>
  <c r="AA52" i="249"/>
  <c r="V52" i="249"/>
  <c r="U52" i="249"/>
  <c r="Q52" i="249"/>
  <c r="O52" i="249"/>
  <c r="M52" i="249"/>
  <c r="N52" i="249" s="1"/>
  <c r="P52" i="249" s="1"/>
  <c r="K52" i="249"/>
  <c r="G52" i="249"/>
  <c r="AA51" i="249"/>
  <c r="V51" i="249"/>
  <c r="M51" i="249" s="1"/>
  <c r="N51" i="249" s="1"/>
  <c r="U51" i="249"/>
  <c r="O51" i="249"/>
  <c r="K51" i="249"/>
  <c r="Q51" i="249" s="1"/>
  <c r="G51" i="249"/>
  <c r="V50" i="249"/>
  <c r="M50" i="249" s="1"/>
  <c r="U50" i="249"/>
  <c r="O50" i="249"/>
  <c r="K50" i="249"/>
  <c r="G50" i="249"/>
  <c r="AA49" i="249"/>
  <c r="V49" i="249"/>
  <c r="U49" i="249"/>
  <c r="O49" i="249"/>
  <c r="M49" i="249"/>
  <c r="AB49" i="249" s="1"/>
  <c r="K49" i="249"/>
  <c r="G49" i="249"/>
  <c r="AB48" i="249"/>
  <c r="V48" i="249"/>
  <c r="U48" i="249"/>
  <c r="O48" i="249"/>
  <c r="N48" i="249"/>
  <c r="M48" i="249"/>
  <c r="AA48" i="249" s="1"/>
  <c r="K48" i="249"/>
  <c r="G48" i="249"/>
  <c r="AA47" i="249"/>
  <c r="V47" i="249"/>
  <c r="M47" i="249" s="1"/>
  <c r="N47" i="249" s="1"/>
  <c r="U47" i="249"/>
  <c r="O47" i="249"/>
  <c r="K47" i="249"/>
  <c r="P47" i="249" s="1"/>
  <c r="G47" i="249"/>
  <c r="V46" i="249"/>
  <c r="O46" i="249"/>
  <c r="M46" i="249"/>
  <c r="K46" i="249"/>
  <c r="G46" i="249"/>
  <c r="O45" i="249"/>
  <c r="K45" i="249"/>
  <c r="V44" i="249"/>
  <c r="U44" i="249"/>
  <c r="P44" i="249"/>
  <c r="O44" i="249"/>
  <c r="N44" i="249"/>
  <c r="Q44" i="249" s="1"/>
  <c r="M44" i="249"/>
  <c r="K44" i="249"/>
  <c r="G44" i="249"/>
  <c r="AB43" i="249"/>
  <c r="V43" i="249"/>
  <c r="U43" i="249"/>
  <c r="O43" i="249"/>
  <c r="N43" i="249"/>
  <c r="P43" i="249" s="1"/>
  <c r="M43" i="249"/>
  <c r="AA43" i="249" s="1"/>
  <c r="K43" i="249"/>
  <c r="G43" i="249"/>
  <c r="V42" i="249"/>
  <c r="U42" i="249"/>
  <c r="O42" i="249"/>
  <c r="N42" i="249"/>
  <c r="P42" i="249" s="1"/>
  <c r="M42" i="249"/>
  <c r="K42" i="249"/>
  <c r="G42" i="249"/>
  <c r="V41" i="249"/>
  <c r="M41" i="249" s="1"/>
  <c r="U41" i="249"/>
  <c r="O41" i="249"/>
  <c r="K41" i="249"/>
  <c r="G41" i="249"/>
  <c r="V40" i="249"/>
  <c r="M40" i="249" s="1"/>
  <c r="AB40" i="249" s="1"/>
  <c r="U40" i="249"/>
  <c r="O40" i="249"/>
  <c r="K40" i="249"/>
  <c r="G40" i="249"/>
  <c r="AB39" i="249"/>
  <c r="V39" i="249"/>
  <c r="M39" i="249" s="1"/>
  <c r="U39" i="249"/>
  <c r="O39" i="249"/>
  <c r="K39" i="249"/>
  <c r="G39" i="249"/>
  <c r="V38" i="249"/>
  <c r="U38" i="249"/>
  <c r="Q38" i="249"/>
  <c r="P38" i="249"/>
  <c r="O38" i="249"/>
  <c r="M38" i="249"/>
  <c r="N38" i="249" s="1"/>
  <c r="K38" i="249"/>
  <c r="G38" i="249"/>
  <c r="V37" i="249"/>
  <c r="U37" i="249"/>
  <c r="O37" i="249"/>
  <c r="M37" i="249"/>
  <c r="K37" i="249"/>
  <c r="G37" i="249"/>
  <c r="V36" i="249"/>
  <c r="M36" i="249" s="1"/>
  <c r="N36" i="249" s="1"/>
  <c r="P36" i="249" s="1"/>
  <c r="O36" i="249"/>
  <c r="K36" i="249"/>
  <c r="G36" i="249"/>
  <c r="O35" i="249"/>
  <c r="K35" i="249"/>
  <c r="AB34" i="249"/>
  <c r="AA34" i="249"/>
  <c r="V34" i="249"/>
  <c r="M34" i="249" s="1"/>
  <c r="U34" i="249"/>
  <c r="O34" i="249"/>
  <c r="N34" i="249"/>
  <c r="K34" i="249"/>
  <c r="G34" i="249"/>
  <c r="V33" i="249"/>
  <c r="U33" i="249"/>
  <c r="O33" i="249"/>
  <c r="N33" i="249"/>
  <c r="M33" i="249"/>
  <c r="K33" i="249"/>
  <c r="G33" i="249"/>
  <c r="AB32" i="249"/>
  <c r="AA32" i="249"/>
  <c r="V32" i="249"/>
  <c r="U32" i="249"/>
  <c r="Q32" i="249"/>
  <c r="P32" i="249"/>
  <c r="O32" i="249"/>
  <c r="M32" i="249"/>
  <c r="N32" i="249" s="1"/>
  <c r="K32" i="249"/>
  <c r="G32" i="249"/>
  <c r="V31" i="249"/>
  <c r="U31" i="249"/>
  <c r="O31" i="249"/>
  <c r="M31" i="249"/>
  <c r="K31" i="249"/>
  <c r="G31" i="249"/>
  <c r="V30" i="249"/>
  <c r="M30" i="249" s="1"/>
  <c r="U30" i="249"/>
  <c r="O30" i="249"/>
  <c r="K30" i="249"/>
  <c r="G30" i="249"/>
  <c r="V29" i="249"/>
  <c r="M29" i="249" s="1"/>
  <c r="AB29" i="249" s="1"/>
  <c r="O29" i="249"/>
  <c r="N29" i="249"/>
  <c r="Q29" i="249" s="1"/>
  <c r="K29" i="249"/>
  <c r="G29" i="249"/>
  <c r="O28" i="249"/>
  <c r="K28" i="249"/>
  <c r="V27" i="249"/>
  <c r="U27" i="249"/>
  <c r="O27" i="249"/>
  <c r="N27" i="249"/>
  <c r="Q27" i="249" s="1"/>
  <c r="M27" i="249"/>
  <c r="K27" i="249"/>
  <c r="G27" i="249"/>
  <c r="AB26" i="249"/>
  <c r="AA26" i="249"/>
  <c r="V26" i="249"/>
  <c r="U26" i="249"/>
  <c r="Q26" i="249"/>
  <c r="O26" i="249"/>
  <c r="M26" i="249"/>
  <c r="N26" i="249" s="1"/>
  <c r="P26" i="249" s="1"/>
  <c r="K26" i="249"/>
  <c r="G26" i="249"/>
  <c r="AA25" i="249"/>
  <c r="V25" i="249"/>
  <c r="M25" i="249" s="1"/>
  <c r="N25" i="249" s="1"/>
  <c r="U25" i="249"/>
  <c r="O25" i="249"/>
  <c r="K25" i="249"/>
  <c r="Q25" i="249" s="1"/>
  <c r="G25" i="249"/>
  <c r="V24" i="249"/>
  <c r="M24" i="249" s="1"/>
  <c r="U24" i="249"/>
  <c r="O24" i="249"/>
  <c r="K24" i="249"/>
  <c r="G24" i="249"/>
  <c r="AA23" i="249"/>
  <c r="V23" i="249"/>
  <c r="U23" i="249"/>
  <c r="O23" i="249"/>
  <c r="M23" i="249"/>
  <c r="AB23" i="249" s="1"/>
  <c r="K23" i="249"/>
  <c r="G23" i="249"/>
  <c r="AB22" i="249"/>
  <c r="V22" i="249"/>
  <c r="U22" i="249"/>
  <c r="O22" i="249"/>
  <c r="N22" i="249"/>
  <c r="M22" i="249"/>
  <c r="AA22" i="249" s="1"/>
  <c r="K22" i="249"/>
  <c r="G22" i="249"/>
  <c r="AB21" i="249"/>
  <c r="AA21" i="249"/>
  <c r="V21" i="249"/>
  <c r="M21" i="249" s="1"/>
  <c r="N21" i="249" s="1"/>
  <c r="U21" i="249"/>
  <c r="O21" i="249"/>
  <c r="K21" i="249"/>
  <c r="P21" i="249" s="1"/>
  <c r="G21" i="249"/>
  <c r="V20" i="249"/>
  <c r="O20" i="249"/>
  <c r="M20" i="249"/>
  <c r="K20" i="249"/>
  <c r="G20" i="249"/>
  <c r="O19" i="249"/>
  <c r="K19" i="249"/>
  <c r="V18" i="249"/>
  <c r="U18" i="249"/>
  <c r="P18" i="249"/>
  <c r="O18" i="249"/>
  <c r="N18" i="249"/>
  <c r="Q18" i="249" s="1"/>
  <c r="M18" i="249"/>
  <c r="K18" i="249"/>
  <c r="G18" i="249"/>
  <c r="AB17" i="249"/>
  <c r="V17" i="249"/>
  <c r="U17" i="249"/>
  <c r="O17" i="249"/>
  <c r="N17" i="249"/>
  <c r="P17" i="249" s="1"/>
  <c r="M17" i="249"/>
  <c r="AA17" i="249" s="1"/>
  <c r="K17" i="249"/>
  <c r="G17" i="249"/>
  <c r="V16" i="249"/>
  <c r="U16" i="249"/>
  <c r="O16" i="249"/>
  <c r="N16" i="249"/>
  <c r="P16" i="249" s="1"/>
  <c r="M16" i="249"/>
  <c r="K16" i="249"/>
  <c r="G16" i="249"/>
  <c r="V15" i="249"/>
  <c r="M15" i="249" s="1"/>
  <c r="U15" i="249"/>
  <c r="O15" i="249"/>
  <c r="K15" i="249"/>
  <c r="G15" i="249"/>
  <c r="AB14" i="249"/>
  <c r="AA14" i="249"/>
  <c r="V14" i="249"/>
  <c r="M14" i="249" s="1"/>
  <c r="N14" i="249" s="1"/>
  <c r="P14" i="249" s="1"/>
  <c r="Q14" i="249"/>
  <c r="O14" i="249"/>
  <c r="K14" i="249"/>
  <c r="G14" i="249"/>
  <c r="O13" i="249"/>
  <c r="K13" i="249"/>
  <c r="V12" i="249"/>
  <c r="M12" i="249" s="1"/>
  <c r="AB12" i="249" s="1"/>
  <c r="U12" i="249"/>
  <c r="O12" i="249"/>
  <c r="N12" i="249"/>
  <c r="Q12" i="249" s="1"/>
  <c r="K12" i="249"/>
  <c r="G12" i="249"/>
  <c r="F1" i="249" s="1"/>
  <c r="AB11" i="249"/>
  <c r="V11" i="249"/>
  <c r="M11" i="249" s="1"/>
  <c r="U11" i="249"/>
  <c r="O11" i="249"/>
  <c r="K11" i="249"/>
  <c r="G11" i="249"/>
  <c r="V10" i="249"/>
  <c r="M10" i="249" s="1"/>
  <c r="U10" i="249"/>
  <c r="O10" i="249"/>
  <c r="K10" i="249"/>
  <c r="G10" i="249"/>
  <c r="V9" i="249"/>
  <c r="O9" i="249"/>
  <c r="M9" i="249"/>
  <c r="K9" i="249"/>
  <c r="G9" i="249"/>
  <c r="O8" i="249"/>
  <c r="K8" i="249"/>
  <c r="V7" i="249"/>
  <c r="U7" i="249"/>
  <c r="O7" i="249"/>
  <c r="M7" i="249"/>
  <c r="K7" i="249"/>
  <c r="G7" i="249"/>
  <c r="V6" i="249"/>
  <c r="M6" i="249" s="1"/>
  <c r="M8" i="249" s="1"/>
  <c r="U6" i="249"/>
  <c r="O6" i="249"/>
  <c r="K6" i="249"/>
  <c r="G6" i="249"/>
  <c r="V5" i="249"/>
  <c r="O5" i="249"/>
  <c r="N5" i="249"/>
  <c r="Q5" i="249" s="1"/>
  <c r="M5" i="249"/>
  <c r="K5" i="249"/>
  <c r="G5" i="249"/>
  <c r="H2" i="249"/>
  <c r="H1" i="249"/>
  <c r="D1" i="249"/>
  <c r="M18" i="248"/>
  <c r="L18" i="248"/>
  <c r="K18" i="248"/>
  <c r="J18" i="248"/>
  <c r="I18" i="248"/>
  <c r="H18" i="248"/>
  <c r="G18" i="248"/>
  <c r="F18" i="248"/>
  <c r="E18" i="248"/>
  <c r="D18" i="248"/>
  <c r="M17" i="248"/>
  <c r="L17" i="248"/>
  <c r="K17" i="248"/>
  <c r="J17" i="248"/>
  <c r="I17" i="248"/>
  <c r="H17" i="248"/>
  <c r="G17" i="248"/>
  <c r="F17" i="248"/>
  <c r="E17" i="248"/>
  <c r="D17" i="248"/>
  <c r="M16" i="248"/>
  <c r="L16" i="248"/>
  <c r="K16" i="248"/>
  <c r="J16" i="248"/>
  <c r="I16" i="248"/>
  <c r="H16" i="248"/>
  <c r="G16" i="248"/>
  <c r="F16" i="248"/>
  <c r="E16" i="248"/>
  <c r="D16" i="248"/>
  <c r="M13" i="248"/>
  <c r="I6" i="248" s="1"/>
  <c r="L13" i="248"/>
  <c r="K13" i="248"/>
  <c r="J13" i="248"/>
  <c r="I13" i="248"/>
  <c r="H13" i="248"/>
  <c r="G13" i="248"/>
  <c r="F13" i="248"/>
  <c r="E13" i="248"/>
  <c r="D13" i="248"/>
  <c r="G6" i="248" s="1"/>
  <c r="F3" i="248"/>
  <c r="C3" i="248"/>
  <c r="G8" i="260" l="1"/>
  <c r="F8" i="260"/>
  <c r="E8" i="260"/>
  <c r="G7" i="258"/>
  <c r="F7" i="258"/>
  <c r="D15" i="258"/>
  <c r="E7" i="258"/>
  <c r="K15" i="258"/>
  <c r="I8" i="258" s="1"/>
  <c r="I7" i="258"/>
  <c r="Q55" i="257"/>
  <c r="R47" i="257" s="1"/>
  <c r="P55" i="257"/>
  <c r="H14" i="256"/>
  <c r="H15" i="256" s="1"/>
  <c r="Q29" i="257"/>
  <c r="R20" i="257" s="1"/>
  <c r="P29" i="257"/>
  <c r="G14" i="256"/>
  <c r="G15" i="256" s="1"/>
  <c r="D15" i="256"/>
  <c r="D2" i="257"/>
  <c r="P37" i="257"/>
  <c r="K14" i="256"/>
  <c r="Q37" i="257"/>
  <c r="R30" i="257" s="1"/>
  <c r="Q13" i="257"/>
  <c r="R9" i="257" s="1"/>
  <c r="P13" i="257"/>
  <c r="E14" i="256"/>
  <c r="E15" i="256" s="1"/>
  <c r="Q60" i="257"/>
  <c r="R56" i="257" s="1"/>
  <c r="I14" i="256"/>
  <c r="I15" i="256" s="1"/>
  <c r="P60" i="257"/>
  <c r="Q46" i="257"/>
  <c r="R38" i="257" s="1"/>
  <c r="L14" i="256"/>
  <c r="L15" i="256" s="1"/>
  <c r="P46" i="257"/>
  <c r="Q73" i="257"/>
  <c r="R67" i="257" s="1"/>
  <c r="P73" i="257"/>
  <c r="M14" i="256"/>
  <c r="M15" i="256" s="1"/>
  <c r="Q18" i="255"/>
  <c r="P18" i="255"/>
  <c r="AB8" i="255"/>
  <c r="AC5" i="255" s="1"/>
  <c r="AA8" i="255"/>
  <c r="N8" i="255"/>
  <c r="AB64" i="255"/>
  <c r="AC59" i="255" s="1"/>
  <c r="AA64" i="255"/>
  <c r="N64" i="255"/>
  <c r="P50" i="255"/>
  <c r="Q50" i="255"/>
  <c r="P31" i="255"/>
  <c r="Q31" i="255"/>
  <c r="P30" i="255"/>
  <c r="Q30" i="255"/>
  <c r="Q63" i="255"/>
  <c r="P63" i="255"/>
  <c r="Q57" i="255"/>
  <c r="P57" i="255"/>
  <c r="Q61" i="255"/>
  <c r="P61" i="255"/>
  <c r="Q58" i="255"/>
  <c r="R54" i="255" s="1"/>
  <c r="P58" i="255"/>
  <c r="I14" i="254"/>
  <c r="I15" i="254" s="1"/>
  <c r="P40" i="255"/>
  <c r="Q40" i="255"/>
  <c r="AB27" i="255"/>
  <c r="AC20" i="255" s="1"/>
  <c r="AA27" i="255"/>
  <c r="N27" i="255"/>
  <c r="Q7" i="255"/>
  <c r="P7" i="255"/>
  <c r="Q16" i="255"/>
  <c r="P16" i="255"/>
  <c r="P51" i="255"/>
  <c r="Q51" i="255"/>
  <c r="Q47" i="255"/>
  <c r="P47" i="255"/>
  <c r="Q48" i="255"/>
  <c r="P48" i="255"/>
  <c r="Q67" i="255"/>
  <c r="P67" i="255"/>
  <c r="AB35" i="255"/>
  <c r="AC28" i="255" s="1"/>
  <c r="AA35" i="255"/>
  <c r="N35" i="255"/>
  <c r="Q39" i="255"/>
  <c r="P39" i="255"/>
  <c r="Q66" i="255"/>
  <c r="P66" i="255"/>
  <c r="Q37" i="255"/>
  <c r="P37" i="255"/>
  <c r="AB71" i="255"/>
  <c r="AC65" i="255" s="1"/>
  <c r="AA71" i="255"/>
  <c r="N71" i="255"/>
  <c r="AB44" i="255"/>
  <c r="AC36" i="255" s="1"/>
  <c r="AA44" i="255"/>
  <c r="N44" i="255"/>
  <c r="Q46" i="255"/>
  <c r="P46" i="255"/>
  <c r="Q25" i="255"/>
  <c r="P25" i="255"/>
  <c r="Q36" i="255"/>
  <c r="P36" i="255"/>
  <c r="P41" i="255"/>
  <c r="Q41" i="255"/>
  <c r="AA13" i="255"/>
  <c r="N13" i="255"/>
  <c r="AB13" i="255"/>
  <c r="AC9" i="255" s="1"/>
  <c r="Q33" i="255"/>
  <c r="P33" i="255"/>
  <c r="P20" i="255"/>
  <c r="Q20" i="255"/>
  <c r="Q12" i="255"/>
  <c r="P12" i="255"/>
  <c r="Q10" i="255"/>
  <c r="P10" i="255"/>
  <c r="P21" i="255"/>
  <c r="Q21" i="255"/>
  <c r="Q49" i="255"/>
  <c r="P49" i="255"/>
  <c r="Q28" i="255"/>
  <c r="P28" i="255"/>
  <c r="AB53" i="255"/>
  <c r="AC45" i="255" s="1"/>
  <c r="AA53" i="255"/>
  <c r="N53" i="255"/>
  <c r="Q26" i="255"/>
  <c r="P26" i="255"/>
  <c r="Q15" i="255"/>
  <c r="P15" i="255"/>
  <c r="Q65" i="255"/>
  <c r="P65" i="255"/>
  <c r="Q11" i="255"/>
  <c r="P11" i="255"/>
  <c r="P68" i="255"/>
  <c r="Q68" i="255"/>
  <c r="F14" i="254"/>
  <c r="F15" i="254" s="1"/>
  <c r="Q19" i="255"/>
  <c r="R14" i="255" s="1"/>
  <c r="P19" i="255"/>
  <c r="Q38" i="255"/>
  <c r="P38" i="255"/>
  <c r="Q14" i="255"/>
  <c r="P14" i="255"/>
  <c r="Q43" i="255"/>
  <c r="P43" i="255"/>
  <c r="Q23" i="255"/>
  <c r="P23" i="255"/>
  <c r="Q29" i="255"/>
  <c r="P29" i="255"/>
  <c r="Q45" i="255"/>
  <c r="P45" i="255"/>
  <c r="Q56" i="255"/>
  <c r="P56" i="255"/>
  <c r="P69" i="255"/>
  <c r="Q69" i="255"/>
  <c r="N27" i="253"/>
  <c r="AB27" i="253"/>
  <c r="AC20" i="253" s="1"/>
  <c r="AA27" i="253"/>
  <c r="Q59" i="253"/>
  <c r="P59" i="253"/>
  <c r="Q31" i="253"/>
  <c r="P31" i="253"/>
  <c r="Q21" i="253"/>
  <c r="P21" i="253"/>
  <c r="Q20" i="253"/>
  <c r="P20" i="253"/>
  <c r="Q28" i="253"/>
  <c r="P28" i="253"/>
  <c r="Q58" i="253"/>
  <c r="P58" i="253"/>
  <c r="Q40" i="253"/>
  <c r="P40" i="253"/>
  <c r="Q30" i="253"/>
  <c r="P30" i="253"/>
  <c r="Q12" i="253"/>
  <c r="P12" i="253"/>
  <c r="Q52" i="253"/>
  <c r="P52" i="253"/>
  <c r="Q24" i="253"/>
  <c r="P24" i="253"/>
  <c r="Q6" i="253"/>
  <c r="P6" i="253"/>
  <c r="P5" i="253"/>
  <c r="Q5" i="253"/>
  <c r="P64" i="253"/>
  <c r="Q64" i="253"/>
  <c r="Q63" i="253"/>
  <c r="P63" i="253"/>
  <c r="Q62" i="253"/>
  <c r="P62" i="253"/>
  <c r="AB66" i="253"/>
  <c r="AC61" i="253" s="1"/>
  <c r="AA66" i="253"/>
  <c r="N66" i="253"/>
  <c r="Q61" i="253"/>
  <c r="P61" i="253"/>
  <c r="Q56" i="253"/>
  <c r="P56" i="253"/>
  <c r="AB60" i="253"/>
  <c r="AC55" i="253" s="1"/>
  <c r="AA60" i="253"/>
  <c r="N60" i="253"/>
  <c r="Q55" i="253"/>
  <c r="P55" i="253"/>
  <c r="Q53" i="253"/>
  <c r="P53" i="253"/>
  <c r="P51" i="253"/>
  <c r="Q51" i="253"/>
  <c r="P50" i="253"/>
  <c r="Q50" i="253"/>
  <c r="N54" i="253"/>
  <c r="AB54" i="253"/>
  <c r="AC50" i="253" s="1"/>
  <c r="AA54" i="253"/>
  <c r="Q48" i="253"/>
  <c r="P48" i="253"/>
  <c r="P46" i="253"/>
  <c r="Q46" i="253"/>
  <c r="Q45" i="253"/>
  <c r="P45" i="253"/>
  <c r="Q44" i="253"/>
  <c r="P44" i="253"/>
  <c r="Q43" i="253"/>
  <c r="P43" i="253"/>
  <c r="Q42" i="253"/>
  <c r="P42" i="253"/>
  <c r="AB49" i="253"/>
  <c r="AC42" i="253" s="1"/>
  <c r="AA49" i="253"/>
  <c r="N49" i="253"/>
  <c r="Q38" i="253"/>
  <c r="P38" i="253"/>
  <c r="P36" i="253"/>
  <c r="Q36" i="253"/>
  <c r="AB41" i="253"/>
  <c r="AC35" i="253" s="1"/>
  <c r="AA41" i="253"/>
  <c r="N41" i="253"/>
  <c r="P35" i="253"/>
  <c r="Q35" i="253"/>
  <c r="P33" i="253"/>
  <c r="Q33" i="253"/>
  <c r="Q34" i="253"/>
  <c r="R28" i="253" s="1"/>
  <c r="K14" i="252"/>
  <c r="P34" i="253"/>
  <c r="Q26" i="253"/>
  <c r="P26" i="253"/>
  <c r="Q25" i="253"/>
  <c r="P25" i="253"/>
  <c r="P23" i="253"/>
  <c r="Q23" i="253"/>
  <c r="P18" i="253"/>
  <c r="Q18" i="253"/>
  <c r="Q17" i="253"/>
  <c r="P17" i="253"/>
  <c r="Q16" i="253"/>
  <c r="P16" i="253"/>
  <c r="Q15" i="253"/>
  <c r="P15" i="253"/>
  <c r="Q14" i="253"/>
  <c r="P14" i="253"/>
  <c r="AA19" i="253"/>
  <c r="N19" i="253"/>
  <c r="D2" i="253" s="1"/>
  <c r="AB19" i="253"/>
  <c r="AC14" i="253" s="1"/>
  <c r="Q10" i="253"/>
  <c r="P10" i="253"/>
  <c r="AB13" i="253"/>
  <c r="AC9" i="253" s="1"/>
  <c r="AA13" i="253"/>
  <c r="N13" i="253"/>
  <c r="Q9" i="253"/>
  <c r="P9" i="253"/>
  <c r="Q7" i="253"/>
  <c r="P7" i="253"/>
  <c r="D14" i="252"/>
  <c r="Q8" i="253"/>
  <c r="R5" i="253" s="1"/>
  <c r="P8" i="253"/>
  <c r="Q32" i="251"/>
  <c r="P32" i="251"/>
  <c r="Q5" i="251"/>
  <c r="P5" i="251"/>
  <c r="AB41" i="251"/>
  <c r="AC35" i="251" s="1"/>
  <c r="AA41" i="251"/>
  <c r="N41" i="251"/>
  <c r="P64" i="251"/>
  <c r="Q64" i="251"/>
  <c r="Q26" i="251"/>
  <c r="P26" i="251"/>
  <c r="N27" i="251"/>
  <c r="AB27" i="251"/>
  <c r="AC20" i="251" s="1"/>
  <c r="AA27" i="251"/>
  <c r="Q22" i="251"/>
  <c r="P22" i="251"/>
  <c r="Q16" i="251"/>
  <c r="P16" i="251"/>
  <c r="Q17" i="251"/>
  <c r="P17" i="251"/>
  <c r="Q24" i="251"/>
  <c r="P24" i="251"/>
  <c r="Q50" i="251"/>
  <c r="P50" i="251"/>
  <c r="Q13" i="251"/>
  <c r="R9" i="251" s="1"/>
  <c r="E14" i="250"/>
  <c r="E15" i="250" s="1"/>
  <c r="P13" i="251"/>
  <c r="Q28" i="251"/>
  <c r="P28" i="251"/>
  <c r="N8" i="251"/>
  <c r="AB8" i="251"/>
  <c r="AC5" i="251" s="1"/>
  <c r="AA8" i="251"/>
  <c r="Q63" i="251"/>
  <c r="P63" i="251"/>
  <c r="P35" i="251"/>
  <c r="Q35" i="251"/>
  <c r="Q6" i="251"/>
  <c r="P6" i="251"/>
  <c r="Q15" i="251"/>
  <c r="P15" i="251"/>
  <c r="J14" i="250"/>
  <c r="J15" i="250" s="1"/>
  <c r="Q60" i="251"/>
  <c r="R55" i="251" s="1"/>
  <c r="P60" i="251"/>
  <c r="Q52" i="251"/>
  <c r="P52" i="251"/>
  <c r="N54" i="251"/>
  <c r="AB54" i="251"/>
  <c r="AC50" i="251" s="1"/>
  <c r="AA54" i="251"/>
  <c r="Q59" i="251"/>
  <c r="P59" i="251"/>
  <c r="Q7" i="251"/>
  <c r="P7" i="251"/>
  <c r="Q31" i="251"/>
  <c r="P31" i="251"/>
  <c r="P18" i="251"/>
  <c r="Q18" i="251"/>
  <c r="P46" i="251"/>
  <c r="Q46" i="251"/>
  <c r="Q43" i="251"/>
  <c r="P43" i="251"/>
  <c r="AB34" i="251"/>
  <c r="AC28" i="251" s="1"/>
  <c r="AA34" i="251"/>
  <c r="N34" i="251"/>
  <c r="P36" i="251"/>
  <c r="Q36" i="251"/>
  <c r="Q21" i="251"/>
  <c r="P21" i="251"/>
  <c r="Q42" i="251"/>
  <c r="P42" i="251"/>
  <c r="Q25" i="251"/>
  <c r="P25" i="251"/>
  <c r="Q14" i="251"/>
  <c r="P14" i="251"/>
  <c r="Q20" i="251"/>
  <c r="P20" i="251"/>
  <c r="AB49" i="251"/>
  <c r="AC42" i="251" s="1"/>
  <c r="AA49" i="251"/>
  <c r="N49" i="251"/>
  <c r="AB66" i="251"/>
  <c r="AC61" i="251" s="1"/>
  <c r="AA66" i="251"/>
  <c r="N66" i="251"/>
  <c r="Q44" i="251"/>
  <c r="P44" i="251"/>
  <c r="Q51" i="251"/>
  <c r="P51" i="251"/>
  <c r="AA19" i="251"/>
  <c r="N19" i="251"/>
  <c r="AB19" i="251"/>
  <c r="AC14" i="251" s="1"/>
  <c r="Q45" i="251"/>
  <c r="P45" i="251"/>
  <c r="Q62" i="251"/>
  <c r="P62" i="251"/>
  <c r="Q23" i="251"/>
  <c r="P23" i="251"/>
  <c r="Q53" i="251"/>
  <c r="P53" i="251"/>
  <c r="Q33" i="251"/>
  <c r="P33" i="251"/>
  <c r="Q61" i="251"/>
  <c r="P61" i="251"/>
  <c r="N66" i="249"/>
  <c r="M73" i="249"/>
  <c r="AB66" i="249"/>
  <c r="AA66" i="249"/>
  <c r="AA8" i="249"/>
  <c r="N8" i="249"/>
  <c r="AB8" i="249"/>
  <c r="AC5" i="249" s="1"/>
  <c r="N10" i="249"/>
  <c r="AB10" i="249"/>
  <c r="AA10" i="249"/>
  <c r="F2" i="249"/>
  <c r="I3" i="248"/>
  <c r="N6" i="249"/>
  <c r="AB24" i="249"/>
  <c r="AA24" i="249"/>
  <c r="N24" i="249"/>
  <c r="AA29" i="249"/>
  <c r="AB50" i="249"/>
  <c r="AA50" i="249"/>
  <c r="N50" i="249"/>
  <c r="AA55" i="249"/>
  <c r="AA68" i="249"/>
  <c r="AB61" i="249"/>
  <c r="M65" i="249"/>
  <c r="AA61" i="249"/>
  <c r="AA11" i="249"/>
  <c r="N11" i="249"/>
  <c r="Q22" i="249"/>
  <c r="P22" i="249"/>
  <c r="AB27" i="249"/>
  <c r="AA27" i="249"/>
  <c r="M35" i="249"/>
  <c r="Q48" i="249"/>
  <c r="P48" i="249"/>
  <c r="AB53" i="249"/>
  <c r="AA53" i="249"/>
  <c r="AA9" i="249"/>
  <c r="M13" i="249"/>
  <c r="N9" i="249"/>
  <c r="AA40" i="249"/>
  <c r="AA6" i="249"/>
  <c r="AA20" i="249"/>
  <c r="M28" i="249"/>
  <c r="AB20" i="249"/>
  <c r="P25" i="249"/>
  <c r="P27" i="249"/>
  <c r="M54" i="249"/>
  <c r="AB46" i="249"/>
  <c r="AA46" i="249"/>
  <c r="P51" i="249"/>
  <c r="P53" i="249"/>
  <c r="AB6" i="249"/>
  <c r="Q17" i="249"/>
  <c r="N20" i="249"/>
  <c r="AB30" i="249"/>
  <c r="AA30" i="249"/>
  <c r="N30" i="249"/>
  <c r="Q43" i="249"/>
  <c r="N46" i="249"/>
  <c r="AB56" i="249"/>
  <c r="AA56" i="249"/>
  <c r="N56" i="249"/>
  <c r="E6" i="248"/>
  <c r="AB9" i="249"/>
  <c r="M59" i="249"/>
  <c r="P64" i="249"/>
  <c r="AB69" i="249"/>
  <c r="N69" i="249"/>
  <c r="F6" i="248"/>
  <c r="P12" i="249"/>
  <c r="AB33" i="249"/>
  <c r="AA33" i="249"/>
  <c r="AA38" i="249"/>
  <c r="AA69" i="249"/>
  <c r="AB7" i="249"/>
  <c r="N7" i="249"/>
  <c r="AA31" i="249"/>
  <c r="AB31" i="249"/>
  <c r="P33" i="249"/>
  <c r="Q33" i="249"/>
  <c r="Q36" i="249"/>
  <c r="AB38" i="249"/>
  <c r="AB57" i="249"/>
  <c r="AA57" i="249"/>
  <c r="AB72" i="249"/>
  <c r="AA72" i="249"/>
  <c r="AB15" i="249"/>
  <c r="N15" i="249"/>
  <c r="N23" i="249"/>
  <c r="AB25" i="249"/>
  <c r="N31" i="249"/>
  <c r="AA36" i="249"/>
  <c r="AB41" i="249"/>
  <c r="N41" i="249"/>
  <c r="N49" i="249"/>
  <c r="AB51" i="249"/>
  <c r="N57" i="249"/>
  <c r="N62" i="249"/>
  <c r="N72" i="249"/>
  <c r="AA15" i="249"/>
  <c r="AB36" i="249"/>
  <c r="AA41" i="249"/>
  <c r="AA64" i="249"/>
  <c r="AA67" i="249"/>
  <c r="N67" i="249"/>
  <c r="AB70" i="249"/>
  <c r="AA70" i="249"/>
  <c r="AA12" i="249"/>
  <c r="AB18" i="249"/>
  <c r="AA18" i="249"/>
  <c r="AB44" i="249"/>
  <c r="AA44" i="249"/>
  <c r="AB64" i="249"/>
  <c r="AB67" i="249"/>
  <c r="N70" i="249"/>
  <c r="AA7" i="249"/>
  <c r="AA5" i="249"/>
  <c r="AB5" i="249"/>
  <c r="AB16" i="249"/>
  <c r="AA16" i="249"/>
  <c r="AA39" i="249"/>
  <c r="N39" i="249"/>
  <c r="AB42" i="249"/>
  <c r="AA42" i="249"/>
  <c r="Q21" i="249"/>
  <c r="Q47" i="249"/>
  <c r="Q60" i="249"/>
  <c r="N61" i="249"/>
  <c r="P29" i="249"/>
  <c r="P55" i="249"/>
  <c r="P68" i="249"/>
  <c r="Q16" i="249"/>
  <c r="N40" i="249"/>
  <c r="Q42" i="249"/>
  <c r="AB47" i="249"/>
  <c r="AB63" i="249"/>
  <c r="N63" i="249"/>
  <c r="Q34" i="249"/>
  <c r="P34" i="249"/>
  <c r="AB37" i="249"/>
  <c r="N37" i="249"/>
  <c r="P5" i="249"/>
  <c r="M19" i="249"/>
  <c r="AA37" i="249"/>
  <c r="M45" i="249"/>
  <c r="AA74" i="247"/>
  <c r="O74" i="247"/>
  <c r="M74" i="247"/>
  <c r="AB74" i="247" s="1"/>
  <c r="AC67" i="247" s="1"/>
  <c r="K74" i="247"/>
  <c r="AB73" i="247"/>
  <c r="V73" i="247"/>
  <c r="U73" i="247"/>
  <c r="O73" i="247"/>
  <c r="N73" i="247"/>
  <c r="Q73" i="247" s="1"/>
  <c r="M73" i="247"/>
  <c r="AA73" i="247" s="1"/>
  <c r="K73" i="247"/>
  <c r="G73" i="247"/>
  <c r="AB72" i="247"/>
  <c r="V72" i="247"/>
  <c r="U72" i="247"/>
  <c r="O72" i="247"/>
  <c r="M72" i="247"/>
  <c r="AA72" i="247" s="1"/>
  <c r="K72" i="247"/>
  <c r="G72" i="247"/>
  <c r="AA71" i="247"/>
  <c r="V71" i="247"/>
  <c r="U71" i="247"/>
  <c r="O71" i="247"/>
  <c r="M71" i="247"/>
  <c r="N71" i="247" s="1"/>
  <c r="K71" i="247"/>
  <c r="G71" i="247"/>
  <c r="AA70" i="247"/>
  <c r="V70" i="247"/>
  <c r="U70" i="247"/>
  <c r="O70" i="247"/>
  <c r="M70" i="247"/>
  <c r="N70" i="247" s="1"/>
  <c r="K70" i="247"/>
  <c r="G70" i="247"/>
  <c r="AB69" i="247"/>
  <c r="AA69" i="247"/>
  <c r="V69" i="247"/>
  <c r="U69" i="247"/>
  <c r="O69" i="247"/>
  <c r="N69" i="247"/>
  <c r="Q69" i="247" s="1"/>
  <c r="M69" i="247"/>
  <c r="K69" i="247"/>
  <c r="G69" i="247"/>
  <c r="AB68" i="247"/>
  <c r="AA68" i="247"/>
  <c r="V68" i="247"/>
  <c r="U68" i="247"/>
  <c r="Q68" i="247"/>
  <c r="P68" i="247"/>
  <c r="O68" i="247"/>
  <c r="N68" i="247"/>
  <c r="M68" i="247"/>
  <c r="K68" i="247"/>
  <c r="G68" i="247"/>
  <c r="AB67" i="247"/>
  <c r="AA67" i="247"/>
  <c r="V67" i="247"/>
  <c r="Q67" i="247"/>
  <c r="P67" i="247"/>
  <c r="O67" i="247"/>
  <c r="N67" i="247"/>
  <c r="M67" i="247"/>
  <c r="K67" i="247"/>
  <c r="G67" i="247"/>
  <c r="O66" i="247"/>
  <c r="K66" i="247"/>
  <c r="AB65" i="247"/>
  <c r="AA65" i="247"/>
  <c r="V65" i="247"/>
  <c r="U65" i="247"/>
  <c r="Q65" i="247"/>
  <c r="P65" i="247"/>
  <c r="O65" i="247"/>
  <c r="N65" i="247"/>
  <c r="M65" i="247"/>
  <c r="K65" i="247"/>
  <c r="G65" i="247"/>
  <c r="AB64" i="247"/>
  <c r="AA64" i="247"/>
  <c r="V64" i="247"/>
  <c r="U64" i="247"/>
  <c r="Q64" i="247"/>
  <c r="P64" i="247"/>
  <c r="O64" i="247"/>
  <c r="N64" i="247"/>
  <c r="M64" i="247"/>
  <c r="K64" i="247"/>
  <c r="G64" i="247"/>
  <c r="AB63" i="247"/>
  <c r="V63" i="247"/>
  <c r="U63" i="247"/>
  <c r="O63" i="247"/>
  <c r="N63" i="247"/>
  <c r="Q63" i="247" s="1"/>
  <c r="M63" i="247"/>
  <c r="AA63" i="247" s="1"/>
  <c r="K63" i="247"/>
  <c r="G63" i="247"/>
  <c r="V62" i="247"/>
  <c r="U62" i="247"/>
  <c r="O62" i="247"/>
  <c r="M62" i="247"/>
  <c r="AB62" i="247" s="1"/>
  <c r="K62" i="247"/>
  <c r="G62" i="247"/>
  <c r="V61" i="247"/>
  <c r="O61" i="247"/>
  <c r="M61" i="247"/>
  <c r="AB61" i="247" s="1"/>
  <c r="K61" i="247"/>
  <c r="G61" i="247"/>
  <c r="AB60" i="247"/>
  <c r="AC56" i="247" s="1"/>
  <c r="AA60" i="247"/>
  <c r="O60" i="247"/>
  <c r="N60" i="247"/>
  <c r="Q60" i="247" s="1"/>
  <c r="R56" i="247" s="1"/>
  <c r="M60" i="247"/>
  <c r="K60" i="247"/>
  <c r="AB59" i="247"/>
  <c r="AA59" i="247"/>
  <c r="V59" i="247"/>
  <c r="U59" i="247"/>
  <c r="Q59" i="247"/>
  <c r="P59" i="247"/>
  <c r="O59" i="247"/>
  <c r="N59" i="247"/>
  <c r="M59" i="247"/>
  <c r="K59" i="247"/>
  <c r="G59" i="247"/>
  <c r="AB58" i="247"/>
  <c r="AA58" i="247"/>
  <c r="V58" i="247"/>
  <c r="U58" i="247"/>
  <c r="Q58" i="247"/>
  <c r="P58" i="247"/>
  <c r="O58" i="247"/>
  <c r="N58" i="247"/>
  <c r="M58" i="247"/>
  <c r="K58" i="247"/>
  <c r="G58" i="247"/>
  <c r="AB57" i="247"/>
  <c r="AA57" i="247"/>
  <c r="V57" i="247"/>
  <c r="U57" i="247"/>
  <c r="O57" i="247"/>
  <c r="N57" i="247"/>
  <c r="Q57" i="247" s="1"/>
  <c r="M57" i="247"/>
  <c r="K57" i="247"/>
  <c r="G57" i="247"/>
  <c r="AB56" i="247"/>
  <c r="AA56" i="247"/>
  <c r="V56" i="247"/>
  <c r="O56" i="247"/>
  <c r="N56" i="247"/>
  <c r="Q56" i="247" s="1"/>
  <c r="M56" i="247"/>
  <c r="K56" i="247"/>
  <c r="G56" i="247"/>
  <c r="O55" i="247"/>
  <c r="K55" i="247"/>
  <c r="V54" i="247"/>
  <c r="U54" i="247"/>
  <c r="O54" i="247"/>
  <c r="M54" i="247"/>
  <c r="AB54" i="247" s="1"/>
  <c r="K54" i="247"/>
  <c r="G54" i="247"/>
  <c r="AA53" i="247"/>
  <c r="V53" i="247"/>
  <c r="U53" i="247"/>
  <c r="O53" i="247"/>
  <c r="M53" i="247"/>
  <c r="N53" i="247" s="1"/>
  <c r="K53" i="247"/>
  <c r="G53" i="247"/>
  <c r="AA52" i="247"/>
  <c r="V52" i="247"/>
  <c r="U52" i="247"/>
  <c r="O52" i="247"/>
  <c r="M52" i="247"/>
  <c r="N52" i="247" s="1"/>
  <c r="K52" i="247"/>
  <c r="G52" i="247"/>
  <c r="AB51" i="247"/>
  <c r="AA51" i="247"/>
  <c r="V51" i="247"/>
  <c r="U51" i="247"/>
  <c r="O51" i="247"/>
  <c r="N51" i="247"/>
  <c r="Q51" i="247" s="1"/>
  <c r="M51" i="247"/>
  <c r="K51" i="247"/>
  <c r="G51" i="247"/>
  <c r="AB50" i="247"/>
  <c r="V50" i="247"/>
  <c r="U50" i="247"/>
  <c r="O50" i="247"/>
  <c r="M50" i="247"/>
  <c r="AA50" i="247" s="1"/>
  <c r="K50" i="247"/>
  <c r="G50" i="247"/>
  <c r="AB49" i="247"/>
  <c r="AA49" i="247"/>
  <c r="V49" i="247"/>
  <c r="U49" i="247"/>
  <c r="Q49" i="247"/>
  <c r="P49" i="247"/>
  <c r="O49" i="247"/>
  <c r="N49" i="247"/>
  <c r="M49" i="247"/>
  <c r="K49" i="247"/>
  <c r="G49" i="247"/>
  <c r="AB48" i="247"/>
  <c r="AA48" i="247"/>
  <c r="V48" i="247"/>
  <c r="U48" i="247"/>
  <c r="Q48" i="247"/>
  <c r="P48" i="247"/>
  <c r="O48" i="247"/>
  <c r="N48" i="247"/>
  <c r="M48" i="247"/>
  <c r="K48" i="247"/>
  <c r="G48" i="247"/>
  <c r="AB47" i="247"/>
  <c r="AA47" i="247"/>
  <c r="V47" i="247"/>
  <c r="Q47" i="247"/>
  <c r="P47" i="247"/>
  <c r="O47" i="247"/>
  <c r="N47" i="247"/>
  <c r="M47" i="247"/>
  <c r="K47" i="247"/>
  <c r="G47" i="247"/>
  <c r="O46" i="247"/>
  <c r="K46" i="247"/>
  <c r="AB45" i="247"/>
  <c r="V45" i="247"/>
  <c r="U45" i="247"/>
  <c r="O45" i="247"/>
  <c r="N45" i="247"/>
  <c r="Q45" i="247" s="1"/>
  <c r="M45" i="247"/>
  <c r="AA45" i="247" s="1"/>
  <c r="K45" i="247"/>
  <c r="G45" i="247"/>
  <c r="V44" i="247"/>
  <c r="U44" i="247"/>
  <c r="O44" i="247"/>
  <c r="M44" i="247"/>
  <c r="AB44" i="247" s="1"/>
  <c r="K44" i="247"/>
  <c r="G44" i="247"/>
  <c r="AA43" i="247"/>
  <c r="V43" i="247"/>
  <c r="U43" i="247"/>
  <c r="O43" i="247"/>
  <c r="M43" i="247"/>
  <c r="N43" i="247" s="1"/>
  <c r="K43" i="247"/>
  <c r="G43" i="247"/>
  <c r="AA42" i="247"/>
  <c r="V42" i="247"/>
  <c r="U42" i="247"/>
  <c r="O42" i="247"/>
  <c r="M42" i="247"/>
  <c r="N42" i="247" s="1"/>
  <c r="K42" i="247"/>
  <c r="G42" i="247"/>
  <c r="AB41" i="247"/>
  <c r="AA41" i="247"/>
  <c r="V41" i="247"/>
  <c r="U41" i="247"/>
  <c r="O41" i="247"/>
  <c r="N41" i="247"/>
  <c r="Q41" i="247" s="1"/>
  <c r="M41" i="247"/>
  <c r="K41" i="247"/>
  <c r="G41" i="247"/>
  <c r="AB40" i="247"/>
  <c r="V40" i="247"/>
  <c r="U40" i="247"/>
  <c r="O40" i="247"/>
  <c r="M40" i="247"/>
  <c r="AA40" i="247" s="1"/>
  <c r="K40" i="247"/>
  <c r="G40" i="247"/>
  <c r="AB39" i="247"/>
  <c r="AA39" i="247"/>
  <c r="V39" i="247"/>
  <c r="U39" i="247"/>
  <c r="Q39" i="247"/>
  <c r="P39" i="247"/>
  <c r="O39" i="247"/>
  <c r="N39" i="247"/>
  <c r="M39" i="247"/>
  <c r="K39" i="247"/>
  <c r="G39" i="247"/>
  <c r="AB38" i="247"/>
  <c r="AA38" i="247"/>
  <c r="V38" i="247"/>
  <c r="U38" i="247"/>
  <c r="Q38" i="247"/>
  <c r="P38" i="247"/>
  <c r="O38" i="247"/>
  <c r="N38" i="247"/>
  <c r="M38" i="247"/>
  <c r="K38" i="247"/>
  <c r="G38" i="247"/>
  <c r="AB37" i="247"/>
  <c r="AA37" i="247"/>
  <c r="V37" i="247"/>
  <c r="Q37" i="247"/>
  <c r="P37" i="247"/>
  <c r="O37" i="247"/>
  <c r="N37" i="247"/>
  <c r="M37" i="247"/>
  <c r="K37" i="247"/>
  <c r="G37" i="247"/>
  <c r="O36" i="247"/>
  <c r="K36" i="247"/>
  <c r="AB35" i="247"/>
  <c r="V35" i="247"/>
  <c r="U35" i="247"/>
  <c r="O35" i="247"/>
  <c r="N35" i="247"/>
  <c r="Q35" i="247" s="1"/>
  <c r="M35" i="247"/>
  <c r="AA35" i="247" s="1"/>
  <c r="K35" i="247"/>
  <c r="G35" i="247"/>
  <c r="V34" i="247"/>
  <c r="U34" i="247"/>
  <c r="O34" i="247"/>
  <c r="M34" i="247"/>
  <c r="AB34" i="247" s="1"/>
  <c r="K34" i="247"/>
  <c r="G34" i="247"/>
  <c r="AA33" i="247"/>
  <c r="V33" i="247"/>
  <c r="U33" i="247"/>
  <c r="O33" i="247"/>
  <c r="M33" i="247"/>
  <c r="N33" i="247" s="1"/>
  <c r="K33" i="247"/>
  <c r="G33" i="247"/>
  <c r="AA32" i="247"/>
  <c r="V32" i="247"/>
  <c r="U32" i="247"/>
  <c r="O32" i="247"/>
  <c r="M32" i="247"/>
  <c r="N32" i="247" s="1"/>
  <c r="K32" i="247"/>
  <c r="G32" i="247"/>
  <c r="AB31" i="247"/>
  <c r="AA31" i="247"/>
  <c r="V31" i="247"/>
  <c r="U31" i="247"/>
  <c r="O31" i="247"/>
  <c r="N31" i="247"/>
  <c r="Q31" i="247" s="1"/>
  <c r="M31" i="247"/>
  <c r="K31" i="247"/>
  <c r="G31" i="247"/>
  <c r="AB30" i="247"/>
  <c r="AA30" i="247"/>
  <c r="V30" i="247"/>
  <c r="O30" i="247"/>
  <c r="N30" i="247"/>
  <c r="Q30" i="247" s="1"/>
  <c r="M30" i="247"/>
  <c r="K30" i="247"/>
  <c r="G30" i="247"/>
  <c r="O29" i="247"/>
  <c r="K29" i="247"/>
  <c r="AB28" i="247"/>
  <c r="AA28" i="247"/>
  <c r="V28" i="247"/>
  <c r="U28" i="247"/>
  <c r="Q28" i="247"/>
  <c r="P28" i="247"/>
  <c r="O28" i="247"/>
  <c r="N28" i="247"/>
  <c r="M28" i="247"/>
  <c r="K28" i="247"/>
  <c r="G28" i="247"/>
  <c r="AB27" i="247"/>
  <c r="AA27" i="247"/>
  <c r="V27" i="247"/>
  <c r="U27" i="247"/>
  <c r="Q27" i="247"/>
  <c r="P27" i="247"/>
  <c r="O27" i="247"/>
  <c r="N27" i="247"/>
  <c r="M27" i="247"/>
  <c r="K27" i="247"/>
  <c r="G27" i="247"/>
  <c r="AB26" i="247"/>
  <c r="AA26" i="247"/>
  <c r="V26" i="247"/>
  <c r="U26" i="247"/>
  <c r="Q26" i="247"/>
  <c r="P26" i="247"/>
  <c r="O26" i="247"/>
  <c r="N26" i="247"/>
  <c r="M26" i="247"/>
  <c r="K26" i="247"/>
  <c r="G26" i="247"/>
  <c r="AB25" i="247"/>
  <c r="V25" i="247"/>
  <c r="U25" i="247"/>
  <c r="O25" i="247"/>
  <c r="N25" i="247"/>
  <c r="Q25" i="247" s="1"/>
  <c r="M25" i="247"/>
  <c r="AA25" i="247" s="1"/>
  <c r="K25" i="247"/>
  <c r="G25" i="247"/>
  <c r="V24" i="247"/>
  <c r="U24" i="247"/>
  <c r="O24" i="247"/>
  <c r="M24" i="247"/>
  <c r="AB24" i="247" s="1"/>
  <c r="K24" i="247"/>
  <c r="G24" i="247"/>
  <c r="AA23" i="247"/>
  <c r="V23" i="247"/>
  <c r="U23" i="247"/>
  <c r="O23" i="247"/>
  <c r="M23" i="247"/>
  <c r="N23" i="247" s="1"/>
  <c r="K23" i="247"/>
  <c r="G23" i="247"/>
  <c r="AA22" i="247"/>
  <c r="V22" i="247"/>
  <c r="U22" i="247"/>
  <c r="O22" i="247"/>
  <c r="M22" i="247"/>
  <c r="N22" i="247" s="1"/>
  <c r="K22" i="247"/>
  <c r="G22" i="247"/>
  <c r="AB21" i="247"/>
  <c r="AA21" i="247"/>
  <c r="V21" i="247"/>
  <c r="U21" i="247"/>
  <c r="O21" i="247"/>
  <c r="N21" i="247"/>
  <c r="Q21" i="247" s="1"/>
  <c r="M21" i="247"/>
  <c r="K21" i="247"/>
  <c r="G21" i="247"/>
  <c r="AB20" i="247"/>
  <c r="AA20" i="247"/>
  <c r="V20" i="247"/>
  <c r="O20" i="247"/>
  <c r="N20" i="247"/>
  <c r="Q20" i="247" s="1"/>
  <c r="M20" i="247"/>
  <c r="K20" i="247"/>
  <c r="G20" i="247"/>
  <c r="O19" i="247"/>
  <c r="K19" i="247"/>
  <c r="AB18" i="247"/>
  <c r="AA18" i="247"/>
  <c r="V18" i="247"/>
  <c r="U18" i="247"/>
  <c r="Q18" i="247"/>
  <c r="P18" i="247"/>
  <c r="O18" i="247"/>
  <c r="N18" i="247"/>
  <c r="M18" i="247"/>
  <c r="K18" i="247"/>
  <c r="G18" i="247"/>
  <c r="AB17" i="247"/>
  <c r="AA17" i="247"/>
  <c r="V17" i="247"/>
  <c r="U17" i="247"/>
  <c r="Q17" i="247"/>
  <c r="P17" i="247"/>
  <c r="O17" i="247"/>
  <c r="N17" i="247"/>
  <c r="M17" i="247"/>
  <c r="K17" i="247"/>
  <c r="G17" i="247"/>
  <c r="AB16" i="247"/>
  <c r="AA16" i="247"/>
  <c r="V16" i="247"/>
  <c r="U16" i="247"/>
  <c r="Q16" i="247"/>
  <c r="P16" i="247"/>
  <c r="O16" i="247"/>
  <c r="N16" i="247"/>
  <c r="M16" i="247"/>
  <c r="K16" i="247"/>
  <c r="G16" i="247"/>
  <c r="AB15" i="247"/>
  <c r="V15" i="247"/>
  <c r="U15" i="247"/>
  <c r="O15" i="247"/>
  <c r="N15" i="247"/>
  <c r="Q15" i="247" s="1"/>
  <c r="M15" i="247"/>
  <c r="AA15" i="247" s="1"/>
  <c r="K15" i="247"/>
  <c r="G15" i="247"/>
  <c r="AB14" i="247"/>
  <c r="V14" i="247"/>
  <c r="O14" i="247"/>
  <c r="N14" i="247"/>
  <c r="Q14" i="247" s="1"/>
  <c r="M14" i="247"/>
  <c r="M19" i="247" s="1"/>
  <c r="K14" i="247"/>
  <c r="G14" i="247"/>
  <c r="O13" i="247"/>
  <c r="K13" i="247"/>
  <c r="AB12" i="247"/>
  <c r="V12" i="247"/>
  <c r="U12" i="247"/>
  <c r="O12" i="247"/>
  <c r="M12" i="247"/>
  <c r="M13" i="247" s="1"/>
  <c r="K12" i="247"/>
  <c r="G12" i="247"/>
  <c r="AB11" i="247"/>
  <c r="AA11" i="247"/>
  <c r="V11" i="247"/>
  <c r="U11" i="247"/>
  <c r="Q11" i="247"/>
  <c r="P11" i="247"/>
  <c r="O11" i="247"/>
  <c r="N11" i="247"/>
  <c r="M11" i="247"/>
  <c r="K11" i="247"/>
  <c r="G11" i="247"/>
  <c r="AB10" i="247"/>
  <c r="AA10" i="247"/>
  <c r="V10" i="247"/>
  <c r="U10" i="247"/>
  <c r="Q10" i="247"/>
  <c r="P10" i="247"/>
  <c r="O10" i="247"/>
  <c r="N10" i="247"/>
  <c r="M10" i="247"/>
  <c r="K10" i="247"/>
  <c r="G10" i="247"/>
  <c r="AB9" i="247"/>
  <c r="AA9" i="247"/>
  <c r="V9" i="247"/>
  <c r="Q9" i="247"/>
  <c r="P9" i="247"/>
  <c r="O9" i="247"/>
  <c r="N9" i="247"/>
  <c r="M9" i="247"/>
  <c r="K9" i="247"/>
  <c r="G9" i="247"/>
  <c r="O8" i="247"/>
  <c r="K8" i="247"/>
  <c r="AB7" i="247"/>
  <c r="V7" i="247"/>
  <c r="U7" i="247"/>
  <c r="O7" i="247"/>
  <c r="N7" i="247"/>
  <c r="Q7" i="247" s="1"/>
  <c r="M7" i="247"/>
  <c r="AA7" i="247" s="1"/>
  <c r="K7" i="247"/>
  <c r="G7" i="247"/>
  <c r="V6" i="247"/>
  <c r="U6" i="247"/>
  <c r="O6" i="247"/>
  <c r="M6" i="247"/>
  <c r="AB6" i="247" s="1"/>
  <c r="K6" i="247"/>
  <c r="G6" i="247"/>
  <c r="V5" i="247"/>
  <c r="O5" i="247"/>
  <c r="M5" i="247"/>
  <c r="M8" i="247" s="1"/>
  <c r="K5" i="247"/>
  <c r="G5" i="247"/>
  <c r="H2" i="247"/>
  <c r="F2" i="247"/>
  <c r="H1" i="247"/>
  <c r="F1" i="247"/>
  <c r="D1" i="247"/>
  <c r="M18" i="246"/>
  <c r="L18" i="246"/>
  <c r="K18" i="246"/>
  <c r="J18" i="246"/>
  <c r="I18" i="246"/>
  <c r="H18" i="246"/>
  <c r="G18" i="246"/>
  <c r="F18" i="246"/>
  <c r="E18" i="246"/>
  <c r="D18" i="246"/>
  <c r="M17" i="246"/>
  <c r="L17" i="246"/>
  <c r="K17" i="246"/>
  <c r="J17" i="246"/>
  <c r="I17" i="246"/>
  <c r="H17" i="246"/>
  <c r="G17" i="246"/>
  <c r="F17" i="246"/>
  <c r="E17" i="246"/>
  <c r="D17" i="246"/>
  <c r="M16" i="246"/>
  <c r="L16" i="246"/>
  <c r="K16" i="246"/>
  <c r="J16" i="246"/>
  <c r="I16" i="246"/>
  <c r="H16" i="246"/>
  <c r="G16" i="246"/>
  <c r="F16" i="246"/>
  <c r="E16" i="246"/>
  <c r="D16" i="246"/>
  <c r="M13" i="246"/>
  <c r="L13" i="246"/>
  <c r="K13" i="246"/>
  <c r="J13" i="246"/>
  <c r="I13" i="246"/>
  <c r="H13" i="246"/>
  <c r="G13" i="246"/>
  <c r="F13" i="246"/>
  <c r="E13" i="246"/>
  <c r="D13" i="246"/>
  <c r="I6" i="246"/>
  <c r="G6" i="246"/>
  <c r="F6" i="246"/>
  <c r="E6" i="246"/>
  <c r="I3" i="246"/>
  <c r="F3" i="246"/>
  <c r="C3" i="246"/>
  <c r="G8" i="258" l="1"/>
  <c r="F8" i="258"/>
  <c r="E8" i="258"/>
  <c r="E7" i="256"/>
  <c r="F7" i="256"/>
  <c r="G7" i="256"/>
  <c r="G8" i="256"/>
  <c r="F8" i="256"/>
  <c r="I7" i="256"/>
  <c r="K15" i="256"/>
  <c r="I8" i="256" s="1"/>
  <c r="J14" i="254"/>
  <c r="J15" i="254" s="1"/>
  <c r="Q64" i="255"/>
  <c r="R59" i="255" s="1"/>
  <c r="P64" i="255"/>
  <c r="L14" i="254"/>
  <c r="L15" i="254" s="1"/>
  <c r="Q44" i="255"/>
  <c r="R36" i="255" s="1"/>
  <c r="P44" i="255"/>
  <c r="K14" i="254"/>
  <c r="Q35" i="255"/>
  <c r="R28" i="255" s="1"/>
  <c r="P35" i="255"/>
  <c r="H14" i="254"/>
  <c r="H15" i="254" s="1"/>
  <c r="Q53" i="255"/>
  <c r="R45" i="255" s="1"/>
  <c r="P53" i="255"/>
  <c r="Q13" i="255"/>
  <c r="R9" i="255" s="1"/>
  <c r="E14" i="254"/>
  <c r="E15" i="254" s="1"/>
  <c r="P13" i="255"/>
  <c r="D14" i="254"/>
  <c r="Q8" i="255"/>
  <c r="R5" i="255" s="1"/>
  <c r="P8" i="255"/>
  <c r="D2" i="255"/>
  <c r="M14" i="254"/>
  <c r="M15" i="254" s="1"/>
  <c r="Q71" i="255"/>
  <c r="R65" i="255" s="1"/>
  <c r="P71" i="255"/>
  <c r="G14" i="254"/>
  <c r="G15" i="254" s="1"/>
  <c r="Q27" i="255"/>
  <c r="R20" i="255" s="1"/>
  <c r="P27" i="255"/>
  <c r="D15" i="252"/>
  <c r="Q13" i="253"/>
  <c r="R9" i="253" s="1"/>
  <c r="P13" i="253"/>
  <c r="E14" i="252"/>
  <c r="E15" i="252" s="1"/>
  <c r="Q19" i="253"/>
  <c r="R14" i="253" s="1"/>
  <c r="P19" i="253"/>
  <c r="F14" i="252"/>
  <c r="F15" i="252" s="1"/>
  <c r="K15" i="252"/>
  <c r="Q41" i="253"/>
  <c r="R35" i="253" s="1"/>
  <c r="P41" i="253"/>
  <c r="L14" i="252"/>
  <c r="L15" i="252" s="1"/>
  <c r="Q49" i="253"/>
  <c r="R42" i="253" s="1"/>
  <c r="P49" i="253"/>
  <c r="H14" i="252"/>
  <c r="H15" i="252" s="1"/>
  <c r="I14" i="252"/>
  <c r="I15" i="252" s="1"/>
  <c r="Q54" i="253"/>
  <c r="R50" i="253" s="1"/>
  <c r="P54" i="253"/>
  <c r="P60" i="253"/>
  <c r="Q60" i="253"/>
  <c r="R55" i="253" s="1"/>
  <c r="J14" i="252"/>
  <c r="J15" i="252" s="1"/>
  <c r="Q66" i="253"/>
  <c r="R61" i="253" s="1"/>
  <c r="P66" i="253"/>
  <c r="M14" i="252"/>
  <c r="M15" i="252" s="1"/>
  <c r="P27" i="253"/>
  <c r="G14" i="252"/>
  <c r="G15" i="252" s="1"/>
  <c r="Q27" i="253"/>
  <c r="R20" i="253" s="1"/>
  <c r="P27" i="251"/>
  <c r="G14" i="250"/>
  <c r="G15" i="250" s="1"/>
  <c r="Q27" i="251"/>
  <c r="R20" i="251" s="1"/>
  <c r="I14" i="250"/>
  <c r="I15" i="250" s="1"/>
  <c r="Q54" i="251"/>
  <c r="R50" i="251" s="1"/>
  <c r="P54" i="251"/>
  <c r="Q66" i="251"/>
  <c r="R61" i="251" s="1"/>
  <c r="P66" i="251"/>
  <c r="M14" i="250"/>
  <c r="M15" i="250" s="1"/>
  <c r="L14" i="250"/>
  <c r="L15" i="250" s="1"/>
  <c r="Q41" i="251"/>
  <c r="R35" i="251" s="1"/>
  <c r="P41" i="251"/>
  <c r="Q49" i="251"/>
  <c r="R42" i="251" s="1"/>
  <c r="P49" i="251"/>
  <c r="H14" i="250"/>
  <c r="H15" i="250" s="1"/>
  <c r="D2" i="251"/>
  <c r="D14" i="250"/>
  <c r="Q8" i="251"/>
  <c r="R5" i="251" s="1"/>
  <c r="P8" i="251"/>
  <c r="Q19" i="251"/>
  <c r="R14" i="251" s="1"/>
  <c r="P19" i="251"/>
  <c r="F14" i="250"/>
  <c r="F15" i="250" s="1"/>
  <c r="K14" i="250"/>
  <c r="Q34" i="251"/>
  <c r="R28" i="251" s="1"/>
  <c r="P34" i="251"/>
  <c r="Q50" i="249"/>
  <c r="P50" i="249"/>
  <c r="Q72" i="249"/>
  <c r="P72" i="249"/>
  <c r="P9" i="249"/>
  <c r="Q9" i="249"/>
  <c r="Q62" i="249"/>
  <c r="P62" i="249"/>
  <c r="AB13" i="249"/>
  <c r="AC9" i="249" s="1"/>
  <c r="AA13" i="249"/>
  <c r="N13" i="249"/>
  <c r="Q63" i="249"/>
  <c r="P63" i="249"/>
  <c r="Q57" i="249"/>
  <c r="P57" i="249"/>
  <c r="Q30" i="249"/>
  <c r="P30" i="249"/>
  <c r="P7" i="249"/>
  <c r="Q7" i="249"/>
  <c r="Q24" i="249"/>
  <c r="P24" i="249"/>
  <c r="Q70" i="249"/>
  <c r="P70" i="249"/>
  <c r="P49" i="249"/>
  <c r="Q49" i="249"/>
  <c r="Q46" i="249"/>
  <c r="P46" i="249"/>
  <c r="AB35" i="249"/>
  <c r="AC29" i="249" s="1"/>
  <c r="AA35" i="249"/>
  <c r="N35" i="249"/>
  <c r="Q40" i="249"/>
  <c r="P40" i="249"/>
  <c r="Q6" i="249"/>
  <c r="P6" i="249"/>
  <c r="Q69" i="249"/>
  <c r="P69" i="249"/>
  <c r="Q10" i="249"/>
  <c r="P10" i="249"/>
  <c r="Q31" i="249"/>
  <c r="P31" i="249"/>
  <c r="P23" i="249"/>
  <c r="Q23" i="249"/>
  <c r="P8" i="249"/>
  <c r="Q8" i="249"/>
  <c r="R5" i="249" s="1"/>
  <c r="D14" i="248"/>
  <c r="Q41" i="249"/>
  <c r="P41" i="249"/>
  <c r="Q61" i="249"/>
  <c r="P61" i="249"/>
  <c r="Q11" i="249"/>
  <c r="P11" i="249"/>
  <c r="AB45" i="249"/>
  <c r="AC36" i="249" s="1"/>
  <c r="AA45" i="249"/>
  <c r="N45" i="249"/>
  <c r="AB19" i="249"/>
  <c r="AC14" i="249" s="1"/>
  <c r="AA19" i="249"/>
  <c r="N19" i="249"/>
  <c r="AA28" i="249"/>
  <c r="N28" i="249"/>
  <c r="AB28" i="249"/>
  <c r="AC20" i="249" s="1"/>
  <c r="AA54" i="249"/>
  <c r="N54" i="249"/>
  <c r="AB54" i="249"/>
  <c r="AC46" i="249" s="1"/>
  <c r="AB59" i="249"/>
  <c r="AC55" i="249" s="1"/>
  <c r="AA59" i="249"/>
  <c r="N59" i="249"/>
  <c r="AA65" i="249"/>
  <c r="N65" i="249"/>
  <c r="AB65" i="249"/>
  <c r="AC60" i="249" s="1"/>
  <c r="Q39" i="249"/>
  <c r="P39" i="249"/>
  <c r="Q56" i="249"/>
  <c r="P56" i="249"/>
  <c r="AB73" i="249"/>
  <c r="AC66" i="249" s="1"/>
  <c r="AA73" i="249"/>
  <c r="N73" i="249"/>
  <c r="Q20" i="249"/>
  <c r="P20" i="249"/>
  <c r="Q15" i="249"/>
  <c r="P15" i="249"/>
  <c r="Q67" i="249"/>
  <c r="P67" i="249"/>
  <c r="Q37" i="249"/>
  <c r="P37" i="249"/>
  <c r="P66" i="249"/>
  <c r="Q66" i="249"/>
  <c r="Q22" i="247"/>
  <c r="P22" i="247"/>
  <c r="Q42" i="247"/>
  <c r="P42" i="247"/>
  <c r="AB8" i="247"/>
  <c r="AC5" i="247" s="1"/>
  <c r="AA8" i="247"/>
  <c r="N8" i="247"/>
  <c r="P33" i="247"/>
  <c r="Q33" i="247"/>
  <c r="Q70" i="247"/>
  <c r="P70" i="247"/>
  <c r="AA19" i="247"/>
  <c r="N19" i="247"/>
  <c r="AB19" i="247"/>
  <c r="AC14" i="247" s="1"/>
  <c r="P23" i="247"/>
  <c r="Q23" i="247"/>
  <c r="N13" i="247"/>
  <c r="AB13" i="247"/>
  <c r="AC9" i="247" s="1"/>
  <c r="AA13" i="247"/>
  <c r="Q32" i="247"/>
  <c r="P32" i="247"/>
  <c r="Q52" i="247"/>
  <c r="P52" i="247"/>
  <c r="P71" i="247"/>
  <c r="Q71" i="247"/>
  <c r="P53" i="247"/>
  <c r="Q53" i="247"/>
  <c r="P43" i="247"/>
  <c r="Q43" i="247"/>
  <c r="N5" i="247"/>
  <c r="N72" i="247"/>
  <c r="N12" i="247"/>
  <c r="N40" i="247"/>
  <c r="N50" i="247"/>
  <c r="AA14" i="247"/>
  <c r="P20" i="247"/>
  <c r="P21" i="247"/>
  <c r="M29" i="247"/>
  <c r="P30" i="247"/>
  <c r="P31" i="247"/>
  <c r="P41" i="247"/>
  <c r="P51" i="247"/>
  <c r="P60" i="247"/>
  <c r="P69" i="247"/>
  <c r="N6" i="247"/>
  <c r="N24" i="247"/>
  <c r="N34" i="247"/>
  <c r="N44" i="247"/>
  <c r="N54" i="247"/>
  <c r="N61" i="247"/>
  <c r="N62" i="247"/>
  <c r="I14" i="246"/>
  <c r="I15" i="246" s="1"/>
  <c r="AA5" i="247"/>
  <c r="AA6" i="247"/>
  <c r="AA24" i="247"/>
  <c r="AA34" i="247"/>
  <c r="AA44" i="247"/>
  <c r="AA54" i="247"/>
  <c r="AA61" i="247"/>
  <c r="AA62" i="247"/>
  <c r="M66" i="247"/>
  <c r="AB23" i="247"/>
  <c r="AB33" i="247"/>
  <c r="M36" i="247"/>
  <c r="AB43" i="247"/>
  <c r="M46" i="247"/>
  <c r="AB53" i="247"/>
  <c r="AB71" i="247"/>
  <c r="AB22" i="247"/>
  <c r="AB32" i="247"/>
  <c r="AB42" i="247"/>
  <c r="AB52" i="247"/>
  <c r="M55" i="247"/>
  <c r="P56" i="247"/>
  <c r="P57" i="247"/>
  <c r="AB70" i="247"/>
  <c r="N74" i="247"/>
  <c r="AB5" i="247"/>
  <c r="AA12" i="247"/>
  <c r="P7" i="247"/>
  <c r="P14" i="247"/>
  <c r="P15" i="247"/>
  <c r="P25" i="247"/>
  <c r="P35" i="247"/>
  <c r="P45" i="247"/>
  <c r="P63" i="247"/>
  <c r="P73" i="247"/>
  <c r="O76" i="245"/>
  <c r="K76" i="245"/>
  <c r="V75" i="245"/>
  <c r="M75" i="245" s="1"/>
  <c r="U75" i="245"/>
  <c r="O75" i="245"/>
  <c r="K75" i="245"/>
  <c r="G75" i="245"/>
  <c r="V74" i="245"/>
  <c r="U74" i="245"/>
  <c r="O74" i="245"/>
  <c r="M74" i="245"/>
  <c r="N74" i="245" s="1"/>
  <c r="K74" i="245"/>
  <c r="G74" i="245"/>
  <c r="V73" i="245"/>
  <c r="M73" i="245" s="1"/>
  <c r="U73" i="245"/>
  <c r="O73" i="245"/>
  <c r="K73" i="245"/>
  <c r="G73" i="245"/>
  <c r="V72" i="245"/>
  <c r="M72" i="245" s="1"/>
  <c r="U72" i="245"/>
  <c r="O72" i="245"/>
  <c r="K72" i="245"/>
  <c r="G72" i="245"/>
  <c r="V71" i="245"/>
  <c r="M71" i="245" s="1"/>
  <c r="U71" i="245"/>
  <c r="O71" i="245"/>
  <c r="K71" i="245"/>
  <c r="G71" i="245"/>
  <c r="V70" i="245"/>
  <c r="M70" i="245" s="1"/>
  <c r="U70" i="245"/>
  <c r="O70" i="245"/>
  <c r="K70" i="245"/>
  <c r="G70" i="245"/>
  <c r="V69" i="245"/>
  <c r="M69" i="245" s="1"/>
  <c r="O69" i="245"/>
  <c r="K69" i="245"/>
  <c r="G69" i="245"/>
  <c r="O68" i="245"/>
  <c r="K68" i="245"/>
  <c r="V67" i="245"/>
  <c r="U67" i="245"/>
  <c r="O67" i="245"/>
  <c r="N67" i="245"/>
  <c r="Q67" i="245" s="1"/>
  <c r="M67" i="245"/>
  <c r="AB67" i="245" s="1"/>
  <c r="K67" i="245"/>
  <c r="G67" i="245"/>
  <c r="V66" i="245"/>
  <c r="U66" i="245"/>
  <c r="O66" i="245"/>
  <c r="M66" i="245"/>
  <c r="N66" i="245" s="1"/>
  <c r="K66" i="245"/>
  <c r="G66" i="245"/>
  <c r="V65" i="245"/>
  <c r="U65" i="245"/>
  <c r="O65" i="245"/>
  <c r="N65" i="245"/>
  <c r="Q65" i="245" s="1"/>
  <c r="M65" i="245"/>
  <c r="AB65" i="245" s="1"/>
  <c r="K65" i="245"/>
  <c r="G65" i="245"/>
  <c r="V64" i="245"/>
  <c r="U64" i="245"/>
  <c r="O64" i="245"/>
  <c r="M64" i="245"/>
  <c r="N64" i="245" s="1"/>
  <c r="K64" i="245"/>
  <c r="G64" i="245"/>
  <c r="V63" i="245"/>
  <c r="O63" i="245"/>
  <c r="M63" i="245"/>
  <c r="N63" i="245" s="1"/>
  <c r="K63" i="245"/>
  <c r="G63" i="245"/>
  <c r="O62" i="245"/>
  <c r="K62" i="245"/>
  <c r="V61" i="245"/>
  <c r="M61" i="245" s="1"/>
  <c r="U61" i="245"/>
  <c r="O61" i="245"/>
  <c r="K61" i="245"/>
  <c r="G61" i="245"/>
  <c r="V60" i="245"/>
  <c r="M60" i="245" s="1"/>
  <c r="U60" i="245"/>
  <c r="O60" i="245"/>
  <c r="K60" i="245"/>
  <c r="G60" i="245"/>
  <c r="V59" i="245"/>
  <c r="U59" i="245"/>
  <c r="O59" i="245"/>
  <c r="M59" i="245"/>
  <c r="AB59" i="245" s="1"/>
  <c r="K59" i="245"/>
  <c r="G59" i="245"/>
  <c r="V58" i="245"/>
  <c r="O58" i="245"/>
  <c r="M58" i="245"/>
  <c r="M62" i="245" s="1"/>
  <c r="K58" i="245"/>
  <c r="G58" i="245"/>
  <c r="O57" i="245"/>
  <c r="K57" i="245"/>
  <c r="V56" i="245"/>
  <c r="U56" i="245"/>
  <c r="O56" i="245"/>
  <c r="M56" i="245"/>
  <c r="N56" i="245" s="1"/>
  <c r="K56" i="245"/>
  <c r="G56" i="245"/>
  <c r="V55" i="245"/>
  <c r="M55" i="245" s="1"/>
  <c r="U55" i="245"/>
  <c r="O55" i="245"/>
  <c r="K55" i="245"/>
  <c r="G55" i="245"/>
  <c r="V54" i="245"/>
  <c r="M54" i="245" s="1"/>
  <c r="U54" i="245"/>
  <c r="O54" i="245"/>
  <c r="K54" i="245"/>
  <c r="G54" i="245"/>
  <c r="V53" i="245"/>
  <c r="M53" i="245" s="1"/>
  <c r="U53" i="245"/>
  <c r="O53" i="245"/>
  <c r="K53" i="245"/>
  <c r="G53" i="245"/>
  <c r="V52" i="245"/>
  <c r="M52" i="245" s="1"/>
  <c r="U52" i="245"/>
  <c r="O52" i="245"/>
  <c r="K52" i="245"/>
  <c r="G52" i="245"/>
  <c r="V51" i="245"/>
  <c r="M51" i="245" s="1"/>
  <c r="U51" i="245"/>
  <c r="O51" i="245"/>
  <c r="K51" i="245"/>
  <c r="G51" i="245"/>
  <c r="V50" i="245"/>
  <c r="M50" i="245" s="1"/>
  <c r="U50" i="245"/>
  <c r="O50" i="245"/>
  <c r="K50" i="245"/>
  <c r="G50" i="245"/>
  <c r="V49" i="245"/>
  <c r="M49" i="245" s="1"/>
  <c r="O49" i="245"/>
  <c r="K49" i="245"/>
  <c r="G49" i="245"/>
  <c r="O48" i="245"/>
  <c r="K48" i="245"/>
  <c r="V47" i="245"/>
  <c r="U47" i="245"/>
  <c r="O47" i="245"/>
  <c r="N47" i="245"/>
  <c r="M47" i="245"/>
  <c r="AB47" i="245" s="1"/>
  <c r="K47" i="245"/>
  <c r="G47" i="245"/>
  <c r="V46" i="245"/>
  <c r="U46" i="245"/>
  <c r="O46" i="245"/>
  <c r="M46" i="245"/>
  <c r="N46" i="245" s="1"/>
  <c r="K46" i="245"/>
  <c r="G46" i="245"/>
  <c r="V45" i="245"/>
  <c r="M45" i="245" s="1"/>
  <c r="U45" i="245"/>
  <c r="O45" i="245"/>
  <c r="K45" i="245"/>
  <c r="G45" i="245"/>
  <c r="V44" i="245"/>
  <c r="M44" i="245" s="1"/>
  <c r="U44" i="245"/>
  <c r="O44" i="245"/>
  <c r="K44" i="245"/>
  <c r="G44" i="245"/>
  <c r="V43" i="245"/>
  <c r="M43" i="245" s="1"/>
  <c r="U43" i="245"/>
  <c r="O43" i="245"/>
  <c r="K43" i="245"/>
  <c r="G43" i="245"/>
  <c r="V42" i="245"/>
  <c r="M42" i="245" s="1"/>
  <c r="U42" i="245"/>
  <c r="O42" i="245"/>
  <c r="K42" i="245"/>
  <c r="G42" i="245"/>
  <c r="V41" i="245"/>
  <c r="M41" i="245" s="1"/>
  <c r="U41" i="245"/>
  <c r="O41" i="245"/>
  <c r="K41" i="245"/>
  <c r="G41" i="245"/>
  <c r="V40" i="245"/>
  <c r="M40" i="245" s="1"/>
  <c r="U40" i="245"/>
  <c r="O40" i="245"/>
  <c r="K40" i="245"/>
  <c r="G40" i="245"/>
  <c r="V39" i="245"/>
  <c r="M39" i="245" s="1"/>
  <c r="O39" i="245"/>
  <c r="K39" i="245"/>
  <c r="G39" i="245"/>
  <c r="O38" i="245"/>
  <c r="K38" i="245"/>
  <c r="V37" i="245"/>
  <c r="U37" i="245"/>
  <c r="O37" i="245"/>
  <c r="N37" i="245"/>
  <c r="M37" i="245"/>
  <c r="AB37" i="245" s="1"/>
  <c r="K37" i="245"/>
  <c r="G37" i="245"/>
  <c r="V36" i="245"/>
  <c r="U36" i="245"/>
  <c r="O36" i="245"/>
  <c r="M36" i="245"/>
  <c r="N36" i="245" s="1"/>
  <c r="K36" i="245"/>
  <c r="G36" i="245"/>
  <c r="V35" i="245"/>
  <c r="M35" i="245" s="1"/>
  <c r="U35" i="245"/>
  <c r="O35" i="245"/>
  <c r="K35" i="245"/>
  <c r="G35" i="245"/>
  <c r="V34" i="245"/>
  <c r="M34" i="245" s="1"/>
  <c r="U34" i="245"/>
  <c r="O34" i="245"/>
  <c r="K34" i="245"/>
  <c r="G34" i="245"/>
  <c r="V33" i="245"/>
  <c r="M33" i="245" s="1"/>
  <c r="U33" i="245"/>
  <c r="O33" i="245"/>
  <c r="K33" i="245"/>
  <c r="G33" i="245"/>
  <c r="V32" i="245"/>
  <c r="M32" i="245" s="1"/>
  <c r="U32" i="245"/>
  <c r="O32" i="245"/>
  <c r="K32" i="245"/>
  <c r="G32" i="245"/>
  <c r="V31" i="245"/>
  <c r="M31" i="245" s="1"/>
  <c r="U31" i="245"/>
  <c r="O31" i="245"/>
  <c r="K31" i="245"/>
  <c r="G31" i="245"/>
  <c r="V30" i="245"/>
  <c r="M30" i="245" s="1"/>
  <c r="O30" i="245"/>
  <c r="K30" i="245"/>
  <c r="G30" i="245"/>
  <c r="O29" i="245"/>
  <c r="K29" i="245"/>
  <c r="V28" i="245"/>
  <c r="U28" i="245"/>
  <c r="O28" i="245"/>
  <c r="M28" i="245"/>
  <c r="K28" i="245"/>
  <c r="G28" i="245"/>
  <c r="V27" i="245"/>
  <c r="U27" i="245"/>
  <c r="O27" i="245"/>
  <c r="N27" i="245"/>
  <c r="M27" i="245"/>
  <c r="AB27" i="245" s="1"/>
  <c r="K27" i="245"/>
  <c r="G27" i="245"/>
  <c r="V26" i="245"/>
  <c r="U26" i="245"/>
  <c r="O26" i="245"/>
  <c r="M26" i="245"/>
  <c r="N26" i="245" s="1"/>
  <c r="K26" i="245"/>
  <c r="G26" i="245"/>
  <c r="V25" i="245"/>
  <c r="M25" i="245" s="1"/>
  <c r="U25" i="245"/>
  <c r="O25" i="245"/>
  <c r="K25" i="245"/>
  <c r="G25" i="245"/>
  <c r="V24" i="245"/>
  <c r="M24" i="245" s="1"/>
  <c r="AB24" i="245" s="1"/>
  <c r="U24" i="245"/>
  <c r="O24" i="245"/>
  <c r="K24" i="245"/>
  <c r="G24" i="245"/>
  <c r="V23" i="245"/>
  <c r="M23" i="245" s="1"/>
  <c r="U23" i="245"/>
  <c r="O23" i="245"/>
  <c r="K23" i="245"/>
  <c r="G23" i="245"/>
  <c r="V22" i="245"/>
  <c r="M22" i="245" s="1"/>
  <c r="U22" i="245"/>
  <c r="O22" i="245"/>
  <c r="K22" i="245"/>
  <c r="G22" i="245"/>
  <c r="V21" i="245"/>
  <c r="M21" i="245" s="1"/>
  <c r="U21" i="245"/>
  <c r="O21" i="245"/>
  <c r="K21" i="245"/>
  <c r="G21" i="245"/>
  <c r="V20" i="245"/>
  <c r="M20" i="245" s="1"/>
  <c r="O20" i="245"/>
  <c r="K20" i="245"/>
  <c r="G20" i="245"/>
  <c r="O19" i="245"/>
  <c r="K19" i="245"/>
  <c r="V18" i="245"/>
  <c r="U18" i="245"/>
  <c r="O18" i="245"/>
  <c r="M18" i="245"/>
  <c r="K18" i="245"/>
  <c r="G18" i="245"/>
  <c r="V17" i="245"/>
  <c r="U17" i="245"/>
  <c r="O17" i="245"/>
  <c r="N17" i="245"/>
  <c r="M17" i="245"/>
  <c r="AB17" i="245" s="1"/>
  <c r="K17" i="245"/>
  <c r="G17" i="245"/>
  <c r="V16" i="245"/>
  <c r="U16" i="245"/>
  <c r="O16" i="245"/>
  <c r="M16" i="245"/>
  <c r="N16" i="245" s="1"/>
  <c r="K16" i="245"/>
  <c r="G16" i="245"/>
  <c r="V15" i="245"/>
  <c r="M15" i="245" s="1"/>
  <c r="U15" i="245"/>
  <c r="O15" i="245"/>
  <c r="K15" i="245"/>
  <c r="G15" i="245"/>
  <c r="V14" i="245"/>
  <c r="M14" i="245" s="1"/>
  <c r="O14" i="245"/>
  <c r="K14" i="245"/>
  <c r="G14" i="245"/>
  <c r="O13" i="245"/>
  <c r="K13" i="245"/>
  <c r="V12" i="245"/>
  <c r="M12" i="245" s="1"/>
  <c r="U12" i="245"/>
  <c r="O12" i="245"/>
  <c r="K12" i="245"/>
  <c r="G12" i="245"/>
  <c r="V11" i="245"/>
  <c r="U11" i="245"/>
  <c r="Q11" i="245"/>
  <c r="P11" i="245"/>
  <c r="O11" i="245"/>
  <c r="N11" i="245"/>
  <c r="M11" i="245"/>
  <c r="AB11" i="245" s="1"/>
  <c r="K11" i="245"/>
  <c r="G11" i="245"/>
  <c r="AB10" i="245"/>
  <c r="V10" i="245"/>
  <c r="U10" i="245"/>
  <c r="Q10" i="245"/>
  <c r="P10" i="245"/>
  <c r="O10" i="245"/>
  <c r="N10" i="245"/>
  <c r="M10" i="245"/>
  <c r="AA10" i="245" s="1"/>
  <c r="K10" i="245"/>
  <c r="G10" i="245"/>
  <c r="AB9" i="245"/>
  <c r="V9" i="245"/>
  <c r="Q9" i="245"/>
  <c r="P9" i="245"/>
  <c r="O9" i="245"/>
  <c r="N9" i="245"/>
  <c r="M9" i="245"/>
  <c r="AA9" i="245" s="1"/>
  <c r="K9" i="245"/>
  <c r="G9" i="245"/>
  <c r="O8" i="245"/>
  <c r="K8" i="245"/>
  <c r="D13" i="244" s="1"/>
  <c r="V7" i="245"/>
  <c r="M7" i="245" s="1"/>
  <c r="U7" i="245"/>
  <c r="O7" i="245"/>
  <c r="K7" i="245"/>
  <c r="G7" i="245"/>
  <c r="V6" i="245"/>
  <c r="M6" i="245" s="1"/>
  <c r="U6" i="245"/>
  <c r="O6" i="245"/>
  <c r="K6" i="245"/>
  <c r="G6" i="245"/>
  <c r="V5" i="245"/>
  <c r="M5" i="245" s="1"/>
  <c r="O5" i="245"/>
  <c r="K5" i="245"/>
  <c r="G5" i="245"/>
  <c r="H2" i="245"/>
  <c r="H1" i="245"/>
  <c r="D1" i="245"/>
  <c r="M18" i="244"/>
  <c r="L18" i="244"/>
  <c r="K18" i="244"/>
  <c r="J18" i="244"/>
  <c r="I18" i="244"/>
  <c r="H18" i="244"/>
  <c r="G18" i="244"/>
  <c r="F18" i="244"/>
  <c r="E18" i="244"/>
  <c r="D18" i="244"/>
  <c r="M17" i="244"/>
  <c r="L17" i="244"/>
  <c r="K17" i="244"/>
  <c r="J17" i="244"/>
  <c r="I17" i="244"/>
  <c r="H17" i="244"/>
  <c r="G17" i="244"/>
  <c r="F17" i="244"/>
  <c r="E17" i="244"/>
  <c r="D17" i="244"/>
  <c r="M16" i="244"/>
  <c r="L16" i="244"/>
  <c r="K16" i="244"/>
  <c r="J16" i="244"/>
  <c r="I16" i="244"/>
  <c r="H16" i="244"/>
  <c r="G16" i="244"/>
  <c r="F16" i="244"/>
  <c r="E16" i="244"/>
  <c r="D16" i="244"/>
  <c r="M13" i="244"/>
  <c r="L13" i="244"/>
  <c r="K13" i="244"/>
  <c r="I6" i="244" s="1"/>
  <c r="J13" i="244"/>
  <c r="I13" i="244"/>
  <c r="H13" i="244"/>
  <c r="G13" i="244"/>
  <c r="F13" i="244"/>
  <c r="E13" i="244"/>
  <c r="F3" i="244"/>
  <c r="C3" i="244"/>
  <c r="E8" i="256" l="1"/>
  <c r="I8" i="252"/>
  <c r="I7" i="254"/>
  <c r="K15" i="254"/>
  <c r="I8" i="254" s="1"/>
  <c r="F7" i="252"/>
  <c r="D15" i="254"/>
  <c r="G7" i="254"/>
  <c r="F7" i="254"/>
  <c r="E7" i="254"/>
  <c r="G7" i="252"/>
  <c r="E7" i="252"/>
  <c r="I7" i="252"/>
  <c r="F8" i="252"/>
  <c r="G8" i="252"/>
  <c r="E8" i="252"/>
  <c r="K15" i="250"/>
  <c r="I8" i="250" s="1"/>
  <c r="I7" i="250"/>
  <c r="G7" i="250"/>
  <c r="D15" i="250"/>
  <c r="F7" i="250"/>
  <c r="E7" i="250"/>
  <c r="Q73" i="249"/>
  <c r="R66" i="249" s="1"/>
  <c r="P73" i="249"/>
  <c r="M14" i="248"/>
  <c r="M15" i="248" s="1"/>
  <c r="P13" i="249"/>
  <c r="Q13" i="249"/>
  <c r="R9" i="249" s="1"/>
  <c r="E14" i="248"/>
  <c r="E15" i="248" s="1"/>
  <c r="J14" i="248"/>
  <c r="J15" i="248" s="1"/>
  <c r="Q65" i="249"/>
  <c r="R60" i="249" s="1"/>
  <c r="P65" i="249"/>
  <c r="Q28" i="249"/>
  <c r="R20" i="249" s="1"/>
  <c r="G14" i="248"/>
  <c r="G15" i="248" s="1"/>
  <c r="P28" i="249"/>
  <c r="F14" i="248"/>
  <c r="F15" i="248" s="1"/>
  <c r="Q19" i="249"/>
  <c r="R14" i="249" s="1"/>
  <c r="P19" i="249"/>
  <c r="K14" i="248"/>
  <c r="Q35" i="249"/>
  <c r="R29" i="249" s="1"/>
  <c r="P35" i="249"/>
  <c r="I14" i="248"/>
  <c r="I15" i="248" s="1"/>
  <c r="Q59" i="249"/>
  <c r="R55" i="249" s="1"/>
  <c r="P59" i="249"/>
  <c r="D2" i="249"/>
  <c r="L14" i="248"/>
  <c r="L15" i="248" s="1"/>
  <c r="Q45" i="249"/>
  <c r="R36" i="249" s="1"/>
  <c r="P45" i="249"/>
  <c r="Q54" i="249"/>
  <c r="R46" i="249" s="1"/>
  <c r="H14" i="248"/>
  <c r="H15" i="248" s="1"/>
  <c r="P54" i="249"/>
  <c r="D15" i="248"/>
  <c r="P44" i="247"/>
  <c r="Q44" i="247"/>
  <c r="P24" i="247"/>
  <c r="Q24" i="247"/>
  <c r="Q50" i="247"/>
  <c r="P50" i="247"/>
  <c r="P6" i="247"/>
  <c r="Q6" i="247"/>
  <c r="Q40" i="247"/>
  <c r="P40" i="247"/>
  <c r="Q12" i="247"/>
  <c r="P12" i="247"/>
  <c r="P72" i="247"/>
  <c r="Q72" i="247"/>
  <c r="D14" i="246"/>
  <c r="P8" i="247"/>
  <c r="Q8" i="247"/>
  <c r="R5" i="247" s="1"/>
  <c r="AB46" i="247"/>
  <c r="AC37" i="247" s="1"/>
  <c r="AA46" i="247"/>
  <c r="N46" i="247"/>
  <c r="P5" i="247"/>
  <c r="Q5" i="247"/>
  <c r="P34" i="247"/>
  <c r="Q34" i="247"/>
  <c r="Q74" i="247"/>
  <c r="R67" i="247" s="1"/>
  <c r="P74" i="247"/>
  <c r="M14" i="246"/>
  <c r="M15" i="246" s="1"/>
  <c r="E14" i="246"/>
  <c r="E15" i="246" s="1"/>
  <c r="Q13" i="247"/>
  <c r="R9" i="247" s="1"/>
  <c r="P13" i="247"/>
  <c r="AB36" i="247"/>
  <c r="AC30" i="247" s="1"/>
  <c r="AA36" i="247"/>
  <c r="N36" i="247"/>
  <c r="P62" i="247"/>
  <c r="Q62" i="247"/>
  <c r="P61" i="247"/>
  <c r="Q61" i="247"/>
  <c r="AA29" i="247"/>
  <c r="N29" i="247"/>
  <c r="AB29" i="247"/>
  <c r="AC20" i="247" s="1"/>
  <c r="AA55" i="247"/>
  <c r="N55" i="247"/>
  <c r="AB55" i="247"/>
  <c r="AC47" i="247" s="1"/>
  <c r="N66" i="247"/>
  <c r="AA66" i="247"/>
  <c r="AB66" i="247"/>
  <c r="AC61" i="247" s="1"/>
  <c r="P54" i="247"/>
  <c r="Q54" i="247"/>
  <c r="P19" i="247"/>
  <c r="Q19" i="247"/>
  <c r="R14" i="247" s="1"/>
  <c r="F14" i="246"/>
  <c r="F15" i="246" s="1"/>
  <c r="G6" i="244"/>
  <c r="F6" i="244"/>
  <c r="E6" i="244"/>
  <c r="N15" i="245"/>
  <c r="AB15" i="245"/>
  <c r="AA15" i="245"/>
  <c r="AA22" i="245"/>
  <c r="AB22" i="245"/>
  <c r="N22" i="245"/>
  <c r="AB31" i="245"/>
  <c r="AA31" i="245"/>
  <c r="N31" i="245"/>
  <c r="AB51" i="245"/>
  <c r="AA51" i="245"/>
  <c r="N51" i="245"/>
  <c r="N18" i="245"/>
  <c r="AB18" i="245"/>
  <c r="AA18" i="245"/>
  <c r="N34" i="245"/>
  <c r="AA34" i="245"/>
  <c r="AB43" i="245"/>
  <c r="N43" i="245"/>
  <c r="N45" i="245"/>
  <c r="AB45" i="245"/>
  <c r="AA45" i="245"/>
  <c r="N54" i="245"/>
  <c r="AA54" i="245"/>
  <c r="AB71" i="245"/>
  <c r="AA71" i="245"/>
  <c r="N71" i="245"/>
  <c r="N6" i="245"/>
  <c r="AA6" i="245"/>
  <c r="AB23" i="245"/>
  <c r="N23" i="245"/>
  <c r="N25" i="245"/>
  <c r="AB25" i="245"/>
  <c r="AA25" i="245"/>
  <c r="AB34" i="245"/>
  <c r="AA52" i="245"/>
  <c r="AB52" i="245"/>
  <c r="N52" i="245"/>
  <c r="P74" i="245"/>
  <c r="Q74" i="245"/>
  <c r="P63" i="245"/>
  <c r="Q63" i="245"/>
  <c r="F1" i="245"/>
  <c r="P26" i="245"/>
  <c r="Q26" i="245"/>
  <c r="Q37" i="245"/>
  <c r="N28" i="245"/>
  <c r="AB28" i="245"/>
  <c r="AA28" i="245"/>
  <c r="AB62" i="245"/>
  <c r="AC58" i="245" s="1"/>
  <c r="AA62" i="245"/>
  <c r="N62" i="245"/>
  <c r="N72" i="245"/>
  <c r="AA72" i="245"/>
  <c r="AB72" i="245"/>
  <c r="Q17" i="245"/>
  <c r="AB33" i="245"/>
  <c r="N33" i="245"/>
  <c r="N35" i="245"/>
  <c r="AB35" i="245"/>
  <c r="AA35" i="245"/>
  <c r="N44" i="245"/>
  <c r="AA44" i="245"/>
  <c r="AB53" i="245"/>
  <c r="N53" i="245"/>
  <c r="N55" i="245"/>
  <c r="AB55" i="245"/>
  <c r="AA55" i="245"/>
  <c r="AB60" i="245"/>
  <c r="AA60" i="245"/>
  <c r="N60" i="245"/>
  <c r="N5" i="245"/>
  <c r="M8" i="245"/>
  <c r="AA5" i="245"/>
  <c r="N7" i="245"/>
  <c r="AB7" i="245"/>
  <c r="AA7" i="245"/>
  <c r="AB12" i="245"/>
  <c r="AA12" i="245"/>
  <c r="N12" i="245"/>
  <c r="M13" i="245"/>
  <c r="N24" i="245"/>
  <c r="AA24" i="245"/>
  <c r="AA33" i="245"/>
  <c r="AA42" i="245"/>
  <c r="AB42" i="245"/>
  <c r="N42" i="245"/>
  <c r="AB44" i="245"/>
  <c r="AA53" i="245"/>
  <c r="AA70" i="245"/>
  <c r="AB70" i="245"/>
  <c r="N70" i="245"/>
  <c r="AB5" i="245"/>
  <c r="P36" i="245"/>
  <c r="Q36" i="245"/>
  <c r="AB40" i="245"/>
  <c r="AA40" i="245"/>
  <c r="N40" i="245"/>
  <c r="AB49" i="245"/>
  <c r="AA49" i="245"/>
  <c r="M57" i="245"/>
  <c r="N49" i="245"/>
  <c r="P56" i="245"/>
  <c r="Q56" i="245"/>
  <c r="P64" i="245"/>
  <c r="Q64" i="245"/>
  <c r="N75" i="245"/>
  <c r="AB75" i="245"/>
  <c r="AA75" i="245"/>
  <c r="N73" i="245"/>
  <c r="AB73" i="245"/>
  <c r="AA73" i="245"/>
  <c r="AA32" i="245"/>
  <c r="AB32" i="245"/>
  <c r="N32" i="245"/>
  <c r="AA43" i="245"/>
  <c r="AB54" i="245"/>
  <c r="AB6" i="245"/>
  <c r="N14" i="245"/>
  <c r="AB14" i="245"/>
  <c r="M19" i="245"/>
  <c r="AA14" i="245"/>
  <c r="AA23" i="245"/>
  <c r="AB41" i="245"/>
  <c r="AA41" i="245"/>
  <c r="N41" i="245"/>
  <c r="AA69" i="245"/>
  <c r="M76" i="245"/>
  <c r="AB69" i="245"/>
  <c r="N69" i="245"/>
  <c r="AB21" i="245"/>
  <c r="AA21" i="245"/>
  <c r="N21" i="245"/>
  <c r="AB30" i="245"/>
  <c r="M38" i="245"/>
  <c r="AA30" i="245"/>
  <c r="N30" i="245"/>
  <c r="AB39" i="245"/>
  <c r="AA39" i="245"/>
  <c r="M48" i="245"/>
  <c r="N39" i="245"/>
  <c r="P46" i="245"/>
  <c r="Q46" i="245"/>
  <c r="AB50" i="245"/>
  <c r="AA50" i="245"/>
  <c r="N50" i="245"/>
  <c r="AB20" i="245"/>
  <c r="AA20" i="245"/>
  <c r="M29" i="245"/>
  <c r="N20" i="245"/>
  <c r="Q47" i="245"/>
  <c r="Q66" i="245"/>
  <c r="P66" i="245"/>
  <c r="P16" i="245"/>
  <c r="Q16" i="245"/>
  <c r="Q27" i="245"/>
  <c r="AB61" i="245"/>
  <c r="AA61" i="245"/>
  <c r="N61" i="245"/>
  <c r="AA67" i="245"/>
  <c r="AA66" i="245"/>
  <c r="AA17" i="245"/>
  <c r="AA27" i="245"/>
  <c r="AA37" i="245"/>
  <c r="AA47" i="245"/>
  <c r="AA65" i="245"/>
  <c r="AB66" i="245"/>
  <c r="AA16" i="245"/>
  <c r="AA26" i="245"/>
  <c r="AA36" i="245"/>
  <c r="AA46" i="245"/>
  <c r="AA56" i="245"/>
  <c r="AA63" i="245"/>
  <c r="AA64" i="245"/>
  <c r="M68" i="245"/>
  <c r="AA74" i="245"/>
  <c r="AB16" i="245"/>
  <c r="AB26" i="245"/>
  <c r="AB36" i="245"/>
  <c r="AB46" i="245"/>
  <c r="AB56" i="245"/>
  <c r="N58" i="245"/>
  <c r="N59" i="245"/>
  <c r="AB63" i="245"/>
  <c r="AB64" i="245"/>
  <c r="AB74" i="245"/>
  <c r="P67" i="245"/>
  <c r="AA11" i="245"/>
  <c r="P17" i="245"/>
  <c r="P27" i="245"/>
  <c r="P37" i="245"/>
  <c r="P47" i="245"/>
  <c r="AA58" i="245"/>
  <c r="AA59" i="245"/>
  <c r="P65" i="245"/>
  <c r="AB58" i="245"/>
  <c r="O76" i="243"/>
  <c r="K76" i="243"/>
  <c r="V75" i="243"/>
  <c r="U75" i="243"/>
  <c r="O75" i="243"/>
  <c r="N75" i="243"/>
  <c r="M75" i="243"/>
  <c r="K75" i="243"/>
  <c r="G75" i="243"/>
  <c r="V74" i="243"/>
  <c r="U74" i="243"/>
  <c r="O74" i="243"/>
  <c r="M74" i="243"/>
  <c r="K74" i="243"/>
  <c r="G74" i="243"/>
  <c r="V73" i="243"/>
  <c r="M73" i="243" s="1"/>
  <c r="U73" i="243"/>
  <c r="O73" i="243"/>
  <c r="K73" i="243"/>
  <c r="G73" i="243"/>
  <c r="V72" i="243"/>
  <c r="M72" i="243" s="1"/>
  <c r="U72" i="243"/>
  <c r="O72" i="243"/>
  <c r="K72" i="243"/>
  <c r="G72" i="243"/>
  <c r="AB71" i="243"/>
  <c r="V71" i="243"/>
  <c r="M71" i="243" s="1"/>
  <c r="U71" i="243"/>
  <c r="O71" i="243"/>
  <c r="K71" i="243"/>
  <c r="G71" i="243"/>
  <c r="AB70" i="243"/>
  <c r="AA70" i="243"/>
  <c r="V70" i="243"/>
  <c r="M70" i="243" s="1"/>
  <c r="N70" i="243" s="1"/>
  <c r="U70" i="243"/>
  <c r="O70" i="243"/>
  <c r="K70" i="243"/>
  <c r="G70" i="243"/>
  <c r="AB69" i="243"/>
  <c r="AA69" i="243"/>
  <c r="V69" i="243"/>
  <c r="M69" i="243" s="1"/>
  <c r="O69" i="243"/>
  <c r="K69" i="243"/>
  <c r="G69" i="243"/>
  <c r="O68" i="243"/>
  <c r="K68" i="243"/>
  <c r="V67" i="243"/>
  <c r="U67" i="243"/>
  <c r="P67" i="243"/>
  <c r="O67" i="243"/>
  <c r="M67" i="243"/>
  <c r="N67" i="243" s="1"/>
  <c r="Q67" i="243" s="1"/>
  <c r="K67" i="243"/>
  <c r="G67" i="243"/>
  <c r="AB66" i="243"/>
  <c r="V66" i="243"/>
  <c r="U66" i="243"/>
  <c r="O66" i="243"/>
  <c r="N66" i="243"/>
  <c r="M66" i="243"/>
  <c r="AA66" i="243" s="1"/>
  <c r="K66" i="243"/>
  <c r="G66" i="243"/>
  <c r="V65" i="243"/>
  <c r="U65" i="243"/>
  <c r="O65" i="243"/>
  <c r="N65" i="243"/>
  <c r="M65" i="243"/>
  <c r="K65" i="243"/>
  <c r="G65" i="243"/>
  <c r="V64" i="243"/>
  <c r="U64" i="243"/>
  <c r="O64" i="243"/>
  <c r="M64" i="243"/>
  <c r="K64" i="243"/>
  <c r="G64" i="243"/>
  <c r="V63" i="243"/>
  <c r="O63" i="243"/>
  <c r="M63" i="243"/>
  <c r="K63" i="243"/>
  <c r="G63" i="243"/>
  <c r="O62" i="243"/>
  <c r="K62" i="243"/>
  <c r="AA61" i="243"/>
  <c r="V61" i="243"/>
  <c r="M61" i="243" s="1"/>
  <c r="U61" i="243"/>
  <c r="O61" i="243"/>
  <c r="K61" i="243"/>
  <c r="G61" i="243"/>
  <c r="V60" i="243"/>
  <c r="M60" i="243" s="1"/>
  <c r="U60" i="243"/>
  <c r="O60" i="243"/>
  <c r="K60" i="243"/>
  <c r="G60" i="243"/>
  <c r="V59" i="243"/>
  <c r="U59" i="243"/>
  <c r="O59" i="243"/>
  <c r="M59" i="243"/>
  <c r="AB59" i="243" s="1"/>
  <c r="K59" i="243"/>
  <c r="G59" i="243"/>
  <c r="V58" i="243"/>
  <c r="O58" i="243"/>
  <c r="M58" i="243"/>
  <c r="M62" i="243" s="1"/>
  <c r="K58" i="243"/>
  <c r="G58" i="243"/>
  <c r="O57" i="243"/>
  <c r="K57" i="243"/>
  <c r="V56" i="243"/>
  <c r="U56" i="243"/>
  <c r="O56" i="243"/>
  <c r="M56" i="243"/>
  <c r="K56" i="243"/>
  <c r="G56" i="243"/>
  <c r="V55" i="243"/>
  <c r="M55" i="243" s="1"/>
  <c r="U55" i="243"/>
  <c r="O55" i="243"/>
  <c r="K55" i="243"/>
  <c r="G55" i="243"/>
  <c r="V54" i="243"/>
  <c r="M54" i="243" s="1"/>
  <c r="U54" i="243"/>
  <c r="O54" i="243"/>
  <c r="K54" i="243"/>
  <c r="G54" i="243"/>
  <c r="AB53" i="243"/>
  <c r="V53" i="243"/>
  <c r="M53" i="243" s="1"/>
  <c r="U53" i="243"/>
  <c r="O53" i="243"/>
  <c r="K53" i="243"/>
  <c r="G53" i="243"/>
  <c r="AB52" i="243"/>
  <c r="AA52" i="243"/>
  <c r="V52" i="243"/>
  <c r="M52" i="243" s="1"/>
  <c r="N52" i="243" s="1"/>
  <c r="U52" i="243"/>
  <c r="O52" i="243"/>
  <c r="K52" i="243"/>
  <c r="G52" i="243"/>
  <c r="AA51" i="243"/>
  <c r="V51" i="243"/>
  <c r="M51" i="243" s="1"/>
  <c r="U51" i="243"/>
  <c r="O51" i="243"/>
  <c r="K51" i="243"/>
  <c r="G51" i="243"/>
  <c r="V50" i="243"/>
  <c r="M50" i="243" s="1"/>
  <c r="U50" i="243"/>
  <c r="O50" i="243"/>
  <c r="K50" i="243"/>
  <c r="G50" i="243"/>
  <c r="V49" i="243"/>
  <c r="U49" i="243"/>
  <c r="O49" i="243"/>
  <c r="M49" i="243"/>
  <c r="AB49" i="243" s="1"/>
  <c r="K49" i="243"/>
  <c r="G49" i="243"/>
  <c r="V48" i="243"/>
  <c r="O48" i="243"/>
  <c r="M48" i="243"/>
  <c r="AB48" i="243" s="1"/>
  <c r="K48" i="243"/>
  <c r="G48" i="243"/>
  <c r="O47" i="243"/>
  <c r="K47" i="243"/>
  <c r="V46" i="243"/>
  <c r="U46" i="243"/>
  <c r="O46" i="243"/>
  <c r="M46" i="243"/>
  <c r="K46" i="243"/>
  <c r="G46" i="243"/>
  <c r="V45" i="243"/>
  <c r="M45" i="243" s="1"/>
  <c r="U45" i="243"/>
  <c r="O45" i="243"/>
  <c r="K45" i="243"/>
  <c r="G45" i="243"/>
  <c r="V44" i="243"/>
  <c r="M44" i="243" s="1"/>
  <c r="U44" i="243"/>
  <c r="O44" i="243"/>
  <c r="K44" i="243"/>
  <c r="G44" i="243"/>
  <c r="AB43" i="243"/>
  <c r="V43" i="243"/>
  <c r="M43" i="243" s="1"/>
  <c r="U43" i="243"/>
  <c r="O43" i="243"/>
  <c r="K43" i="243"/>
  <c r="G43" i="243"/>
  <c r="AB42" i="243"/>
  <c r="AA42" i="243"/>
  <c r="V42" i="243"/>
  <c r="M42" i="243" s="1"/>
  <c r="N42" i="243" s="1"/>
  <c r="U42" i="243"/>
  <c r="O42" i="243"/>
  <c r="K42" i="243"/>
  <c r="G42" i="243"/>
  <c r="AA41" i="243"/>
  <c r="V41" i="243"/>
  <c r="M41" i="243" s="1"/>
  <c r="U41" i="243"/>
  <c r="O41" i="243"/>
  <c r="K41" i="243"/>
  <c r="G41" i="243"/>
  <c r="V40" i="243"/>
  <c r="M40" i="243" s="1"/>
  <c r="U40" i="243"/>
  <c r="O40" i="243"/>
  <c r="K40" i="243"/>
  <c r="G40" i="243"/>
  <c r="V39" i="243"/>
  <c r="U39" i="243"/>
  <c r="O39" i="243"/>
  <c r="M39" i="243"/>
  <c r="AB39" i="243" s="1"/>
  <c r="K39" i="243"/>
  <c r="G39" i="243"/>
  <c r="V38" i="243"/>
  <c r="O38" i="243"/>
  <c r="M38" i="243"/>
  <c r="AB38" i="243" s="1"/>
  <c r="K38" i="243"/>
  <c r="G38" i="243"/>
  <c r="O37" i="243"/>
  <c r="K37" i="243"/>
  <c r="V36" i="243"/>
  <c r="U36" i="243"/>
  <c r="O36" i="243"/>
  <c r="M36" i="243"/>
  <c r="K36" i="243"/>
  <c r="G36" i="243"/>
  <c r="V35" i="243"/>
  <c r="M35" i="243" s="1"/>
  <c r="U35" i="243"/>
  <c r="O35" i="243"/>
  <c r="K35" i="243"/>
  <c r="G35" i="243"/>
  <c r="V34" i="243"/>
  <c r="M34" i="243" s="1"/>
  <c r="U34" i="243"/>
  <c r="O34" i="243"/>
  <c r="K34" i="243"/>
  <c r="G34" i="243"/>
  <c r="AB33" i="243"/>
  <c r="V33" i="243"/>
  <c r="M33" i="243" s="1"/>
  <c r="U33" i="243"/>
  <c r="O33" i="243"/>
  <c r="K33" i="243"/>
  <c r="G33" i="243"/>
  <c r="AB32" i="243"/>
  <c r="AA32" i="243"/>
  <c r="V32" i="243"/>
  <c r="M32" i="243" s="1"/>
  <c r="N32" i="243" s="1"/>
  <c r="U32" i="243"/>
  <c r="O32" i="243"/>
  <c r="K32" i="243"/>
  <c r="G32" i="243"/>
  <c r="AA31" i="243"/>
  <c r="V31" i="243"/>
  <c r="M31" i="243" s="1"/>
  <c r="U31" i="243"/>
  <c r="O31" i="243"/>
  <c r="K31" i="243"/>
  <c r="G31" i="243"/>
  <c r="V30" i="243"/>
  <c r="M30" i="243" s="1"/>
  <c r="U30" i="243"/>
  <c r="O30" i="243"/>
  <c r="K30" i="243"/>
  <c r="G30" i="243"/>
  <c r="V29" i="243"/>
  <c r="M29" i="243" s="1"/>
  <c r="O29" i="243"/>
  <c r="K29" i="243"/>
  <c r="G29" i="243"/>
  <c r="O28" i="243"/>
  <c r="K28" i="243"/>
  <c r="V27" i="243"/>
  <c r="U27" i="243"/>
  <c r="O27" i="243"/>
  <c r="N27" i="243"/>
  <c r="M27" i="243"/>
  <c r="K27" i="243"/>
  <c r="G27" i="243"/>
  <c r="V26" i="243"/>
  <c r="U26" i="243"/>
  <c r="O26" i="243"/>
  <c r="M26" i="243"/>
  <c r="K26" i="243"/>
  <c r="G26" i="243"/>
  <c r="V25" i="243"/>
  <c r="M25" i="243" s="1"/>
  <c r="U25" i="243"/>
  <c r="O25" i="243"/>
  <c r="K25" i="243"/>
  <c r="G25" i="243"/>
  <c r="V24" i="243"/>
  <c r="M24" i="243" s="1"/>
  <c r="U24" i="243"/>
  <c r="O24" i="243"/>
  <c r="K24" i="243"/>
  <c r="G24" i="243"/>
  <c r="AB23" i="243"/>
  <c r="V23" i="243"/>
  <c r="M23" i="243" s="1"/>
  <c r="U23" i="243"/>
  <c r="O23" i="243"/>
  <c r="K23" i="243"/>
  <c r="G23" i="243"/>
  <c r="AB22" i="243"/>
  <c r="AA22" i="243"/>
  <c r="V22" i="243"/>
  <c r="M22" i="243" s="1"/>
  <c r="N22" i="243" s="1"/>
  <c r="U22" i="243"/>
  <c r="O22" i="243"/>
  <c r="K22" i="243"/>
  <c r="G22" i="243"/>
  <c r="AB21" i="243"/>
  <c r="AA21" i="243"/>
  <c r="V21" i="243"/>
  <c r="M21" i="243" s="1"/>
  <c r="O21" i="243"/>
  <c r="K21" i="243"/>
  <c r="G21" i="243"/>
  <c r="O20" i="243"/>
  <c r="K20" i="243"/>
  <c r="F13" i="242" s="1"/>
  <c r="V19" i="243"/>
  <c r="U19" i="243"/>
  <c r="P19" i="243"/>
  <c r="O19" i="243"/>
  <c r="M19" i="243"/>
  <c r="N19" i="243" s="1"/>
  <c r="Q19" i="243" s="1"/>
  <c r="K19" i="243"/>
  <c r="G19" i="243"/>
  <c r="AB18" i="243"/>
  <c r="V18" i="243"/>
  <c r="U18" i="243"/>
  <c r="O18" i="243"/>
  <c r="N18" i="243"/>
  <c r="M18" i="243"/>
  <c r="AA18" i="243" s="1"/>
  <c r="K18" i="243"/>
  <c r="G18" i="243"/>
  <c r="V17" i="243"/>
  <c r="U17" i="243"/>
  <c r="O17" i="243"/>
  <c r="N17" i="243"/>
  <c r="M17" i="243"/>
  <c r="K17" i="243"/>
  <c r="G17" i="243"/>
  <c r="V16" i="243"/>
  <c r="U16" i="243"/>
  <c r="O16" i="243"/>
  <c r="M16" i="243"/>
  <c r="K16" i="243"/>
  <c r="G16" i="243"/>
  <c r="V15" i="243"/>
  <c r="M15" i="243" s="1"/>
  <c r="U15" i="243"/>
  <c r="O15" i="243"/>
  <c r="K15" i="243"/>
  <c r="G15" i="243"/>
  <c r="V14" i="243"/>
  <c r="M14" i="243" s="1"/>
  <c r="O14" i="243"/>
  <c r="K14" i="243"/>
  <c r="G14" i="243"/>
  <c r="O13" i="243"/>
  <c r="K13" i="243"/>
  <c r="V12" i="243"/>
  <c r="U12" i="243"/>
  <c r="O12" i="243"/>
  <c r="M12" i="243"/>
  <c r="K12" i="243"/>
  <c r="G12" i="243"/>
  <c r="V11" i="243"/>
  <c r="U11" i="243"/>
  <c r="O11" i="243"/>
  <c r="M11" i="243"/>
  <c r="AB11" i="243" s="1"/>
  <c r="K11" i="243"/>
  <c r="G11" i="243"/>
  <c r="V10" i="243"/>
  <c r="U10" i="243"/>
  <c r="O10" i="243"/>
  <c r="M10" i="243"/>
  <c r="AA10" i="243" s="1"/>
  <c r="K10" i="243"/>
  <c r="G10" i="243"/>
  <c r="V9" i="243"/>
  <c r="O9" i="243"/>
  <c r="M9" i="243"/>
  <c r="AA9" i="243" s="1"/>
  <c r="K9" i="243"/>
  <c r="G9" i="243"/>
  <c r="O8" i="243"/>
  <c r="M8" i="243"/>
  <c r="N8" i="243" s="1"/>
  <c r="D14" i="242" s="1"/>
  <c r="K8" i="243"/>
  <c r="V7" i="243"/>
  <c r="M7" i="243" s="1"/>
  <c r="U7" i="243"/>
  <c r="O7" i="243"/>
  <c r="K7" i="243"/>
  <c r="G7" i="243"/>
  <c r="V6" i="243"/>
  <c r="M6" i="243" s="1"/>
  <c r="U6" i="243"/>
  <c r="O6" i="243"/>
  <c r="K6" i="243"/>
  <c r="G6" i="243"/>
  <c r="V5" i="243"/>
  <c r="M5" i="243" s="1"/>
  <c r="O5" i="243"/>
  <c r="K5" i="243"/>
  <c r="G5" i="243"/>
  <c r="F1" i="243" s="1"/>
  <c r="F2" i="243" s="1"/>
  <c r="H2" i="243"/>
  <c r="H1" i="243"/>
  <c r="D1" i="243"/>
  <c r="M18" i="242"/>
  <c r="L18" i="242"/>
  <c r="K18" i="242"/>
  <c r="J18" i="242"/>
  <c r="I18" i="242"/>
  <c r="H18" i="242"/>
  <c r="G18" i="242"/>
  <c r="F18" i="242"/>
  <c r="E18" i="242"/>
  <c r="D18" i="242"/>
  <c r="M17" i="242"/>
  <c r="L17" i="242"/>
  <c r="K17" i="242"/>
  <c r="J17" i="242"/>
  <c r="I17" i="242"/>
  <c r="H17" i="242"/>
  <c r="G17" i="242"/>
  <c r="F17" i="242"/>
  <c r="E17" i="242"/>
  <c r="D17" i="242"/>
  <c r="M16" i="242"/>
  <c r="L16" i="242"/>
  <c r="K16" i="242"/>
  <c r="J16" i="242"/>
  <c r="I16" i="242"/>
  <c r="H16" i="242"/>
  <c r="G16" i="242"/>
  <c r="F16" i="242"/>
  <c r="E16" i="242"/>
  <c r="D16" i="242"/>
  <c r="M13" i="242"/>
  <c r="L13" i="242"/>
  <c r="K13" i="242"/>
  <c r="I6" i="242" s="1"/>
  <c r="J13" i="242"/>
  <c r="I13" i="242"/>
  <c r="H13" i="242"/>
  <c r="G13" i="242"/>
  <c r="E13" i="242"/>
  <c r="D13" i="242"/>
  <c r="E6" i="242"/>
  <c r="F3" i="242"/>
  <c r="C3" i="242"/>
  <c r="G8" i="254" l="1"/>
  <c r="F8" i="254"/>
  <c r="E8" i="254"/>
  <c r="G8" i="250"/>
  <c r="F8" i="250"/>
  <c r="E8" i="250"/>
  <c r="F8" i="248"/>
  <c r="G8" i="248"/>
  <c r="E7" i="248"/>
  <c r="F7" i="248"/>
  <c r="G7" i="248"/>
  <c r="I7" i="248"/>
  <c r="K15" i="248"/>
  <c r="I8" i="248" s="1"/>
  <c r="K14" i="246"/>
  <c r="P36" i="247"/>
  <c r="Q36" i="247"/>
  <c r="R30" i="247" s="1"/>
  <c r="Q66" i="247"/>
  <c r="R61" i="247" s="1"/>
  <c r="J14" i="246"/>
  <c r="J15" i="246" s="1"/>
  <c r="P66" i="247"/>
  <c r="Q55" i="247"/>
  <c r="R47" i="247" s="1"/>
  <c r="H14" i="246"/>
  <c r="H15" i="246" s="1"/>
  <c r="P55" i="247"/>
  <c r="L14" i="246"/>
  <c r="L15" i="246" s="1"/>
  <c r="Q46" i="247"/>
  <c r="R37" i="247" s="1"/>
  <c r="P46" i="247"/>
  <c r="D2" i="247"/>
  <c r="Q29" i="247"/>
  <c r="R20" i="247" s="1"/>
  <c r="P29" i="247"/>
  <c r="G14" i="246"/>
  <c r="G15" i="246" s="1"/>
  <c r="D15" i="246"/>
  <c r="AA13" i="245"/>
  <c r="N13" i="245"/>
  <c r="AB13" i="245"/>
  <c r="AC9" i="245" s="1"/>
  <c r="Q31" i="245"/>
  <c r="P31" i="245"/>
  <c r="AB48" i="245"/>
  <c r="AC39" i="245" s="1"/>
  <c r="AA48" i="245"/>
  <c r="N48" i="245"/>
  <c r="P12" i="245"/>
  <c r="Q12" i="245"/>
  <c r="AB68" i="245"/>
  <c r="AC63" i="245" s="1"/>
  <c r="AA68" i="245"/>
  <c r="N68" i="245"/>
  <c r="Q23" i="245"/>
  <c r="P23" i="245"/>
  <c r="Q41" i="245"/>
  <c r="P41" i="245"/>
  <c r="P49" i="245"/>
  <c r="Q49" i="245"/>
  <c r="Q55" i="245"/>
  <c r="P55" i="245"/>
  <c r="Q22" i="245"/>
  <c r="P22" i="245"/>
  <c r="Q30" i="245"/>
  <c r="P30" i="245"/>
  <c r="AB38" i="245"/>
  <c r="AC30" i="245" s="1"/>
  <c r="AA38" i="245"/>
  <c r="N38" i="245"/>
  <c r="Q7" i="245"/>
  <c r="P7" i="245"/>
  <c r="Q71" i="245"/>
  <c r="P71" i="245"/>
  <c r="P39" i="245"/>
  <c r="Q39" i="245"/>
  <c r="AB76" i="245"/>
  <c r="AC69" i="245" s="1"/>
  <c r="AA76" i="245"/>
  <c r="N76" i="245"/>
  <c r="Q70" i="245"/>
  <c r="P70" i="245"/>
  <c r="Q45" i="245"/>
  <c r="P45" i="245"/>
  <c r="Q32" i="245"/>
  <c r="P32" i="245"/>
  <c r="Q43" i="245"/>
  <c r="P43" i="245"/>
  <c r="Q20" i="245"/>
  <c r="P20" i="245"/>
  <c r="AB29" i="245"/>
  <c r="AC20" i="245" s="1"/>
  <c r="AA29" i="245"/>
  <c r="N29" i="245"/>
  <c r="I14" i="244"/>
  <c r="I15" i="244" s="1"/>
  <c r="Q62" i="245"/>
  <c r="R58" i="245" s="1"/>
  <c r="P62" i="245"/>
  <c r="Q34" i="245"/>
  <c r="P34" i="245"/>
  <c r="P50" i="245"/>
  <c r="Q50" i="245"/>
  <c r="Q73" i="245"/>
  <c r="P73" i="245"/>
  <c r="Q44" i="245"/>
  <c r="P44" i="245"/>
  <c r="AB19" i="245"/>
  <c r="AC14" i="245" s="1"/>
  <c r="AA19" i="245"/>
  <c r="N19" i="245"/>
  <c r="Q18" i="245"/>
  <c r="P18" i="245"/>
  <c r="Q14" i="245"/>
  <c r="P14" i="245"/>
  <c r="Q75" i="245"/>
  <c r="P75" i="245"/>
  <c r="P60" i="245"/>
  <c r="Q60" i="245"/>
  <c r="Q35" i="245"/>
  <c r="P35" i="245"/>
  <c r="Q28" i="245"/>
  <c r="P28" i="245"/>
  <c r="Q54" i="245"/>
  <c r="P54" i="245"/>
  <c r="Q25" i="245"/>
  <c r="P25" i="245"/>
  <c r="I3" i="244"/>
  <c r="F2" i="245"/>
  <c r="AA57" i="245"/>
  <c r="N57" i="245"/>
  <c r="AB57" i="245"/>
  <c r="AC49" i="245" s="1"/>
  <c r="Q53" i="245"/>
  <c r="P53" i="245"/>
  <c r="Q72" i="245"/>
  <c r="P72" i="245"/>
  <c r="Q6" i="245"/>
  <c r="P6" i="245"/>
  <c r="Q59" i="245"/>
  <c r="P59" i="245"/>
  <c r="Q61" i="245"/>
  <c r="P61" i="245"/>
  <c r="Q42" i="245"/>
  <c r="P42" i="245"/>
  <c r="Q58" i="245"/>
  <c r="P58" i="245"/>
  <c r="P40" i="245"/>
  <c r="Q40" i="245"/>
  <c r="Q52" i="245"/>
  <c r="P52" i="245"/>
  <c r="Q21" i="245"/>
  <c r="P21" i="245"/>
  <c r="N8" i="245"/>
  <c r="AB8" i="245"/>
  <c r="AC5" i="245" s="1"/>
  <c r="AA8" i="245"/>
  <c r="Q15" i="245"/>
  <c r="P15" i="245"/>
  <c r="Q5" i="245"/>
  <c r="P5" i="245"/>
  <c r="Q51" i="245"/>
  <c r="P51" i="245"/>
  <c r="Q69" i="245"/>
  <c r="P69" i="245"/>
  <c r="Q24" i="245"/>
  <c r="P24" i="245"/>
  <c r="Q33" i="245"/>
  <c r="P33" i="245"/>
  <c r="D15" i="242"/>
  <c r="I3" i="242"/>
  <c r="G6" i="242"/>
  <c r="F6" i="242"/>
  <c r="N5" i="243"/>
  <c r="AB5" i="243"/>
  <c r="AA5" i="243"/>
  <c r="N6" i="243"/>
  <c r="AB6" i="243"/>
  <c r="AA6" i="243"/>
  <c r="N7" i="243"/>
  <c r="AB7" i="243"/>
  <c r="AA7" i="243"/>
  <c r="AB8" i="243"/>
  <c r="AC5" i="243" s="1"/>
  <c r="AA8" i="243"/>
  <c r="Q8" i="243"/>
  <c r="R5" i="243" s="1"/>
  <c r="P8" i="243"/>
  <c r="AB12" i="243"/>
  <c r="AA12" i="243"/>
  <c r="N12" i="243"/>
  <c r="N14" i="243"/>
  <c r="AB14" i="243"/>
  <c r="M20" i="243"/>
  <c r="AA20" i="243" s="1"/>
  <c r="AA14" i="243"/>
  <c r="N15" i="243"/>
  <c r="AB15" i="243"/>
  <c r="AA15" i="243"/>
  <c r="N16" i="243"/>
  <c r="AA16" i="243"/>
  <c r="AB16" i="243"/>
  <c r="AB17" i="243"/>
  <c r="AA17" i="243"/>
  <c r="Q17" i="243"/>
  <c r="P17" i="243"/>
  <c r="Q18" i="243"/>
  <c r="P18" i="243"/>
  <c r="M28" i="243"/>
  <c r="N21" i="243"/>
  <c r="P22" i="243"/>
  <c r="Q22" i="243"/>
  <c r="AA23" i="243"/>
  <c r="N23" i="243"/>
  <c r="N24" i="243"/>
  <c r="AB24" i="243"/>
  <c r="AA24" i="243"/>
  <c r="N25" i="243"/>
  <c r="AB25" i="243"/>
  <c r="AA25" i="243"/>
  <c r="N26" i="243"/>
  <c r="AA26" i="243"/>
  <c r="AB26" i="243"/>
  <c r="AB27" i="243"/>
  <c r="AA27" i="243"/>
  <c r="Q27" i="243"/>
  <c r="P27" i="243"/>
  <c r="AB29" i="243"/>
  <c r="AA29" i="243"/>
  <c r="M37" i="243"/>
  <c r="N37" i="243" s="1"/>
  <c r="K14" i="242" s="1"/>
  <c r="N29" i="243"/>
  <c r="AB30" i="243"/>
  <c r="AA30" i="243"/>
  <c r="N30" i="243"/>
  <c r="AB31" i="243"/>
  <c r="N31" i="243"/>
  <c r="P32" i="243"/>
  <c r="Q32" i="243"/>
  <c r="AA33" i="243"/>
  <c r="N33" i="243"/>
  <c r="N34" i="243"/>
  <c r="AB34" i="243"/>
  <c r="AA34" i="243"/>
  <c r="N35" i="243"/>
  <c r="AB35" i="243"/>
  <c r="AA35" i="243"/>
  <c r="N36" i="243"/>
  <c r="AA36" i="243"/>
  <c r="AB36" i="243"/>
  <c r="Q37" i="243"/>
  <c r="R29" i="243" s="1"/>
  <c r="P37" i="243"/>
  <c r="AB40" i="243"/>
  <c r="AA40" i="243"/>
  <c r="N40" i="243"/>
  <c r="AB41" i="243"/>
  <c r="N41" i="243"/>
  <c r="Q42" i="243"/>
  <c r="P42" i="243"/>
  <c r="AA43" i="243"/>
  <c r="N43" i="243"/>
  <c r="N44" i="243"/>
  <c r="AB44" i="243"/>
  <c r="AA44" i="243"/>
  <c r="N45" i="243"/>
  <c r="AB45" i="243"/>
  <c r="AA45" i="243"/>
  <c r="N46" i="243"/>
  <c r="AA46" i="243"/>
  <c r="AB46" i="243"/>
  <c r="Q47" i="243"/>
  <c r="R38" i="243" s="1"/>
  <c r="P47" i="243"/>
  <c r="AB50" i="243"/>
  <c r="AA50" i="243"/>
  <c r="N50" i="243"/>
  <c r="AB51" i="243"/>
  <c r="N51" i="243"/>
  <c r="Q52" i="243"/>
  <c r="P52" i="243"/>
  <c r="AA53" i="243"/>
  <c r="N53" i="243"/>
  <c r="N54" i="243"/>
  <c r="AB54" i="243"/>
  <c r="AA54" i="243"/>
  <c r="N55" i="243"/>
  <c r="AB55" i="243"/>
  <c r="AA55" i="243"/>
  <c r="N56" i="243"/>
  <c r="AB56" i="243"/>
  <c r="AA56" i="243"/>
  <c r="AB62" i="243"/>
  <c r="AC58" i="243" s="1"/>
  <c r="AA62" i="243"/>
  <c r="N62" i="243"/>
  <c r="AB60" i="243"/>
  <c r="AA60" i="243"/>
  <c r="N60" i="243"/>
  <c r="AB61" i="243"/>
  <c r="N61" i="243"/>
  <c r="N63" i="243"/>
  <c r="AB63" i="243"/>
  <c r="M68" i="243"/>
  <c r="AA68" i="243" s="1"/>
  <c r="AA63" i="243"/>
  <c r="N64" i="243"/>
  <c r="AB64" i="243"/>
  <c r="AA64" i="243"/>
  <c r="AB65" i="243"/>
  <c r="AA65" i="243"/>
  <c r="Q65" i="243"/>
  <c r="P65" i="243"/>
  <c r="Q66" i="243"/>
  <c r="P66" i="243"/>
  <c r="M76" i="243"/>
  <c r="N69" i="243"/>
  <c r="Q70" i="243"/>
  <c r="P70" i="243"/>
  <c r="AA71" i="243"/>
  <c r="N71" i="243"/>
  <c r="N72" i="243"/>
  <c r="AB72" i="243"/>
  <c r="AA72" i="243"/>
  <c r="N73" i="243"/>
  <c r="AB73" i="243"/>
  <c r="AA73" i="243"/>
  <c r="N74" i="243"/>
  <c r="AA74" i="243"/>
  <c r="AB74" i="243"/>
  <c r="AB75" i="243"/>
  <c r="AA75" i="243"/>
  <c r="Q75" i="243"/>
  <c r="P75" i="243"/>
  <c r="AB9" i="243"/>
  <c r="AB10" i="243"/>
  <c r="M13" i="243"/>
  <c r="AA19" i="243"/>
  <c r="AA67" i="243"/>
  <c r="AB19" i="243"/>
  <c r="AB67" i="243"/>
  <c r="N11" i="243"/>
  <c r="N38" i="243"/>
  <c r="N39" i="243"/>
  <c r="N48" i="243"/>
  <c r="N49" i="243"/>
  <c r="N58" i="243"/>
  <c r="N59" i="243"/>
  <c r="N9" i="243"/>
  <c r="N10" i="243"/>
  <c r="M47" i="243"/>
  <c r="N47" i="243" s="1"/>
  <c r="L14" i="242" s="1"/>
  <c r="L15" i="242" s="1"/>
  <c r="M57" i="243"/>
  <c r="N57" i="243" s="1"/>
  <c r="Q57" i="243" s="1"/>
  <c r="R48" i="243" s="1"/>
  <c r="AA11" i="243"/>
  <c r="AA38" i="243"/>
  <c r="AA39" i="243"/>
  <c r="AA48" i="243"/>
  <c r="AA49" i="243"/>
  <c r="AA58" i="243"/>
  <c r="AA59" i="243"/>
  <c r="AB58" i="243"/>
  <c r="O76" i="241"/>
  <c r="K76" i="241"/>
  <c r="AA75" i="241"/>
  <c r="V75" i="241"/>
  <c r="M75" i="241" s="1"/>
  <c r="U75" i="241"/>
  <c r="O75" i="241"/>
  <c r="K75" i="241"/>
  <c r="G75" i="241"/>
  <c r="V74" i="241"/>
  <c r="M74" i="241" s="1"/>
  <c r="U74" i="241"/>
  <c r="O74" i="241"/>
  <c r="K74" i="241"/>
  <c r="G74" i="241"/>
  <c r="V73" i="241"/>
  <c r="M73" i="241" s="1"/>
  <c r="U73" i="241"/>
  <c r="O73" i="241"/>
  <c r="K73" i="241"/>
  <c r="G73" i="241"/>
  <c r="V72" i="241"/>
  <c r="M72" i="241" s="1"/>
  <c r="U72" i="241"/>
  <c r="O72" i="241"/>
  <c r="K72" i="241"/>
  <c r="G72" i="241"/>
  <c r="V71" i="241"/>
  <c r="M71" i="241" s="1"/>
  <c r="U71" i="241"/>
  <c r="P71" i="241"/>
  <c r="O71" i="241"/>
  <c r="N71" i="241"/>
  <c r="Q71" i="241" s="1"/>
  <c r="K71" i="241"/>
  <c r="G71" i="241"/>
  <c r="V70" i="241"/>
  <c r="U70" i="241"/>
  <c r="O70" i="241"/>
  <c r="N70" i="241"/>
  <c r="M70" i="241"/>
  <c r="K70" i="241"/>
  <c r="G70" i="241"/>
  <c r="V69" i="241"/>
  <c r="O69" i="241"/>
  <c r="N69" i="241"/>
  <c r="Q69" i="241" s="1"/>
  <c r="M69" i="241"/>
  <c r="K69" i="241"/>
  <c r="G69" i="241"/>
  <c r="O68" i="241"/>
  <c r="M68" i="241"/>
  <c r="K68" i="241"/>
  <c r="AB67" i="241"/>
  <c r="AA67" i="241"/>
  <c r="V67" i="241"/>
  <c r="U67" i="241"/>
  <c r="O67" i="241"/>
  <c r="M67" i="241"/>
  <c r="N67" i="241" s="1"/>
  <c r="K67" i="241"/>
  <c r="G67" i="241"/>
  <c r="AB66" i="241"/>
  <c r="AA66" i="241"/>
  <c r="V66" i="241"/>
  <c r="M66" i="241" s="1"/>
  <c r="N66" i="241" s="1"/>
  <c r="U66" i="241"/>
  <c r="O66" i="241"/>
  <c r="K66" i="241"/>
  <c r="G66" i="241"/>
  <c r="AB65" i="241"/>
  <c r="AA65" i="241"/>
  <c r="V65" i="241"/>
  <c r="M65" i="241" s="1"/>
  <c r="N65" i="241" s="1"/>
  <c r="U65" i="241"/>
  <c r="O65" i="241"/>
  <c r="K65" i="241"/>
  <c r="G65" i="241"/>
  <c r="AA64" i="241"/>
  <c r="V64" i="241"/>
  <c r="M64" i="241" s="1"/>
  <c r="U64" i="241"/>
  <c r="O64" i="241"/>
  <c r="K64" i="241"/>
  <c r="G64" i="241"/>
  <c r="AA63" i="241"/>
  <c r="V63" i="241"/>
  <c r="M63" i="241" s="1"/>
  <c r="O63" i="241"/>
  <c r="K63" i="241"/>
  <c r="G63" i="241"/>
  <c r="O62" i="241"/>
  <c r="K62" i="241"/>
  <c r="V61" i="241"/>
  <c r="U61" i="241"/>
  <c r="O61" i="241"/>
  <c r="N61" i="241"/>
  <c r="M61" i="241"/>
  <c r="K61" i="241"/>
  <c r="G61" i="241"/>
  <c r="V60" i="241"/>
  <c r="U60" i="241"/>
  <c r="O60" i="241"/>
  <c r="N60" i="241"/>
  <c r="M60" i="241"/>
  <c r="K60" i="241"/>
  <c r="G60" i="241"/>
  <c r="V59" i="241"/>
  <c r="U59" i="241"/>
  <c r="O59" i="241"/>
  <c r="M59" i="241"/>
  <c r="K59" i="241"/>
  <c r="G59" i="241"/>
  <c r="V58" i="241"/>
  <c r="O58" i="241"/>
  <c r="M58" i="241"/>
  <c r="K58" i="241"/>
  <c r="G58" i="241"/>
  <c r="O57" i="241"/>
  <c r="K57" i="241"/>
  <c r="AA56" i="241"/>
  <c r="V56" i="241"/>
  <c r="M56" i="241" s="1"/>
  <c r="U56" i="241"/>
  <c r="O56" i="241"/>
  <c r="K56" i="241"/>
  <c r="G56" i="241"/>
  <c r="V55" i="241"/>
  <c r="M55" i="241" s="1"/>
  <c r="U55" i="241"/>
  <c r="O55" i="241"/>
  <c r="K55" i="241"/>
  <c r="G55" i="241"/>
  <c r="V54" i="241"/>
  <c r="M54" i="241" s="1"/>
  <c r="U54" i="241"/>
  <c r="O54" i="241"/>
  <c r="K54" i="241"/>
  <c r="G54" i="241"/>
  <c r="V53" i="241"/>
  <c r="M53" i="241" s="1"/>
  <c r="U53" i="241"/>
  <c r="O53" i="241"/>
  <c r="N53" i="241"/>
  <c r="Q53" i="241" s="1"/>
  <c r="K53" i="241"/>
  <c r="G53" i="241"/>
  <c r="V52" i="241"/>
  <c r="U52" i="241"/>
  <c r="P52" i="241"/>
  <c r="O52" i="241"/>
  <c r="N52" i="241"/>
  <c r="Q52" i="241" s="1"/>
  <c r="M52" i="241"/>
  <c r="K52" i="241"/>
  <c r="G52" i="241"/>
  <c r="V51" i="241"/>
  <c r="U51" i="241"/>
  <c r="O51" i="241"/>
  <c r="N51" i="241"/>
  <c r="M51" i="241"/>
  <c r="K51" i="241"/>
  <c r="G51" i="241"/>
  <c r="V50" i="241"/>
  <c r="U50" i="241"/>
  <c r="O50" i="241"/>
  <c r="N50" i="241"/>
  <c r="M50" i="241"/>
  <c r="K50" i="241"/>
  <c r="G50" i="241"/>
  <c r="V49" i="241"/>
  <c r="U49" i="241"/>
  <c r="O49" i="241"/>
  <c r="M49" i="241"/>
  <c r="K49" i="241"/>
  <c r="G49" i="241"/>
  <c r="V48" i="241"/>
  <c r="O48" i="241"/>
  <c r="M48" i="241"/>
  <c r="K48" i="241"/>
  <c r="G48" i="241"/>
  <c r="O47" i="241"/>
  <c r="K47" i="241"/>
  <c r="AA46" i="241"/>
  <c r="V46" i="241"/>
  <c r="M46" i="241" s="1"/>
  <c r="U46" i="241"/>
  <c r="O46" i="241"/>
  <c r="K46" i="241"/>
  <c r="G46" i="241"/>
  <c r="V45" i="241"/>
  <c r="M45" i="241" s="1"/>
  <c r="U45" i="241"/>
  <c r="O45" i="241"/>
  <c r="K45" i="241"/>
  <c r="G45" i="241"/>
  <c r="V44" i="241"/>
  <c r="M44" i="241" s="1"/>
  <c r="U44" i="241"/>
  <c r="O44" i="241"/>
  <c r="K44" i="241"/>
  <c r="G44" i="241"/>
  <c r="V43" i="241"/>
  <c r="M43" i="241" s="1"/>
  <c r="U43" i="241"/>
  <c r="O43" i="241"/>
  <c r="N43" i="241"/>
  <c r="P43" i="241" s="1"/>
  <c r="K43" i="241"/>
  <c r="G43" i="241"/>
  <c r="V42" i="241"/>
  <c r="U42" i="241"/>
  <c r="O42" i="241"/>
  <c r="N42" i="241"/>
  <c r="Q42" i="241" s="1"/>
  <c r="M42" i="241"/>
  <c r="K42" i="241"/>
  <c r="G42" i="241"/>
  <c r="V41" i="241"/>
  <c r="U41" i="241"/>
  <c r="O41" i="241"/>
  <c r="N41" i="241"/>
  <c r="M41" i="241"/>
  <c r="K41" i="241"/>
  <c r="G41" i="241"/>
  <c r="V40" i="241"/>
  <c r="U40" i="241"/>
  <c r="O40" i="241"/>
  <c r="N40" i="241"/>
  <c r="M40" i="241"/>
  <c r="K40" i="241"/>
  <c r="G40" i="241"/>
  <c r="V39" i="241"/>
  <c r="U39" i="241"/>
  <c r="O39" i="241"/>
  <c r="M39" i="241"/>
  <c r="K39" i="241"/>
  <c r="G39" i="241"/>
  <c r="V38" i="241"/>
  <c r="O38" i="241"/>
  <c r="M38" i="241"/>
  <c r="K38" i="241"/>
  <c r="G38" i="241"/>
  <c r="O37" i="241"/>
  <c r="K37" i="241"/>
  <c r="AA36" i="241"/>
  <c r="V36" i="241"/>
  <c r="M36" i="241" s="1"/>
  <c r="U36" i="241"/>
  <c r="O36" i="241"/>
  <c r="K36" i="241"/>
  <c r="G36" i="241"/>
  <c r="V35" i="241"/>
  <c r="M35" i="241" s="1"/>
  <c r="U35" i="241"/>
  <c r="O35" i="241"/>
  <c r="K35" i="241"/>
  <c r="G35" i="241"/>
  <c r="V34" i="241"/>
  <c r="M34" i="241" s="1"/>
  <c r="U34" i="241"/>
  <c r="O34" i="241"/>
  <c r="K34" i="241"/>
  <c r="G34" i="241"/>
  <c r="V33" i="241"/>
  <c r="M33" i="241" s="1"/>
  <c r="U33" i="241"/>
  <c r="O33" i="241"/>
  <c r="N33" i="241"/>
  <c r="Q33" i="241" s="1"/>
  <c r="K33" i="241"/>
  <c r="G33" i="241"/>
  <c r="V32" i="241"/>
  <c r="U32" i="241"/>
  <c r="P32" i="241"/>
  <c r="O32" i="241"/>
  <c r="N32" i="241"/>
  <c r="Q32" i="241" s="1"/>
  <c r="M32" i="241"/>
  <c r="K32" i="241"/>
  <c r="G32" i="241"/>
  <c r="V31" i="241"/>
  <c r="U31" i="241"/>
  <c r="O31" i="241"/>
  <c r="N31" i="241"/>
  <c r="M31" i="241"/>
  <c r="K31" i="241"/>
  <c r="G31" i="241"/>
  <c r="V30" i="241"/>
  <c r="U30" i="241"/>
  <c r="O30" i="241"/>
  <c r="N30" i="241"/>
  <c r="M30" i="241"/>
  <c r="K30" i="241"/>
  <c r="G30" i="241"/>
  <c r="V29" i="241"/>
  <c r="O29" i="241"/>
  <c r="N29" i="241"/>
  <c r="M29" i="241"/>
  <c r="K29" i="241"/>
  <c r="G29" i="241"/>
  <c r="O28" i="241"/>
  <c r="K28" i="241"/>
  <c r="G13" i="240" s="1"/>
  <c r="AB27" i="241"/>
  <c r="AA27" i="241"/>
  <c r="V27" i="241"/>
  <c r="M27" i="241" s="1"/>
  <c r="N27" i="241" s="1"/>
  <c r="U27" i="241"/>
  <c r="O27" i="241"/>
  <c r="K27" i="241"/>
  <c r="G27" i="241"/>
  <c r="AA26" i="241"/>
  <c r="V26" i="241"/>
  <c r="M26" i="241" s="1"/>
  <c r="U26" i="241"/>
  <c r="O26" i="241"/>
  <c r="K26" i="241"/>
  <c r="G26" i="241"/>
  <c r="V25" i="241"/>
  <c r="M25" i="241" s="1"/>
  <c r="U25" i="241"/>
  <c r="O25" i="241"/>
  <c r="K25" i="241"/>
  <c r="G25" i="241"/>
  <c r="V24" i="241"/>
  <c r="M24" i="241" s="1"/>
  <c r="U24" i="241"/>
  <c r="O24" i="241"/>
  <c r="K24" i="241"/>
  <c r="G24" i="241"/>
  <c r="V23" i="241"/>
  <c r="M23" i="241" s="1"/>
  <c r="U23" i="241"/>
  <c r="O23" i="241"/>
  <c r="N23" i="241"/>
  <c r="P23" i="241" s="1"/>
  <c r="K23" i="241"/>
  <c r="G23" i="241"/>
  <c r="V22" i="241"/>
  <c r="U22" i="241"/>
  <c r="O22" i="241"/>
  <c r="N22" i="241"/>
  <c r="Q22" i="241" s="1"/>
  <c r="M22" i="241"/>
  <c r="K22" i="241"/>
  <c r="G22" i="241"/>
  <c r="V21" i="241"/>
  <c r="P21" i="241"/>
  <c r="O21" i="241"/>
  <c r="N21" i="241"/>
  <c r="Q21" i="241" s="1"/>
  <c r="M21" i="241"/>
  <c r="K21" i="241"/>
  <c r="G21" i="241"/>
  <c r="O20" i="241"/>
  <c r="M20" i="241"/>
  <c r="K20" i="241"/>
  <c r="F13" i="240" s="1"/>
  <c r="AB19" i="241"/>
  <c r="AA19" i="241"/>
  <c r="V19" i="241"/>
  <c r="U19" i="241"/>
  <c r="O19" i="241"/>
  <c r="M19" i="241"/>
  <c r="N19" i="241" s="1"/>
  <c r="K19" i="241"/>
  <c r="G19" i="241"/>
  <c r="AB18" i="241"/>
  <c r="AA18" i="241"/>
  <c r="V18" i="241"/>
  <c r="M18" i="241" s="1"/>
  <c r="N18" i="241" s="1"/>
  <c r="U18" i="241"/>
  <c r="O18" i="241"/>
  <c r="K18" i="241"/>
  <c r="G18" i="241"/>
  <c r="AB17" i="241"/>
  <c r="AA17" i="241"/>
  <c r="V17" i="241"/>
  <c r="M17" i="241" s="1"/>
  <c r="N17" i="241" s="1"/>
  <c r="U17" i="241"/>
  <c r="O17" i="241"/>
  <c r="K17" i="241"/>
  <c r="G17" i="241"/>
  <c r="AA16" i="241"/>
  <c r="V16" i="241"/>
  <c r="M16" i="241" s="1"/>
  <c r="U16" i="241"/>
  <c r="O16" i="241"/>
  <c r="K16" i="241"/>
  <c r="G16" i="241"/>
  <c r="V15" i="241"/>
  <c r="M15" i="241" s="1"/>
  <c r="U15" i="241"/>
  <c r="O15" i="241"/>
  <c r="K15" i="241"/>
  <c r="G15" i="241"/>
  <c r="V14" i="241"/>
  <c r="M14" i="241" s="1"/>
  <c r="O14" i="241"/>
  <c r="K14" i="241"/>
  <c r="G14" i="241"/>
  <c r="O13" i="241"/>
  <c r="N13" i="241"/>
  <c r="Q13" i="241" s="1"/>
  <c r="R9" i="241" s="1"/>
  <c r="M13" i="241"/>
  <c r="K13" i="241"/>
  <c r="V12" i="241"/>
  <c r="U12" i="241"/>
  <c r="O12" i="241"/>
  <c r="N12" i="241"/>
  <c r="M12" i="241"/>
  <c r="K12" i="241"/>
  <c r="G12" i="241"/>
  <c r="V11" i="241"/>
  <c r="U11" i="241"/>
  <c r="O11" i="241"/>
  <c r="M11" i="241"/>
  <c r="K11" i="241"/>
  <c r="G11" i="241"/>
  <c r="AB10" i="241"/>
  <c r="V10" i="241"/>
  <c r="U10" i="241"/>
  <c r="O10" i="241"/>
  <c r="M10" i="241"/>
  <c r="AA10" i="241" s="1"/>
  <c r="K10" i="241"/>
  <c r="G10" i="241"/>
  <c r="AB9" i="241"/>
  <c r="V9" i="241"/>
  <c r="O9" i="241"/>
  <c r="M9" i="241"/>
  <c r="AA9" i="241" s="1"/>
  <c r="K9" i="241"/>
  <c r="G9" i="241"/>
  <c r="O8" i="241"/>
  <c r="K8" i="241"/>
  <c r="V7" i="241"/>
  <c r="M7" i="241" s="1"/>
  <c r="U7" i="241"/>
  <c r="O7" i="241"/>
  <c r="K7" i="241"/>
  <c r="G7" i="241"/>
  <c r="V6" i="241"/>
  <c r="M6" i="241" s="1"/>
  <c r="U6" i="241"/>
  <c r="O6" i="241"/>
  <c r="K6" i="241"/>
  <c r="G6" i="241"/>
  <c r="V5" i="241"/>
  <c r="M5" i="241" s="1"/>
  <c r="O5" i="241"/>
  <c r="K5" i="241"/>
  <c r="G5" i="241"/>
  <c r="H2" i="241"/>
  <c r="H1" i="241"/>
  <c r="F1" i="241"/>
  <c r="F2" i="241" s="1"/>
  <c r="D1" i="241"/>
  <c r="M18" i="240"/>
  <c r="L18" i="240"/>
  <c r="K18" i="240"/>
  <c r="J18" i="240"/>
  <c r="I18" i="240"/>
  <c r="H18" i="240"/>
  <c r="G18" i="240"/>
  <c r="F18" i="240"/>
  <c r="E18" i="240"/>
  <c r="D18" i="240"/>
  <c r="M17" i="240"/>
  <c r="L17" i="240"/>
  <c r="K17" i="240"/>
  <c r="J17" i="240"/>
  <c r="I17" i="240"/>
  <c r="H17" i="240"/>
  <c r="G17" i="240"/>
  <c r="F17" i="240"/>
  <c r="E17" i="240"/>
  <c r="D17" i="240"/>
  <c r="M16" i="240"/>
  <c r="L16" i="240"/>
  <c r="K16" i="240"/>
  <c r="J16" i="240"/>
  <c r="I16" i="240"/>
  <c r="H16" i="240"/>
  <c r="G16" i="240"/>
  <c r="F16" i="240"/>
  <c r="E16" i="240"/>
  <c r="D16" i="240"/>
  <c r="E14" i="240"/>
  <c r="E15" i="240" s="1"/>
  <c r="M13" i="240"/>
  <c r="L13" i="240"/>
  <c r="K13" i="240"/>
  <c r="I6" i="240" s="1"/>
  <c r="J13" i="240"/>
  <c r="I13" i="240"/>
  <c r="H13" i="240"/>
  <c r="E13" i="240"/>
  <c r="D13" i="240"/>
  <c r="G6" i="240" s="1"/>
  <c r="F6" i="240"/>
  <c r="E6" i="240"/>
  <c r="I3" i="240"/>
  <c r="F3" i="240"/>
  <c r="C3" i="240"/>
  <c r="O66" i="239"/>
  <c r="K66" i="239"/>
  <c r="V65" i="239"/>
  <c r="M65" i="239" s="1"/>
  <c r="U65" i="239"/>
  <c r="O65" i="239"/>
  <c r="K65" i="239"/>
  <c r="G65" i="239"/>
  <c r="V64" i="239"/>
  <c r="M64" i="239" s="1"/>
  <c r="U64" i="239"/>
  <c r="O64" i="239"/>
  <c r="K64" i="239"/>
  <c r="G64" i="239"/>
  <c r="V63" i="239"/>
  <c r="M63" i="239" s="1"/>
  <c r="U63" i="239"/>
  <c r="O63" i="239"/>
  <c r="K63" i="239"/>
  <c r="G63" i="239"/>
  <c r="V62" i="239"/>
  <c r="M62" i="239" s="1"/>
  <c r="U62" i="239"/>
  <c r="O62" i="239"/>
  <c r="K62" i="239"/>
  <c r="G62" i="239"/>
  <c r="V61" i="239"/>
  <c r="M61" i="239" s="1"/>
  <c r="O61" i="239"/>
  <c r="K61" i="239"/>
  <c r="G61" i="239"/>
  <c r="O60" i="239"/>
  <c r="K60" i="239"/>
  <c r="V59" i="239"/>
  <c r="U59" i="239"/>
  <c r="O59" i="239"/>
  <c r="M59" i="239"/>
  <c r="AB59" i="239" s="1"/>
  <c r="K59" i="239"/>
  <c r="G59" i="239"/>
  <c r="AB58" i="239"/>
  <c r="V58" i="239"/>
  <c r="U58" i="239"/>
  <c r="O58" i="239"/>
  <c r="M58" i="239"/>
  <c r="AA58" i="239" s="1"/>
  <c r="K58" i="239"/>
  <c r="G58" i="239"/>
  <c r="AB57" i="239"/>
  <c r="AA57" i="239"/>
  <c r="V57" i="239"/>
  <c r="U57" i="239"/>
  <c r="O57" i="239"/>
  <c r="M57" i="239"/>
  <c r="N57" i="239" s="1"/>
  <c r="K57" i="239"/>
  <c r="G57" i="239"/>
  <c r="V56" i="239"/>
  <c r="M56" i="239" s="1"/>
  <c r="U56" i="239"/>
  <c r="O56" i="239"/>
  <c r="K56" i="239"/>
  <c r="G56" i="239"/>
  <c r="V55" i="239"/>
  <c r="M55" i="239" s="1"/>
  <c r="O55" i="239"/>
  <c r="K55" i="239"/>
  <c r="G55" i="239"/>
  <c r="O54" i="239"/>
  <c r="K54" i="239"/>
  <c r="V53" i="239"/>
  <c r="M53" i="239" s="1"/>
  <c r="U53" i="239"/>
  <c r="O53" i="239"/>
  <c r="K53" i="239"/>
  <c r="G53" i="239"/>
  <c r="V52" i="239"/>
  <c r="U52" i="239"/>
  <c r="O52" i="239"/>
  <c r="N52" i="239"/>
  <c r="Q52" i="239" s="1"/>
  <c r="M52" i="239"/>
  <c r="AB52" i="239" s="1"/>
  <c r="K52" i="239"/>
  <c r="G52" i="239"/>
  <c r="V51" i="239"/>
  <c r="U51" i="239"/>
  <c r="O51" i="239"/>
  <c r="M51" i="239"/>
  <c r="AB51" i="239" s="1"/>
  <c r="K51" i="239"/>
  <c r="G51" i="239"/>
  <c r="V50" i="239"/>
  <c r="O50" i="239"/>
  <c r="M50" i="239"/>
  <c r="M54" i="239" s="1"/>
  <c r="K50" i="239"/>
  <c r="G50" i="239"/>
  <c r="O49" i="239"/>
  <c r="K49" i="239"/>
  <c r="V48" i="239"/>
  <c r="M48" i="239" s="1"/>
  <c r="U48" i="239"/>
  <c r="O48" i="239"/>
  <c r="K48" i="239"/>
  <c r="G48" i="239"/>
  <c r="V47" i="239"/>
  <c r="M47" i="239" s="1"/>
  <c r="U47" i="239"/>
  <c r="O47" i="239"/>
  <c r="K47" i="239"/>
  <c r="G47" i="239"/>
  <c r="V46" i="239"/>
  <c r="M46" i="239" s="1"/>
  <c r="U46" i="239"/>
  <c r="O46" i="239"/>
  <c r="K46" i="239"/>
  <c r="G46" i="239"/>
  <c r="V45" i="239"/>
  <c r="M45" i="239" s="1"/>
  <c r="U45" i="239"/>
  <c r="O45" i="239"/>
  <c r="K45" i="239"/>
  <c r="G45" i="239"/>
  <c r="V44" i="239"/>
  <c r="M44" i="239" s="1"/>
  <c r="U44" i="239"/>
  <c r="O44" i="239"/>
  <c r="K44" i="239"/>
  <c r="G44" i="239"/>
  <c r="V43" i="239"/>
  <c r="M43" i="239" s="1"/>
  <c r="U43" i="239"/>
  <c r="O43" i="239"/>
  <c r="K43" i="239"/>
  <c r="G43" i="239"/>
  <c r="V42" i="239"/>
  <c r="M42" i="239" s="1"/>
  <c r="O42" i="239"/>
  <c r="K42" i="239"/>
  <c r="G42" i="239"/>
  <c r="O41" i="239"/>
  <c r="K41" i="239"/>
  <c r="AB40" i="239"/>
  <c r="V40" i="239"/>
  <c r="U40" i="239"/>
  <c r="O40" i="239"/>
  <c r="M40" i="239"/>
  <c r="AA40" i="239" s="1"/>
  <c r="K40" i="239"/>
  <c r="G40" i="239"/>
  <c r="AB39" i="239"/>
  <c r="AA39" i="239"/>
  <c r="V39" i="239"/>
  <c r="U39" i="239"/>
  <c r="O39" i="239"/>
  <c r="M39" i="239"/>
  <c r="N39" i="239" s="1"/>
  <c r="K39" i="239"/>
  <c r="G39" i="239"/>
  <c r="V38" i="239"/>
  <c r="M38" i="239" s="1"/>
  <c r="U38" i="239"/>
  <c r="O38" i="239"/>
  <c r="K38" i="239"/>
  <c r="G38" i="239"/>
  <c r="V37" i="239"/>
  <c r="M37" i="239" s="1"/>
  <c r="U37" i="239"/>
  <c r="O37" i="239"/>
  <c r="K37" i="239"/>
  <c r="G37" i="239"/>
  <c r="V36" i="239"/>
  <c r="M36" i="239" s="1"/>
  <c r="U36" i="239"/>
  <c r="O36" i="239"/>
  <c r="K36" i="239"/>
  <c r="G36" i="239"/>
  <c r="V35" i="239"/>
  <c r="M35" i="239" s="1"/>
  <c r="U35" i="239"/>
  <c r="O35" i="239"/>
  <c r="K35" i="239"/>
  <c r="G35" i="239"/>
  <c r="V34" i="239"/>
  <c r="M34" i="239" s="1"/>
  <c r="O34" i="239"/>
  <c r="K34" i="239"/>
  <c r="G34" i="239"/>
  <c r="O33" i="239"/>
  <c r="N33" i="239"/>
  <c r="Q33" i="239" s="1"/>
  <c r="R28" i="239" s="1"/>
  <c r="M33" i="239"/>
  <c r="AB33" i="239" s="1"/>
  <c r="AC28" i="239" s="1"/>
  <c r="K33" i="239"/>
  <c r="V32" i="239"/>
  <c r="U32" i="239"/>
  <c r="O32" i="239"/>
  <c r="M32" i="239"/>
  <c r="AB32" i="239" s="1"/>
  <c r="K32" i="239"/>
  <c r="G32" i="239"/>
  <c r="V31" i="239"/>
  <c r="U31" i="239"/>
  <c r="O31" i="239"/>
  <c r="M31" i="239"/>
  <c r="AB31" i="239" s="1"/>
  <c r="K31" i="239"/>
  <c r="G31" i="239"/>
  <c r="AB30" i="239"/>
  <c r="V30" i="239"/>
  <c r="U30" i="239"/>
  <c r="O30" i="239"/>
  <c r="M30" i="239"/>
  <c r="AA30" i="239" s="1"/>
  <c r="K30" i="239"/>
  <c r="G30" i="239"/>
  <c r="AB29" i="239"/>
  <c r="AA29" i="239"/>
  <c r="V29" i="239"/>
  <c r="U29" i="239"/>
  <c r="O29" i="239"/>
  <c r="M29" i="239"/>
  <c r="N29" i="239" s="1"/>
  <c r="K29" i="239"/>
  <c r="G29" i="239"/>
  <c r="AB28" i="239"/>
  <c r="AA28" i="239"/>
  <c r="V28" i="239"/>
  <c r="O28" i="239"/>
  <c r="M28" i="239"/>
  <c r="N28" i="239" s="1"/>
  <c r="K28" i="239"/>
  <c r="G28" i="239"/>
  <c r="O27" i="239"/>
  <c r="K27" i="239"/>
  <c r="V26" i="239"/>
  <c r="M26" i="239" s="1"/>
  <c r="U26" i="239"/>
  <c r="O26" i="239"/>
  <c r="K26" i="239"/>
  <c r="G26" i="239"/>
  <c r="V25" i="239"/>
  <c r="M25" i="239" s="1"/>
  <c r="U25" i="239"/>
  <c r="O25" i="239"/>
  <c r="K25" i="239"/>
  <c r="G25" i="239"/>
  <c r="V24" i="239"/>
  <c r="U24" i="239"/>
  <c r="O24" i="239"/>
  <c r="N24" i="239"/>
  <c r="Q24" i="239" s="1"/>
  <c r="M24" i="239"/>
  <c r="AB24" i="239" s="1"/>
  <c r="K24" i="239"/>
  <c r="G24" i="239"/>
  <c r="V23" i="239"/>
  <c r="U23" i="239"/>
  <c r="O23" i="239"/>
  <c r="M23" i="239"/>
  <c r="AB23" i="239" s="1"/>
  <c r="K23" i="239"/>
  <c r="G23" i="239"/>
  <c r="V22" i="239"/>
  <c r="U22" i="239"/>
  <c r="O22" i="239"/>
  <c r="M22" i="239"/>
  <c r="AB22" i="239" s="1"/>
  <c r="K22" i="239"/>
  <c r="G22" i="239"/>
  <c r="V21" i="239"/>
  <c r="U21" i="239"/>
  <c r="O21" i="239"/>
  <c r="M21" i="239"/>
  <c r="AB21" i="239" s="1"/>
  <c r="K21" i="239"/>
  <c r="G21" i="239"/>
  <c r="V20" i="239"/>
  <c r="O20" i="239"/>
  <c r="M20" i="239"/>
  <c r="AB20" i="239" s="1"/>
  <c r="K20" i="239"/>
  <c r="G20" i="239"/>
  <c r="O19" i="239"/>
  <c r="K19" i="239"/>
  <c r="V18" i="239"/>
  <c r="M18" i="239" s="1"/>
  <c r="U18" i="239"/>
  <c r="O18" i="239"/>
  <c r="K18" i="239"/>
  <c r="G18" i="239"/>
  <c r="V17" i="239"/>
  <c r="M17" i="239" s="1"/>
  <c r="U17" i="239"/>
  <c r="O17" i="239"/>
  <c r="K17" i="239"/>
  <c r="G17" i="239"/>
  <c r="V16" i="239"/>
  <c r="M16" i="239" s="1"/>
  <c r="U16" i="239"/>
  <c r="O16" i="239"/>
  <c r="K16" i="239"/>
  <c r="G16" i="239"/>
  <c r="V15" i="239"/>
  <c r="M15" i="239" s="1"/>
  <c r="U15" i="239"/>
  <c r="O15" i="239"/>
  <c r="K15" i="239"/>
  <c r="G15" i="239"/>
  <c r="V14" i="239"/>
  <c r="M14" i="239" s="1"/>
  <c r="O14" i="239"/>
  <c r="K14" i="239"/>
  <c r="G14" i="239"/>
  <c r="O13" i="239"/>
  <c r="K13" i="239"/>
  <c r="E13" i="238" s="1"/>
  <c r="E6" i="238" s="1"/>
  <c r="AB12" i="239"/>
  <c r="V12" i="239"/>
  <c r="U12" i="239"/>
  <c r="O12" i="239"/>
  <c r="M12" i="239"/>
  <c r="AA12" i="239" s="1"/>
  <c r="K12" i="239"/>
  <c r="G12" i="239"/>
  <c r="AB11" i="239"/>
  <c r="AA11" i="239"/>
  <c r="V11" i="239"/>
  <c r="U11" i="239"/>
  <c r="O11" i="239"/>
  <c r="M11" i="239"/>
  <c r="N11" i="239" s="1"/>
  <c r="K11" i="239"/>
  <c r="G11" i="239"/>
  <c r="V10" i="239"/>
  <c r="M10" i="239" s="1"/>
  <c r="U10" i="239"/>
  <c r="O10" i="239"/>
  <c r="K10" i="239"/>
  <c r="G10" i="239"/>
  <c r="V9" i="239"/>
  <c r="M9" i="239" s="1"/>
  <c r="O9" i="239"/>
  <c r="K9" i="239"/>
  <c r="G9" i="239"/>
  <c r="F1" i="239" s="1"/>
  <c r="O8" i="239"/>
  <c r="K8" i="239"/>
  <c r="V7" i="239"/>
  <c r="M7" i="239" s="1"/>
  <c r="U7" i="239"/>
  <c r="O7" i="239"/>
  <c r="K7" i="239"/>
  <c r="G7" i="239"/>
  <c r="V6" i="239"/>
  <c r="U6" i="239"/>
  <c r="O6" i="239"/>
  <c r="N6" i="239"/>
  <c r="Q6" i="239" s="1"/>
  <c r="M6" i="239"/>
  <c r="AB6" i="239" s="1"/>
  <c r="K6" i="239"/>
  <c r="G6" i="239"/>
  <c r="V5" i="239"/>
  <c r="O5" i="239"/>
  <c r="N5" i="239"/>
  <c r="Q5" i="239" s="1"/>
  <c r="M5" i="239"/>
  <c r="M8" i="239" s="1"/>
  <c r="K5" i="239"/>
  <c r="G5" i="239"/>
  <c r="H2" i="239"/>
  <c r="H1" i="239"/>
  <c r="D1" i="239"/>
  <c r="M18" i="238"/>
  <c r="L18" i="238"/>
  <c r="K18" i="238"/>
  <c r="J18" i="238"/>
  <c r="I18" i="238"/>
  <c r="H18" i="238"/>
  <c r="G18" i="238"/>
  <c r="F18" i="238"/>
  <c r="E18" i="238"/>
  <c r="D18" i="238"/>
  <c r="M17" i="238"/>
  <c r="L17" i="238"/>
  <c r="K17" i="238"/>
  <c r="J17" i="238"/>
  <c r="I17" i="238"/>
  <c r="H17" i="238"/>
  <c r="G17" i="238"/>
  <c r="F17" i="238"/>
  <c r="E17" i="238"/>
  <c r="D17" i="238"/>
  <c r="M16" i="238"/>
  <c r="L16" i="238"/>
  <c r="K16" i="238"/>
  <c r="J16" i="238"/>
  <c r="I16" i="238"/>
  <c r="H16" i="238"/>
  <c r="G16" i="238"/>
  <c r="F16" i="238"/>
  <c r="E16" i="238"/>
  <c r="D16" i="238"/>
  <c r="K14" i="238"/>
  <c r="K15" i="238" s="1"/>
  <c r="M13" i="238"/>
  <c r="L13" i="238"/>
  <c r="K13" i="238"/>
  <c r="I6" i="238" s="1"/>
  <c r="J13" i="238"/>
  <c r="I13" i="238"/>
  <c r="H13" i="238"/>
  <c r="G13" i="238"/>
  <c r="F13" i="238"/>
  <c r="D13" i="238"/>
  <c r="F3" i="238"/>
  <c r="C3" i="238"/>
  <c r="O67" i="237"/>
  <c r="K67" i="237"/>
  <c r="V66" i="237"/>
  <c r="M66" i="237" s="1"/>
  <c r="U66" i="237"/>
  <c r="O66" i="237"/>
  <c r="K66" i="237"/>
  <c r="G66" i="237"/>
  <c r="V65" i="237"/>
  <c r="M65" i="237" s="1"/>
  <c r="U65" i="237"/>
  <c r="O65" i="237"/>
  <c r="K65" i="237"/>
  <c r="G65" i="237"/>
  <c r="V64" i="237"/>
  <c r="M64" i="237" s="1"/>
  <c r="U64" i="237"/>
  <c r="O64" i="237"/>
  <c r="K64" i="237"/>
  <c r="G64" i="237"/>
  <c r="V63" i="237"/>
  <c r="M63" i="237" s="1"/>
  <c r="U63" i="237"/>
  <c r="O63" i="237"/>
  <c r="K63" i="237"/>
  <c r="G63" i="237"/>
  <c r="V62" i="237"/>
  <c r="M62" i="237" s="1"/>
  <c r="O62" i="237"/>
  <c r="K62" i="237"/>
  <c r="G62" i="237"/>
  <c r="O61" i="237"/>
  <c r="K61" i="237"/>
  <c r="V60" i="237"/>
  <c r="U60" i="237"/>
  <c r="O60" i="237"/>
  <c r="M60" i="237"/>
  <c r="AB60" i="237" s="1"/>
  <c r="K60" i="237"/>
  <c r="G60" i="237"/>
  <c r="AB59" i="237"/>
  <c r="V59" i="237"/>
  <c r="U59" i="237"/>
  <c r="O59" i="237"/>
  <c r="M59" i="237"/>
  <c r="AA59" i="237" s="1"/>
  <c r="K59" i="237"/>
  <c r="G59" i="237"/>
  <c r="AB58" i="237"/>
  <c r="AA58" i="237"/>
  <c r="V58" i="237"/>
  <c r="U58" i="237"/>
  <c r="O58" i="237"/>
  <c r="M58" i="237"/>
  <c r="N58" i="237" s="1"/>
  <c r="K58" i="237"/>
  <c r="G58" i="237"/>
  <c r="V57" i="237"/>
  <c r="M57" i="237" s="1"/>
  <c r="U57" i="237"/>
  <c r="O57" i="237"/>
  <c r="K57" i="237"/>
  <c r="G57" i="237"/>
  <c r="V56" i="237"/>
  <c r="M56" i="237" s="1"/>
  <c r="O56" i="237"/>
  <c r="K56" i="237"/>
  <c r="G56" i="237"/>
  <c r="O55" i="237"/>
  <c r="K55" i="237"/>
  <c r="V54" i="237"/>
  <c r="M54" i="237" s="1"/>
  <c r="U54" i="237"/>
  <c r="O54" i="237"/>
  <c r="K54" i="237"/>
  <c r="G54" i="237"/>
  <c r="V53" i="237"/>
  <c r="U53" i="237"/>
  <c r="O53" i="237"/>
  <c r="M53" i="237"/>
  <c r="AB53" i="237" s="1"/>
  <c r="K53" i="237"/>
  <c r="G53" i="237"/>
  <c r="V52" i="237"/>
  <c r="U52" i="237"/>
  <c r="O52" i="237"/>
  <c r="M52" i="237"/>
  <c r="AB52" i="237" s="1"/>
  <c r="K52" i="237"/>
  <c r="G52" i="237"/>
  <c r="V51" i="237"/>
  <c r="O51" i="237"/>
  <c r="M51" i="237"/>
  <c r="K51" i="237"/>
  <c r="G51" i="237"/>
  <c r="O50" i="237"/>
  <c r="K50" i="237"/>
  <c r="V49" i="237"/>
  <c r="M49" i="237" s="1"/>
  <c r="U49" i="237"/>
  <c r="O49" i="237"/>
  <c r="K49" i="237"/>
  <c r="G49" i="237"/>
  <c r="V48" i="237"/>
  <c r="M48" i="237" s="1"/>
  <c r="U48" i="237"/>
  <c r="O48" i="237"/>
  <c r="K48" i="237"/>
  <c r="G48" i="237"/>
  <c r="V47" i="237"/>
  <c r="M47" i="237" s="1"/>
  <c r="U47" i="237"/>
  <c r="O47" i="237"/>
  <c r="K47" i="237"/>
  <c r="G47" i="237"/>
  <c r="V46" i="237"/>
  <c r="M46" i="237" s="1"/>
  <c r="U46" i="237"/>
  <c r="O46" i="237"/>
  <c r="K46" i="237"/>
  <c r="G46" i="237"/>
  <c r="V45" i="237"/>
  <c r="M45" i="237" s="1"/>
  <c r="U45" i="237"/>
  <c r="O45" i="237"/>
  <c r="K45" i="237"/>
  <c r="G45" i="237"/>
  <c r="V44" i="237"/>
  <c r="M44" i="237" s="1"/>
  <c r="U44" i="237"/>
  <c r="O44" i="237"/>
  <c r="K44" i="237"/>
  <c r="G44" i="237"/>
  <c r="V43" i="237"/>
  <c r="U43" i="237"/>
  <c r="O43" i="237"/>
  <c r="M43" i="237"/>
  <c r="AB43" i="237" s="1"/>
  <c r="K43" i="237"/>
  <c r="G43" i="237"/>
  <c r="V42" i="237"/>
  <c r="O42" i="237"/>
  <c r="M42" i="237"/>
  <c r="AB42" i="237" s="1"/>
  <c r="K42" i="237"/>
  <c r="G42" i="237"/>
  <c r="O41" i="237"/>
  <c r="K41" i="237"/>
  <c r="AB40" i="237"/>
  <c r="AA40" i="237"/>
  <c r="V40" i="237"/>
  <c r="U40" i="237"/>
  <c r="O40" i="237"/>
  <c r="M40" i="237"/>
  <c r="N40" i="237" s="1"/>
  <c r="K40" i="237"/>
  <c r="G40" i="237"/>
  <c r="V39" i="237"/>
  <c r="M39" i="237" s="1"/>
  <c r="U39" i="237"/>
  <c r="O39" i="237"/>
  <c r="K39" i="237"/>
  <c r="G39" i="237"/>
  <c r="V38" i="237"/>
  <c r="M38" i="237" s="1"/>
  <c r="U38" i="237"/>
  <c r="O38" i="237"/>
  <c r="K38" i="237"/>
  <c r="G38" i="237"/>
  <c r="V37" i="237"/>
  <c r="M37" i="237" s="1"/>
  <c r="U37" i="237"/>
  <c r="O37" i="237"/>
  <c r="K37" i="237"/>
  <c r="G37" i="237"/>
  <c r="V36" i="237"/>
  <c r="M36" i="237" s="1"/>
  <c r="U36" i="237"/>
  <c r="O36" i="237"/>
  <c r="K36" i="237"/>
  <c r="G36" i="237"/>
  <c r="V35" i="237"/>
  <c r="M35" i="237" s="1"/>
  <c r="U35" i="237"/>
  <c r="O35" i="237"/>
  <c r="K35" i="237"/>
  <c r="G35" i="237"/>
  <c r="V34" i="237"/>
  <c r="M34" i="237" s="1"/>
  <c r="O34" i="237"/>
  <c r="K34" i="237"/>
  <c r="G34" i="237"/>
  <c r="O33" i="237"/>
  <c r="K33" i="237"/>
  <c r="V32" i="237"/>
  <c r="U32" i="237"/>
  <c r="O32" i="237"/>
  <c r="M32" i="237"/>
  <c r="AB32" i="237" s="1"/>
  <c r="K32" i="237"/>
  <c r="G32" i="237"/>
  <c r="AB31" i="237"/>
  <c r="V31" i="237"/>
  <c r="U31" i="237"/>
  <c r="O31" i="237"/>
  <c r="M31" i="237"/>
  <c r="AA31" i="237" s="1"/>
  <c r="K31" i="237"/>
  <c r="G31" i="237"/>
  <c r="AB30" i="237"/>
  <c r="AA30" i="237"/>
  <c r="V30" i="237"/>
  <c r="U30" i="237"/>
  <c r="O30" i="237"/>
  <c r="M30" i="237"/>
  <c r="N30" i="237" s="1"/>
  <c r="K30" i="237"/>
  <c r="G30" i="237"/>
  <c r="V29" i="237"/>
  <c r="M29" i="237" s="1"/>
  <c r="U29" i="237"/>
  <c r="O29" i="237"/>
  <c r="K29" i="237"/>
  <c r="G29" i="237"/>
  <c r="V28" i="237"/>
  <c r="M28" i="237" s="1"/>
  <c r="O28" i="237"/>
  <c r="K28" i="237"/>
  <c r="G28" i="237"/>
  <c r="O27" i="237"/>
  <c r="K27" i="237"/>
  <c r="V26" i="237"/>
  <c r="M26" i="237" s="1"/>
  <c r="U26" i="237"/>
  <c r="O26" i="237"/>
  <c r="K26" i="237"/>
  <c r="G26" i="237"/>
  <c r="V25" i="237"/>
  <c r="U25" i="237"/>
  <c r="O25" i="237"/>
  <c r="M25" i="237"/>
  <c r="AB25" i="237" s="1"/>
  <c r="K25" i="237"/>
  <c r="G25" i="237"/>
  <c r="V24" i="237"/>
  <c r="U24" i="237"/>
  <c r="O24" i="237"/>
  <c r="M24" i="237"/>
  <c r="AB24" i="237" s="1"/>
  <c r="K24" i="237"/>
  <c r="G24" i="237"/>
  <c r="AA23" i="237"/>
  <c r="V23" i="237"/>
  <c r="U23" i="237"/>
  <c r="O23" i="237"/>
  <c r="N23" i="237"/>
  <c r="Q23" i="237" s="1"/>
  <c r="M23" i="237"/>
  <c r="AB23" i="237" s="1"/>
  <c r="K23" i="237"/>
  <c r="G23" i="237"/>
  <c r="V22" i="237"/>
  <c r="U22" i="237"/>
  <c r="O22" i="237"/>
  <c r="M22" i="237"/>
  <c r="AB22" i="237" s="1"/>
  <c r="K22" i="237"/>
  <c r="G22" i="237"/>
  <c r="AB21" i="237"/>
  <c r="V21" i="237"/>
  <c r="U21" i="237"/>
  <c r="O21" i="237"/>
  <c r="M21" i="237"/>
  <c r="AA21" i="237" s="1"/>
  <c r="K21" i="237"/>
  <c r="G21" i="237"/>
  <c r="AB20" i="237"/>
  <c r="V20" i="237"/>
  <c r="O20" i="237"/>
  <c r="M20" i="237"/>
  <c r="AA20" i="237" s="1"/>
  <c r="K20" i="237"/>
  <c r="G20" i="237"/>
  <c r="O19" i="237"/>
  <c r="K19" i="237"/>
  <c r="V18" i="237"/>
  <c r="M18" i="237" s="1"/>
  <c r="U18" i="237"/>
  <c r="O18" i="237"/>
  <c r="K18" i="237"/>
  <c r="G18" i="237"/>
  <c r="V17" i="237"/>
  <c r="M17" i="237" s="1"/>
  <c r="U17" i="237"/>
  <c r="O17" i="237"/>
  <c r="K17" i="237"/>
  <c r="G17" i="237"/>
  <c r="V16" i="237"/>
  <c r="M16" i="237" s="1"/>
  <c r="U16" i="237"/>
  <c r="O16" i="237"/>
  <c r="K16" i="237"/>
  <c r="G16" i="237"/>
  <c r="V15" i="237"/>
  <c r="U15" i="237"/>
  <c r="O15" i="237"/>
  <c r="M15" i="237"/>
  <c r="AB15" i="237" s="1"/>
  <c r="K15" i="237"/>
  <c r="G15" i="237"/>
  <c r="V14" i="237"/>
  <c r="O14" i="237"/>
  <c r="M14" i="237"/>
  <c r="AB14" i="237" s="1"/>
  <c r="K14" i="237"/>
  <c r="G14" i="237"/>
  <c r="O13" i="237"/>
  <c r="K13" i="237"/>
  <c r="AB12" i="237"/>
  <c r="AA12" i="237"/>
  <c r="V12" i="237"/>
  <c r="U12" i="237"/>
  <c r="O12" i="237"/>
  <c r="M12" i="237"/>
  <c r="N12" i="237" s="1"/>
  <c r="K12" i="237"/>
  <c r="G12" i="237"/>
  <c r="V11" i="237"/>
  <c r="M11" i="237" s="1"/>
  <c r="U11" i="237"/>
  <c r="O11" i="237"/>
  <c r="K11" i="237"/>
  <c r="G11" i="237"/>
  <c r="V10" i="237"/>
  <c r="M10" i="237" s="1"/>
  <c r="U10" i="237"/>
  <c r="O10" i="237"/>
  <c r="K10" i="237"/>
  <c r="G10" i="237"/>
  <c r="V9" i="237"/>
  <c r="M9" i="237" s="1"/>
  <c r="O9" i="237"/>
  <c r="K9" i="237"/>
  <c r="G9" i="237"/>
  <c r="F1" i="237" s="1"/>
  <c r="O8" i="237"/>
  <c r="K8" i="237"/>
  <c r="V7" i="237"/>
  <c r="U7" i="237"/>
  <c r="O7" i="237"/>
  <c r="M7" i="237"/>
  <c r="AB7" i="237" s="1"/>
  <c r="K7" i="237"/>
  <c r="G7" i="237"/>
  <c r="V6" i="237"/>
  <c r="U6" i="237"/>
  <c r="O6" i="237"/>
  <c r="M6" i="237"/>
  <c r="AB6" i="237" s="1"/>
  <c r="K6" i="237"/>
  <c r="G6" i="237"/>
  <c r="V5" i="237"/>
  <c r="O5" i="237"/>
  <c r="M5" i="237"/>
  <c r="M8" i="237" s="1"/>
  <c r="K5" i="237"/>
  <c r="G5" i="237"/>
  <c r="H2" i="237"/>
  <c r="H1" i="237"/>
  <c r="D1" i="237"/>
  <c r="M18" i="236"/>
  <c r="L18" i="236"/>
  <c r="K18" i="236"/>
  <c r="J18" i="236"/>
  <c r="I18" i="236"/>
  <c r="H18" i="236"/>
  <c r="G18" i="236"/>
  <c r="F18" i="236"/>
  <c r="E18" i="236"/>
  <c r="D18" i="236"/>
  <c r="M17" i="236"/>
  <c r="L17" i="236"/>
  <c r="K17" i="236"/>
  <c r="J17" i="236"/>
  <c r="I17" i="236"/>
  <c r="H17" i="236"/>
  <c r="G17" i="236"/>
  <c r="F17" i="236"/>
  <c r="E17" i="236"/>
  <c r="D17" i="236"/>
  <c r="M16" i="236"/>
  <c r="L16" i="236"/>
  <c r="K16" i="236"/>
  <c r="J16" i="236"/>
  <c r="I16" i="236"/>
  <c r="H16" i="236"/>
  <c r="G16" i="236"/>
  <c r="F16" i="236"/>
  <c r="E16" i="236"/>
  <c r="D16" i="236"/>
  <c r="M13" i="236"/>
  <c r="L13" i="236"/>
  <c r="K13" i="236"/>
  <c r="I6" i="236" s="1"/>
  <c r="J13" i="236"/>
  <c r="I13" i="236"/>
  <c r="H13" i="236"/>
  <c r="E6" i="236" s="1"/>
  <c r="G13" i="236"/>
  <c r="F13" i="236"/>
  <c r="E13" i="236"/>
  <c r="D13" i="236"/>
  <c r="G6" i="236" s="1"/>
  <c r="F3" i="236"/>
  <c r="C3" i="236"/>
  <c r="E8" i="248" l="1"/>
  <c r="G8" i="246"/>
  <c r="F8" i="246"/>
  <c r="E7" i="246"/>
  <c r="G7" i="246"/>
  <c r="F7" i="246"/>
  <c r="I7" i="246"/>
  <c r="K15" i="246"/>
  <c r="I8" i="246" s="1"/>
  <c r="Q57" i="245"/>
  <c r="R49" i="245" s="1"/>
  <c r="P57" i="245"/>
  <c r="H14" i="244"/>
  <c r="H15" i="244" s="1"/>
  <c r="Q8" i="245"/>
  <c r="R5" i="245" s="1"/>
  <c r="P8" i="245"/>
  <c r="D2" i="245"/>
  <c r="D14" i="244"/>
  <c r="P19" i="245"/>
  <c r="F14" i="244"/>
  <c r="F15" i="244" s="1"/>
  <c r="Q19" i="245"/>
  <c r="R14" i="245" s="1"/>
  <c r="Q38" i="245"/>
  <c r="R30" i="245" s="1"/>
  <c r="P38" i="245"/>
  <c r="K14" i="244"/>
  <c r="Q48" i="245"/>
  <c r="R39" i="245" s="1"/>
  <c r="P48" i="245"/>
  <c r="L14" i="244"/>
  <c r="L15" i="244" s="1"/>
  <c r="P29" i="245"/>
  <c r="Q29" i="245"/>
  <c r="R20" i="245" s="1"/>
  <c r="G14" i="244"/>
  <c r="G15" i="244" s="1"/>
  <c r="Q13" i="245"/>
  <c r="R9" i="245" s="1"/>
  <c r="E14" i="244"/>
  <c r="E15" i="244" s="1"/>
  <c r="P13" i="245"/>
  <c r="Q76" i="245"/>
  <c r="R69" i="245" s="1"/>
  <c r="P76" i="245"/>
  <c r="M14" i="244"/>
  <c r="M15" i="244" s="1"/>
  <c r="Q68" i="245"/>
  <c r="R63" i="245" s="1"/>
  <c r="P68" i="245"/>
  <c r="J14" i="244"/>
  <c r="J15" i="244" s="1"/>
  <c r="Q10" i="243"/>
  <c r="P10" i="243"/>
  <c r="P9" i="243"/>
  <c r="Q9" i="243"/>
  <c r="P6" i="243"/>
  <c r="Q6" i="243"/>
  <c r="P59" i="243"/>
  <c r="Q59" i="243"/>
  <c r="P58" i="243"/>
  <c r="Q58" i="243"/>
  <c r="P48" i="243"/>
  <c r="Q48" i="243"/>
  <c r="P49" i="243"/>
  <c r="Q49" i="243"/>
  <c r="H14" i="242"/>
  <c r="H15" i="242" s="1"/>
  <c r="P5" i="243"/>
  <c r="Q5" i="243"/>
  <c r="P39" i="243"/>
  <c r="Q39" i="243"/>
  <c r="P38" i="243"/>
  <c r="Q38" i="243"/>
  <c r="P11" i="243"/>
  <c r="Q11" i="243"/>
  <c r="P57" i="243"/>
  <c r="K15" i="242"/>
  <c r="AA57" i="243"/>
  <c r="AB57" i="243"/>
  <c r="AC48" i="243" s="1"/>
  <c r="AA47" i="243"/>
  <c r="AB47" i="243"/>
  <c r="AC38" i="243" s="1"/>
  <c r="AB13" i="243"/>
  <c r="AC9" i="243" s="1"/>
  <c r="AA13" i="243"/>
  <c r="N13" i="243"/>
  <c r="P74" i="243"/>
  <c r="Q74" i="243"/>
  <c r="Q73" i="243"/>
  <c r="P73" i="243"/>
  <c r="Q72" i="243"/>
  <c r="P72" i="243"/>
  <c r="Q71" i="243"/>
  <c r="P71" i="243"/>
  <c r="Q69" i="243"/>
  <c r="P69" i="243"/>
  <c r="AB76" i="243"/>
  <c r="AC69" i="243" s="1"/>
  <c r="AA76" i="243"/>
  <c r="N76" i="243"/>
  <c r="P64" i="243"/>
  <c r="Q64" i="243"/>
  <c r="AB68" i="243"/>
  <c r="AC63" i="243" s="1"/>
  <c r="N68" i="243"/>
  <c r="P63" i="243"/>
  <c r="Q63" i="243"/>
  <c r="Q61" i="243"/>
  <c r="P61" i="243"/>
  <c r="Q60" i="243"/>
  <c r="P60" i="243"/>
  <c r="I14" i="242"/>
  <c r="I15" i="242" s="1"/>
  <c r="Q62" i="243"/>
  <c r="R58" i="243" s="1"/>
  <c r="P62" i="243"/>
  <c r="P56" i="243"/>
  <c r="Q56" i="243"/>
  <c r="Q55" i="243"/>
  <c r="P55" i="243"/>
  <c r="Q54" i="243"/>
  <c r="P54" i="243"/>
  <c r="Q53" i="243"/>
  <c r="P53" i="243"/>
  <c r="Q51" i="243"/>
  <c r="P51" i="243"/>
  <c r="Q50" i="243"/>
  <c r="P50" i="243"/>
  <c r="P46" i="243"/>
  <c r="Q46" i="243"/>
  <c r="Q45" i="243"/>
  <c r="P45" i="243"/>
  <c r="Q44" i="243"/>
  <c r="P44" i="243"/>
  <c r="Q43" i="243"/>
  <c r="P43" i="243"/>
  <c r="Q41" i="243"/>
  <c r="P41" i="243"/>
  <c r="Q40" i="243"/>
  <c r="P40" i="243"/>
  <c r="P36" i="243"/>
  <c r="Q36" i="243"/>
  <c r="Q35" i="243"/>
  <c r="P35" i="243"/>
  <c r="Q34" i="243"/>
  <c r="P34" i="243"/>
  <c r="Q33" i="243"/>
  <c r="P33" i="243"/>
  <c r="Q31" i="243"/>
  <c r="P31" i="243"/>
  <c r="Q30" i="243"/>
  <c r="P30" i="243"/>
  <c r="Q29" i="243"/>
  <c r="P29" i="243"/>
  <c r="AA37" i="243"/>
  <c r="AB37" i="243"/>
  <c r="AC29" i="243" s="1"/>
  <c r="P26" i="243"/>
  <c r="Q26" i="243"/>
  <c r="Q25" i="243"/>
  <c r="P25" i="243"/>
  <c r="Q24" i="243"/>
  <c r="P24" i="243"/>
  <c r="Q23" i="243"/>
  <c r="P23" i="243"/>
  <c r="P21" i="243"/>
  <c r="Q21" i="243"/>
  <c r="AB28" i="243"/>
  <c r="AC21" i="243" s="1"/>
  <c r="AA28" i="243"/>
  <c r="N28" i="243"/>
  <c r="P28" i="243" s="1"/>
  <c r="P16" i="243"/>
  <c r="Q16" i="243"/>
  <c r="Q15" i="243"/>
  <c r="P15" i="243"/>
  <c r="AB20" i="243"/>
  <c r="AC14" i="243" s="1"/>
  <c r="N20" i="243"/>
  <c r="Q14" i="243"/>
  <c r="P14" i="243"/>
  <c r="Q12" i="243"/>
  <c r="P12" i="243"/>
  <c r="Q7" i="243"/>
  <c r="P7" i="243"/>
  <c r="Q23" i="241"/>
  <c r="Q43" i="241"/>
  <c r="P69" i="241"/>
  <c r="P22" i="241"/>
  <c r="P42" i="241"/>
  <c r="P13" i="241"/>
  <c r="P33" i="241"/>
  <c r="P53" i="241"/>
  <c r="N5" i="241"/>
  <c r="M8" i="241"/>
  <c r="AB5" i="241"/>
  <c r="AA5" i="241"/>
  <c r="N6" i="241"/>
  <c r="AB6" i="241"/>
  <c r="AA6" i="241"/>
  <c r="N7" i="241"/>
  <c r="AB7" i="241"/>
  <c r="AA7" i="241"/>
  <c r="AB11" i="241"/>
  <c r="AA11" i="241"/>
  <c r="N11" i="241"/>
  <c r="AB12" i="241"/>
  <c r="AA12" i="241"/>
  <c r="Q12" i="241"/>
  <c r="P12" i="241"/>
  <c r="AB13" i="241"/>
  <c r="AC9" i="241" s="1"/>
  <c r="AA13" i="241"/>
  <c r="N14" i="241"/>
  <c r="AB14" i="241"/>
  <c r="AA14" i="241"/>
  <c r="N15" i="241"/>
  <c r="AB15" i="241"/>
  <c r="AA15" i="241"/>
  <c r="N16" i="241"/>
  <c r="AB16" i="241"/>
  <c r="Q17" i="241"/>
  <c r="P17" i="241"/>
  <c r="Q18" i="241"/>
  <c r="P18" i="241"/>
  <c r="Q19" i="241"/>
  <c r="P19" i="241"/>
  <c r="AB20" i="241"/>
  <c r="AC14" i="241" s="1"/>
  <c r="AA20" i="241"/>
  <c r="N20" i="241"/>
  <c r="F14" i="240" s="1"/>
  <c r="F15" i="240" s="1"/>
  <c r="AB21" i="241"/>
  <c r="AA21" i="241"/>
  <c r="M28" i="241"/>
  <c r="AB22" i="241"/>
  <c r="AA22" i="241"/>
  <c r="AB23" i="241"/>
  <c r="AA23" i="241"/>
  <c r="N24" i="241"/>
  <c r="AB24" i="241"/>
  <c r="AA24" i="241"/>
  <c r="N25" i="241"/>
  <c r="AB25" i="241"/>
  <c r="AA25" i="241"/>
  <c r="N26" i="241"/>
  <c r="AB26" i="241"/>
  <c r="Q27" i="241"/>
  <c r="P27" i="241"/>
  <c r="AB29" i="241"/>
  <c r="AA29" i="241"/>
  <c r="M37" i="241"/>
  <c r="AB37" i="241" s="1"/>
  <c r="AC29" i="241" s="1"/>
  <c r="Q29" i="241"/>
  <c r="P29" i="241"/>
  <c r="AB30" i="241"/>
  <c r="AA30" i="241"/>
  <c r="Q30" i="241"/>
  <c r="P30" i="241"/>
  <c r="AB31" i="241"/>
  <c r="AA31" i="241"/>
  <c r="Q31" i="241"/>
  <c r="P31" i="241"/>
  <c r="AB32" i="241"/>
  <c r="AA32" i="241"/>
  <c r="AB33" i="241"/>
  <c r="AA33" i="241"/>
  <c r="N34" i="241"/>
  <c r="AB34" i="241"/>
  <c r="AA34" i="241"/>
  <c r="N35" i="241"/>
  <c r="AB35" i="241"/>
  <c r="AA35" i="241"/>
  <c r="N36" i="241"/>
  <c r="AB36" i="241"/>
  <c r="AB38" i="241"/>
  <c r="AA38" i="241"/>
  <c r="M47" i="241"/>
  <c r="AB47" i="241" s="1"/>
  <c r="AC38" i="241" s="1"/>
  <c r="N38" i="241"/>
  <c r="AB39" i="241"/>
  <c r="AA39" i="241"/>
  <c r="N39" i="241"/>
  <c r="AB40" i="241"/>
  <c r="AA40" i="241"/>
  <c r="Q40" i="241"/>
  <c r="P40" i="241"/>
  <c r="AB41" i="241"/>
  <c r="AA41" i="241"/>
  <c r="Q41" i="241"/>
  <c r="P41" i="241"/>
  <c r="AB42" i="241"/>
  <c r="AA42" i="241"/>
  <c r="AB43" i="241"/>
  <c r="AA43" i="241"/>
  <c r="N44" i="241"/>
  <c r="AB44" i="241"/>
  <c r="AA44" i="241"/>
  <c r="N45" i="241"/>
  <c r="AB45" i="241"/>
  <c r="AA45" i="241"/>
  <c r="N46" i="241"/>
  <c r="AB46" i="241"/>
  <c r="AB48" i="241"/>
  <c r="AA48" i="241"/>
  <c r="M57" i="241"/>
  <c r="AB57" i="241" s="1"/>
  <c r="AC48" i="241" s="1"/>
  <c r="N48" i="241"/>
  <c r="AB49" i="241"/>
  <c r="AA49" i="241"/>
  <c r="N49" i="241"/>
  <c r="AB50" i="241"/>
  <c r="AA50" i="241"/>
  <c r="Q50" i="241"/>
  <c r="P50" i="241"/>
  <c r="AB51" i="241"/>
  <c r="AA51" i="241"/>
  <c r="Q51" i="241"/>
  <c r="P51" i="241"/>
  <c r="AB52" i="241"/>
  <c r="AA52" i="241"/>
  <c r="AB53" i="241"/>
  <c r="AA53" i="241"/>
  <c r="N54" i="241"/>
  <c r="AB54" i="241"/>
  <c r="AA54" i="241"/>
  <c r="N55" i="241"/>
  <c r="AB55" i="241"/>
  <c r="AA55" i="241"/>
  <c r="N56" i="241"/>
  <c r="AB56" i="241"/>
  <c r="M62" i="241"/>
  <c r="N62" i="241" s="1"/>
  <c r="AB58" i="241"/>
  <c r="AA58" i="241"/>
  <c r="N58" i="241"/>
  <c r="AB59" i="241"/>
  <c r="AA59" i="241"/>
  <c r="N59" i="241"/>
  <c r="AB60" i="241"/>
  <c r="AA60" i="241"/>
  <c r="Q60" i="241"/>
  <c r="P60" i="241"/>
  <c r="AB61" i="241"/>
  <c r="AA61" i="241"/>
  <c r="Q61" i="241"/>
  <c r="P61" i="241"/>
  <c r="N63" i="241"/>
  <c r="AB63" i="241"/>
  <c r="N64" i="241"/>
  <c r="AB64" i="241"/>
  <c r="Q65" i="241"/>
  <c r="P65" i="241"/>
  <c r="Q66" i="241"/>
  <c r="P66" i="241"/>
  <c r="Q67" i="241"/>
  <c r="P67" i="241"/>
  <c r="AB68" i="241"/>
  <c r="AC63" i="241" s="1"/>
  <c r="AA68" i="241"/>
  <c r="N68" i="241"/>
  <c r="J14" i="240" s="1"/>
  <c r="J15" i="240" s="1"/>
  <c r="AB69" i="241"/>
  <c r="AA69" i="241"/>
  <c r="M76" i="241"/>
  <c r="AB70" i="241"/>
  <c r="AA70" i="241"/>
  <c r="Q70" i="241"/>
  <c r="P70" i="241"/>
  <c r="AB71" i="241"/>
  <c r="AA71" i="241"/>
  <c r="N72" i="241"/>
  <c r="AB72" i="241"/>
  <c r="AA72" i="241"/>
  <c r="N73" i="241"/>
  <c r="AB73" i="241"/>
  <c r="AA73" i="241"/>
  <c r="N74" i="241"/>
  <c r="AB74" i="241"/>
  <c r="AA74" i="241"/>
  <c r="N75" i="241"/>
  <c r="AB75" i="241"/>
  <c r="N9" i="241"/>
  <c r="N10" i="241"/>
  <c r="N64" i="239"/>
  <c r="AB64" i="239"/>
  <c r="AA64" i="239"/>
  <c r="AB14" i="239"/>
  <c r="M19" i="239"/>
  <c r="AA14" i="239"/>
  <c r="N14" i="239"/>
  <c r="N37" i="239"/>
  <c r="AB37" i="239"/>
  <c r="AA37" i="239"/>
  <c r="Q29" i="239"/>
  <c r="P29" i="239"/>
  <c r="N47" i="239"/>
  <c r="AB47" i="239"/>
  <c r="AA47" i="239"/>
  <c r="N46" i="239"/>
  <c r="AB46" i="239"/>
  <c r="AA46" i="239"/>
  <c r="N54" i="239"/>
  <c r="AB54" i="239"/>
  <c r="AC50" i="239" s="1"/>
  <c r="AA54" i="239"/>
  <c r="F6" i="238"/>
  <c r="N55" i="239"/>
  <c r="AB55" i="239"/>
  <c r="M60" i="239"/>
  <c r="AA55" i="239"/>
  <c r="N62" i="239"/>
  <c r="AB62" i="239"/>
  <c r="AA62" i="239"/>
  <c r="Q11" i="239"/>
  <c r="P11" i="239"/>
  <c r="N38" i="239"/>
  <c r="AB38" i="239"/>
  <c r="AA38" i="239"/>
  <c r="N45" i="239"/>
  <c r="AA45" i="239"/>
  <c r="AB45" i="239"/>
  <c r="N61" i="239"/>
  <c r="AB61" i="239"/>
  <c r="M66" i="239"/>
  <c r="AA61" i="239"/>
  <c r="AB7" i="239"/>
  <c r="AA7" i="239"/>
  <c r="N7" i="239"/>
  <c r="F2" i="239"/>
  <c r="I3" i="238"/>
  <c r="AB15" i="239"/>
  <c r="AA15" i="239"/>
  <c r="N15" i="239"/>
  <c r="N18" i="239"/>
  <c r="AB18" i="239"/>
  <c r="AA18" i="239"/>
  <c r="N36" i="239"/>
  <c r="AB36" i="239"/>
  <c r="AA36" i="239"/>
  <c r="AB43" i="239"/>
  <c r="AA43" i="239"/>
  <c r="N43" i="239"/>
  <c r="N65" i="239"/>
  <c r="AB65" i="239"/>
  <c r="AA65" i="239"/>
  <c r="AB25" i="239"/>
  <c r="AA25" i="239"/>
  <c r="N25" i="239"/>
  <c r="Q39" i="239"/>
  <c r="P39" i="239"/>
  <c r="N48" i="239"/>
  <c r="AB48" i="239"/>
  <c r="AA48" i="239"/>
  <c r="N56" i="239"/>
  <c r="AB56" i="239"/>
  <c r="AA56" i="239"/>
  <c r="Q57" i="239"/>
  <c r="P57" i="239"/>
  <c r="N8" i="239"/>
  <c r="AB8" i="239"/>
  <c r="AC5" i="239" s="1"/>
  <c r="AA8" i="239"/>
  <c r="N44" i="239"/>
  <c r="AB44" i="239"/>
  <c r="AA44" i="239"/>
  <c r="N26" i="239"/>
  <c r="AB26" i="239"/>
  <c r="AA26" i="239"/>
  <c r="N10" i="239"/>
  <c r="AB10" i="239"/>
  <c r="AA10" i="239"/>
  <c r="N17" i="239"/>
  <c r="AA17" i="239"/>
  <c r="AB17" i="239"/>
  <c r="N35" i="239"/>
  <c r="AA35" i="239"/>
  <c r="AB35" i="239"/>
  <c r="AB42" i="239"/>
  <c r="M49" i="239"/>
  <c r="AA42" i="239"/>
  <c r="N42" i="239"/>
  <c r="Q28" i="239"/>
  <c r="P28" i="239"/>
  <c r="N9" i="239"/>
  <c r="M13" i="239"/>
  <c r="AB9" i="239"/>
  <c r="AA9" i="239"/>
  <c r="N16" i="239"/>
  <c r="AB16" i="239"/>
  <c r="AA16" i="239"/>
  <c r="N34" i="239"/>
  <c r="AA34" i="239"/>
  <c r="AB34" i="239"/>
  <c r="M41" i="239"/>
  <c r="AB53" i="239"/>
  <c r="AA53" i="239"/>
  <c r="N53" i="239"/>
  <c r="N63" i="239"/>
  <c r="AA63" i="239"/>
  <c r="AB63" i="239"/>
  <c r="N23" i="239"/>
  <c r="N50" i="239"/>
  <c r="N51" i="239"/>
  <c r="P5" i="239"/>
  <c r="P6" i="239"/>
  <c r="N22" i="239"/>
  <c r="P24" i="239"/>
  <c r="N32" i="239"/>
  <c r="P33" i="239"/>
  <c r="P52" i="239"/>
  <c r="N12" i="239"/>
  <c r="N30" i="239"/>
  <c r="AA33" i="239"/>
  <c r="N40" i="239"/>
  <c r="N58" i="239"/>
  <c r="G6" i="238"/>
  <c r="N20" i="239"/>
  <c r="N21" i="239"/>
  <c r="N31" i="239"/>
  <c r="N59" i="239"/>
  <c r="AA5" i="239"/>
  <c r="AA6" i="239"/>
  <c r="AA24" i="239"/>
  <c r="AA52" i="239"/>
  <c r="AB5" i="239"/>
  <c r="AA23" i="239"/>
  <c r="M27" i="239"/>
  <c r="AA50" i="239"/>
  <c r="AA51" i="239"/>
  <c r="AA22" i="239"/>
  <c r="AA32" i="239"/>
  <c r="AB50" i="239"/>
  <c r="AA20" i="239"/>
  <c r="AA21" i="239"/>
  <c r="AA31" i="239"/>
  <c r="AA59" i="239"/>
  <c r="N35" i="237"/>
  <c r="AB35" i="237"/>
  <c r="AA35" i="237"/>
  <c r="N62" i="237"/>
  <c r="AB62" i="237"/>
  <c r="M67" i="237"/>
  <c r="AA62" i="237"/>
  <c r="F2" i="237"/>
  <c r="I3" i="236"/>
  <c r="N48" i="237"/>
  <c r="AB48" i="237"/>
  <c r="AA48" i="237"/>
  <c r="N11" i="237"/>
  <c r="AB11" i="237"/>
  <c r="AA11" i="237"/>
  <c r="N18" i="237"/>
  <c r="AB18" i="237"/>
  <c r="AA18" i="237"/>
  <c r="N9" i="237"/>
  <c r="M13" i="237"/>
  <c r="AB9" i="237"/>
  <c r="AA9" i="237"/>
  <c r="AB16" i="237"/>
  <c r="AA16" i="237"/>
  <c r="N16" i="237"/>
  <c r="AB54" i="237"/>
  <c r="AA54" i="237"/>
  <c r="N54" i="237"/>
  <c r="N47" i="237"/>
  <c r="AB47" i="237"/>
  <c r="AA47" i="237"/>
  <c r="Q58" i="237"/>
  <c r="P58" i="237"/>
  <c r="N10" i="237"/>
  <c r="AB10" i="237"/>
  <c r="AA10" i="237"/>
  <c r="N17" i="237"/>
  <c r="AB17" i="237"/>
  <c r="AA17" i="237"/>
  <c r="N38" i="237"/>
  <c r="AB38" i="237"/>
  <c r="AA38" i="237"/>
  <c r="N45" i="237"/>
  <c r="AB45" i="237"/>
  <c r="AA45" i="237"/>
  <c r="AB26" i="237"/>
  <c r="AA26" i="237"/>
  <c r="N26" i="237"/>
  <c r="N36" i="237"/>
  <c r="AB36" i="237"/>
  <c r="AA36" i="237"/>
  <c r="Q30" i="237"/>
  <c r="P30" i="237"/>
  <c r="Q12" i="237"/>
  <c r="P12" i="237"/>
  <c r="N37" i="237"/>
  <c r="AB37" i="237"/>
  <c r="AA37" i="237"/>
  <c r="AB44" i="237"/>
  <c r="AA44" i="237"/>
  <c r="N44" i="237"/>
  <c r="N28" i="237"/>
  <c r="AB28" i="237"/>
  <c r="M33" i="237"/>
  <c r="AA28" i="237"/>
  <c r="Q40" i="237"/>
  <c r="P40" i="237"/>
  <c r="N49" i="237"/>
  <c r="AB49" i="237"/>
  <c r="AA49" i="237"/>
  <c r="N8" i="237"/>
  <c r="AB8" i="237"/>
  <c r="AC5" i="237" s="1"/>
  <c r="AA8" i="237"/>
  <c r="N29" i="237"/>
  <c r="AB29" i="237"/>
  <c r="AA29" i="237"/>
  <c r="M55" i="237"/>
  <c r="N65" i="237"/>
  <c r="AB65" i="237"/>
  <c r="AA65" i="237"/>
  <c r="N56" i="237"/>
  <c r="AB56" i="237"/>
  <c r="M61" i="237"/>
  <c r="AA56" i="237"/>
  <c r="N63" i="237"/>
  <c r="AB63" i="237"/>
  <c r="AA63" i="237"/>
  <c r="N34" i="237"/>
  <c r="AB34" i="237"/>
  <c r="AA34" i="237"/>
  <c r="M41" i="237"/>
  <c r="N39" i="237"/>
  <c r="AB39" i="237"/>
  <c r="AA39" i="237"/>
  <c r="N46" i="237"/>
  <c r="AB46" i="237"/>
  <c r="AA46" i="237"/>
  <c r="N66" i="237"/>
  <c r="AB66" i="237"/>
  <c r="AA66" i="237"/>
  <c r="N57" i="237"/>
  <c r="AB57" i="237"/>
  <c r="AA57" i="237"/>
  <c r="N64" i="237"/>
  <c r="AB64" i="237"/>
  <c r="AA64" i="237"/>
  <c r="N7" i="237"/>
  <c r="N14" i="237"/>
  <c r="N15" i="237"/>
  <c r="N25" i="237"/>
  <c r="N42" i="237"/>
  <c r="N43" i="237"/>
  <c r="N53" i="237"/>
  <c r="N5" i="237"/>
  <c r="N6" i="237"/>
  <c r="N24" i="237"/>
  <c r="N51" i="237"/>
  <c r="N52" i="237"/>
  <c r="N22" i="237"/>
  <c r="N32" i="237"/>
  <c r="M50" i="237"/>
  <c r="N60" i="237"/>
  <c r="N20" i="237"/>
  <c r="N21" i="237"/>
  <c r="P23" i="237"/>
  <c r="N31" i="237"/>
  <c r="N59" i="237"/>
  <c r="F6" i="236"/>
  <c r="AA7" i="237"/>
  <c r="AA14" i="237"/>
  <c r="AA15" i="237"/>
  <c r="M19" i="237"/>
  <c r="AA25" i="237"/>
  <c r="AA42" i="237"/>
  <c r="AA43" i="237"/>
  <c r="AA53" i="237"/>
  <c r="AA5" i="237"/>
  <c r="AA6" i="237"/>
  <c r="AA24" i="237"/>
  <c r="AA51" i="237"/>
  <c r="AA52" i="237"/>
  <c r="AB5" i="237"/>
  <c r="M27" i="237"/>
  <c r="AB51" i="237"/>
  <c r="AA22" i="237"/>
  <c r="AA32" i="237"/>
  <c r="AA60" i="237"/>
  <c r="E8" i="246" l="1"/>
  <c r="D15" i="244"/>
  <c r="G7" i="244"/>
  <c r="F7" i="244"/>
  <c r="E7" i="244"/>
  <c r="K15" i="244"/>
  <c r="I8" i="244" s="1"/>
  <c r="I7" i="244"/>
  <c r="E14" i="242"/>
  <c r="D2" i="243"/>
  <c r="P68" i="243"/>
  <c r="J14" i="242"/>
  <c r="J15" i="242" s="1"/>
  <c r="Q68" i="243"/>
  <c r="R63" i="243" s="1"/>
  <c r="P20" i="243"/>
  <c r="Q20" i="243"/>
  <c r="R14" i="243" s="1"/>
  <c r="F14" i="242"/>
  <c r="F15" i="242" s="1"/>
  <c r="Q76" i="243"/>
  <c r="R69" i="243" s="1"/>
  <c r="P76" i="243"/>
  <c r="M14" i="242"/>
  <c r="Q28" i="243"/>
  <c r="R21" i="243" s="1"/>
  <c r="G14" i="242"/>
  <c r="G15" i="242" s="1"/>
  <c r="P13" i="243"/>
  <c r="Q13" i="243"/>
  <c r="R9" i="243" s="1"/>
  <c r="P26" i="241"/>
  <c r="Q26" i="241"/>
  <c r="I14" i="240"/>
  <c r="I15" i="240" s="1"/>
  <c r="Q62" i="241"/>
  <c r="R58" i="241" s="1"/>
  <c r="P62" i="241"/>
  <c r="P56" i="241"/>
  <c r="Q56" i="241"/>
  <c r="Q34" i="241"/>
  <c r="P34" i="241"/>
  <c r="Q25" i="241"/>
  <c r="P25" i="241"/>
  <c r="Q15" i="241"/>
  <c r="P15" i="241"/>
  <c r="N8" i="241"/>
  <c r="D14" i="240" s="1"/>
  <c r="AB8" i="241"/>
  <c r="AC5" i="241" s="1"/>
  <c r="AA8" i="241"/>
  <c r="P72" i="241"/>
  <c r="Q72" i="241"/>
  <c r="Q44" i="241"/>
  <c r="P44" i="241"/>
  <c r="P16" i="241"/>
  <c r="Q16" i="241"/>
  <c r="P55" i="241"/>
  <c r="Q55" i="241"/>
  <c r="P46" i="241"/>
  <c r="Q46" i="241"/>
  <c r="Q24" i="241"/>
  <c r="P24" i="241"/>
  <c r="P14" i="241"/>
  <c r="Q14" i="241"/>
  <c r="Q7" i="241"/>
  <c r="P7" i="241"/>
  <c r="P63" i="241"/>
  <c r="Q63" i="241"/>
  <c r="Q5" i="241"/>
  <c r="P5" i="241"/>
  <c r="P74" i="241"/>
  <c r="Q74" i="241"/>
  <c r="P35" i="241"/>
  <c r="Q35" i="241"/>
  <c r="P64" i="241"/>
  <c r="Q64" i="241"/>
  <c r="Q73" i="241"/>
  <c r="P73" i="241"/>
  <c r="Q54" i="241"/>
  <c r="P54" i="241"/>
  <c r="Q45" i="241"/>
  <c r="P45" i="241"/>
  <c r="P36" i="241"/>
  <c r="Q36" i="241"/>
  <c r="P6" i="241"/>
  <c r="Q6" i="241"/>
  <c r="Q10" i="241"/>
  <c r="P10" i="241"/>
  <c r="Q9" i="241"/>
  <c r="P9" i="241"/>
  <c r="Q75" i="241"/>
  <c r="P75" i="241"/>
  <c r="AB76" i="241"/>
  <c r="AC69" i="241" s="1"/>
  <c r="AA76" i="241"/>
  <c r="N76" i="241"/>
  <c r="M14" i="240" s="1"/>
  <c r="M15" i="240" s="1"/>
  <c r="Q68" i="241"/>
  <c r="R63" i="241" s="1"/>
  <c r="P68" i="241"/>
  <c r="Q59" i="241"/>
  <c r="P59" i="241"/>
  <c r="Q58" i="241"/>
  <c r="P58" i="241"/>
  <c r="AB62" i="241"/>
  <c r="AC58" i="241" s="1"/>
  <c r="AA62" i="241"/>
  <c r="Q49" i="241"/>
  <c r="P49" i="241"/>
  <c r="Q48" i="241"/>
  <c r="P48" i="241"/>
  <c r="AA57" i="241"/>
  <c r="N57" i="241"/>
  <c r="Q39" i="241"/>
  <c r="P39" i="241"/>
  <c r="Q38" i="241"/>
  <c r="P38" i="241"/>
  <c r="AA47" i="241"/>
  <c r="N47" i="241"/>
  <c r="L14" i="240" s="1"/>
  <c r="L15" i="240" s="1"/>
  <c r="AA37" i="241"/>
  <c r="N37" i="241"/>
  <c r="K14" i="240" s="1"/>
  <c r="AB28" i="241"/>
  <c r="AC21" i="241" s="1"/>
  <c r="AA28" i="241"/>
  <c r="N28" i="241"/>
  <c r="G14" i="240" s="1"/>
  <c r="G15" i="240" s="1"/>
  <c r="Q20" i="241"/>
  <c r="R14" i="241" s="1"/>
  <c r="P20" i="241"/>
  <c r="Q11" i="241"/>
  <c r="P11" i="241"/>
  <c r="Q40" i="239"/>
  <c r="P40" i="239"/>
  <c r="P23" i="239"/>
  <c r="Q23" i="239"/>
  <c r="Q26" i="239"/>
  <c r="P26" i="239"/>
  <c r="Q58" i="239"/>
  <c r="P58" i="239"/>
  <c r="Q45" i="239"/>
  <c r="P45" i="239"/>
  <c r="Q43" i="239"/>
  <c r="P43" i="239"/>
  <c r="Q30" i="239"/>
  <c r="P30" i="239"/>
  <c r="Q37" i="239"/>
  <c r="P37" i="239"/>
  <c r="AB49" i="239"/>
  <c r="AC42" i="239" s="1"/>
  <c r="AA49" i="239"/>
  <c r="N49" i="239"/>
  <c r="Q48" i="239"/>
  <c r="P48" i="239"/>
  <c r="I14" i="238"/>
  <c r="I15" i="238" s="1"/>
  <c r="Q54" i="239"/>
  <c r="R50" i="239" s="1"/>
  <c r="P54" i="239"/>
  <c r="N27" i="239"/>
  <c r="AB27" i="239"/>
  <c r="AC20" i="239" s="1"/>
  <c r="AA27" i="239"/>
  <c r="Q14" i="239"/>
  <c r="P14" i="239"/>
  <c r="Q34" i="239"/>
  <c r="P34" i="239"/>
  <c r="Q35" i="239"/>
  <c r="P35" i="239"/>
  <c r="Q63" i="239"/>
  <c r="P63" i="239"/>
  <c r="P36" i="239"/>
  <c r="Q36" i="239"/>
  <c r="Q55" i="239"/>
  <c r="P55" i="239"/>
  <c r="Q56" i="239"/>
  <c r="P56" i="239"/>
  <c r="Q12" i="239"/>
  <c r="P12" i="239"/>
  <c r="Q59" i="239"/>
  <c r="P59" i="239"/>
  <c r="Q32" i="239"/>
  <c r="P32" i="239"/>
  <c r="Q53" i="239"/>
  <c r="P53" i="239"/>
  <c r="AB13" i="239"/>
  <c r="AC9" i="239" s="1"/>
  <c r="AA13" i="239"/>
  <c r="N13" i="239"/>
  <c r="Q25" i="239"/>
  <c r="P25" i="239"/>
  <c r="AB66" i="239"/>
  <c r="AC61" i="239" s="1"/>
  <c r="AA66" i="239"/>
  <c r="N66" i="239"/>
  <c r="P46" i="239"/>
  <c r="Q46" i="239"/>
  <c r="AA19" i="239"/>
  <c r="N19" i="239"/>
  <c r="AB19" i="239"/>
  <c r="AC14" i="239" s="1"/>
  <c r="P50" i="239"/>
  <c r="Q50" i="239"/>
  <c r="Q16" i="239"/>
  <c r="P16" i="239"/>
  <c r="Q31" i="239"/>
  <c r="P31" i="239"/>
  <c r="Q9" i="239"/>
  <c r="P9" i="239"/>
  <c r="Q17" i="239"/>
  <c r="P17" i="239"/>
  <c r="D14" i="238"/>
  <c r="Q8" i="239"/>
  <c r="R5" i="239" s="1"/>
  <c r="P8" i="239"/>
  <c r="Q62" i="239"/>
  <c r="P62" i="239"/>
  <c r="P51" i="239"/>
  <c r="Q51" i="239"/>
  <c r="Q65" i="239"/>
  <c r="P65" i="239"/>
  <c r="Q38" i="239"/>
  <c r="P38" i="239"/>
  <c r="Q21" i="239"/>
  <c r="P21" i="239"/>
  <c r="P18" i="239"/>
  <c r="Q18" i="239"/>
  <c r="Q61" i="239"/>
  <c r="P61" i="239"/>
  <c r="AB41" i="239"/>
  <c r="AC34" i="239" s="1"/>
  <c r="AA41" i="239"/>
  <c r="N41" i="239"/>
  <c r="Q15" i="239"/>
  <c r="P15" i="239"/>
  <c r="AB60" i="239"/>
  <c r="AC55" i="239" s="1"/>
  <c r="AA60" i="239"/>
  <c r="N60" i="239"/>
  <c r="Q47" i="239"/>
  <c r="P47" i="239"/>
  <c r="Q7" i="239"/>
  <c r="P7" i="239"/>
  <c r="Q44" i="239"/>
  <c r="P44" i="239"/>
  <c r="Q22" i="239"/>
  <c r="P22" i="239"/>
  <c r="Q20" i="239"/>
  <c r="P20" i="239"/>
  <c r="Q42" i="239"/>
  <c r="P42" i="239"/>
  <c r="Q10" i="239"/>
  <c r="P10" i="239"/>
  <c r="P64" i="239"/>
  <c r="Q64" i="239"/>
  <c r="N19" i="237"/>
  <c r="AB19" i="237"/>
  <c r="AC14" i="237" s="1"/>
  <c r="AA19" i="237"/>
  <c r="Q32" i="237"/>
  <c r="P32" i="237"/>
  <c r="Q14" i="237"/>
  <c r="P14" i="237"/>
  <c r="Q26" i="237"/>
  <c r="P26" i="237"/>
  <c r="Q22" i="237"/>
  <c r="P22" i="237"/>
  <c r="Q46" i="237"/>
  <c r="P46" i="237"/>
  <c r="Q56" i="237"/>
  <c r="P56" i="237"/>
  <c r="AB13" i="237"/>
  <c r="AC9" i="237" s="1"/>
  <c r="AA13" i="237"/>
  <c r="N13" i="237"/>
  <c r="D14" i="236"/>
  <c r="Q8" i="237"/>
  <c r="R5" i="237" s="1"/>
  <c r="P8" i="237"/>
  <c r="Q48" i="237"/>
  <c r="P48" i="237"/>
  <c r="Q49" i="237"/>
  <c r="P49" i="237"/>
  <c r="Q59" i="237"/>
  <c r="P59" i="237"/>
  <c r="Q6" i="237"/>
  <c r="P6" i="237"/>
  <c r="AB41" i="237"/>
  <c r="AC34" i="237" s="1"/>
  <c r="AA41" i="237"/>
  <c r="N41" i="237"/>
  <c r="Q45" i="237"/>
  <c r="P45" i="237"/>
  <c r="Q9" i="237"/>
  <c r="P9" i="237"/>
  <c r="Q5" i="237"/>
  <c r="P5" i="237"/>
  <c r="P65" i="237"/>
  <c r="Q65" i="237"/>
  <c r="AB67" i="237"/>
  <c r="AC62" i="237" s="1"/>
  <c r="AA67" i="237"/>
  <c r="N67" i="237"/>
  <c r="Q7" i="237"/>
  <c r="P7" i="237"/>
  <c r="P47" i="237"/>
  <c r="Q47" i="237"/>
  <c r="P37" i="237"/>
  <c r="Q37" i="237"/>
  <c r="Q57" i="237"/>
  <c r="P57" i="237"/>
  <c r="Q21" i="237"/>
  <c r="P21" i="237"/>
  <c r="Q43" i="237"/>
  <c r="P43" i="237"/>
  <c r="Q34" i="237"/>
  <c r="P34" i="237"/>
  <c r="AB33" i="237"/>
  <c r="AC28" i="237" s="1"/>
  <c r="AA33" i="237"/>
  <c r="N33" i="237"/>
  <c r="Q38" i="237"/>
  <c r="P38" i="237"/>
  <c r="Q54" i="237"/>
  <c r="P54" i="237"/>
  <c r="Q18" i="237"/>
  <c r="P18" i="237"/>
  <c r="Q62" i="237"/>
  <c r="P62" i="237"/>
  <c r="Q24" i="237"/>
  <c r="P24" i="237"/>
  <c r="Q64" i="237"/>
  <c r="P64" i="237"/>
  <c r="Q39" i="237"/>
  <c r="P39" i="237"/>
  <c r="N55" i="237"/>
  <c r="AB55" i="237"/>
  <c r="AC51" i="237" s="1"/>
  <c r="AA55" i="237"/>
  <c r="Q20" i="237"/>
  <c r="P20" i="237"/>
  <c r="Q42" i="237"/>
  <c r="P42" i="237"/>
  <c r="N27" i="237"/>
  <c r="D2" i="237" s="1"/>
  <c r="AB27" i="237"/>
  <c r="AC20" i="237" s="1"/>
  <c r="AA27" i="237"/>
  <c r="Q10" i="237"/>
  <c r="P10" i="237"/>
  <c r="Q53" i="237"/>
  <c r="P53" i="237"/>
  <c r="Q60" i="237"/>
  <c r="P60" i="237"/>
  <c r="Q25" i="237"/>
  <c r="P25" i="237"/>
  <c r="Q66" i="237"/>
  <c r="P66" i="237"/>
  <c r="Q29" i="237"/>
  <c r="P29" i="237"/>
  <c r="Q28" i="237"/>
  <c r="P28" i="237"/>
  <c r="AB61" i="237"/>
  <c r="AC56" i="237" s="1"/>
  <c r="AA61" i="237"/>
  <c r="N61" i="237"/>
  <c r="Q52" i="237"/>
  <c r="P52" i="237"/>
  <c r="Q51" i="237"/>
  <c r="P51" i="237"/>
  <c r="Q31" i="237"/>
  <c r="P31" i="237"/>
  <c r="AB50" i="237"/>
  <c r="AC42" i="237" s="1"/>
  <c r="AA50" i="237"/>
  <c r="N50" i="237"/>
  <c r="Q15" i="237"/>
  <c r="P15" i="237"/>
  <c r="Q63" i="237"/>
  <c r="P63" i="237"/>
  <c r="Q44" i="237"/>
  <c r="P44" i="237"/>
  <c r="Q36" i="237"/>
  <c r="P36" i="237"/>
  <c r="Q17" i="237"/>
  <c r="P17" i="237"/>
  <c r="Q16" i="237"/>
  <c r="P16" i="237"/>
  <c r="Q11" i="237"/>
  <c r="P11" i="237"/>
  <c r="Q35" i="237"/>
  <c r="P35" i="237"/>
  <c r="G8" i="244" l="1"/>
  <c r="E8" i="244"/>
  <c r="F8" i="244"/>
  <c r="M15" i="242"/>
  <c r="I8" i="242" s="1"/>
  <c r="I7" i="242"/>
  <c r="E15" i="242"/>
  <c r="G7" i="242"/>
  <c r="F7" i="242"/>
  <c r="E7" i="242"/>
  <c r="K15" i="240"/>
  <c r="I8" i="240" s="1"/>
  <c r="I7" i="240"/>
  <c r="D2" i="241"/>
  <c r="P8" i="241"/>
  <c r="Q8" i="241"/>
  <c r="R5" i="241" s="1"/>
  <c r="D15" i="240"/>
  <c r="Q28" i="241"/>
  <c r="R21" i="241" s="1"/>
  <c r="P28" i="241"/>
  <c r="Q37" i="241"/>
  <c r="R29" i="241" s="1"/>
  <c r="P37" i="241"/>
  <c r="Q47" i="241"/>
  <c r="R38" i="241" s="1"/>
  <c r="P47" i="241"/>
  <c r="Q57" i="241"/>
  <c r="R48" i="241" s="1"/>
  <c r="P57" i="241"/>
  <c r="H14" i="240"/>
  <c r="H15" i="240" s="1"/>
  <c r="Q76" i="241"/>
  <c r="R69" i="241" s="1"/>
  <c r="P76" i="241"/>
  <c r="Q41" i="239"/>
  <c r="R34" i="239" s="1"/>
  <c r="P41" i="239"/>
  <c r="L14" i="238"/>
  <c r="Q66" i="239"/>
  <c r="R61" i="239" s="1"/>
  <c r="P66" i="239"/>
  <c r="M14" i="238"/>
  <c r="M15" i="238" s="1"/>
  <c r="Q49" i="239"/>
  <c r="R42" i="239" s="1"/>
  <c r="P49" i="239"/>
  <c r="H14" i="238"/>
  <c r="H15" i="238" s="1"/>
  <c r="Q13" i="239"/>
  <c r="R9" i="239" s="1"/>
  <c r="P13" i="239"/>
  <c r="E14" i="238"/>
  <c r="E15" i="238" s="1"/>
  <c r="P60" i="239"/>
  <c r="Q60" i="239"/>
  <c r="R55" i="239" s="1"/>
  <c r="J14" i="238"/>
  <c r="J15" i="238" s="1"/>
  <c r="D15" i="238"/>
  <c r="D2" i="239"/>
  <c r="Q19" i="239"/>
  <c r="R14" i="239" s="1"/>
  <c r="P19" i="239"/>
  <c r="F14" i="238"/>
  <c r="F15" i="238" s="1"/>
  <c r="P27" i="239"/>
  <c r="G14" i="238"/>
  <c r="G15" i="238" s="1"/>
  <c r="Q27" i="239"/>
  <c r="R20" i="239" s="1"/>
  <c r="D15" i="236"/>
  <c r="Q13" i="237"/>
  <c r="R9" i="237" s="1"/>
  <c r="P13" i="237"/>
  <c r="E14" i="236"/>
  <c r="E15" i="236" s="1"/>
  <c r="Q41" i="237"/>
  <c r="R34" i="237" s="1"/>
  <c r="P41" i="237"/>
  <c r="L14" i="236"/>
  <c r="L15" i="236" s="1"/>
  <c r="Q61" i="237"/>
  <c r="R56" i="237" s="1"/>
  <c r="P61" i="237"/>
  <c r="J14" i="236"/>
  <c r="J15" i="236" s="1"/>
  <c r="I14" i="236"/>
  <c r="I15" i="236" s="1"/>
  <c r="Q55" i="237"/>
  <c r="R51" i="237" s="1"/>
  <c r="P55" i="237"/>
  <c r="G14" i="236"/>
  <c r="G15" i="236" s="1"/>
  <c r="Q27" i="237"/>
  <c r="R20" i="237" s="1"/>
  <c r="P27" i="237"/>
  <c r="Q67" i="237"/>
  <c r="R62" i="237" s="1"/>
  <c r="P67" i="237"/>
  <c r="M14" i="236"/>
  <c r="M15" i="236" s="1"/>
  <c r="Q50" i="237"/>
  <c r="R42" i="237" s="1"/>
  <c r="P50" i="237"/>
  <c r="H14" i="236"/>
  <c r="H15" i="236" s="1"/>
  <c r="Q33" i="237"/>
  <c r="R28" i="237" s="1"/>
  <c r="P33" i="237"/>
  <c r="K14" i="236"/>
  <c r="Q19" i="237"/>
  <c r="R14" i="237" s="1"/>
  <c r="P19" i="237"/>
  <c r="F14" i="236"/>
  <c r="F15" i="236" s="1"/>
  <c r="G8" i="242" l="1"/>
  <c r="F8" i="242"/>
  <c r="E8" i="242"/>
  <c r="F7" i="240"/>
  <c r="E7" i="240"/>
  <c r="E8" i="240"/>
  <c r="G8" i="240"/>
  <c r="F8" i="240"/>
  <c r="G7" i="240"/>
  <c r="E7" i="238"/>
  <c r="F7" i="238"/>
  <c r="G7" i="238"/>
  <c r="G8" i="238"/>
  <c r="F8" i="238"/>
  <c r="L15" i="238"/>
  <c r="I8" i="238" s="1"/>
  <c r="I7" i="238"/>
  <c r="K15" i="236"/>
  <c r="I8" i="236" s="1"/>
  <c r="I7" i="236"/>
  <c r="E7" i="236"/>
  <c r="F7" i="236"/>
  <c r="G7" i="236"/>
  <c r="G8" i="236"/>
  <c r="E8" i="236"/>
  <c r="F8" i="236"/>
  <c r="E8" i="238" l="1"/>
  <c r="O77" i="235" l="1"/>
  <c r="K77" i="235"/>
  <c r="AA76" i="235"/>
  <c r="V76" i="235"/>
  <c r="U76" i="235"/>
  <c r="O76" i="235"/>
  <c r="M76" i="235"/>
  <c r="N76" i="235" s="1"/>
  <c r="K76" i="235"/>
  <c r="G76" i="235"/>
  <c r="AA75" i="235"/>
  <c r="V75" i="235"/>
  <c r="U75" i="235"/>
  <c r="O75" i="235"/>
  <c r="M75" i="235"/>
  <c r="N75" i="235" s="1"/>
  <c r="K75" i="235"/>
  <c r="G75" i="235"/>
  <c r="AB74" i="235"/>
  <c r="AA74" i="235"/>
  <c r="V74" i="235"/>
  <c r="U74" i="235"/>
  <c r="Q74" i="235"/>
  <c r="P74" i="235"/>
  <c r="O74" i="235"/>
  <c r="N74" i="235"/>
  <c r="M74" i="235"/>
  <c r="K74" i="235"/>
  <c r="G74" i="235"/>
  <c r="AA73" i="235"/>
  <c r="V73" i="235"/>
  <c r="U73" i="235"/>
  <c r="O73" i="235"/>
  <c r="M73" i="235"/>
  <c r="N73" i="235" s="1"/>
  <c r="K73" i="235"/>
  <c r="G73" i="235"/>
  <c r="AB72" i="235"/>
  <c r="AA72" i="235"/>
  <c r="V72" i="235"/>
  <c r="U72" i="235"/>
  <c r="Q72" i="235"/>
  <c r="P72" i="235"/>
  <c r="O72" i="235"/>
  <c r="N72" i="235"/>
  <c r="M72" i="235"/>
  <c r="K72" i="235"/>
  <c r="G72" i="235"/>
  <c r="AA71" i="235"/>
  <c r="V71" i="235"/>
  <c r="U71" i="235"/>
  <c r="O71" i="235"/>
  <c r="N71" i="235"/>
  <c r="Q71" i="235" s="1"/>
  <c r="M71" i="235"/>
  <c r="AB71" i="235" s="1"/>
  <c r="K71" i="235"/>
  <c r="G71" i="235"/>
  <c r="AB70" i="235"/>
  <c r="AA70" i="235"/>
  <c r="V70" i="235"/>
  <c r="U70" i="235"/>
  <c r="O70" i="235"/>
  <c r="N70" i="235"/>
  <c r="P70" i="235" s="1"/>
  <c r="M70" i="235"/>
  <c r="K70" i="235"/>
  <c r="G70" i="235"/>
  <c r="AB69" i="235"/>
  <c r="AA69" i="235"/>
  <c r="V69" i="235"/>
  <c r="O69" i="235"/>
  <c r="N69" i="235"/>
  <c r="P69" i="235" s="1"/>
  <c r="M69" i="235"/>
  <c r="K69" i="235"/>
  <c r="G69" i="235"/>
  <c r="O68" i="235"/>
  <c r="K68" i="235"/>
  <c r="AB67" i="235"/>
  <c r="AA67" i="235"/>
  <c r="V67" i="235"/>
  <c r="U67" i="235"/>
  <c r="Q67" i="235"/>
  <c r="P67" i="235"/>
  <c r="O67" i="235"/>
  <c r="N67" i="235"/>
  <c r="M67" i="235"/>
  <c r="K67" i="235"/>
  <c r="G67" i="235"/>
  <c r="AA66" i="235"/>
  <c r="V66" i="235"/>
  <c r="U66" i="235"/>
  <c r="O66" i="235"/>
  <c r="M66" i="235"/>
  <c r="N66" i="235" s="1"/>
  <c r="K66" i="235"/>
  <c r="G66" i="235"/>
  <c r="AA65" i="235"/>
  <c r="V65" i="235"/>
  <c r="U65" i="235"/>
  <c r="O65" i="235"/>
  <c r="M65" i="235"/>
  <c r="N65" i="235" s="1"/>
  <c r="K65" i="235"/>
  <c r="G65" i="235"/>
  <c r="AB64" i="235"/>
  <c r="AA64" i="235"/>
  <c r="V64" i="235"/>
  <c r="U64" i="235"/>
  <c r="Q64" i="235"/>
  <c r="P64" i="235"/>
  <c r="O64" i="235"/>
  <c r="N64" i="235"/>
  <c r="M64" i="235"/>
  <c r="K64" i="235"/>
  <c r="G64" i="235"/>
  <c r="AB63" i="235"/>
  <c r="AA63" i="235"/>
  <c r="V63" i="235"/>
  <c r="Q63" i="235"/>
  <c r="P63" i="235"/>
  <c r="O63" i="235"/>
  <c r="N63" i="235"/>
  <c r="M63" i="235"/>
  <c r="K63" i="235"/>
  <c r="G63" i="235"/>
  <c r="O62" i="235"/>
  <c r="N62" i="235"/>
  <c r="I14" i="234" s="1"/>
  <c r="I15" i="234" s="1"/>
  <c r="M62" i="235"/>
  <c r="AB62" i="235" s="1"/>
  <c r="AC58" i="235" s="1"/>
  <c r="K62" i="235"/>
  <c r="AB61" i="235"/>
  <c r="AA61" i="235"/>
  <c r="V61" i="235"/>
  <c r="U61" i="235"/>
  <c r="O61" i="235"/>
  <c r="N61" i="235"/>
  <c r="Q61" i="235" s="1"/>
  <c r="M61" i="235"/>
  <c r="K61" i="235"/>
  <c r="G61" i="235"/>
  <c r="AB60" i="235"/>
  <c r="AA60" i="235"/>
  <c r="V60" i="235"/>
  <c r="U60" i="235"/>
  <c r="Q60" i="235"/>
  <c r="P60" i="235"/>
  <c r="O60" i="235"/>
  <c r="N60" i="235"/>
  <c r="M60" i="235"/>
  <c r="K60" i="235"/>
  <c r="G60" i="235"/>
  <c r="AB59" i="235"/>
  <c r="AA59" i="235"/>
  <c r="V59" i="235"/>
  <c r="U59" i="235"/>
  <c r="Q59" i="235"/>
  <c r="P59" i="235"/>
  <c r="O59" i="235"/>
  <c r="N59" i="235"/>
  <c r="M59" i="235"/>
  <c r="K59" i="235"/>
  <c r="G59" i="235"/>
  <c r="AB58" i="235"/>
  <c r="AA58" i="235"/>
  <c r="V58" i="235"/>
  <c r="Q58" i="235"/>
  <c r="P58" i="235"/>
  <c r="O58" i="235"/>
  <c r="N58" i="235"/>
  <c r="M58" i="235"/>
  <c r="K58" i="235"/>
  <c r="G58" i="235"/>
  <c r="AB57" i="235"/>
  <c r="AC47" i="235" s="1"/>
  <c r="O57" i="235"/>
  <c r="M57" i="235"/>
  <c r="N57" i="235" s="1"/>
  <c r="K57" i="235"/>
  <c r="AB56" i="235"/>
  <c r="AA56" i="235"/>
  <c r="V56" i="235"/>
  <c r="U56" i="235"/>
  <c r="Q56" i="235"/>
  <c r="P56" i="235"/>
  <c r="O56" i="235"/>
  <c r="N56" i="235"/>
  <c r="M56" i="235"/>
  <c r="K56" i="235"/>
  <c r="G56" i="235"/>
  <c r="AA55" i="235"/>
  <c r="V55" i="235"/>
  <c r="U55" i="235"/>
  <c r="O55" i="235"/>
  <c r="M55" i="235"/>
  <c r="N55" i="235" s="1"/>
  <c r="K55" i="235"/>
  <c r="G55" i="235"/>
  <c r="AB54" i="235"/>
  <c r="AA54" i="235"/>
  <c r="V54" i="235"/>
  <c r="U54" i="235"/>
  <c r="P54" i="235"/>
  <c r="O54" i="235"/>
  <c r="N54" i="235"/>
  <c r="Q54" i="235" s="1"/>
  <c r="M54" i="235"/>
  <c r="K54" i="235"/>
  <c r="G54" i="235"/>
  <c r="AB53" i="235"/>
  <c r="AA53" i="235"/>
  <c r="V53" i="235"/>
  <c r="U53" i="235"/>
  <c r="Q53" i="235"/>
  <c r="P53" i="235"/>
  <c r="O53" i="235"/>
  <c r="N53" i="235"/>
  <c r="M53" i="235"/>
  <c r="K53" i="235"/>
  <c r="G53" i="235"/>
  <c r="AB52" i="235"/>
  <c r="AA52" i="235"/>
  <c r="V52" i="235"/>
  <c r="U52" i="235"/>
  <c r="O52" i="235"/>
  <c r="N52" i="235"/>
  <c r="P52" i="235" s="1"/>
  <c r="M52" i="235"/>
  <c r="K52" i="235"/>
  <c r="G52" i="235"/>
  <c r="AB51" i="235"/>
  <c r="AA51" i="235"/>
  <c r="V51" i="235"/>
  <c r="U51" i="235"/>
  <c r="O51" i="235"/>
  <c r="N51" i="235"/>
  <c r="Q51" i="235" s="1"/>
  <c r="M51" i="235"/>
  <c r="K51" i="235"/>
  <c r="G51" i="235"/>
  <c r="AB50" i="235"/>
  <c r="AA50" i="235"/>
  <c r="V50" i="235"/>
  <c r="U50" i="235"/>
  <c r="Q50" i="235"/>
  <c r="P50" i="235"/>
  <c r="O50" i="235"/>
  <c r="N50" i="235"/>
  <c r="M50" i="235"/>
  <c r="K50" i="235"/>
  <c r="G50" i="235"/>
  <c r="AB49" i="235"/>
  <c r="AA49" i="235"/>
  <c r="V49" i="235"/>
  <c r="U49" i="235"/>
  <c r="Q49" i="235"/>
  <c r="P49" i="235"/>
  <c r="O49" i="235"/>
  <c r="N49" i="235"/>
  <c r="M49" i="235"/>
  <c r="K49" i="235"/>
  <c r="G49" i="235"/>
  <c r="AB48" i="235"/>
  <c r="AA48" i="235"/>
  <c r="V48" i="235"/>
  <c r="U48" i="235"/>
  <c r="Q48" i="235"/>
  <c r="P48" i="235"/>
  <c r="O48" i="235"/>
  <c r="N48" i="235"/>
  <c r="M48" i="235"/>
  <c r="K48" i="235"/>
  <c r="G48" i="235"/>
  <c r="AB47" i="235"/>
  <c r="AA47" i="235"/>
  <c r="V47" i="235"/>
  <c r="Q47" i="235"/>
  <c r="P47" i="235"/>
  <c r="O47" i="235"/>
  <c r="N47" i="235"/>
  <c r="M47" i="235"/>
  <c r="K47" i="235"/>
  <c r="G47" i="235"/>
  <c r="O46" i="235"/>
  <c r="K46" i="235"/>
  <c r="AA45" i="235"/>
  <c r="V45" i="235"/>
  <c r="U45" i="235"/>
  <c r="O45" i="235"/>
  <c r="M45" i="235"/>
  <c r="N45" i="235" s="1"/>
  <c r="K45" i="235"/>
  <c r="G45" i="235"/>
  <c r="AB44" i="235"/>
  <c r="AA44" i="235"/>
  <c r="V44" i="235"/>
  <c r="U44" i="235"/>
  <c r="P44" i="235"/>
  <c r="O44" i="235"/>
  <c r="N44" i="235"/>
  <c r="Q44" i="235" s="1"/>
  <c r="M44" i="235"/>
  <c r="K44" i="235"/>
  <c r="G44" i="235"/>
  <c r="AB43" i="235"/>
  <c r="AA43" i="235"/>
  <c r="V43" i="235"/>
  <c r="U43" i="235"/>
  <c r="O43" i="235"/>
  <c r="N43" i="235"/>
  <c r="Q43" i="235" s="1"/>
  <c r="M43" i="235"/>
  <c r="K43" i="235"/>
  <c r="G43" i="235"/>
  <c r="V42" i="235"/>
  <c r="U42" i="235"/>
  <c r="O42" i="235"/>
  <c r="M42" i="235"/>
  <c r="AA42" i="235" s="1"/>
  <c r="K42" i="235"/>
  <c r="G42" i="235"/>
  <c r="AB41" i="235"/>
  <c r="AA41" i="235"/>
  <c r="V41" i="235"/>
  <c r="U41" i="235"/>
  <c r="O41" i="235"/>
  <c r="N41" i="235"/>
  <c r="Q41" i="235" s="1"/>
  <c r="M41" i="235"/>
  <c r="K41" i="235"/>
  <c r="G41" i="235"/>
  <c r="AB40" i="235"/>
  <c r="AA40" i="235"/>
  <c r="V40" i="235"/>
  <c r="U40" i="235"/>
  <c r="Q40" i="235"/>
  <c r="P40" i="235"/>
  <c r="O40" i="235"/>
  <c r="N40" i="235"/>
  <c r="M40" i="235"/>
  <c r="K40" i="235"/>
  <c r="G40" i="235"/>
  <c r="AB39" i="235"/>
  <c r="AA39" i="235"/>
  <c r="V39" i="235"/>
  <c r="Q39" i="235"/>
  <c r="P39" i="235"/>
  <c r="O39" i="235"/>
  <c r="N39" i="235"/>
  <c r="M39" i="235"/>
  <c r="K39" i="235"/>
  <c r="G39" i="235"/>
  <c r="O38" i="235"/>
  <c r="K38" i="235"/>
  <c r="AA37" i="235"/>
  <c r="V37" i="235"/>
  <c r="U37" i="235"/>
  <c r="O37" i="235"/>
  <c r="M37" i="235"/>
  <c r="N37" i="235" s="1"/>
  <c r="K37" i="235"/>
  <c r="G37" i="235"/>
  <c r="AB36" i="235"/>
  <c r="AA36" i="235"/>
  <c r="V36" i="235"/>
  <c r="U36" i="235"/>
  <c r="Q36" i="235"/>
  <c r="P36" i="235"/>
  <c r="O36" i="235"/>
  <c r="N36" i="235"/>
  <c r="M36" i="235"/>
  <c r="K36" i="235"/>
  <c r="G36" i="235"/>
  <c r="AA35" i="235"/>
  <c r="V35" i="235"/>
  <c r="U35" i="235"/>
  <c r="O35" i="235"/>
  <c r="M35" i="235"/>
  <c r="N35" i="235" s="1"/>
  <c r="K35" i="235"/>
  <c r="G35" i="235"/>
  <c r="AB34" i="235"/>
  <c r="AA34" i="235"/>
  <c r="V34" i="235"/>
  <c r="U34" i="235"/>
  <c r="P34" i="235"/>
  <c r="O34" i="235"/>
  <c r="N34" i="235"/>
  <c r="Q34" i="235" s="1"/>
  <c r="M34" i="235"/>
  <c r="K34" i="235"/>
  <c r="G34" i="235"/>
  <c r="AB33" i="235"/>
  <c r="AA33" i="235"/>
  <c r="V33" i="235"/>
  <c r="U33" i="235"/>
  <c r="O33" i="235"/>
  <c r="N33" i="235"/>
  <c r="Q33" i="235" s="1"/>
  <c r="M33" i="235"/>
  <c r="K33" i="235"/>
  <c r="G33" i="235"/>
  <c r="V32" i="235"/>
  <c r="U32" i="235"/>
  <c r="O32" i="235"/>
  <c r="M32" i="235"/>
  <c r="AA32" i="235" s="1"/>
  <c r="K32" i="235"/>
  <c r="G32" i="235"/>
  <c r="AB31" i="235"/>
  <c r="AA31" i="235"/>
  <c r="V31" i="235"/>
  <c r="U31" i="235"/>
  <c r="O31" i="235"/>
  <c r="N31" i="235"/>
  <c r="Q31" i="235" s="1"/>
  <c r="M31" i="235"/>
  <c r="K31" i="235"/>
  <c r="G31" i="235"/>
  <c r="AB30" i="235"/>
  <c r="AA30" i="235"/>
  <c r="V30" i="235"/>
  <c r="U30" i="235"/>
  <c r="Q30" i="235"/>
  <c r="P30" i="235"/>
  <c r="O30" i="235"/>
  <c r="N30" i="235"/>
  <c r="M30" i="235"/>
  <c r="K30" i="235"/>
  <c r="G30" i="235"/>
  <c r="AB29" i="235"/>
  <c r="AA29" i="235"/>
  <c r="V29" i="235"/>
  <c r="Q29" i="235"/>
  <c r="P29" i="235"/>
  <c r="O29" i="235"/>
  <c r="N29" i="235"/>
  <c r="M29" i="235"/>
  <c r="K29" i="235"/>
  <c r="G29" i="235"/>
  <c r="O28" i="235"/>
  <c r="K28" i="235"/>
  <c r="AA27" i="235"/>
  <c r="V27" i="235"/>
  <c r="U27" i="235"/>
  <c r="O27" i="235"/>
  <c r="M27" i="235"/>
  <c r="N27" i="235" s="1"/>
  <c r="K27" i="235"/>
  <c r="G27" i="235"/>
  <c r="AB26" i="235"/>
  <c r="AA26" i="235"/>
  <c r="V26" i="235"/>
  <c r="U26" i="235"/>
  <c r="Q26" i="235"/>
  <c r="P26" i="235"/>
  <c r="O26" i="235"/>
  <c r="N26" i="235"/>
  <c r="M26" i="235"/>
  <c r="K26" i="235"/>
  <c r="G26" i="235"/>
  <c r="AA25" i="235"/>
  <c r="V25" i="235"/>
  <c r="U25" i="235"/>
  <c r="O25" i="235"/>
  <c r="M25" i="235"/>
  <c r="N25" i="235" s="1"/>
  <c r="K25" i="235"/>
  <c r="G25" i="235"/>
  <c r="AB24" i="235"/>
  <c r="AA24" i="235"/>
  <c r="V24" i="235"/>
  <c r="U24" i="235"/>
  <c r="P24" i="235"/>
  <c r="O24" i="235"/>
  <c r="N24" i="235"/>
  <c r="Q24" i="235" s="1"/>
  <c r="M24" i="235"/>
  <c r="K24" i="235"/>
  <c r="G24" i="235"/>
  <c r="AB23" i="235"/>
  <c r="AA23" i="235"/>
  <c r="V23" i="235"/>
  <c r="U23" i="235"/>
  <c r="O23" i="235"/>
  <c r="N23" i="235"/>
  <c r="Q23" i="235" s="1"/>
  <c r="M23" i="235"/>
  <c r="K23" i="235"/>
  <c r="G23" i="235"/>
  <c r="V22" i="235"/>
  <c r="U22" i="235"/>
  <c r="O22" i="235"/>
  <c r="M22" i="235"/>
  <c r="AA22" i="235" s="1"/>
  <c r="K22" i="235"/>
  <c r="G22" i="235"/>
  <c r="V21" i="235"/>
  <c r="O21" i="235"/>
  <c r="M21" i="235"/>
  <c r="AA21" i="235" s="1"/>
  <c r="K21" i="235"/>
  <c r="G21" i="235"/>
  <c r="O20" i="235"/>
  <c r="K20" i="235"/>
  <c r="AB19" i="235"/>
  <c r="AA19" i="235"/>
  <c r="V19" i="235"/>
  <c r="U19" i="235"/>
  <c r="O19" i="235"/>
  <c r="N19" i="235"/>
  <c r="Q19" i="235" s="1"/>
  <c r="M19" i="235"/>
  <c r="K19" i="235"/>
  <c r="G19" i="235"/>
  <c r="V18" i="235"/>
  <c r="M18" i="235" s="1"/>
  <c r="U18" i="235"/>
  <c r="O18" i="235"/>
  <c r="K18" i="235"/>
  <c r="G18" i="235"/>
  <c r="AA17" i="235"/>
  <c r="V17" i="235"/>
  <c r="U17" i="235"/>
  <c r="O17" i="235"/>
  <c r="M17" i="235"/>
  <c r="N17" i="235" s="1"/>
  <c r="K17" i="235"/>
  <c r="G17" i="235"/>
  <c r="AB16" i="235"/>
  <c r="AA16" i="235"/>
  <c r="V16" i="235"/>
  <c r="U16" i="235"/>
  <c r="Q16" i="235"/>
  <c r="P16" i="235"/>
  <c r="O16" i="235"/>
  <c r="N16" i="235"/>
  <c r="M16" i="235"/>
  <c r="K16" i="235"/>
  <c r="G16" i="235"/>
  <c r="AA15" i="235"/>
  <c r="V15" i="235"/>
  <c r="U15" i="235"/>
  <c r="O15" i="235"/>
  <c r="M15" i="235"/>
  <c r="N15" i="235" s="1"/>
  <c r="K15" i="235"/>
  <c r="G15" i="235"/>
  <c r="AA14" i="235"/>
  <c r="V14" i="235"/>
  <c r="O14" i="235"/>
  <c r="M14" i="235"/>
  <c r="N14" i="235" s="1"/>
  <c r="K14" i="235"/>
  <c r="G14" i="235"/>
  <c r="O13" i="235"/>
  <c r="M13" i="235"/>
  <c r="AB13" i="235" s="1"/>
  <c r="AC9" i="235" s="1"/>
  <c r="K13" i="235"/>
  <c r="AB12" i="235"/>
  <c r="AA12" i="235"/>
  <c r="V12" i="235"/>
  <c r="U12" i="235"/>
  <c r="Q12" i="235"/>
  <c r="P12" i="235"/>
  <c r="O12" i="235"/>
  <c r="N12" i="235"/>
  <c r="M12" i="235"/>
  <c r="K12" i="235"/>
  <c r="G12" i="235"/>
  <c r="F1" i="235" s="1"/>
  <c r="AB11" i="235"/>
  <c r="AA11" i="235"/>
  <c r="V11" i="235"/>
  <c r="U11" i="235"/>
  <c r="Q11" i="235"/>
  <c r="P11" i="235"/>
  <c r="O11" i="235"/>
  <c r="N11" i="235"/>
  <c r="M11" i="235"/>
  <c r="K11" i="235"/>
  <c r="G11" i="235"/>
  <c r="AB10" i="235"/>
  <c r="AA10" i="235"/>
  <c r="V10" i="235"/>
  <c r="U10" i="235"/>
  <c r="Q10" i="235"/>
  <c r="P10" i="235"/>
  <c r="O10" i="235"/>
  <c r="N10" i="235"/>
  <c r="M10" i="235"/>
  <c r="K10" i="235"/>
  <c r="G10" i="235"/>
  <c r="AB9" i="235"/>
  <c r="AA9" i="235"/>
  <c r="V9" i="235"/>
  <c r="Q9" i="235"/>
  <c r="P9" i="235"/>
  <c r="O9" i="235"/>
  <c r="N9" i="235"/>
  <c r="M9" i="235"/>
  <c r="K9" i="235"/>
  <c r="G9" i="235"/>
  <c r="AB8" i="235"/>
  <c r="AC5" i="235" s="1"/>
  <c r="AA8" i="235"/>
  <c r="O8" i="235"/>
  <c r="M8" i="235"/>
  <c r="N8" i="235" s="1"/>
  <c r="K8" i="235"/>
  <c r="AA7" i="235"/>
  <c r="V7" i="235"/>
  <c r="U7" i="235"/>
  <c r="O7" i="235"/>
  <c r="M7" i="235"/>
  <c r="N7" i="235" s="1"/>
  <c r="K7" i="235"/>
  <c r="G7" i="235"/>
  <c r="AB6" i="235"/>
  <c r="AA6" i="235"/>
  <c r="V6" i="235"/>
  <c r="U6" i="235"/>
  <c r="P6" i="235"/>
  <c r="O6" i="235"/>
  <c r="N6" i="235"/>
  <c r="Q6" i="235" s="1"/>
  <c r="M6" i="235"/>
  <c r="K6" i="235"/>
  <c r="G6" i="235"/>
  <c r="AB5" i="235"/>
  <c r="AA5" i="235"/>
  <c r="V5" i="235"/>
  <c r="P5" i="235"/>
  <c r="O5" i="235"/>
  <c r="N5" i="235"/>
  <c r="Q5" i="235" s="1"/>
  <c r="M5" i="235"/>
  <c r="K5" i="235"/>
  <c r="G5" i="235"/>
  <c r="H2" i="235"/>
  <c r="H1" i="235"/>
  <c r="D1" i="235"/>
  <c r="M18" i="234"/>
  <c r="L18" i="234"/>
  <c r="K18" i="234"/>
  <c r="J18" i="234"/>
  <c r="I18" i="234"/>
  <c r="H18" i="234"/>
  <c r="G18" i="234"/>
  <c r="F18" i="234"/>
  <c r="E18" i="234"/>
  <c r="D18" i="234"/>
  <c r="M17" i="234"/>
  <c r="L17" i="234"/>
  <c r="K17" i="234"/>
  <c r="J17" i="234"/>
  <c r="I17" i="234"/>
  <c r="H17" i="234"/>
  <c r="G17" i="234"/>
  <c r="F17" i="234"/>
  <c r="E17" i="234"/>
  <c r="D17" i="234"/>
  <c r="M16" i="234"/>
  <c r="L16" i="234"/>
  <c r="K16" i="234"/>
  <c r="J16" i="234"/>
  <c r="I16" i="234"/>
  <c r="H16" i="234"/>
  <c r="G16" i="234"/>
  <c r="F16" i="234"/>
  <c r="E16" i="234"/>
  <c r="D16" i="234"/>
  <c r="M13" i="234"/>
  <c r="L13" i="234"/>
  <c r="K13" i="234"/>
  <c r="I6" i="234" s="1"/>
  <c r="J13" i="234"/>
  <c r="I13" i="234"/>
  <c r="H13" i="234"/>
  <c r="G6" i="234" s="1"/>
  <c r="G13" i="234"/>
  <c r="F13" i="234"/>
  <c r="E13" i="234"/>
  <c r="D13" i="234"/>
  <c r="F3" i="234"/>
  <c r="C3" i="234"/>
  <c r="P45" i="235" l="1"/>
  <c r="Q45" i="235"/>
  <c r="Q57" i="235"/>
  <c r="R47" i="235" s="1"/>
  <c r="P57" i="235"/>
  <c r="H14" i="234"/>
  <c r="H15" i="234" s="1"/>
  <c r="P7" i="235"/>
  <c r="Q7" i="235"/>
  <c r="P35" i="235"/>
  <c r="Q35" i="235"/>
  <c r="P65" i="235"/>
  <c r="Q65" i="235"/>
  <c r="P27" i="235"/>
  <c r="Q27" i="235"/>
  <c r="P17" i="235"/>
  <c r="Q17" i="235"/>
  <c r="Q76" i="235"/>
  <c r="P76" i="235"/>
  <c r="P25" i="235"/>
  <c r="Q25" i="235"/>
  <c r="P15" i="235"/>
  <c r="Q15" i="235"/>
  <c r="Q66" i="235"/>
  <c r="P66" i="235"/>
  <c r="P8" i="235"/>
  <c r="D14" i="234"/>
  <c r="Q8" i="235"/>
  <c r="R5" i="235" s="1"/>
  <c r="F2" i="235"/>
  <c r="I3" i="234"/>
  <c r="P55" i="235"/>
  <c r="Q55" i="235"/>
  <c r="N18" i="235"/>
  <c r="AA18" i="235"/>
  <c r="AB18" i="235"/>
  <c r="P37" i="235"/>
  <c r="Q37" i="235"/>
  <c r="P75" i="235"/>
  <c r="Q75" i="235"/>
  <c r="P14" i="235"/>
  <c r="Q14" i="235"/>
  <c r="P73" i="235"/>
  <c r="Q73" i="235"/>
  <c r="AA57" i="235"/>
  <c r="P23" i="235"/>
  <c r="P33" i="235"/>
  <c r="P43" i="235"/>
  <c r="P62" i="235"/>
  <c r="AB66" i="235"/>
  <c r="P71" i="235"/>
  <c r="AB76" i="235"/>
  <c r="F6" i="234"/>
  <c r="N13" i="235"/>
  <c r="N21" i="235"/>
  <c r="N22" i="235"/>
  <c r="N32" i="235"/>
  <c r="N42" i="235"/>
  <c r="E6" i="234"/>
  <c r="P31" i="235"/>
  <c r="P41" i="235"/>
  <c r="P51" i="235"/>
  <c r="Q52" i="235"/>
  <c r="P61" i="235"/>
  <c r="AA62" i="235"/>
  <c r="Q69" i="235"/>
  <c r="Q70" i="235"/>
  <c r="M77" i="235"/>
  <c r="AB17" i="235"/>
  <c r="M20" i="235"/>
  <c r="AB27" i="235"/>
  <c r="AB37" i="235"/>
  <c r="Q62" i="235"/>
  <c r="R58" i="235" s="1"/>
  <c r="AB65" i="235"/>
  <c r="M68" i="235"/>
  <c r="AB75" i="235"/>
  <c r="AB7" i="235"/>
  <c r="AA13" i="235"/>
  <c r="AB14" i="235"/>
  <c r="AB15" i="235"/>
  <c r="AB25" i="235"/>
  <c r="M28" i="235"/>
  <c r="AB35" i="235"/>
  <c r="M38" i="235"/>
  <c r="AB45" i="235"/>
  <c r="AB55" i="235"/>
  <c r="AB73" i="235"/>
  <c r="M46" i="235"/>
  <c r="P19" i="235"/>
  <c r="AB21" i="235"/>
  <c r="AB22" i="235"/>
  <c r="AB32" i="235"/>
  <c r="AB42" i="235"/>
  <c r="O80" i="233"/>
  <c r="K80" i="233"/>
  <c r="AB79" i="233"/>
  <c r="V79" i="233"/>
  <c r="M79" i="233" s="1"/>
  <c r="U79" i="233"/>
  <c r="O79" i="233"/>
  <c r="K79" i="233"/>
  <c r="G79" i="233"/>
  <c r="AB78" i="233"/>
  <c r="AA78" i="233"/>
  <c r="V78" i="233"/>
  <c r="U78" i="233"/>
  <c r="Q78" i="233"/>
  <c r="O78" i="233"/>
  <c r="M78" i="233"/>
  <c r="N78" i="233" s="1"/>
  <c r="P78" i="233" s="1"/>
  <c r="K78" i="233"/>
  <c r="G78" i="233"/>
  <c r="AA77" i="233"/>
  <c r="V77" i="233"/>
  <c r="M77" i="233" s="1"/>
  <c r="U77" i="233"/>
  <c r="O77" i="233"/>
  <c r="K77" i="233"/>
  <c r="G77" i="233"/>
  <c r="V76" i="233"/>
  <c r="M76" i="233" s="1"/>
  <c r="U76" i="233"/>
  <c r="O76" i="233"/>
  <c r="K76" i="233"/>
  <c r="G76" i="233"/>
  <c r="V75" i="233"/>
  <c r="M75" i="233" s="1"/>
  <c r="U75" i="233"/>
  <c r="Q75" i="233"/>
  <c r="O75" i="233"/>
  <c r="N75" i="233"/>
  <c r="P75" i="233" s="1"/>
  <c r="K75" i="233"/>
  <c r="G75" i="233"/>
  <c r="V74" i="233"/>
  <c r="U74" i="233"/>
  <c r="O74" i="233"/>
  <c r="M74" i="233"/>
  <c r="K74" i="233"/>
  <c r="G74" i="233"/>
  <c r="AA73" i="233"/>
  <c r="V73" i="233"/>
  <c r="U73" i="233"/>
  <c r="O73" i="233"/>
  <c r="M73" i="233"/>
  <c r="AB73" i="233" s="1"/>
  <c r="K73" i="233"/>
  <c r="G73" i="233"/>
  <c r="AA72" i="233"/>
  <c r="V72" i="233"/>
  <c r="O72" i="233"/>
  <c r="M72" i="233"/>
  <c r="AB72" i="233" s="1"/>
  <c r="K72" i="233"/>
  <c r="G72" i="233"/>
  <c r="O71" i="233"/>
  <c r="M71" i="233"/>
  <c r="K71" i="233"/>
  <c r="V70" i="233"/>
  <c r="M70" i="233" s="1"/>
  <c r="U70" i="233"/>
  <c r="O70" i="233"/>
  <c r="K70" i="233"/>
  <c r="G70" i="233"/>
  <c r="AB69" i="233"/>
  <c r="V69" i="233"/>
  <c r="M69" i="233" s="1"/>
  <c r="U69" i="233"/>
  <c r="O69" i="233"/>
  <c r="K69" i="233"/>
  <c r="G69" i="233"/>
  <c r="AB68" i="233"/>
  <c r="AA68" i="233"/>
  <c r="V68" i="233"/>
  <c r="U68" i="233"/>
  <c r="Q68" i="233"/>
  <c r="O68" i="233"/>
  <c r="M68" i="233"/>
  <c r="N68" i="233" s="1"/>
  <c r="P68" i="233" s="1"/>
  <c r="K68" i="233"/>
  <c r="G68" i="233"/>
  <c r="AA67" i="233"/>
  <c r="V67" i="233"/>
  <c r="M67" i="233" s="1"/>
  <c r="U67" i="233"/>
  <c r="O67" i="233"/>
  <c r="K67" i="233"/>
  <c r="G67" i="233"/>
  <c r="AA66" i="233"/>
  <c r="V66" i="233"/>
  <c r="M66" i="233" s="1"/>
  <c r="O66" i="233"/>
  <c r="K66" i="233"/>
  <c r="G66" i="233"/>
  <c r="O65" i="233"/>
  <c r="M65" i="233"/>
  <c r="K65" i="233"/>
  <c r="V64" i="233"/>
  <c r="M64" i="233" s="1"/>
  <c r="U64" i="233"/>
  <c r="O64" i="233"/>
  <c r="N64" i="233"/>
  <c r="K64" i="233"/>
  <c r="G64" i="233"/>
  <c r="V63" i="233"/>
  <c r="U63" i="233"/>
  <c r="O63" i="233"/>
  <c r="N63" i="233"/>
  <c r="M63" i="233"/>
  <c r="K63" i="233"/>
  <c r="G63" i="233"/>
  <c r="AB62" i="233"/>
  <c r="V62" i="233"/>
  <c r="U62" i="233"/>
  <c r="O62" i="233"/>
  <c r="M62" i="233"/>
  <c r="K62" i="233"/>
  <c r="G62" i="233"/>
  <c r="AB61" i="233"/>
  <c r="V61" i="233"/>
  <c r="O61" i="233"/>
  <c r="M61" i="233"/>
  <c r="K61" i="233"/>
  <c r="G61" i="233"/>
  <c r="O60" i="233"/>
  <c r="K60" i="233"/>
  <c r="AA59" i="233"/>
  <c r="V59" i="233"/>
  <c r="M59" i="233" s="1"/>
  <c r="U59" i="233"/>
  <c r="O59" i="233"/>
  <c r="K59" i="233"/>
  <c r="G59" i="233"/>
  <c r="V58" i="233"/>
  <c r="M58" i="233" s="1"/>
  <c r="U58" i="233"/>
  <c r="O58" i="233"/>
  <c r="K58" i="233"/>
  <c r="G58" i="233"/>
  <c r="V57" i="233"/>
  <c r="M57" i="233" s="1"/>
  <c r="U57" i="233"/>
  <c r="Q57" i="233"/>
  <c r="O57" i="233"/>
  <c r="N57" i="233"/>
  <c r="P57" i="233" s="1"/>
  <c r="K57" i="233"/>
  <c r="G57" i="233"/>
  <c r="V56" i="233"/>
  <c r="U56" i="233"/>
  <c r="O56" i="233"/>
  <c r="M56" i="233"/>
  <c r="K56" i="233"/>
  <c r="G56" i="233"/>
  <c r="AA55" i="233"/>
  <c r="V55" i="233"/>
  <c r="U55" i="233"/>
  <c r="O55" i="233"/>
  <c r="M55" i="233"/>
  <c r="AB55" i="233" s="1"/>
  <c r="K55" i="233"/>
  <c r="G55" i="233"/>
  <c r="V54" i="233"/>
  <c r="M54" i="233" s="1"/>
  <c r="U54" i="233"/>
  <c r="O54" i="233"/>
  <c r="N54" i="233"/>
  <c r="K54" i="233"/>
  <c r="G54" i="233"/>
  <c r="V53" i="233"/>
  <c r="U53" i="233"/>
  <c r="O53" i="233"/>
  <c r="N53" i="233"/>
  <c r="M53" i="233"/>
  <c r="K53" i="233"/>
  <c r="G53" i="233"/>
  <c r="AB52" i="233"/>
  <c r="V52" i="233"/>
  <c r="U52" i="233"/>
  <c r="O52" i="233"/>
  <c r="M52" i="233"/>
  <c r="K52" i="233"/>
  <c r="G52" i="233"/>
  <c r="AB51" i="233"/>
  <c r="AA51" i="233"/>
  <c r="V51" i="233"/>
  <c r="U51" i="233"/>
  <c r="O51" i="233"/>
  <c r="N51" i="233"/>
  <c r="Q51" i="233" s="1"/>
  <c r="M51" i="233"/>
  <c r="K51" i="233"/>
  <c r="P51" i="233" s="1"/>
  <c r="G51" i="233"/>
  <c r="V50" i="233"/>
  <c r="M50" i="233" s="1"/>
  <c r="U50" i="233"/>
  <c r="O50" i="233"/>
  <c r="K50" i="233"/>
  <c r="G50" i="233"/>
  <c r="V49" i="233"/>
  <c r="M49" i="233" s="1"/>
  <c r="O49" i="233"/>
  <c r="K49" i="233"/>
  <c r="G49" i="233"/>
  <c r="O48" i="233"/>
  <c r="K48" i="233"/>
  <c r="V47" i="233"/>
  <c r="M47" i="233" s="1"/>
  <c r="U47" i="233"/>
  <c r="Q47" i="233"/>
  <c r="O47" i="233"/>
  <c r="N47" i="233"/>
  <c r="P47" i="233" s="1"/>
  <c r="K47" i="233"/>
  <c r="G47" i="233"/>
  <c r="V46" i="233"/>
  <c r="U46" i="233"/>
  <c r="O46" i="233"/>
  <c r="M46" i="233"/>
  <c r="K46" i="233"/>
  <c r="G46" i="233"/>
  <c r="AA45" i="233"/>
  <c r="V45" i="233"/>
  <c r="U45" i="233"/>
  <c r="O45" i="233"/>
  <c r="M45" i="233"/>
  <c r="AB45" i="233" s="1"/>
  <c r="K45" i="233"/>
  <c r="G45" i="233"/>
  <c r="V44" i="233"/>
  <c r="M44" i="233" s="1"/>
  <c r="U44" i="233"/>
  <c r="O44" i="233"/>
  <c r="N44" i="233"/>
  <c r="K44" i="233"/>
  <c r="G44" i="233"/>
  <c r="V43" i="233"/>
  <c r="U43" i="233"/>
  <c r="O43" i="233"/>
  <c r="N43" i="233"/>
  <c r="M43" i="233"/>
  <c r="K43" i="233"/>
  <c r="G43" i="233"/>
  <c r="AB42" i="233"/>
  <c r="V42" i="233"/>
  <c r="U42" i="233"/>
  <c r="O42" i="233"/>
  <c r="M42" i="233"/>
  <c r="K42" i="233"/>
  <c r="G42" i="233"/>
  <c r="AB41" i="233"/>
  <c r="V41" i="233"/>
  <c r="O41" i="233"/>
  <c r="M41" i="233"/>
  <c r="K41" i="233"/>
  <c r="G41" i="233"/>
  <c r="O40" i="233"/>
  <c r="K40" i="233"/>
  <c r="AA39" i="233"/>
  <c r="V39" i="233"/>
  <c r="M39" i="233" s="1"/>
  <c r="U39" i="233"/>
  <c r="O39" i="233"/>
  <c r="K39" i="233"/>
  <c r="G39" i="233"/>
  <c r="V38" i="233"/>
  <c r="M38" i="233" s="1"/>
  <c r="U38" i="233"/>
  <c r="O38" i="233"/>
  <c r="K38" i="233"/>
  <c r="G38" i="233"/>
  <c r="V37" i="233"/>
  <c r="M37" i="233" s="1"/>
  <c r="U37" i="233"/>
  <c r="Q37" i="233"/>
  <c r="O37" i="233"/>
  <c r="N37" i="233"/>
  <c r="P37" i="233" s="1"/>
  <c r="K37" i="233"/>
  <c r="G37" i="233"/>
  <c r="V36" i="233"/>
  <c r="U36" i="233"/>
  <c r="O36" i="233"/>
  <c r="M36" i="233"/>
  <c r="K36" i="233"/>
  <c r="G36" i="233"/>
  <c r="AA35" i="233"/>
  <c r="V35" i="233"/>
  <c r="U35" i="233"/>
  <c r="O35" i="233"/>
  <c r="M35" i="233"/>
  <c r="AB35" i="233" s="1"/>
  <c r="K35" i="233"/>
  <c r="G35" i="233"/>
  <c r="V34" i="233"/>
  <c r="M34" i="233" s="1"/>
  <c r="U34" i="233"/>
  <c r="O34" i="233"/>
  <c r="N34" i="233"/>
  <c r="K34" i="233"/>
  <c r="G34" i="233"/>
  <c r="V33" i="233"/>
  <c r="U33" i="233"/>
  <c r="O33" i="233"/>
  <c r="N33" i="233"/>
  <c r="M33" i="233"/>
  <c r="K33" i="233"/>
  <c r="G33" i="233"/>
  <c r="AB32" i="233"/>
  <c r="V32" i="233"/>
  <c r="U32" i="233"/>
  <c r="O32" i="233"/>
  <c r="M32" i="233"/>
  <c r="K32" i="233"/>
  <c r="G32" i="233"/>
  <c r="AB31" i="233"/>
  <c r="V31" i="233"/>
  <c r="O31" i="233"/>
  <c r="M31" i="233"/>
  <c r="K31" i="233"/>
  <c r="G31" i="233"/>
  <c r="O30" i="233"/>
  <c r="K30" i="233"/>
  <c r="AA29" i="233"/>
  <c r="V29" i="233"/>
  <c r="M29" i="233" s="1"/>
  <c r="U29" i="233"/>
  <c r="O29" i="233"/>
  <c r="K29" i="233"/>
  <c r="G29" i="233"/>
  <c r="V28" i="233"/>
  <c r="M28" i="233" s="1"/>
  <c r="U28" i="233"/>
  <c r="O28" i="233"/>
  <c r="K28" i="233"/>
  <c r="G28" i="233"/>
  <c r="V27" i="233"/>
  <c r="M27" i="233" s="1"/>
  <c r="U27" i="233"/>
  <c r="O27" i="233"/>
  <c r="N27" i="233"/>
  <c r="P27" i="233" s="1"/>
  <c r="K27" i="233"/>
  <c r="G27" i="233"/>
  <c r="V26" i="233"/>
  <c r="U26" i="233"/>
  <c r="O26" i="233"/>
  <c r="M26" i="233"/>
  <c r="K26" i="233"/>
  <c r="G26" i="233"/>
  <c r="AA25" i="233"/>
  <c r="V25" i="233"/>
  <c r="U25" i="233"/>
  <c r="P25" i="233"/>
  <c r="O25" i="233"/>
  <c r="N25" i="233"/>
  <c r="Q25" i="233" s="1"/>
  <c r="M25" i="233"/>
  <c r="AB25" i="233" s="1"/>
  <c r="K25" i="233"/>
  <c r="G25" i="233"/>
  <c r="V24" i="233"/>
  <c r="M24" i="233" s="1"/>
  <c r="U24" i="233"/>
  <c r="O24" i="233"/>
  <c r="N24" i="233"/>
  <c r="K24" i="233"/>
  <c r="G24" i="233"/>
  <c r="V23" i="233"/>
  <c r="U23" i="233"/>
  <c r="O23" i="233"/>
  <c r="N23" i="233"/>
  <c r="M23" i="233"/>
  <c r="K23" i="233"/>
  <c r="G23" i="233"/>
  <c r="V22" i="233"/>
  <c r="O22" i="233"/>
  <c r="N22" i="233"/>
  <c r="M22" i="233"/>
  <c r="K22" i="233"/>
  <c r="G22" i="233"/>
  <c r="O21" i="233"/>
  <c r="K21" i="233"/>
  <c r="AB20" i="233"/>
  <c r="AA20" i="233"/>
  <c r="V20" i="233"/>
  <c r="U20" i="233"/>
  <c r="Q20" i="233"/>
  <c r="O20" i="233"/>
  <c r="M20" i="233"/>
  <c r="N20" i="233" s="1"/>
  <c r="P20" i="233" s="1"/>
  <c r="K20" i="233"/>
  <c r="G20" i="233"/>
  <c r="AA19" i="233"/>
  <c r="V19" i="233"/>
  <c r="M19" i="233" s="1"/>
  <c r="U19" i="233"/>
  <c r="O19" i="233"/>
  <c r="K19" i="233"/>
  <c r="G19" i="233"/>
  <c r="V18" i="233"/>
  <c r="M18" i="233" s="1"/>
  <c r="U18" i="233"/>
  <c r="O18" i="233"/>
  <c r="K18" i="233"/>
  <c r="G18" i="233"/>
  <c r="V17" i="233"/>
  <c r="M17" i="233" s="1"/>
  <c r="U17" i="233"/>
  <c r="Q17" i="233"/>
  <c r="O17" i="233"/>
  <c r="N17" i="233"/>
  <c r="P17" i="233" s="1"/>
  <c r="K17" i="233"/>
  <c r="G17" i="233"/>
  <c r="V16" i="233"/>
  <c r="U16" i="233"/>
  <c r="O16" i="233"/>
  <c r="M16" i="233"/>
  <c r="K16" i="233"/>
  <c r="G16" i="233"/>
  <c r="V15" i="233"/>
  <c r="O15" i="233"/>
  <c r="M15" i="233"/>
  <c r="K15" i="233"/>
  <c r="G15" i="233"/>
  <c r="O14" i="233"/>
  <c r="M14" i="233"/>
  <c r="N14" i="233" s="1"/>
  <c r="K14" i="233"/>
  <c r="AB13" i="233"/>
  <c r="AA13" i="233"/>
  <c r="V13" i="233"/>
  <c r="U13" i="233"/>
  <c r="O13" i="233"/>
  <c r="N13" i="233"/>
  <c r="Q13" i="233" s="1"/>
  <c r="M13" i="233"/>
  <c r="K13" i="233"/>
  <c r="P13" i="233" s="1"/>
  <c r="G13" i="233"/>
  <c r="V12" i="233"/>
  <c r="M12" i="233" s="1"/>
  <c r="U12" i="233"/>
  <c r="O12" i="233"/>
  <c r="K12" i="233"/>
  <c r="G12" i="233"/>
  <c r="AB11" i="233"/>
  <c r="V11" i="233"/>
  <c r="M11" i="233" s="1"/>
  <c r="U11" i="233"/>
  <c r="O11" i="233"/>
  <c r="K11" i="233"/>
  <c r="G11" i="233"/>
  <c r="AB10" i="233"/>
  <c r="V10" i="233"/>
  <c r="M10" i="233" s="1"/>
  <c r="O10" i="233"/>
  <c r="K10" i="233"/>
  <c r="G10" i="233"/>
  <c r="O9" i="233"/>
  <c r="K9" i="233"/>
  <c r="V8" i="233"/>
  <c r="U8" i="233"/>
  <c r="O8" i="233"/>
  <c r="M8" i="233"/>
  <c r="K8" i="233"/>
  <c r="G8" i="233"/>
  <c r="V7" i="233"/>
  <c r="U7" i="233"/>
  <c r="O7" i="233"/>
  <c r="M7" i="233"/>
  <c r="AB7" i="233" s="1"/>
  <c r="K7" i="233"/>
  <c r="G7" i="233"/>
  <c r="V6" i="233"/>
  <c r="M6" i="233" s="1"/>
  <c r="U6" i="233"/>
  <c r="O6" i="233"/>
  <c r="N6" i="233"/>
  <c r="K6" i="233"/>
  <c r="G6" i="233"/>
  <c r="V5" i="233"/>
  <c r="M5" i="233" s="1"/>
  <c r="O5" i="233"/>
  <c r="N5" i="233"/>
  <c r="K5" i="233"/>
  <c r="G5" i="233"/>
  <c r="F1" i="233" s="1"/>
  <c r="H2" i="233"/>
  <c r="H1" i="233"/>
  <c r="D1" i="233"/>
  <c r="M18" i="232"/>
  <c r="L18" i="232"/>
  <c r="K18" i="232"/>
  <c r="J18" i="232"/>
  <c r="I18" i="232"/>
  <c r="H18" i="232"/>
  <c r="G18" i="232"/>
  <c r="F18" i="232"/>
  <c r="E18" i="232"/>
  <c r="D18" i="232"/>
  <c r="M17" i="232"/>
  <c r="L17" i="232"/>
  <c r="K17" i="232"/>
  <c r="J17" i="232"/>
  <c r="I17" i="232"/>
  <c r="H17" i="232"/>
  <c r="G17" i="232"/>
  <c r="F17" i="232"/>
  <c r="E17" i="232"/>
  <c r="D17" i="232"/>
  <c r="M16" i="232"/>
  <c r="L16" i="232"/>
  <c r="K16" i="232"/>
  <c r="J16" i="232"/>
  <c r="I16" i="232"/>
  <c r="H16" i="232"/>
  <c r="G16" i="232"/>
  <c r="F16" i="232"/>
  <c r="E16" i="232"/>
  <c r="D16" i="232"/>
  <c r="M13" i="232"/>
  <c r="L13" i="232"/>
  <c r="K13" i="232"/>
  <c r="I6" i="232" s="1"/>
  <c r="J13" i="232"/>
  <c r="I13" i="232"/>
  <c r="H13" i="232"/>
  <c r="E6" i="232" s="1"/>
  <c r="G13" i="232"/>
  <c r="F13" i="232"/>
  <c r="E13" i="232"/>
  <c r="D13" i="232"/>
  <c r="G6" i="232" s="1"/>
  <c r="F3" i="232"/>
  <c r="C3" i="232"/>
  <c r="AA38" i="235" l="1"/>
  <c r="N38" i="235"/>
  <c r="AB38" i="235"/>
  <c r="AC29" i="235" s="1"/>
  <c r="AA28" i="235"/>
  <c r="N28" i="235"/>
  <c r="AB28" i="235"/>
  <c r="AC21" i="235" s="1"/>
  <c r="AB20" i="235"/>
  <c r="AC14" i="235" s="1"/>
  <c r="AA20" i="235"/>
  <c r="N20" i="235"/>
  <c r="P42" i="235"/>
  <c r="Q42" i="235"/>
  <c r="Q18" i="235"/>
  <c r="P18" i="235"/>
  <c r="P32" i="235"/>
  <c r="Q32" i="235"/>
  <c r="AB77" i="235"/>
  <c r="AC69" i="235" s="1"/>
  <c r="AA77" i="235"/>
  <c r="N77" i="235"/>
  <c r="P22" i="235"/>
  <c r="Q22" i="235"/>
  <c r="P21" i="235"/>
  <c r="Q21" i="235"/>
  <c r="D15" i="234"/>
  <c r="AB68" i="235"/>
  <c r="AC63" i="235" s="1"/>
  <c r="AA68" i="235"/>
  <c r="N68" i="235"/>
  <c r="P13" i="235"/>
  <c r="Q13" i="235"/>
  <c r="R9" i="235" s="1"/>
  <c r="E14" i="234"/>
  <c r="E15" i="234" s="1"/>
  <c r="N46" i="235"/>
  <c r="AA46" i="235"/>
  <c r="AB46" i="235"/>
  <c r="AC39" i="235" s="1"/>
  <c r="Q27" i="233"/>
  <c r="F2" i="233"/>
  <c r="I3" i="232"/>
  <c r="Q5" i="233"/>
  <c r="P5" i="233"/>
  <c r="M9" i="233"/>
  <c r="AB5" i="233"/>
  <c r="AA5" i="233"/>
  <c r="Q6" i="233"/>
  <c r="P6" i="233"/>
  <c r="AB6" i="233"/>
  <c r="AA6" i="233"/>
  <c r="AB8" i="233"/>
  <c r="AA8" i="233"/>
  <c r="N8" i="233"/>
  <c r="N10" i="233"/>
  <c r="AA10" i="233"/>
  <c r="N11" i="233"/>
  <c r="AA11" i="233"/>
  <c r="N12" i="233"/>
  <c r="AB12" i="233"/>
  <c r="AA12" i="233"/>
  <c r="AB14" i="233"/>
  <c r="AC10" i="233" s="1"/>
  <c r="AA14" i="233"/>
  <c r="E14" i="232"/>
  <c r="E15" i="232" s="1"/>
  <c r="Q14" i="233"/>
  <c r="R10" i="233" s="1"/>
  <c r="P14" i="233"/>
  <c r="AB15" i="233"/>
  <c r="AA15" i="233"/>
  <c r="M21" i="233"/>
  <c r="AB21" i="233" s="1"/>
  <c r="AC15" i="233" s="1"/>
  <c r="N15" i="233"/>
  <c r="AB16" i="233"/>
  <c r="AA16" i="233"/>
  <c r="N16" i="233"/>
  <c r="AB17" i="233"/>
  <c r="AA17" i="233"/>
  <c r="N18" i="233"/>
  <c r="AB18" i="233"/>
  <c r="AA18" i="233"/>
  <c r="N19" i="233"/>
  <c r="AB19" i="233"/>
  <c r="AB22" i="233"/>
  <c r="AA22" i="233"/>
  <c r="M30" i="233"/>
  <c r="AA30" i="233" s="1"/>
  <c r="Q22" i="233"/>
  <c r="P22" i="233"/>
  <c r="AB23" i="233"/>
  <c r="AA23" i="233"/>
  <c r="Q23" i="233"/>
  <c r="P23" i="233"/>
  <c r="Q24" i="233"/>
  <c r="P24" i="233"/>
  <c r="AB24" i="233"/>
  <c r="AA24" i="233"/>
  <c r="AB26" i="233"/>
  <c r="AA26" i="233"/>
  <c r="N26" i="233"/>
  <c r="AB27" i="233"/>
  <c r="AA27" i="233"/>
  <c r="N28" i="233"/>
  <c r="AB28" i="233"/>
  <c r="AA28" i="233"/>
  <c r="N29" i="233"/>
  <c r="AB29" i="233"/>
  <c r="AA31" i="233"/>
  <c r="M40" i="233"/>
  <c r="AA40" i="233" s="1"/>
  <c r="N31" i="233"/>
  <c r="AA32" i="233"/>
  <c r="N32" i="233"/>
  <c r="AB33" i="233"/>
  <c r="AA33" i="233"/>
  <c r="Q33" i="233"/>
  <c r="P33" i="233"/>
  <c r="Q34" i="233"/>
  <c r="P34" i="233"/>
  <c r="AB34" i="233"/>
  <c r="AA34" i="233"/>
  <c r="AB36" i="233"/>
  <c r="AA36" i="233"/>
  <c r="N36" i="233"/>
  <c r="AB37" i="233"/>
  <c r="AA37" i="233"/>
  <c r="N38" i="233"/>
  <c r="AB38" i="233"/>
  <c r="AA38" i="233"/>
  <c r="N39" i="233"/>
  <c r="AB39" i="233"/>
  <c r="AA41" i="233"/>
  <c r="M48" i="233"/>
  <c r="AB48" i="233" s="1"/>
  <c r="AC41" i="233" s="1"/>
  <c r="N41" i="233"/>
  <c r="AA42" i="233"/>
  <c r="N42" i="233"/>
  <c r="AB43" i="233"/>
  <c r="AA43" i="233"/>
  <c r="Q43" i="233"/>
  <c r="P43" i="233"/>
  <c r="Q44" i="233"/>
  <c r="P44" i="233"/>
  <c r="AB44" i="233"/>
  <c r="AA44" i="233"/>
  <c r="AB46" i="233"/>
  <c r="AA46" i="233"/>
  <c r="N46" i="233"/>
  <c r="AB47" i="233"/>
  <c r="AA47" i="233"/>
  <c r="M60" i="233"/>
  <c r="AA60" i="233" s="1"/>
  <c r="N49" i="233"/>
  <c r="AB49" i="233"/>
  <c r="AA49" i="233"/>
  <c r="N50" i="233"/>
  <c r="AB50" i="233"/>
  <c r="AA50" i="233"/>
  <c r="AA52" i="233"/>
  <c r="N52" i="233"/>
  <c r="AB53" i="233"/>
  <c r="AA53" i="233"/>
  <c r="Q53" i="233"/>
  <c r="P53" i="233"/>
  <c r="Q54" i="233"/>
  <c r="P54" i="233"/>
  <c r="AB54" i="233"/>
  <c r="AA54" i="233"/>
  <c r="AB56" i="233"/>
  <c r="AA56" i="233"/>
  <c r="N56" i="233"/>
  <c r="AB57" i="233"/>
  <c r="AA57" i="233"/>
  <c r="N58" i="233"/>
  <c r="AB58" i="233"/>
  <c r="AA58" i="233"/>
  <c r="N59" i="233"/>
  <c r="AB59" i="233"/>
  <c r="AA61" i="233"/>
  <c r="N61" i="233"/>
  <c r="AA62" i="233"/>
  <c r="N62" i="233"/>
  <c r="AB63" i="233"/>
  <c r="AA63" i="233"/>
  <c r="Q63" i="233"/>
  <c r="P63" i="233"/>
  <c r="Q64" i="233"/>
  <c r="P64" i="233"/>
  <c r="AB64" i="233"/>
  <c r="AA64" i="233"/>
  <c r="AB65" i="233"/>
  <c r="AC61" i="233" s="1"/>
  <c r="AA65" i="233"/>
  <c r="N65" i="233"/>
  <c r="N66" i="233"/>
  <c r="AB66" i="233"/>
  <c r="N67" i="233"/>
  <c r="AB67" i="233"/>
  <c r="N69" i="233"/>
  <c r="AA69" i="233"/>
  <c r="N70" i="233"/>
  <c r="AB70" i="233"/>
  <c r="AA70" i="233"/>
  <c r="AB71" i="233"/>
  <c r="AC66" i="233" s="1"/>
  <c r="AA71" i="233"/>
  <c r="N71" i="233"/>
  <c r="J14" i="232" s="1"/>
  <c r="J15" i="232" s="1"/>
  <c r="AB74" i="233"/>
  <c r="AA74" i="233"/>
  <c r="N74" i="233"/>
  <c r="AB75" i="233"/>
  <c r="AA75" i="233"/>
  <c r="N76" i="233"/>
  <c r="AB76" i="233"/>
  <c r="AA76" i="233"/>
  <c r="N77" i="233"/>
  <c r="AB77" i="233"/>
  <c r="N79" i="233"/>
  <c r="AA79" i="233"/>
  <c r="N7" i="233"/>
  <c r="N35" i="233"/>
  <c r="N45" i="233"/>
  <c r="N55" i="233"/>
  <c r="N72" i="233"/>
  <c r="N73" i="233"/>
  <c r="M80" i="233"/>
  <c r="F6" i="232"/>
  <c r="AA7" i="233"/>
  <c r="D1" i="231"/>
  <c r="H1" i="231"/>
  <c r="H2" i="231"/>
  <c r="G5" i="231"/>
  <c r="F1" i="231" s="1"/>
  <c r="K5" i="231"/>
  <c r="M5" i="231"/>
  <c r="AA5" i="231" s="1"/>
  <c r="O5" i="231"/>
  <c r="V5" i="231"/>
  <c r="G6" i="231"/>
  <c r="K6" i="231"/>
  <c r="M6" i="231"/>
  <c r="AA6" i="231" s="1"/>
  <c r="O6" i="231"/>
  <c r="U6" i="231"/>
  <c r="V6" i="231"/>
  <c r="G7" i="231"/>
  <c r="K7" i="231"/>
  <c r="M7" i="231"/>
  <c r="AA7" i="231" s="1"/>
  <c r="N7" i="231"/>
  <c r="O7" i="231"/>
  <c r="P7" i="231"/>
  <c r="Q7" i="231"/>
  <c r="U7" i="231"/>
  <c r="V7" i="231"/>
  <c r="G8" i="231"/>
  <c r="K8" i="231"/>
  <c r="M8" i="231"/>
  <c r="AA8" i="231" s="1"/>
  <c r="O8" i="231"/>
  <c r="U8" i="231"/>
  <c r="V8" i="231"/>
  <c r="K9" i="231"/>
  <c r="O9" i="231"/>
  <c r="G10" i="231"/>
  <c r="K10" i="231"/>
  <c r="O10" i="231"/>
  <c r="V10" i="231"/>
  <c r="M10" i="231" s="1"/>
  <c r="G11" i="231"/>
  <c r="K11" i="231"/>
  <c r="O11" i="231"/>
  <c r="U11" i="231"/>
  <c r="V11" i="231"/>
  <c r="M11" i="231" s="1"/>
  <c r="G12" i="231"/>
  <c r="K12" i="231"/>
  <c r="O12" i="231"/>
  <c r="U12" i="231"/>
  <c r="V12" i="231"/>
  <c r="M12" i="231" s="1"/>
  <c r="G13" i="231"/>
  <c r="K13" i="231"/>
  <c r="M13" i="231"/>
  <c r="N13" i="231" s="1"/>
  <c r="O13" i="231"/>
  <c r="U13" i="231"/>
  <c r="V13" i="231"/>
  <c r="G14" i="231"/>
  <c r="K14" i="231"/>
  <c r="M14" i="231"/>
  <c r="AA14" i="231" s="1"/>
  <c r="O14" i="231"/>
  <c r="U14" i="231"/>
  <c r="V14" i="231"/>
  <c r="K15" i="231"/>
  <c r="O15" i="231"/>
  <c r="G16" i="231"/>
  <c r="K16" i="231"/>
  <c r="O16" i="231"/>
  <c r="V16" i="231"/>
  <c r="M16" i="231" s="1"/>
  <c r="G17" i="231"/>
  <c r="K17" i="231"/>
  <c r="O17" i="231"/>
  <c r="U17" i="231"/>
  <c r="V17" i="231"/>
  <c r="M17" i="231" s="1"/>
  <c r="G18" i="231"/>
  <c r="K18" i="231"/>
  <c r="O18" i="231"/>
  <c r="U18" i="231"/>
  <c r="V18" i="231"/>
  <c r="M18" i="231" s="1"/>
  <c r="G19" i="231"/>
  <c r="K19" i="231"/>
  <c r="O19" i="231"/>
  <c r="U19" i="231"/>
  <c r="V19" i="231"/>
  <c r="M19" i="231" s="1"/>
  <c r="G20" i="231"/>
  <c r="K20" i="231"/>
  <c r="O20" i="231"/>
  <c r="U20" i="231"/>
  <c r="V20" i="231"/>
  <c r="M20" i="231" s="1"/>
  <c r="G21" i="231"/>
  <c r="K21" i="231"/>
  <c r="O21" i="231"/>
  <c r="U21" i="231"/>
  <c r="V21" i="231"/>
  <c r="M21" i="231" s="1"/>
  <c r="K22" i="231"/>
  <c r="F13" i="230" s="1"/>
  <c r="G6" i="230" s="1"/>
  <c r="O22" i="231"/>
  <c r="G23" i="231"/>
  <c r="K23" i="231"/>
  <c r="M23" i="231"/>
  <c r="O23" i="231"/>
  <c r="V23" i="231"/>
  <c r="G24" i="231"/>
  <c r="K24" i="231"/>
  <c r="M24" i="231"/>
  <c r="AA24" i="231" s="1"/>
  <c r="O24" i="231"/>
  <c r="U24" i="231"/>
  <c r="V24" i="231"/>
  <c r="G25" i="231"/>
  <c r="K25" i="231"/>
  <c r="M25" i="231"/>
  <c r="AA25" i="231" s="1"/>
  <c r="N25" i="231"/>
  <c r="Q25" i="231" s="1"/>
  <c r="O25" i="231"/>
  <c r="P25" i="231"/>
  <c r="U25" i="231"/>
  <c r="V25" i="231"/>
  <c r="G26" i="231"/>
  <c r="K26" i="231"/>
  <c r="M26" i="231"/>
  <c r="AA26" i="231" s="1"/>
  <c r="O26" i="231"/>
  <c r="U26" i="231"/>
  <c r="V26" i="231"/>
  <c r="G27" i="231"/>
  <c r="K27" i="231"/>
  <c r="O27" i="231"/>
  <c r="U27" i="231"/>
  <c r="V27" i="231"/>
  <c r="M27" i="231" s="1"/>
  <c r="G28" i="231"/>
  <c r="K28" i="231"/>
  <c r="O28" i="231"/>
  <c r="U28" i="231"/>
  <c r="V28" i="231"/>
  <c r="M28" i="231" s="1"/>
  <c r="G29" i="231"/>
  <c r="K29" i="231"/>
  <c r="O29" i="231"/>
  <c r="U29" i="231"/>
  <c r="V29" i="231"/>
  <c r="M29" i="231" s="1"/>
  <c r="G30" i="231"/>
  <c r="K30" i="231"/>
  <c r="O30" i="231"/>
  <c r="U30" i="231"/>
  <c r="V30" i="231"/>
  <c r="M30" i="231" s="1"/>
  <c r="K31" i="231"/>
  <c r="O31" i="231"/>
  <c r="G32" i="231"/>
  <c r="K32" i="231"/>
  <c r="M32" i="231"/>
  <c r="N32" i="231"/>
  <c r="P32" i="231" s="1"/>
  <c r="O32" i="231"/>
  <c r="V32" i="231"/>
  <c r="AB32" i="231"/>
  <c r="G33" i="231"/>
  <c r="K33" i="231"/>
  <c r="M33" i="231"/>
  <c r="AA33" i="231" s="1"/>
  <c r="N33" i="231"/>
  <c r="P33" i="231" s="1"/>
  <c r="O33" i="231"/>
  <c r="U33" i="231"/>
  <c r="V33" i="231"/>
  <c r="AB33" i="231"/>
  <c r="G34" i="231"/>
  <c r="K34" i="231"/>
  <c r="M34" i="231"/>
  <c r="AA34" i="231" s="1"/>
  <c r="O34" i="231"/>
  <c r="U34" i="231"/>
  <c r="V34" i="231"/>
  <c r="G35" i="231"/>
  <c r="K35" i="231"/>
  <c r="M35" i="231"/>
  <c r="AA35" i="231" s="1"/>
  <c r="N35" i="231"/>
  <c r="Q35" i="231" s="1"/>
  <c r="O35" i="231"/>
  <c r="P35" i="231"/>
  <c r="U35" i="231"/>
  <c r="V35" i="231"/>
  <c r="G36" i="231"/>
  <c r="K36" i="231"/>
  <c r="M36" i="231"/>
  <c r="AA36" i="231" s="1"/>
  <c r="O36" i="231"/>
  <c r="U36" i="231"/>
  <c r="V36" i="231"/>
  <c r="G37" i="231"/>
  <c r="K37" i="231"/>
  <c r="O37" i="231"/>
  <c r="U37" i="231"/>
  <c r="V37" i="231"/>
  <c r="M37" i="231" s="1"/>
  <c r="G38" i="231"/>
  <c r="K38" i="231"/>
  <c r="O38" i="231"/>
  <c r="U38" i="231"/>
  <c r="V38" i="231"/>
  <c r="M38" i="231" s="1"/>
  <c r="G39" i="231"/>
  <c r="K39" i="231"/>
  <c r="O39" i="231"/>
  <c r="U39" i="231"/>
  <c r="V39" i="231"/>
  <c r="M39" i="231" s="1"/>
  <c r="G40" i="231"/>
  <c r="K40" i="231"/>
  <c r="O40" i="231"/>
  <c r="U40" i="231"/>
  <c r="V40" i="231"/>
  <c r="M40" i="231" s="1"/>
  <c r="K41" i="231"/>
  <c r="O41" i="231"/>
  <c r="G42" i="231"/>
  <c r="K42" i="231"/>
  <c r="M42" i="231"/>
  <c r="N42" i="231"/>
  <c r="P42" i="231" s="1"/>
  <c r="O42" i="231"/>
  <c r="V42" i="231"/>
  <c r="AB42" i="231"/>
  <c r="G43" i="231"/>
  <c r="K43" i="231"/>
  <c r="M43" i="231"/>
  <c r="AA43" i="231" s="1"/>
  <c r="N43" i="231"/>
  <c r="P43" i="231" s="1"/>
  <c r="O43" i="231"/>
  <c r="U43" i="231"/>
  <c r="V43" i="231"/>
  <c r="AB43" i="231"/>
  <c r="G44" i="231"/>
  <c r="K44" i="231"/>
  <c r="M44" i="231"/>
  <c r="AA44" i="231" s="1"/>
  <c r="O44" i="231"/>
  <c r="U44" i="231"/>
  <c r="V44" i="231"/>
  <c r="G45" i="231"/>
  <c r="K45" i="231"/>
  <c r="M45" i="231"/>
  <c r="AA45" i="231" s="1"/>
  <c r="N45" i="231"/>
  <c r="Q45" i="231" s="1"/>
  <c r="O45" i="231"/>
  <c r="P45" i="231"/>
  <c r="U45" i="231"/>
  <c r="V45" i="231"/>
  <c r="G46" i="231"/>
  <c r="K46" i="231"/>
  <c r="M46" i="231"/>
  <c r="AA46" i="231" s="1"/>
  <c r="O46" i="231"/>
  <c r="U46" i="231"/>
  <c r="V46" i="231"/>
  <c r="G47" i="231"/>
  <c r="K47" i="231"/>
  <c r="O47" i="231"/>
  <c r="U47" i="231"/>
  <c r="V47" i="231"/>
  <c r="M47" i="231" s="1"/>
  <c r="G48" i="231"/>
  <c r="K48" i="231"/>
  <c r="O48" i="231"/>
  <c r="U48" i="231"/>
  <c r="V48" i="231"/>
  <c r="M48" i="231" s="1"/>
  <c r="K49" i="231"/>
  <c r="O49" i="231"/>
  <c r="G50" i="231"/>
  <c r="K50" i="231"/>
  <c r="M50" i="231"/>
  <c r="N50" i="231" s="1"/>
  <c r="O50" i="231"/>
  <c r="V50" i="231"/>
  <c r="G51" i="231"/>
  <c r="K51" i="231"/>
  <c r="M51" i="231"/>
  <c r="N51" i="231" s="1"/>
  <c r="O51" i="231"/>
  <c r="U51" i="231"/>
  <c r="V51" i="231"/>
  <c r="G52" i="231"/>
  <c r="K52" i="231"/>
  <c r="M52" i="231"/>
  <c r="AA52" i="231" s="1"/>
  <c r="O52" i="231"/>
  <c r="U52" i="231"/>
  <c r="V52" i="231"/>
  <c r="G53" i="231"/>
  <c r="K53" i="231"/>
  <c r="M53" i="231"/>
  <c r="AA53" i="231" s="1"/>
  <c r="N53" i="231"/>
  <c r="P53" i="231" s="1"/>
  <c r="O53" i="231"/>
  <c r="U53" i="231"/>
  <c r="V53" i="231"/>
  <c r="AB53" i="231"/>
  <c r="G54" i="231"/>
  <c r="K54" i="231"/>
  <c r="M54" i="231"/>
  <c r="AA54" i="231" s="1"/>
  <c r="O54" i="231"/>
  <c r="U54" i="231"/>
  <c r="V54" i="231"/>
  <c r="G55" i="231"/>
  <c r="K55" i="231"/>
  <c r="M55" i="231"/>
  <c r="AA55" i="231" s="1"/>
  <c r="N55" i="231"/>
  <c r="Q55" i="231" s="1"/>
  <c r="O55" i="231"/>
  <c r="P55" i="231"/>
  <c r="U55" i="231"/>
  <c r="V55" i="231"/>
  <c r="G56" i="231"/>
  <c r="K56" i="231"/>
  <c r="M56" i="231"/>
  <c r="AA56" i="231" s="1"/>
  <c r="O56" i="231"/>
  <c r="U56" i="231"/>
  <c r="V56" i="231"/>
  <c r="G57" i="231"/>
  <c r="K57" i="231"/>
  <c r="O57" i="231"/>
  <c r="U57" i="231"/>
  <c r="V57" i="231"/>
  <c r="M57" i="231" s="1"/>
  <c r="G58" i="231"/>
  <c r="K58" i="231"/>
  <c r="O58" i="231"/>
  <c r="U58" i="231"/>
  <c r="V58" i="231"/>
  <c r="M58" i="231" s="1"/>
  <c r="G59" i="231"/>
  <c r="K59" i="231"/>
  <c r="O59" i="231"/>
  <c r="U59" i="231"/>
  <c r="V59" i="231"/>
  <c r="M59" i="231" s="1"/>
  <c r="G60" i="231"/>
  <c r="K60" i="231"/>
  <c r="O60" i="231"/>
  <c r="U60" i="231"/>
  <c r="V60" i="231"/>
  <c r="M60" i="231" s="1"/>
  <c r="K61" i="231"/>
  <c r="O61" i="231"/>
  <c r="G62" i="231"/>
  <c r="K62" i="231"/>
  <c r="M62" i="231"/>
  <c r="AA62" i="231" s="1"/>
  <c r="N62" i="231"/>
  <c r="P62" i="231" s="1"/>
  <c r="O62" i="231"/>
  <c r="V62" i="231"/>
  <c r="AB62" i="231"/>
  <c r="G63" i="231"/>
  <c r="K63" i="231"/>
  <c r="M63" i="231"/>
  <c r="AA63" i="231" s="1"/>
  <c r="N63" i="231"/>
  <c r="P63" i="231" s="1"/>
  <c r="O63" i="231"/>
  <c r="U63" i="231"/>
  <c r="V63" i="231"/>
  <c r="AB63" i="231"/>
  <c r="G64" i="231"/>
  <c r="K64" i="231"/>
  <c r="M64" i="231"/>
  <c r="AA64" i="231" s="1"/>
  <c r="O64" i="231"/>
  <c r="U64" i="231"/>
  <c r="V64" i="231"/>
  <c r="G65" i="231"/>
  <c r="K65" i="231"/>
  <c r="M65" i="231"/>
  <c r="AA65" i="231" s="1"/>
  <c r="N65" i="231"/>
  <c r="Q65" i="231" s="1"/>
  <c r="O65" i="231"/>
  <c r="P65" i="231"/>
  <c r="U65" i="231"/>
  <c r="V65" i="231"/>
  <c r="K66" i="231"/>
  <c r="O66" i="231"/>
  <c r="G67" i="231"/>
  <c r="K67" i="231"/>
  <c r="O67" i="231"/>
  <c r="V67" i="231"/>
  <c r="M67" i="231" s="1"/>
  <c r="G68" i="231"/>
  <c r="K68" i="231"/>
  <c r="O68" i="231"/>
  <c r="U68" i="231"/>
  <c r="V68" i="231"/>
  <c r="M68" i="231" s="1"/>
  <c r="G69" i="231"/>
  <c r="K69" i="231"/>
  <c r="O69" i="231"/>
  <c r="U69" i="231"/>
  <c r="V69" i="231"/>
  <c r="M69" i="231" s="1"/>
  <c r="G70" i="231"/>
  <c r="K70" i="231"/>
  <c r="O70" i="231"/>
  <c r="U70" i="231"/>
  <c r="V70" i="231"/>
  <c r="M70" i="231" s="1"/>
  <c r="G71" i="231"/>
  <c r="K71" i="231"/>
  <c r="M71" i="231"/>
  <c r="N71" i="231" s="1"/>
  <c r="O71" i="231"/>
  <c r="U71" i="231"/>
  <c r="V71" i="231"/>
  <c r="K72" i="231"/>
  <c r="O72" i="231"/>
  <c r="G73" i="231"/>
  <c r="K73" i="231"/>
  <c r="M73" i="231"/>
  <c r="AA73" i="231" s="1"/>
  <c r="O73" i="231"/>
  <c r="V73" i="231"/>
  <c r="G74" i="231"/>
  <c r="K74" i="231"/>
  <c r="M74" i="231"/>
  <c r="AA74" i="231" s="1"/>
  <c r="O74" i="231"/>
  <c r="U74" i="231"/>
  <c r="V74" i="231"/>
  <c r="G75" i="231"/>
  <c r="K75" i="231"/>
  <c r="O75" i="231"/>
  <c r="U75" i="231"/>
  <c r="V75" i="231"/>
  <c r="M75" i="231" s="1"/>
  <c r="G76" i="231"/>
  <c r="K76" i="231"/>
  <c r="O76" i="231"/>
  <c r="U76" i="231"/>
  <c r="V76" i="231"/>
  <c r="M76" i="231" s="1"/>
  <c r="G77" i="231"/>
  <c r="K77" i="231"/>
  <c r="O77" i="231"/>
  <c r="U77" i="231"/>
  <c r="V77" i="231"/>
  <c r="M77" i="231" s="1"/>
  <c r="G78" i="231"/>
  <c r="K78" i="231"/>
  <c r="O78" i="231"/>
  <c r="U78" i="231"/>
  <c r="V78" i="231"/>
  <c r="M78" i="231" s="1"/>
  <c r="G79" i="231"/>
  <c r="K79" i="231"/>
  <c r="O79" i="231"/>
  <c r="U79" i="231"/>
  <c r="V79" i="231"/>
  <c r="M79" i="231" s="1"/>
  <c r="G80" i="231"/>
  <c r="K80" i="231"/>
  <c r="O80" i="231"/>
  <c r="U80" i="231"/>
  <c r="V80" i="231"/>
  <c r="M80" i="231" s="1"/>
  <c r="K81" i="231"/>
  <c r="O81" i="231"/>
  <c r="C3" i="230"/>
  <c r="F3" i="230"/>
  <c r="D13" i="230"/>
  <c r="E13" i="230"/>
  <c r="G13" i="230"/>
  <c r="H13" i="230"/>
  <c r="I13" i="230"/>
  <c r="J13" i="230"/>
  <c r="K13" i="230"/>
  <c r="I6" i="230" s="1"/>
  <c r="L13" i="230"/>
  <c r="M13" i="230"/>
  <c r="D16" i="230"/>
  <c r="E16" i="230"/>
  <c r="F16" i="230"/>
  <c r="G16" i="230"/>
  <c r="H16" i="230"/>
  <c r="I16" i="230"/>
  <c r="J16" i="230"/>
  <c r="K16" i="230"/>
  <c r="L16" i="230"/>
  <c r="M16" i="230"/>
  <c r="D17" i="230"/>
  <c r="E17" i="230"/>
  <c r="F17" i="230"/>
  <c r="G17" i="230"/>
  <c r="H17" i="230"/>
  <c r="I17" i="230"/>
  <c r="J17" i="230"/>
  <c r="K17" i="230"/>
  <c r="L17" i="230"/>
  <c r="M17" i="230"/>
  <c r="D18" i="230"/>
  <c r="E18" i="230"/>
  <c r="F18" i="230"/>
  <c r="G18" i="230"/>
  <c r="H18" i="230"/>
  <c r="I18" i="230"/>
  <c r="J18" i="230"/>
  <c r="K18" i="230"/>
  <c r="L18" i="230"/>
  <c r="M18" i="230"/>
  <c r="P46" i="235" l="1"/>
  <c r="L14" i="234"/>
  <c r="L15" i="234" s="1"/>
  <c r="Q46" i="235"/>
  <c r="R39" i="235" s="1"/>
  <c r="Q20" i="235"/>
  <c r="R14" i="235" s="1"/>
  <c r="P20" i="235"/>
  <c r="F14" i="234"/>
  <c r="F15" i="234" s="1"/>
  <c r="F8" i="234" s="1"/>
  <c r="D2" i="235"/>
  <c r="M14" i="234"/>
  <c r="M15" i="234" s="1"/>
  <c r="P77" i="235"/>
  <c r="Q77" i="235"/>
  <c r="R69" i="235" s="1"/>
  <c r="Q68" i="235"/>
  <c r="R63" i="235" s="1"/>
  <c r="P68" i="235"/>
  <c r="J14" i="234"/>
  <c r="J15" i="234" s="1"/>
  <c r="Q28" i="235"/>
  <c r="R21" i="235" s="1"/>
  <c r="P28" i="235"/>
  <c r="G14" i="234"/>
  <c r="G15" i="234" s="1"/>
  <c r="Q38" i="235"/>
  <c r="R29" i="235" s="1"/>
  <c r="K14" i="234"/>
  <c r="P38" i="235"/>
  <c r="I14" i="232"/>
  <c r="I15" i="232" s="1"/>
  <c r="P65" i="233"/>
  <c r="Q65" i="233"/>
  <c r="R61" i="233" s="1"/>
  <c r="Q29" i="233"/>
  <c r="P29" i="233"/>
  <c r="Q39" i="233"/>
  <c r="P39" i="233"/>
  <c r="Q59" i="233"/>
  <c r="P59" i="233"/>
  <c r="Q16" i="233"/>
  <c r="P16" i="233"/>
  <c r="Q77" i="233"/>
  <c r="P77" i="233"/>
  <c r="Q73" i="233"/>
  <c r="P73" i="233"/>
  <c r="P26" i="233"/>
  <c r="Q26" i="233"/>
  <c r="Q72" i="233"/>
  <c r="P72" i="233"/>
  <c r="Q36" i="233"/>
  <c r="P36" i="233"/>
  <c r="P8" i="233"/>
  <c r="Q8" i="233"/>
  <c r="Q55" i="233"/>
  <c r="P55" i="233"/>
  <c r="Q46" i="233"/>
  <c r="P46" i="233"/>
  <c r="P15" i="233"/>
  <c r="Q15" i="233"/>
  <c r="Q45" i="233"/>
  <c r="P45" i="233"/>
  <c r="Q74" i="233"/>
  <c r="P74" i="233"/>
  <c r="Q67" i="233"/>
  <c r="P67" i="233"/>
  <c r="N9" i="233"/>
  <c r="D14" i="232" s="1"/>
  <c r="AB9" i="233"/>
  <c r="AC5" i="233" s="1"/>
  <c r="AA9" i="233"/>
  <c r="Q35" i="233"/>
  <c r="P35" i="233"/>
  <c r="P56" i="233"/>
  <c r="Q56" i="233"/>
  <c r="Q7" i="233"/>
  <c r="P7" i="233"/>
  <c r="Q66" i="233"/>
  <c r="P66" i="233"/>
  <c r="Q19" i="233"/>
  <c r="P19" i="233"/>
  <c r="AB80" i="233"/>
  <c r="AC72" i="233" s="1"/>
  <c r="AA80" i="233"/>
  <c r="N80" i="233"/>
  <c r="M14" i="232" s="1"/>
  <c r="M15" i="232" s="1"/>
  <c r="Q79" i="233"/>
  <c r="P79" i="233"/>
  <c r="Q76" i="233"/>
  <c r="P76" i="233"/>
  <c r="Q71" i="233"/>
  <c r="R66" i="233" s="1"/>
  <c r="P71" i="233"/>
  <c r="Q70" i="233"/>
  <c r="P70" i="233"/>
  <c r="Q69" i="233"/>
  <c r="P69" i="233"/>
  <c r="Q62" i="233"/>
  <c r="P62" i="233"/>
  <c r="Q61" i="233"/>
  <c r="P61" i="233"/>
  <c r="Q58" i="233"/>
  <c r="P58" i="233"/>
  <c r="Q52" i="233"/>
  <c r="P52" i="233"/>
  <c r="Q50" i="233"/>
  <c r="P50" i="233"/>
  <c r="Q49" i="233"/>
  <c r="P49" i="233"/>
  <c r="N60" i="233"/>
  <c r="AB60" i="233"/>
  <c r="AC49" i="233" s="1"/>
  <c r="Q42" i="233"/>
  <c r="P42" i="233"/>
  <c r="Q41" i="233"/>
  <c r="P41" i="233"/>
  <c r="N48" i="233"/>
  <c r="AA48" i="233"/>
  <c r="Q38" i="233"/>
  <c r="P38" i="233"/>
  <c r="Q32" i="233"/>
  <c r="P32" i="233"/>
  <c r="Q31" i="233"/>
  <c r="P31" i="233"/>
  <c r="N40" i="233"/>
  <c r="K14" i="232" s="1"/>
  <c r="AB40" i="233"/>
  <c r="AC31" i="233" s="1"/>
  <c r="Q28" i="233"/>
  <c r="P28" i="233"/>
  <c r="N30" i="233"/>
  <c r="AB30" i="233"/>
  <c r="AC22" i="233" s="1"/>
  <c r="Q18" i="233"/>
  <c r="P18" i="233"/>
  <c r="AA21" i="233"/>
  <c r="N21" i="233"/>
  <c r="Q12" i="233"/>
  <c r="P12" i="233"/>
  <c r="Q11" i="233"/>
  <c r="P11" i="233"/>
  <c r="Q10" i="233"/>
  <c r="P10" i="233"/>
  <c r="P13" i="231"/>
  <c r="Q13" i="231"/>
  <c r="N20" i="231"/>
  <c r="AB20" i="231"/>
  <c r="AA20" i="231"/>
  <c r="N40" i="231"/>
  <c r="AB40" i="231"/>
  <c r="AA40" i="231"/>
  <c r="AA27" i="231"/>
  <c r="AB27" i="231"/>
  <c r="N27" i="231"/>
  <c r="N10" i="231"/>
  <c r="AA10" i="231"/>
  <c r="M15" i="231"/>
  <c r="AB10" i="231"/>
  <c r="AA75" i="231"/>
  <c r="AB75" i="231"/>
  <c r="M81" i="231"/>
  <c r="N75" i="231"/>
  <c r="AA17" i="231"/>
  <c r="AB17" i="231"/>
  <c r="N17" i="231"/>
  <c r="N80" i="231"/>
  <c r="AA80" i="231"/>
  <c r="AB80" i="231"/>
  <c r="N29" i="231"/>
  <c r="AA29" i="231"/>
  <c r="AB29" i="231"/>
  <c r="AA37" i="231"/>
  <c r="AB37" i="231"/>
  <c r="N37" i="231"/>
  <c r="N12" i="231"/>
  <c r="AA12" i="231"/>
  <c r="AB12" i="231"/>
  <c r="N77" i="231"/>
  <c r="AA77" i="231"/>
  <c r="AB77" i="231"/>
  <c r="AB58" i="231"/>
  <c r="N58" i="231"/>
  <c r="AA58" i="231"/>
  <c r="N79" i="231"/>
  <c r="AA79" i="231"/>
  <c r="AB79" i="231"/>
  <c r="M49" i="231"/>
  <c r="AB28" i="231"/>
  <c r="N28" i="231"/>
  <c r="AA28" i="231"/>
  <c r="P50" i="231"/>
  <c r="Q50" i="231"/>
  <c r="N30" i="231"/>
  <c r="AB30" i="231"/>
  <c r="AA30" i="231"/>
  <c r="AA16" i="231"/>
  <c r="AB16" i="231"/>
  <c r="N16" i="231"/>
  <c r="M22" i="231"/>
  <c r="N21" i="231"/>
  <c r="AA21" i="231"/>
  <c r="AB21" i="231"/>
  <c r="N11" i="231"/>
  <c r="AA11" i="231"/>
  <c r="AB11" i="231"/>
  <c r="AB76" i="231"/>
  <c r="N76" i="231"/>
  <c r="AA76" i="231"/>
  <c r="AA57" i="231"/>
  <c r="AB57" i="231"/>
  <c r="N57" i="231"/>
  <c r="AB38" i="231"/>
  <c r="N38" i="231"/>
  <c r="AA38" i="231"/>
  <c r="N68" i="231"/>
  <c r="AB68" i="231"/>
  <c r="AA68" i="231"/>
  <c r="AB48" i="231"/>
  <c r="N48" i="231"/>
  <c r="AA48" i="231"/>
  <c r="N70" i="231"/>
  <c r="AA70" i="231"/>
  <c r="AB70" i="231"/>
  <c r="P51" i="231"/>
  <c r="Q51" i="231"/>
  <c r="M31" i="231"/>
  <c r="M41" i="231"/>
  <c r="N67" i="231"/>
  <c r="AB67" i="231"/>
  <c r="AA67" i="231"/>
  <c r="M72" i="231"/>
  <c r="N39" i="231"/>
  <c r="AA39" i="231"/>
  <c r="AB39" i="231"/>
  <c r="N60" i="231"/>
  <c r="AB60" i="231"/>
  <c r="AA60" i="231"/>
  <c r="AA47" i="231"/>
  <c r="AB47" i="231"/>
  <c r="N47" i="231"/>
  <c r="N19" i="231"/>
  <c r="AA19" i="231"/>
  <c r="AB19" i="231"/>
  <c r="N69" i="231"/>
  <c r="AA69" i="231"/>
  <c r="AB69" i="231"/>
  <c r="F2" i="231"/>
  <c r="I3" i="230"/>
  <c r="N78" i="231"/>
  <c r="AB78" i="231"/>
  <c r="AA78" i="231"/>
  <c r="P71" i="231"/>
  <c r="Q71" i="231"/>
  <c r="N59" i="231"/>
  <c r="AA59" i="231"/>
  <c r="AB59" i="231"/>
  <c r="AB18" i="231"/>
  <c r="N18" i="231"/>
  <c r="AA18" i="231"/>
  <c r="E6" i="230"/>
  <c r="N52" i="231"/>
  <c r="N14" i="231"/>
  <c r="N64" i="231"/>
  <c r="N54" i="231"/>
  <c r="N44" i="231"/>
  <c r="N34" i="231"/>
  <c r="N24" i="231"/>
  <c r="N23" i="231"/>
  <c r="N6" i="231"/>
  <c r="N5" i="231"/>
  <c r="N74" i="231"/>
  <c r="N73" i="231"/>
  <c r="AB71" i="231"/>
  <c r="N56" i="231"/>
  <c r="AB51" i="231"/>
  <c r="AB50" i="231"/>
  <c r="N46" i="231"/>
  <c r="N36" i="231"/>
  <c r="N26" i="231"/>
  <c r="AB13" i="231"/>
  <c r="N8" i="231"/>
  <c r="AA71" i="231"/>
  <c r="AB52" i="231"/>
  <c r="AA51" i="231"/>
  <c r="AA50" i="231"/>
  <c r="AB14" i="231"/>
  <c r="AA13" i="231"/>
  <c r="M66" i="231"/>
  <c r="AB64" i="231"/>
  <c r="AB54" i="231"/>
  <c r="AB44" i="231"/>
  <c r="AA42" i="231"/>
  <c r="AB34" i="231"/>
  <c r="AA32" i="231"/>
  <c r="AB24" i="231"/>
  <c r="AB23" i="231"/>
  <c r="M9" i="231"/>
  <c r="AB6" i="231"/>
  <c r="AB5" i="231"/>
  <c r="AB65" i="231"/>
  <c r="AB55" i="231"/>
  <c r="AB45" i="231"/>
  <c r="AB35" i="231"/>
  <c r="AB25" i="231"/>
  <c r="AA23" i="231"/>
  <c r="AB7" i="231"/>
  <c r="AB74" i="231"/>
  <c r="AB73" i="231"/>
  <c r="AB56" i="231"/>
  <c r="AB46" i="231"/>
  <c r="AB36" i="231"/>
  <c r="AB26" i="231"/>
  <c r="AB8" i="231"/>
  <c r="Q63" i="231"/>
  <c r="Q62" i="231"/>
  <c r="Q53" i="231"/>
  <c r="Q43" i="231"/>
  <c r="Q42" i="231"/>
  <c r="Q33" i="231"/>
  <c r="Q32" i="231"/>
  <c r="M61" i="231"/>
  <c r="F6" i="230"/>
  <c r="O74" i="229"/>
  <c r="K74" i="229"/>
  <c r="V73" i="229"/>
  <c r="M73" i="229" s="1"/>
  <c r="U73" i="229"/>
  <c r="O73" i="229"/>
  <c r="K73" i="229"/>
  <c r="G73" i="229"/>
  <c r="V72" i="229"/>
  <c r="M72" i="229" s="1"/>
  <c r="U72" i="229"/>
  <c r="O72" i="229"/>
  <c r="K72" i="229"/>
  <c r="G72" i="229"/>
  <c r="V71" i="229"/>
  <c r="M71" i="229" s="1"/>
  <c r="U71" i="229"/>
  <c r="O71" i="229"/>
  <c r="K71" i="229"/>
  <c r="G71" i="229"/>
  <c r="V70" i="229"/>
  <c r="M70" i="229" s="1"/>
  <c r="U70" i="229"/>
  <c r="O70" i="229"/>
  <c r="K70" i="229"/>
  <c r="G70" i="229"/>
  <c r="V69" i="229"/>
  <c r="M69" i="229" s="1"/>
  <c r="U69" i="229"/>
  <c r="O69" i="229"/>
  <c r="K69" i="229"/>
  <c r="G69" i="229"/>
  <c r="V68" i="229"/>
  <c r="M68" i="229" s="1"/>
  <c r="O68" i="229"/>
  <c r="K68" i="229"/>
  <c r="G68" i="229"/>
  <c r="O67" i="229"/>
  <c r="K67" i="229"/>
  <c r="V66" i="229"/>
  <c r="U66" i="229"/>
  <c r="O66" i="229"/>
  <c r="M66" i="229"/>
  <c r="AA66" i="229" s="1"/>
  <c r="K66" i="229"/>
  <c r="G66" i="229"/>
  <c r="AB65" i="229"/>
  <c r="V65" i="229"/>
  <c r="U65" i="229"/>
  <c r="O65" i="229"/>
  <c r="M65" i="229"/>
  <c r="N65" i="229" s="1"/>
  <c r="K65" i="229"/>
  <c r="G65" i="229"/>
  <c r="V64" i="229"/>
  <c r="M64" i="229" s="1"/>
  <c r="U64" i="229"/>
  <c r="O64" i="229"/>
  <c r="K64" i="229"/>
  <c r="G64" i="229"/>
  <c r="V63" i="229"/>
  <c r="M63" i="229" s="1"/>
  <c r="U63" i="229"/>
  <c r="O63" i="229"/>
  <c r="K63" i="229"/>
  <c r="G63" i="229"/>
  <c r="V62" i="229"/>
  <c r="M62" i="229" s="1"/>
  <c r="O62" i="229"/>
  <c r="K62" i="229"/>
  <c r="G62" i="229"/>
  <c r="O61" i="229"/>
  <c r="K61" i="229"/>
  <c r="AA60" i="229"/>
  <c r="V60" i="229"/>
  <c r="U60" i="229"/>
  <c r="O60" i="229"/>
  <c r="N60" i="229"/>
  <c r="Q60" i="229" s="1"/>
  <c r="M60" i="229"/>
  <c r="AB60" i="229" s="1"/>
  <c r="K60" i="229"/>
  <c r="G60" i="229"/>
  <c r="AA59" i="229"/>
  <c r="V59" i="229"/>
  <c r="O59" i="229"/>
  <c r="N59" i="229"/>
  <c r="Q59" i="229" s="1"/>
  <c r="M59" i="229"/>
  <c r="M61" i="229" s="1"/>
  <c r="K59" i="229"/>
  <c r="G59" i="229"/>
  <c r="O58" i="229"/>
  <c r="K58" i="229"/>
  <c r="AB57" i="229"/>
  <c r="V57" i="229"/>
  <c r="U57" i="229"/>
  <c r="O57" i="229"/>
  <c r="M57" i="229"/>
  <c r="N57" i="229" s="1"/>
  <c r="K57" i="229"/>
  <c r="G57" i="229"/>
  <c r="V56" i="229"/>
  <c r="M56" i="229" s="1"/>
  <c r="U56" i="229"/>
  <c r="O56" i="229"/>
  <c r="K56" i="229"/>
  <c r="G56" i="229"/>
  <c r="V55" i="229"/>
  <c r="M55" i="229" s="1"/>
  <c r="U55" i="229"/>
  <c r="O55" i="229"/>
  <c r="K55" i="229"/>
  <c r="G55" i="229"/>
  <c r="V54" i="229"/>
  <c r="M54" i="229" s="1"/>
  <c r="U54" i="229"/>
  <c r="O54" i="229"/>
  <c r="K54" i="229"/>
  <c r="G54" i="229"/>
  <c r="V53" i="229"/>
  <c r="M53" i="229" s="1"/>
  <c r="U53" i="229"/>
  <c r="O53" i="229"/>
  <c r="K53" i="229"/>
  <c r="G53" i="229"/>
  <c r="V52" i="229"/>
  <c r="M52" i="229" s="1"/>
  <c r="U52" i="229"/>
  <c r="O52" i="229"/>
  <c r="K52" i="229"/>
  <c r="G52" i="229"/>
  <c r="V51" i="229"/>
  <c r="M51" i="229" s="1"/>
  <c r="U51" i="229"/>
  <c r="O51" i="229"/>
  <c r="K51" i="229"/>
  <c r="G51" i="229"/>
  <c r="AA50" i="229"/>
  <c r="V50" i="229"/>
  <c r="U50" i="229"/>
  <c r="O50" i="229"/>
  <c r="N50" i="229"/>
  <c r="M50" i="229"/>
  <c r="AB50" i="229" s="1"/>
  <c r="K50" i="229"/>
  <c r="G50" i="229"/>
  <c r="V49" i="229"/>
  <c r="U49" i="229"/>
  <c r="O49" i="229"/>
  <c r="M49" i="229"/>
  <c r="K49" i="229"/>
  <c r="G49" i="229"/>
  <c r="V48" i="229"/>
  <c r="O48" i="229"/>
  <c r="M48" i="229"/>
  <c r="K48" i="229"/>
  <c r="G48" i="229"/>
  <c r="O47" i="229"/>
  <c r="K47" i="229"/>
  <c r="V46" i="229"/>
  <c r="M46" i="229" s="1"/>
  <c r="U46" i="229"/>
  <c r="O46" i="229"/>
  <c r="K46" i="229"/>
  <c r="G46" i="229"/>
  <c r="V45" i="229"/>
  <c r="M45" i="229" s="1"/>
  <c r="U45" i="229"/>
  <c r="O45" i="229"/>
  <c r="K45" i="229"/>
  <c r="G45" i="229"/>
  <c r="V44" i="229"/>
  <c r="M44" i="229" s="1"/>
  <c r="U44" i="229"/>
  <c r="O44" i="229"/>
  <c r="K44" i="229"/>
  <c r="G44" i="229"/>
  <c r="V43" i="229"/>
  <c r="M43" i="229" s="1"/>
  <c r="U43" i="229"/>
  <c r="O43" i="229"/>
  <c r="K43" i="229"/>
  <c r="G43" i="229"/>
  <c r="V42" i="229"/>
  <c r="M42" i="229" s="1"/>
  <c r="U42" i="229"/>
  <c r="O42" i="229"/>
  <c r="K42" i="229"/>
  <c r="G42" i="229"/>
  <c r="V41" i="229"/>
  <c r="M41" i="229" s="1"/>
  <c r="U41" i="229"/>
  <c r="O41" i="229"/>
  <c r="K41" i="229"/>
  <c r="G41" i="229"/>
  <c r="AA40" i="229"/>
  <c r="V40" i="229"/>
  <c r="U40" i="229"/>
  <c r="O40" i="229"/>
  <c r="N40" i="229"/>
  <c r="M40" i="229"/>
  <c r="AB40" i="229" s="1"/>
  <c r="K40" i="229"/>
  <c r="G40" i="229"/>
  <c r="AA39" i="229"/>
  <c r="V39" i="229"/>
  <c r="O39" i="229"/>
  <c r="N39" i="229"/>
  <c r="M39" i="229"/>
  <c r="AB39" i="229" s="1"/>
  <c r="K39" i="229"/>
  <c r="G39" i="229"/>
  <c r="O38" i="229"/>
  <c r="K38" i="229"/>
  <c r="AB37" i="229"/>
  <c r="V37" i="229"/>
  <c r="U37" i="229"/>
  <c r="O37" i="229"/>
  <c r="M37" i="229"/>
  <c r="N37" i="229" s="1"/>
  <c r="K37" i="229"/>
  <c r="G37" i="229"/>
  <c r="AA36" i="229"/>
  <c r="V36" i="229"/>
  <c r="M36" i="229" s="1"/>
  <c r="U36" i="229"/>
  <c r="O36" i="229"/>
  <c r="K36" i="229"/>
  <c r="G36" i="229"/>
  <c r="V35" i="229"/>
  <c r="M35" i="229" s="1"/>
  <c r="U35" i="229"/>
  <c r="O35" i="229"/>
  <c r="K35" i="229"/>
  <c r="G35" i="229"/>
  <c r="V34" i="229"/>
  <c r="M34" i="229" s="1"/>
  <c r="U34" i="229"/>
  <c r="O34" i="229"/>
  <c r="K34" i="229"/>
  <c r="G34" i="229"/>
  <c r="V33" i="229"/>
  <c r="M33" i="229" s="1"/>
  <c r="U33" i="229"/>
  <c r="O33" i="229"/>
  <c r="K33" i="229"/>
  <c r="G33" i="229"/>
  <c r="V32" i="229"/>
  <c r="M32" i="229" s="1"/>
  <c r="U32" i="229"/>
  <c r="O32" i="229"/>
  <c r="K32" i="229"/>
  <c r="G32" i="229"/>
  <c r="V31" i="229"/>
  <c r="M31" i="229" s="1"/>
  <c r="U31" i="229"/>
  <c r="O31" i="229"/>
  <c r="K31" i="229"/>
  <c r="G31" i="229"/>
  <c r="V30" i="229"/>
  <c r="M30" i="229" s="1"/>
  <c r="O30" i="229"/>
  <c r="K30" i="229"/>
  <c r="G30" i="229"/>
  <c r="O29" i="229"/>
  <c r="K29" i="229"/>
  <c r="G13" i="228" s="1"/>
  <c r="V28" i="229"/>
  <c r="U28" i="229"/>
  <c r="O28" i="229"/>
  <c r="M28" i="229"/>
  <c r="AA28" i="229" s="1"/>
  <c r="K28" i="229"/>
  <c r="G28" i="229"/>
  <c r="AB27" i="229"/>
  <c r="V27" i="229"/>
  <c r="U27" i="229"/>
  <c r="O27" i="229"/>
  <c r="M27" i="229"/>
  <c r="N27" i="229" s="1"/>
  <c r="K27" i="229"/>
  <c r="G27" i="229"/>
  <c r="V26" i="229"/>
  <c r="M26" i="229" s="1"/>
  <c r="U26" i="229"/>
  <c r="O26" i="229"/>
  <c r="K26" i="229"/>
  <c r="G26" i="229"/>
  <c r="V25" i="229"/>
  <c r="M25" i="229" s="1"/>
  <c r="U25" i="229"/>
  <c r="O25" i="229"/>
  <c r="K25" i="229"/>
  <c r="G25" i="229"/>
  <c r="V24" i="229"/>
  <c r="M24" i="229" s="1"/>
  <c r="U24" i="229"/>
  <c r="O24" i="229"/>
  <c r="K24" i="229"/>
  <c r="G24" i="229"/>
  <c r="V23" i="229"/>
  <c r="M23" i="229" s="1"/>
  <c r="U23" i="229"/>
  <c r="O23" i="229"/>
  <c r="K23" i="229"/>
  <c r="G23" i="229"/>
  <c r="V22" i="229"/>
  <c r="M22" i="229" s="1"/>
  <c r="O22" i="229"/>
  <c r="K22" i="229"/>
  <c r="G22" i="229"/>
  <c r="O21" i="229"/>
  <c r="K21" i="229"/>
  <c r="V20" i="229"/>
  <c r="U20" i="229"/>
  <c r="O20" i="229"/>
  <c r="M20" i="229"/>
  <c r="AB20" i="229" s="1"/>
  <c r="K20" i="229"/>
  <c r="G20" i="229"/>
  <c r="V19" i="229"/>
  <c r="U19" i="229"/>
  <c r="O19" i="229"/>
  <c r="M19" i="229"/>
  <c r="AB19" i="229" s="1"/>
  <c r="K19" i="229"/>
  <c r="G19" i="229"/>
  <c r="V18" i="229"/>
  <c r="U18" i="229"/>
  <c r="O18" i="229"/>
  <c r="M18" i="229"/>
  <c r="AA18" i="229" s="1"/>
  <c r="K18" i="229"/>
  <c r="G18" i="229"/>
  <c r="AB17" i="229"/>
  <c r="V17" i="229"/>
  <c r="U17" i="229"/>
  <c r="O17" i="229"/>
  <c r="M17" i="229"/>
  <c r="N17" i="229" s="1"/>
  <c r="K17" i="229"/>
  <c r="G17" i="229"/>
  <c r="AB16" i="229"/>
  <c r="V16" i="229"/>
  <c r="O16" i="229"/>
  <c r="M16" i="229"/>
  <c r="N16" i="229" s="1"/>
  <c r="K16" i="229"/>
  <c r="G16" i="229"/>
  <c r="O15" i="229"/>
  <c r="K15" i="229"/>
  <c r="V14" i="229"/>
  <c r="M14" i="229" s="1"/>
  <c r="U14" i="229"/>
  <c r="O14" i="229"/>
  <c r="K14" i="229"/>
  <c r="G14" i="229"/>
  <c r="V13" i="229"/>
  <c r="M13" i="229" s="1"/>
  <c r="U13" i="229"/>
  <c r="O13" i="229"/>
  <c r="K13" i="229"/>
  <c r="G13" i="229"/>
  <c r="AA12" i="229"/>
  <c r="V12" i="229"/>
  <c r="U12" i="229"/>
  <c r="O12" i="229"/>
  <c r="N12" i="229"/>
  <c r="M12" i="229"/>
  <c r="AB12" i="229" s="1"/>
  <c r="K12" i="229"/>
  <c r="G12" i="229"/>
  <c r="V11" i="229"/>
  <c r="U11" i="229"/>
  <c r="O11" i="229"/>
  <c r="M11" i="229"/>
  <c r="K11" i="229"/>
  <c r="G11" i="229"/>
  <c r="V10" i="229"/>
  <c r="O10" i="229"/>
  <c r="M10" i="229"/>
  <c r="K10" i="229"/>
  <c r="G10" i="229"/>
  <c r="O9" i="229"/>
  <c r="K9" i="229"/>
  <c r="V8" i="229"/>
  <c r="M8" i="229" s="1"/>
  <c r="U8" i="229"/>
  <c r="O8" i="229"/>
  <c r="K8" i="229"/>
  <c r="G8" i="229"/>
  <c r="V7" i="229"/>
  <c r="M7" i="229" s="1"/>
  <c r="U7" i="229"/>
  <c r="O7" i="229"/>
  <c r="K7" i="229"/>
  <c r="G7" i="229"/>
  <c r="V6" i="229"/>
  <c r="M6" i="229" s="1"/>
  <c r="U6" i="229"/>
  <c r="O6" i="229"/>
  <c r="K6" i="229"/>
  <c r="G6" i="229"/>
  <c r="V5" i="229"/>
  <c r="M5" i="229" s="1"/>
  <c r="O5" i="229"/>
  <c r="K5" i="229"/>
  <c r="G5" i="229"/>
  <c r="H2" i="229"/>
  <c r="H1" i="229"/>
  <c r="F1" i="229"/>
  <c r="F2" i="229" s="1"/>
  <c r="D1" i="229"/>
  <c r="M18" i="228"/>
  <c r="L18" i="228"/>
  <c r="K18" i="228"/>
  <c r="J18" i="228"/>
  <c r="I18" i="228"/>
  <c r="H18" i="228"/>
  <c r="G18" i="228"/>
  <c r="F18" i="228"/>
  <c r="E18" i="228"/>
  <c r="D18" i="228"/>
  <c r="M17" i="228"/>
  <c r="L17" i="228"/>
  <c r="K17" i="228"/>
  <c r="J17" i="228"/>
  <c r="I17" i="228"/>
  <c r="H17" i="228"/>
  <c r="G17" i="228"/>
  <c r="F17" i="228"/>
  <c r="E17" i="228"/>
  <c r="D17" i="228"/>
  <c r="M16" i="228"/>
  <c r="L16" i="228"/>
  <c r="K16" i="228"/>
  <c r="J16" i="228"/>
  <c r="I16" i="228"/>
  <c r="H16" i="228"/>
  <c r="G16" i="228"/>
  <c r="F16" i="228"/>
  <c r="E16" i="228"/>
  <c r="D16" i="228"/>
  <c r="M13" i="228"/>
  <c r="L13" i="228"/>
  <c r="K13" i="228"/>
  <c r="I6" i="228" s="1"/>
  <c r="J13" i="228"/>
  <c r="I13" i="228"/>
  <c r="H13" i="228"/>
  <c r="F13" i="228"/>
  <c r="E13" i="228"/>
  <c r="D13" i="228"/>
  <c r="I3" i="228"/>
  <c r="F3" i="228"/>
  <c r="C3" i="228"/>
  <c r="I7" i="234" l="1"/>
  <c r="K15" i="234"/>
  <c r="I8" i="234" s="1"/>
  <c r="G8" i="234"/>
  <c r="E8" i="234"/>
  <c r="E7" i="234"/>
  <c r="G7" i="234"/>
  <c r="F7" i="234"/>
  <c r="D2" i="233"/>
  <c r="Q48" i="233"/>
  <c r="R41" i="233" s="1"/>
  <c r="P48" i="233"/>
  <c r="L14" i="232"/>
  <c r="L15" i="232" s="1"/>
  <c r="Q9" i="233"/>
  <c r="R5" i="233" s="1"/>
  <c r="D15" i="232"/>
  <c r="P9" i="233"/>
  <c r="K15" i="232"/>
  <c r="I8" i="232" s="1"/>
  <c r="I7" i="232"/>
  <c r="Q21" i="233"/>
  <c r="R15" i="233" s="1"/>
  <c r="P21" i="233"/>
  <c r="F14" i="232"/>
  <c r="F15" i="232" s="1"/>
  <c r="Q30" i="233"/>
  <c r="R22" i="233" s="1"/>
  <c r="P30" i="233"/>
  <c r="G14" i="232"/>
  <c r="G15" i="232" s="1"/>
  <c r="Q40" i="233"/>
  <c r="R31" i="233" s="1"/>
  <c r="P40" i="233"/>
  <c r="Q60" i="233"/>
  <c r="R49" i="233" s="1"/>
  <c r="P60" i="233"/>
  <c r="H14" i="232"/>
  <c r="H15" i="232" s="1"/>
  <c r="Q80" i="233"/>
  <c r="R72" i="233" s="1"/>
  <c r="P80" i="233"/>
  <c r="P10" i="231"/>
  <c r="Q10" i="231"/>
  <c r="Q56" i="231"/>
  <c r="P56" i="231"/>
  <c r="P27" i="231"/>
  <c r="Q27" i="231"/>
  <c r="P52" i="231"/>
  <c r="Q52" i="231"/>
  <c r="P38" i="231"/>
  <c r="Q38" i="231"/>
  <c r="Q73" i="231"/>
  <c r="P73" i="231"/>
  <c r="P21" i="231"/>
  <c r="Q21" i="231"/>
  <c r="N61" i="231"/>
  <c r="AA61" i="231"/>
  <c r="AB61" i="231"/>
  <c r="AC50" i="231" s="1"/>
  <c r="N9" i="231"/>
  <c r="AB9" i="231"/>
  <c r="AC5" i="231" s="1"/>
  <c r="AA9" i="231"/>
  <c r="P80" i="231"/>
  <c r="Q80" i="231"/>
  <c r="P28" i="231"/>
  <c r="Q28" i="231"/>
  <c r="Q74" i="231"/>
  <c r="P74" i="231"/>
  <c r="P60" i="231"/>
  <c r="Q60" i="231"/>
  <c r="P57" i="231"/>
  <c r="Q57" i="231"/>
  <c r="N22" i="231"/>
  <c r="AA22" i="231"/>
  <c r="AB22" i="231"/>
  <c r="AC16" i="231" s="1"/>
  <c r="N49" i="231"/>
  <c r="AA49" i="231"/>
  <c r="AB49" i="231"/>
  <c r="AC42" i="231" s="1"/>
  <c r="P12" i="231"/>
  <c r="Q12" i="231"/>
  <c r="N41" i="231"/>
  <c r="AA41" i="231"/>
  <c r="AB41" i="231"/>
  <c r="AC32" i="231" s="1"/>
  <c r="P11" i="231"/>
  <c r="Q11" i="231"/>
  <c r="N31" i="231"/>
  <c r="AA31" i="231"/>
  <c r="AB31" i="231"/>
  <c r="AC23" i="231" s="1"/>
  <c r="P78" i="231"/>
  <c r="Q78" i="231"/>
  <c r="Q6" i="231"/>
  <c r="P6" i="231"/>
  <c r="P70" i="231"/>
  <c r="Q70" i="231"/>
  <c r="P40" i="231"/>
  <c r="Q40" i="231"/>
  <c r="P69" i="231"/>
  <c r="Q69" i="231"/>
  <c r="Q24" i="231"/>
  <c r="P24" i="231"/>
  <c r="AA72" i="231"/>
  <c r="AB72" i="231"/>
  <c r="AC67" i="231" s="1"/>
  <c r="N72" i="231"/>
  <c r="P48" i="231"/>
  <c r="Q48" i="231"/>
  <c r="P76" i="231"/>
  <c r="Q76" i="231"/>
  <c r="Q36" i="231"/>
  <c r="P36" i="231"/>
  <c r="Q34" i="231"/>
  <c r="P34" i="231"/>
  <c r="P59" i="231"/>
  <c r="Q59" i="231"/>
  <c r="P58" i="231"/>
  <c r="Q58" i="231"/>
  <c r="P20" i="231"/>
  <c r="Q20" i="231"/>
  <c r="Q64" i="231"/>
  <c r="P64" i="231"/>
  <c r="P77" i="231"/>
  <c r="Q77" i="231"/>
  <c r="Q5" i="231"/>
  <c r="P5" i="231"/>
  <c r="P16" i="231"/>
  <c r="Q16" i="231"/>
  <c r="P37" i="231"/>
  <c r="Q37" i="231"/>
  <c r="Q8" i="231"/>
  <c r="P8" i="231"/>
  <c r="P39" i="231"/>
  <c r="Q39" i="231"/>
  <c r="P79" i="231"/>
  <c r="Q79" i="231"/>
  <c r="AA66" i="231"/>
  <c r="N66" i="231"/>
  <c r="AB66" i="231"/>
  <c r="AC62" i="231" s="1"/>
  <c r="Q46" i="231"/>
  <c r="P46" i="231"/>
  <c r="Q44" i="231"/>
  <c r="P44" i="231"/>
  <c r="P19" i="231"/>
  <c r="Q19" i="231"/>
  <c r="P30" i="231"/>
  <c r="Q30" i="231"/>
  <c r="P29" i="231"/>
  <c r="Q29" i="231"/>
  <c r="AA15" i="231"/>
  <c r="AB15" i="231"/>
  <c r="AC10" i="231" s="1"/>
  <c r="N15" i="231"/>
  <c r="P68" i="231"/>
  <c r="Q68" i="231"/>
  <c r="P14" i="231"/>
  <c r="Q14" i="231"/>
  <c r="P17" i="231"/>
  <c r="Q17" i="231"/>
  <c r="P18" i="231"/>
  <c r="Q18" i="231"/>
  <c r="P75" i="231"/>
  <c r="Q75" i="231"/>
  <c r="AA81" i="231"/>
  <c r="AB81" i="231"/>
  <c r="AC73" i="231" s="1"/>
  <c r="N81" i="231"/>
  <c r="Q23" i="231"/>
  <c r="P23" i="231"/>
  <c r="Q26" i="231"/>
  <c r="P26" i="231"/>
  <c r="Q54" i="231"/>
  <c r="P54" i="231"/>
  <c r="P47" i="231"/>
  <c r="Q47" i="231"/>
  <c r="P67" i="231"/>
  <c r="Q67" i="231"/>
  <c r="N5" i="229"/>
  <c r="M9" i="229"/>
  <c r="AB5" i="229"/>
  <c r="AA5" i="229"/>
  <c r="N14" i="229"/>
  <c r="AB14" i="229"/>
  <c r="AA14" i="229"/>
  <c r="Q17" i="229"/>
  <c r="P17" i="229"/>
  <c r="N23" i="229"/>
  <c r="AB23" i="229"/>
  <c r="AA23" i="229"/>
  <c r="Q57" i="229"/>
  <c r="P57" i="229"/>
  <c r="AB41" i="229"/>
  <c r="AA41" i="229"/>
  <c r="M47" i="229"/>
  <c r="N41" i="229"/>
  <c r="N43" i="229"/>
  <c r="AB43" i="229"/>
  <c r="AA43" i="229"/>
  <c r="N52" i="229"/>
  <c r="AB52" i="229"/>
  <c r="AA52" i="229"/>
  <c r="N64" i="229"/>
  <c r="AB64" i="229"/>
  <c r="AA64" i="229"/>
  <c r="AB69" i="229"/>
  <c r="AA69" i="229"/>
  <c r="N69" i="229"/>
  <c r="AB11" i="229"/>
  <c r="AA11" i="229"/>
  <c r="N11" i="229"/>
  <c r="N35" i="229"/>
  <c r="AB35" i="229"/>
  <c r="AA35" i="229"/>
  <c r="N8" i="229"/>
  <c r="AB8" i="229"/>
  <c r="N26" i="229"/>
  <c r="AB26" i="229"/>
  <c r="AB49" i="229"/>
  <c r="AA49" i="229"/>
  <c r="N49" i="229"/>
  <c r="AA8" i="229"/>
  <c r="AA26" i="229"/>
  <c r="AB31" i="229"/>
  <c r="AA31" i="229"/>
  <c r="N31" i="229"/>
  <c r="N33" i="229"/>
  <c r="AB33" i="229"/>
  <c r="AA33" i="229"/>
  <c r="Q40" i="229"/>
  <c r="P40" i="229"/>
  <c r="N46" i="229"/>
  <c r="AB46" i="229"/>
  <c r="N55" i="229"/>
  <c r="AB55" i="229"/>
  <c r="AA55" i="229"/>
  <c r="Q65" i="229"/>
  <c r="P65" i="229"/>
  <c r="N72" i="229"/>
  <c r="AB72" i="229"/>
  <c r="AA72" i="229"/>
  <c r="N6" i="229"/>
  <c r="AB6" i="229"/>
  <c r="AA6" i="229"/>
  <c r="N24" i="229"/>
  <c r="AB24" i="229"/>
  <c r="AA24" i="229"/>
  <c r="AA46" i="229"/>
  <c r="N44" i="229"/>
  <c r="AB44" i="229"/>
  <c r="AA44" i="229"/>
  <c r="N53" i="229"/>
  <c r="AB53" i="229"/>
  <c r="AA53" i="229"/>
  <c r="N70" i="229"/>
  <c r="AB70" i="229"/>
  <c r="AA70" i="229"/>
  <c r="AB13" i="229"/>
  <c r="AA13" i="229"/>
  <c r="N13" i="229"/>
  <c r="Q16" i="229"/>
  <c r="P16" i="229"/>
  <c r="N22" i="229"/>
  <c r="AB22" i="229"/>
  <c r="AA22" i="229"/>
  <c r="M29" i="229"/>
  <c r="Q27" i="229"/>
  <c r="P27" i="229"/>
  <c r="N36" i="229"/>
  <c r="AB36" i="229"/>
  <c r="N42" i="229"/>
  <c r="AB42" i="229"/>
  <c r="AA42" i="229"/>
  <c r="AB51" i="229"/>
  <c r="AA51" i="229"/>
  <c r="N51" i="229"/>
  <c r="N63" i="229"/>
  <c r="AB63" i="229"/>
  <c r="AA63" i="229"/>
  <c r="AB68" i="229"/>
  <c r="AA68" i="229"/>
  <c r="M74" i="229"/>
  <c r="N68" i="229"/>
  <c r="G6" i="228"/>
  <c r="AB10" i="229"/>
  <c r="M15" i="229"/>
  <c r="AA10" i="229"/>
  <c r="N10" i="229"/>
  <c r="Q12" i="229"/>
  <c r="P12" i="229"/>
  <c r="N34" i="229"/>
  <c r="AB34" i="229"/>
  <c r="AA34" i="229"/>
  <c r="Q39" i="229"/>
  <c r="P39" i="229"/>
  <c r="N56" i="229"/>
  <c r="AB56" i="229"/>
  <c r="AA56" i="229"/>
  <c r="N61" i="229"/>
  <c r="AB61" i="229"/>
  <c r="AC59" i="229" s="1"/>
  <c r="AA61" i="229"/>
  <c r="N73" i="229"/>
  <c r="AB73" i="229"/>
  <c r="AA73" i="229"/>
  <c r="F6" i="228"/>
  <c r="N62" i="229"/>
  <c r="AB62" i="229"/>
  <c r="M67" i="229"/>
  <c r="AA62" i="229"/>
  <c r="N7" i="229"/>
  <c r="AB7" i="229"/>
  <c r="AA7" i="229"/>
  <c r="N25" i="229"/>
  <c r="AB25" i="229"/>
  <c r="AA25" i="229"/>
  <c r="N32" i="229"/>
  <c r="AB32" i="229"/>
  <c r="AA32" i="229"/>
  <c r="AB48" i="229"/>
  <c r="AA48" i="229"/>
  <c r="M58" i="229"/>
  <c r="N48" i="229"/>
  <c r="Q50" i="229"/>
  <c r="P50" i="229"/>
  <c r="E6" i="228"/>
  <c r="AB30" i="229"/>
  <c r="AA30" i="229"/>
  <c r="M38" i="229"/>
  <c r="N30" i="229"/>
  <c r="Q37" i="229"/>
  <c r="P37" i="229"/>
  <c r="N45" i="229"/>
  <c r="AB45" i="229"/>
  <c r="AA45" i="229"/>
  <c r="N54" i="229"/>
  <c r="AB54" i="229"/>
  <c r="AA54" i="229"/>
  <c r="N71" i="229"/>
  <c r="AB71" i="229"/>
  <c r="AA71" i="229"/>
  <c r="AA16" i="229"/>
  <c r="AA17" i="229"/>
  <c r="AB18" i="229"/>
  <c r="M21" i="229"/>
  <c r="AA27" i="229"/>
  <c r="AB28" i="229"/>
  <c r="AA37" i="229"/>
  <c r="AA57" i="229"/>
  <c r="AA65" i="229"/>
  <c r="AB66" i="229"/>
  <c r="N20" i="229"/>
  <c r="P59" i="229"/>
  <c r="P60" i="229"/>
  <c r="N19" i="229"/>
  <c r="N18" i="229"/>
  <c r="N28" i="229"/>
  <c r="N66" i="229"/>
  <c r="AB59" i="229"/>
  <c r="AA20" i="229"/>
  <c r="AA19" i="229"/>
  <c r="O74" i="225"/>
  <c r="K74" i="225"/>
  <c r="V73" i="225"/>
  <c r="M73" i="225" s="1"/>
  <c r="U73" i="225"/>
  <c r="O73" i="225"/>
  <c r="K73" i="225"/>
  <c r="G73" i="225"/>
  <c r="V72" i="225"/>
  <c r="M72" i="225" s="1"/>
  <c r="U72" i="225"/>
  <c r="O72" i="225"/>
  <c r="K72" i="225"/>
  <c r="G72" i="225"/>
  <c r="V71" i="225"/>
  <c r="M71" i="225" s="1"/>
  <c r="U71" i="225"/>
  <c r="O71" i="225"/>
  <c r="K71" i="225"/>
  <c r="G71" i="225"/>
  <c r="V70" i="225"/>
  <c r="M70" i="225" s="1"/>
  <c r="U70" i="225"/>
  <c r="O70" i="225"/>
  <c r="K70" i="225"/>
  <c r="G70" i="225"/>
  <c r="V69" i="225"/>
  <c r="M69" i="225" s="1"/>
  <c r="U69" i="225"/>
  <c r="O69" i="225"/>
  <c r="K69" i="225"/>
  <c r="G69" i="225"/>
  <c r="AB68" i="225"/>
  <c r="V68" i="225"/>
  <c r="U68" i="225"/>
  <c r="Q68" i="225"/>
  <c r="P68" i="225"/>
  <c r="O68" i="225"/>
  <c r="N68" i="225"/>
  <c r="M68" i="225"/>
  <c r="AA68" i="225" s="1"/>
  <c r="K68" i="225"/>
  <c r="G68" i="225"/>
  <c r="AB67" i="225"/>
  <c r="V67" i="225"/>
  <c r="Q67" i="225"/>
  <c r="P67" i="225"/>
  <c r="O67" i="225"/>
  <c r="N67" i="225"/>
  <c r="M67" i="225"/>
  <c r="AA67" i="225" s="1"/>
  <c r="K67" i="225"/>
  <c r="G67" i="225"/>
  <c r="O66" i="225"/>
  <c r="K66" i="225"/>
  <c r="AB65" i="225"/>
  <c r="AA65" i="225"/>
  <c r="V65" i="225"/>
  <c r="U65" i="225"/>
  <c r="O65" i="225"/>
  <c r="N65" i="225"/>
  <c r="Q65" i="225" s="1"/>
  <c r="M65" i="225"/>
  <c r="K65" i="225"/>
  <c r="P65" i="225" s="1"/>
  <c r="G65" i="225"/>
  <c r="V64" i="225"/>
  <c r="M64" i="225" s="1"/>
  <c r="U64" i="225"/>
  <c r="O64" i="225"/>
  <c r="K64" i="225"/>
  <c r="G64" i="225"/>
  <c r="V63" i="225"/>
  <c r="M63" i="225" s="1"/>
  <c r="U63" i="225"/>
  <c r="O63" i="225"/>
  <c r="K63" i="225"/>
  <c r="G63" i="225"/>
  <c r="V62" i="225"/>
  <c r="M62" i="225" s="1"/>
  <c r="U62" i="225"/>
  <c r="O62" i="225"/>
  <c r="K62" i="225"/>
  <c r="G62" i="225"/>
  <c r="V61" i="225"/>
  <c r="M61" i="225" s="1"/>
  <c r="O61" i="225"/>
  <c r="K61" i="225"/>
  <c r="G61" i="225"/>
  <c r="O60" i="225"/>
  <c r="K60" i="225"/>
  <c r="V59" i="225"/>
  <c r="U59" i="225"/>
  <c r="O59" i="225"/>
  <c r="M59" i="225"/>
  <c r="AB59" i="225" s="1"/>
  <c r="K59" i="225"/>
  <c r="G59" i="225"/>
  <c r="V58" i="225"/>
  <c r="O58" i="225"/>
  <c r="M58" i="225"/>
  <c r="M60" i="225" s="1"/>
  <c r="K58" i="225"/>
  <c r="G58" i="225"/>
  <c r="O57" i="225"/>
  <c r="K57" i="225"/>
  <c r="V56" i="225"/>
  <c r="M56" i="225" s="1"/>
  <c r="U56" i="225"/>
  <c r="O56" i="225"/>
  <c r="K56" i="225"/>
  <c r="G56" i="225"/>
  <c r="V55" i="225"/>
  <c r="M55" i="225" s="1"/>
  <c r="U55" i="225"/>
  <c r="O55" i="225"/>
  <c r="K55" i="225"/>
  <c r="G55" i="225"/>
  <c r="V54" i="225"/>
  <c r="M54" i="225" s="1"/>
  <c r="U54" i="225"/>
  <c r="O54" i="225"/>
  <c r="K54" i="225"/>
  <c r="G54" i="225"/>
  <c r="V53" i="225"/>
  <c r="M53" i="225" s="1"/>
  <c r="U53" i="225"/>
  <c r="O53" i="225"/>
  <c r="K53" i="225"/>
  <c r="G53" i="225"/>
  <c r="V52" i="225"/>
  <c r="M52" i="225" s="1"/>
  <c r="U52" i="225"/>
  <c r="O52" i="225"/>
  <c r="K52" i="225"/>
  <c r="G52" i="225"/>
  <c r="V51" i="225"/>
  <c r="M51" i="225" s="1"/>
  <c r="U51" i="225"/>
  <c r="O51" i="225"/>
  <c r="K51" i="225"/>
  <c r="G51" i="225"/>
  <c r="AB50" i="225"/>
  <c r="V50" i="225"/>
  <c r="U50" i="225"/>
  <c r="P50" i="225"/>
  <c r="O50" i="225"/>
  <c r="N50" i="225"/>
  <c r="Q50" i="225" s="1"/>
  <c r="M50" i="225"/>
  <c r="AA50" i="225" s="1"/>
  <c r="K50" i="225"/>
  <c r="G50" i="225"/>
  <c r="V49" i="225"/>
  <c r="U49" i="225"/>
  <c r="O49" i="225"/>
  <c r="M49" i="225"/>
  <c r="AB49" i="225" s="1"/>
  <c r="K49" i="225"/>
  <c r="G49" i="225"/>
  <c r="V48" i="225"/>
  <c r="O48" i="225"/>
  <c r="M48" i="225"/>
  <c r="AB48" i="225" s="1"/>
  <c r="K48" i="225"/>
  <c r="G48" i="225"/>
  <c r="O47" i="225"/>
  <c r="K47" i="225"/>
  <c r="V46" i="225"/>
  <c r="M46" i="225" s="1"/>
  <c r="U46" i="225"/>
  <c r="O46" i="225"/>
  <c r="K46" i="225"/>
  <c r="G46" i="225"/>
  <c r="V45" i="225"/>
  <c r="M45" i="225" s="1"/>
  <c r="U45" i="225"/>
  <c r="O45" i="225"/>
  <c r="K45" i="225"/>
  <c r="G45" i="225"/>
  <c r="V44" i="225"/>
  <c r="M44" i="225" s="1"/>
  <c r="U44" i="225"/>
  <c r="O44" i="225"/>
  <c r="K44" i="225"/>
  <c r="G44" i="225"/>
  <c r="V43" i="225"/>
  <c r="M43" i="225" s="1"/>
  <c r="U43" i="225"/>
  <c r="O43" i="225"/>
  <c r="K43" i="225"/>
  <c r="G43" i="225"/>
  <c r="V42" i="225"/>
  <c r="M42" i="225" s="1"/>
  <c r="U42" i="225"/>
  <c r="O42" i="225"/>
  <c r="K42" i="225"/>
  <c r="G42" i="225"/>
  <c r="V41" i="225"/>
  <c r="M41" i="225" s="1"/>
  <c r="U41" i="225"/>
  <c r="O41" i="225"/>
  <c r="K41" i="225"/>
  <c r="G41" i="225"/>
  <c r="AB40" i="225"/>
  <c r="V40" i="225"/>
  <c r="U40" i="225"/>
  <c r="P40" i="225"/>
  <c r="O40" i="225"/>
  <c r="N40" i="225"/>
  <c r="Q40" i="225" s="1"/>
  <c r="M40" i="225"/>
  <c r="AA40" i="225" s="1"/>
  <c r="K40" i="225"/>
  <c r="G40" i="225"/>
  <c r="AB39" i="225"/>
  <c r="V39" i="225"/>
  <c r="P39" i="225"/>
  <c r="O39" i="225"/>
  <c r="N39" i="225"/>
  <c r="Q39" i="225" s="1"/>
  <c r="M39" i="225"/>
  <c r="AA39" i="225" s="1"/>
  <c r="K39" i="225"/>
  <c r="G39" i="225"/>
  <c r="O38" i="225"/>
  <c r="K38" i="225"/>
  <c r="AB37" i="225"/>
  <c r="AA37" i="225"/>
  <c r="V37" i="225"/>
  <c r="U37" i="225"/>
  <c r="O37" i="225"/>
  <c r="N37" i="225"/>
  <c r="Q37" i="225" s="1"/>
  <c r="M37" i="225"/>
  <c r="K37" i="225"/>
  <c r="P37" i="225" s="1"/>
  <c r="G37" i="225"/>
  <c r="V36" i="225"/>
  <c r="M36" i="225" s="1"/>
  <c r="U36" i="225"/>
  <c r="O36" i="225"/>
  <c r="K36" i="225"/>
  <c r="G36" i="225"/>
  <c r="V35" i="225"/>
  <c r="M35" i="225" s="1"/>
  <c r="U35" i="225"/>
  <c r="O35" i="225"/>
  <c r="K35" i="225"/>
  <c r="G35" i="225"/>
  <c r="V34" i="225"/>
  <c r="M34" i="225" s="1"/>
  <c r="U34" i="225"/>
  <c r="O34" i="225"/>
  <c r="K34" i="225"/>
  <c r="G34" i="225"/>
  <c r="V33" i="225"/>
  <c r="M33" i="225" s="1"/>
  <c r="U33" i="225"/>
  <c r="O33" i="225"/>
  <c r="K33" i="225"/>
  <c r="G33" i="225"/>
  <c r="V32" i="225"/>
  <c r="M32" i="225" s="1"/>
  <c r="U32" i="225"/>
  <c r="O32" i="225"/>
  <c r="K32" i="225"/>
  <c r="G32" i="225"/>
  <c r="V31" i="225"/>
  <c r="M31" i="225" s="1"/>
  <c r="U31" i="225"/>
  <c r="O31" i="225"/>
  <c r="K31" i="225"/>
  <c r="G31" i="225"/>
  <c r="AB30" i="225"/>
  <c r="V30" i="225"/>
  <c r="U30" i="225"/>
  <c r="P30" i="225"/>
  <c r="O30" i="225"/>
  <c r="N30" i="225"/>
  <c r="Q30" i="225" s="1"/>
  <c r="M30" i="225"/>
  <c r="AA30" i="225" s="1"/>
  <c r="K30" i="225"/>
  <c r="G30" i="225"/>
  <c r="V29" i="225"/>
  <c r="U29" i="225"/>
  <c r="O29" i="225"/>
  <c r="M29" i="225"/>
  <c r="AB29" i="225" s="1"/>
  <c r="K29" i="225"/>
  <c r="G29" i="225"/>
  <c r="V28" i="225"/>
  <c r="O28" i="225"/>
  <c r="M28" i="225"/>
  <c r="AB28" i="225" s="1"/>
  <c r="K28" i="225"/>
  <c r="G28" i="225"/>
  <c r="O27" i="225"/>
  <c r="K27" i="225"/>
  <c r="AB26" i="225"/>
  <c r="AA26" i="225"/>
  <c r="V26" i="225"/>
  <c r="U26" i="225"/>
  <c r="O26" i="225"/>
  <c r="M26" i="225"/>
  <c r="N26" i="225" s="1"/>
  <c r="K26" i="225"/>
  <c r="G26" i="225"/>
  <c r="V25" i="225"/>
  <c r="M25" i="225" s="1"/>
  <c r="U25" i="225"/>
  <c r="O25" i="225"/>
  <c r="K25" i="225"/>
  <c r="G25" i="225"/>
  <c r="V24" i="225"/>
  <c r="M24" i="225" s="1"/>
  <c r="U24" i="225"/>
  <c r="O24" i="225"/>
  <c r="K24" i="225"/>
  <c r="G24" i="225"/>
  <c r="V23" i="225"/>
  <c r="M23" i="225" s="1"/>
  <c r="U23" i="225"/>
  <c r="O23" i="225"/>
  <c r="K23" i="225"/>
  <c r="G23" i="225"/>
  <c r="V22" i="225"/>
  <c r="M22" i="225" s="1"/>
  <c r="U22" i="225"/>
  <c r="O22" i="225"/>
  <c r="K22" i="225"/>
  <c r="G22" i="225"/>
  <c r="V21" i="225"/>
  <c r="M21" i="225" s="1"/>
  <c r="U21" i="225"/>
  <c r="O21" i="225"/>
  <c r="K21" i="225"/>
  <c r="G21" i="225"/>
  <c r="V20" i="225"/>
  <c r="M20" i="225" s="1"/>
  <c r="O20" i="225"/>
  <c r="K20" i="225"/>
  <c r="G20" i="225"/>
  <c r="O19" i="225"/>
  <c r="K19" i="225"/>
  <c r="V18" i="225"/>
  <c r="U18" i="225"/>
  <c r="O18" i="225"/>
  <c r="M18" i="225"/>
  <c r="AA18" i="225" s="1"/>
  <c r="K18" i="225"/>
  <c r="G18" i="225"/>
  <c r="AB17" i="225"/>
  <c r="AA17" i="225"/>
  <c r="V17" i="225"/>
  <c r="U17" i="225"/>
  <c r="O17" i="225"/>
  <c r="N17" i="225"/>
  <c r="Q17" i="225" s="1"/>
  <c r="M17" i="225"/>
  <c r="K17" i="225"/>
  <c r="P17" i="225" s="1"/>
  <c r="G17" i="225"/>
  <c r="F1" i="225" s="1"/>
  <c r="AB16" i="225"/>
  <c r="AA16" i="225"/>
  <c r="V16" i="225"/>
  <c r="U16" i="225"/>
  <c r="O16" i="225"/>
  <c r="M16" i="225"/>
  <c r="N16" i="225" s="1"/>
  <c r="K16" i="225"/>
  <c r="G16" i="225"/>
  <c r="V15" i="225"/>
  <c r="M15" i="225" s="1"/>
  <c r="U15" i="225"/>
  <c r="O15" i="225"/>
  <c r="K15" i="225"/>
  <c r="G15" i="225"/>
  <c r="V14" i="225"/>
  <c r="M14" i="225" s="1"/>
  <c r="O14" i="225"/>
  <c r="K14" i="225"/>
  <c r="G14" i="225"/>
  <c r="O13" i="225"/>
  <c r="K13" i="225"/>
  <c r="AB12" i="225"/>
  <c r="V12" i="225"/>
  <c r="U12" i="225"/>
  <c r="P12" i="225"/>
  <c r="O12" i="225"/>
  <c r="N12" i="225"/>
  <c r="Q12" i="225" s="1"/>
  <c r="M12" i="225"/>
  <c r="AA12" i="225" s="1"/>
  <c r="K12" i="225"/>
  <c r="G12" i="225"/>
  <c r="V11" i="225"/>
  <c r="U11" i="225"/>
  <c r="O11" i="225"/>
  <c r="M11" i="225"/>
  <c r="AB11" i="225" s="1"/>
  <c r="K11" i="225"/>
  <c r="G11" i="225"/>
  <c r="V10" i="225"/>
  <c r="U10" i="225"/>
  <c r="O10" i="225"/>
  <c r="N10" i="225"/>
  <c r="Q10" i="225" s="1"/>
  <c r="M10" i="225"/>
  <c r="AB10" i="225" s="1"/>
  <c r="K10" i="225"/>
  <c r="G10" i="225"/>
  <c r="V9" i="225"/>
  <c r="U9" i="225"/>
  <c r="O9" i="225"/>
  <c r="M9" i="225"/>
  <c r="AB9" i="225" s="1"/>
  <c r="K9" i="225"/>
  <c r="G9" i="225"/>
  <c r="V8" i="225"/>
  <c r="O8" i="225"/>
  <c r="M8" i="225"/>
  <c r="AB8" i="225" s="1"/>
  <c r="K8" i="225"/>
  <c r="G8" i="225"/>
  <c r="O7" i="225"/>
  <c r="K7" i="225"/>
  <c r="V6" i="225"/>
  <c r="M6" i="225" s="1"/>
  <c r="U6" i="225"/>
  <c r="O6" i="225"/>
  <c r="K6" i="225"/>
  <c r="G6" i="225"/>
  <c r="V5" i="225"/>
  <c r="M5" i="225" s="1"/>
  <c r="O5" i="225"/>
  <c r="K5" i="225"/>
  <c r="G5" i="225"/>
  <c r="H2" i="225"/>
  <c r="H1" i="225"/>
  <c r="D1" i="225"/>
  <c r="M18" i="224"/>
  <c r="L18" i="224"/>
  <c r="K18" i="224"/>
  <c r="J18" i="224"/>
  <c r="I18" i="224"/>
  <c r="H18" i="224"/>
  <c r="G18" i="224"/>
  <c r="F18" i="224"/>
  <c r="E18" i="224"/>
  <c r="D18" i="224"/>
  <c r="M17" i="224"/>
  <c r="L17" i="224"/>
  <c r="K17" i="224"/>
  <c r="J17" i="224"/>
  <c r="I17" i="224"/>
  <c r="H17" i="224"/>
  <c r="G17" i="224"/>
  <c r="F17" i="224"/>
  <c r="E17" i="224"/>
  <c r="D17" i="224"/>
  <c r="M16" i="224"/>
  <c r="L16" i="224"/>
  <c r="K16" i="224"/>
  <c r="J16" i="224"/>
  <c r="I16" i="224"/>
  <c r="H16" i="224"/>
  <c r="G16" i="224"/>
  <c r="F16" i="224"/>
  <c r="E16" i="224"/>
  <c r="D16" i="224"/>
  <c r="M13" i="224"/>
  <c r="L13" i="224"/>
  <c r="K13" i="224"/>
  <c r="I6" i="224" s="1"/>
  <c r="J13" i="224"/>
  <c r="I13" i="224"/>
  <c r="H13" i="224"/>
  <c r="G13" i="224"/>
  <c r="F13" i="224"/>
  <c r="E13" i="224"/>
  <c r="D13" i="224"/>
  <c r="E6" i="224" s="1"/>
  <c r="F3" i="224"/>
  <c r="C3" i="224"/>
  <c r="E7" i="232" l="1"/>
  <c r="F8" i="232"/>
  <c r="E8" i="232"/>
  <c r="G8" i="232"/>
  <c r="F7" i="232"/>
  <c r="G7" i="232"/>
  <c r="I14" i="230"/>
  <c r="I15" i="230" s="1"/>
  <c r="P66" i="231"/>
  <c r="Q66" i="231"/>
  <c r="R62" i="231" s="1"/>
  <c r="G14" i="230"/>
  <c r="G15" i="230" s="1"/>
  <c r="P31" i="231"/>
  <c r="Q31" i="231"/>
  <c r="R23" i="231" s="1"/>
  <c r="P22" i="231"/>
  <c r="Q22" i="231"/>
  <c r="R16" i="231" s="1"/>
  <c r="F14" i="230"/>
  <c r="F15" i="230" s="1"/>
  <c r="Q15" i="231"/>
  <c r="R10" i="231" s="1"/>
  <c r="E14" i="230"/>
  <c r="E15" i="230" s="1"/>
  <c r="P15" i="231"/>
  <c r="P49" i="231"/>
  <c r="L14" i="230"/>
  <c r="L15" i="230" s="1"/>
  <c r="Q49" i="231"/>
  <c r="R42" i="231" s="1"/>
  <c r="P41" i="231"/>
  <c r="Q41" i="231"/>
  <c r="R32" i="231" s="1"/>
  <c r="K14" i="230"/>
  <c r="H14" i="230"/>
  <c r="H15" i="230" s="1"/>
  <c r="P61" i="231"/>
  <c r="Q61" i="231"/>
  <c r="R50" i="231" s="1"/>
  <c r="P81" i="231"/>
  <c r="Q81" i="231"/>
  <c r="R73" i="231" s="1"/>
  <c r="M14" i="230"/>
  <c r="M15" i="230" s="1"/>
  <c r="D2" i="231"/>
  <c r="P9" i="231"/>
  <c r="Q9" i="231"/>
  <c r="R5" i="231" s="1"/>
  <c r="D14" i="230"/>
  <c r="P72" i="231"/>
  <c r="Q72" i="231"/>
  <c r="R67" i="231" s="1"/>
  <c r="J14" i="230"/>
  <c r="J15" i="230" s="1"/>
  <c r="I14" i="228"/>
  <c r="I15" i="228" s="1"/>
  <c r="Q61" i="229"/>
  <c r="R59" i="229" s="1"/>
  <c r="P61" i="229"/>
  <c r="P22" i="229"/>
  <c r="Q22" i="229"/>
  <c r="P72" i="229"/>
  <c r="Q72" i="229"/>
  <c r="Q8" i="229"/>
  <c r="P8" i="229"/>
  <c r="Q64" i="229"/>
  <c r="P64" i="229"/>
  <c r="Q66" i="229"/>
  <c r="P66" i="229"/>
  <c r="AB58" i="229"/>
  <c r="AC48" i="229" s="1"/>
  <c r="AA58" i="229"/>
  <c r="N58" i="229"/>
  <c r="P44" i="229"/>
  <c r="Q44" i="229"/>
  <c r="P54" i="229"/>
  <c r="Q54" i="229"/>
  <c r="Q31" i="229"/>
  <c r="P31" i="229"/>
  <c r="AB21" i="229"/>
  <c r="AC16" i="229" s="1"/>
  <c r="AA21" i="229"/>
  <c r="N21" i="229"/>
  <c r="AB67" i="229"/>
  <c r="AC62" i="229" s="1"/>
  <c r="AA67" i="229"/>
  <c r="N67" i="229"/>
  <c r="Q56" i="229"/>
  <c r="P56" i="229"/>
  <c r="Q13" i="229"/>
  <c r="P13" i="229"/>
  <c r="Q35" i="229"/>
  <c r="P35" i="229"/>
  <c r="Q52" i="229"/>
  <c r="P52" i="229"/>
  <c r="P23" i="229"/>
  <c r="Q23" i="229"/>
  <c r="P43" i="229"/>
  <c r="Q43" i="229"/>
  <c r="P33" i="229"/>
  <c r="Q33" i="229"/>
  <c r="P5" i="229"/>
  <c r="Q5" i="229"/>
  <c r="Q48" i="229"/>
  <c r="P48" i="229"/>
  <c r="Q7" i="229"/>
  <c r="P7" i="229"/>
  <c r="N15" i="229"/>
  <c r="AB15" i="229"/>
  <c r="AC10" i="229" s="1"/>
  <c r="AA15" i="229"/>
  <c r="Q28" i="229"/>
  <c r="P28" i="229"/>
  <c r="Q45" i="229"/>
  <c r="P45" i="229"/>
  <c r="Q18" i="229"/>
  <c r="P18" i="229"/>
  <c r="Q68" i="229"/>
  <c r="P68" i="229"/>
  <c r="Q42" i="229"/>
  <c r="P42" i="229"/>
  <c r="Q11" i="229"/>
  <c r="P11" i="229"/>
  <c r="Q19" i="229"/>
  <c r="P19" i="229"/>
  <c r="Q62" i="229"/>
  <c r="P62" i="229"/>
  <c r="AB74" i="229"/>
  <c r="AC68" i="229" s="1"/>
  <c r="AA74" i="229"/>
  <c r="N74" i="229"/>
  <c r="Q55" i="229"/>
  <c r="P55" i="229"/>
  <c r="AB29" i="229"/>
  <c r="AC22" i="229" s="1"/>
  <c r="AA29" i="229"/>
  <c r="N29" i="229"/>
  <c r="P6" i="229"/>
  <c r="Q6" i="229"/>
  <c r="Q30" i="229"/>
  <c r="P30" i="229"/>
  <c r="Q36" i="229"/>
  <c r="P36" i="229"/>
  <c r="P24" i="229"/>
  <c r="Q24" i="229"/>
  <c r="Q49" i="229"/>
  <c r="P49" i="229"/>
  <c r="AB38" i="229"/>
  <c r="AC30" i="229" s="1"/>
  <c r="AA38" i="229"/>
  <c r="N38" i="229"/>
  <c r="Q32" i="229"/>
  <c r="P32" i="229"/>
  <c r="Q46" i="229"/>
  <c r="P46" i="229"/>
  <c r="Q69" i="229"/>
  <c r="P69" i="229"/>
  <c r="Q41" i="229"/>
  <c r="P41" i="229"/>
  <c r="Q20" i="229"/>
  <c r="P20" i="229"/>
  <c r="P34" i="229"/>
  <c r="Q34" i="229"/>
  <c r="Q70" i="229"/>
  <c r="P70" i="229"/>
  <c r="AB47" i="229"/>
  <c r="AC39" i="229" s="1"/>
  <c r="AA47" i="229"/>
  <c r="N47" i="229"/>
  <c r="Q14" i="229"/>
  <c r="P14" i="229"/>
  <c r="Q71" i="229"/>
  <c r="P71" i="229"/>
  <c r="Q73" i="229"/>
  <c r="P73" i="229"/>
  <c r="Q25" i="229"/>
  <c r="P25" i="229"/>
  <c r="Q63" i="229"/>
  <c r="P63" i="229"/>
  <c r="Q26" i="229"/>
  <c r="P26" i="229"/>
  <c r="Q10" i="229"/>
  <c r="P10" i="229"/>
  <c r="Q51" i="229"/>
  <c r="P51" i="229"/>
  <c r="Q53" i="229"/>
  <c r="P53" i="229"/>
  <c r="AB9" i="229"/>
  <c r="AC5" i="229" s="1"/>
  <c r="AA9" i="229"/>
  <c r="N9" i="229"/>
  <c r="N46" i="225"/>
  <c r="AB46" i="225"/>
  <c r="AA46" i="225"/>
  <c r="N35" i="225"/>
  <c r="AB35" i="225"/>
  <c r="AA35" i="225"/>
  <c r="F2" i="225"/>
  <c r="I3" i="224"/>
  <c r="N32" i="225"/>
  <c r="AB32" i="225"/>
  <c r="AA32" i="225"/>
  <c r="N54" i="225"/>
  <c r="AB54" i="225"/>
  <c r="AA54" i="225"/>
  <c r="N15" i="225"/>
  <c r="AB15" i="225"/>
  <c r="AA15" i="225"/>
  <c r="AB60" i="225"/>
  <c r="AC58" i="225" s="1"/>
  <c r="AA60" i="225"/>
  <c r="N60" i="225"/>
  <c r="N6" i="225"/>
  <c r="AB6" i="225"/>
  <c r="AA6" i="225"/>
  <c r="N22" i="225"/>
  <c r="AB22" i="225"/>
  <c r="AA22" i="225"/>
  <c r="N33" i="225"/>
  <c r="AB33" i="225"/>
  <c r="AA33" i="225"/>
  <c r="AB41" i="225"/>
  <c r="AA41" i="225"/>
  <c r="M47" i="225"/>
  <c r="N41" i="225"/>
  <c r="N61" i="225"/>
  <c r="AB61" i="225"/>
  <c r="M66" i="225"/>
  <c r="AA61" i="225"/>
  <c r="N25" i="225"/>
  <c r="AB25" i="225"/>
  <c r="AA25" i="225"/>
  <c r="N36" i="225"/>
  <c r="AB36" i="225"/>
  <c r="AA36" i="225"/>
  <c r="N44" i="225"/>
  <c r="AB44" i="225"/>
  <c r="AA44" i="225"/>
  <c r="N64" i="225"/>
  <c r="AB64" i="225"/>
  <c r="AA64" i="225"/>
  <c r="N5" i="225"/>
  <c r="M7" i="225"/>
  <c r="AB5" i="225"/>
  <c r="AA5" i="225"/>
  <c r="N24" i="225"/>
  <c r="AB24" i="225"/>
  <c r="AA24" i="225"/>
  <c r="N63" i="225"/>
  <c r="AB63" i="225"/>
  <c r="AA63" i="225"/>
  <c r="Q16" i="225"/>
  <c r="P16" i="225"/>
  <c r="N55" i="225"/>
  <c r="AB55" i="225"/>
  <c r="AA55" i="225"/>
  <c r="AB20" i="225"/>
  <c r="AA20" i="225"/>
  <c r="M27" i="225"/>
  <c r="N20" i="225"/>
  <c r="AB31" i="225"/>
  <c r="AA31" i="225"/>
  <c r="M38" i="225"/>
  <c r="N31" i="225"/>
  <c r="N53" i="225"/>
  <c r="AB53" i="225"/>
  <c r="AA53" i="225"/>
  <c r="AB69" i="225"/>
  <c r="AA69" i="225"/>
  <c r="N69" i="225"/>
  <c r="N14" i="225"/>
  <c r="AB14" i="225"/>
  <c r="M19" i="225"/>
  <c r="AA14" i="225"/>
  <c r="AB51" i="225"/>
  <c r="AA51" i="225"/>
  <c r="N51" i="225"/>
  <c r="Q26" i="225"/>
  <c r="P26" i="225"/>
  <c r="AB21" i="225"/>
  <c r="AA21" i="225"/>
  <c r="N21" i="225"/>
  <c r="N43" i="225"/>
  <c r="AB43" i="225"/>
  <c r="AA43" i="225"/>
  <c r="N23" i="225"/>
  <c r="AB23" i="225"/>
  <c r="AA23" i="225"/>
  <c r="N34" i="225"/>
  <c r="AB34" i="225"/>
  <c r="AA34" i="225"/>
  <c r="N42" i="225"/>
  <c r="AB42" i="225"/>
  <c r="AA42" i="225"/>
  <c r="N56" i="225"/>
  <c r="AB56" i="225"/>
  <c r="AA56" i="225"/>
  <c r="N62" i="225"/>
  <c r="AB62" i="225"/>
  <c r="AA62" i="225"/>
  <c r="N72" i="225"/>
  <c r="AB72" i="225"/>
  <c r="AA72" i="225"/>
  <c r="N70" i="225"/>
  <c r="AB70" i="225"/>
  <c r="AA70" i="225"/>
  <c r="N45" i="225"/>
  <c r="AB45" i="225"/>
  <c r="AA45" i="225"/>
  <c r="N52" i="225"/>
  <c r="AB52" i="225"/>
  <c r="AA52" i="225"/>
  <c r="N73" i="225"/>
  <c r="AB73" i="225"/>
  <c r="AA73" i="225"/>
  <c r="N71" i="225"/>
  <c r="AB71" i="225"/>
  <c r="AA71" i="225"/>
  <c r="AB18" i="225"/>
  <c r="F6" i="224"/>
  <c r="G6" i="224"/>
  <c r="N11" i="225"/>
  <c r="N28" i="225"/>
  <c r="N29" i="225"/>
  <c r="N48" i="225"/>
  <c r="N49" i="225"/>
  <c r="N58" i="225"/>
  <c r="N59" i="225"/>
  <c r="N8" i="225"/>
  <c r="N9" i="225"/>
  <c r="M57" i="225"/>
  <c r="P10" i="225"/>
  <c r="N18" i="225"/>
  <c r="M74" i="225"/>
  <c r="AA11" i="225"/>
  <c r="AA28" i="225"/>
  <c r="AA29" i="225"/>
  <c r="AA48" i="225"/>
  <c r="AA49" i="225"/>
  <c r="AA58" i="225"/>
  <c r="AA59" i="225"/>
  <c r="AA10" i="225"/>
  <c r="AB58" i="225"/>
  <c r="AA8" i="225"/>
  <c r="AA9" i="225"/>
  <c r="M13" i="225"/>
  <c r="O67" i="223"/>
  <c r="K67" i="223"/>
  <c r="AB66" i="223"/>
  <c r="AA66" i="223"/>
  <c r="V66" i="223"/>
  <c r="U66" i="223"/>
  <c r="O66" i="223"/>
  <c r="M66" i="223"/>
  <c r="N66" i="223" s="1"/>
  <c r="K66" i="223"/>
  <c r="G66" i="223"/>
  <c r="AB65" i="223"/>
  <c r="AA65" i="223"/>
  <c r="V65" i="223"/>
  <c r="U65" i="223"/>
  <c r="O65" i="223"/>
  <c r="M65" i="223"/>
  <c r="N65" i="223" s="1"/>
  <c r="K65" i="223"/>
  <c r="G65" i="223"/>
  <c r="AB64" i="223"/>
  <c r="AA64" i="223"/>
  <c r="V64" i="223"/>
  <c r="U64" i="223"/>
  <c r="O64" i="223"/>
  <c r="M64" i="223"/>
  <c r="N64" i="223" s="1"/>
  <c r="K64" i="223"/>
  <c r="G64" i="223"/>
  <c r="AB63" i="223"/>
  <c r="AA63" i="223"/>
  <c r="V63" i="223"/>
  <c r="U63" i="223"/>
  <c r="Q63" i="223"/>
  <c r="P63" i="223"/>
  <c r="O63" i="223"/>
  <c r="N63" i="223"/>
  <c r="M63" i="223"/>
  <c r="K63" i="223"/>
  <c r="G63" i="223"/>
  <c r="AB62" i="223"/>
  <c r="V62" i="223"/>
  <c r="U62" i="223"/>
  <c r="O62" i="223"/>
  <c r="M62" i="223"/>
  <c r="AA62" i="223" s="1"/>
  <c r="K62" i="223"/>
  <c r="G62" i="223"/>
  <c r="AB61" i="223"/>
  <c r="V61" i="223"/>
  <c r="O61" i="223"/>
  <c r="M61" i="223"/>
  <c r="AA61" i="223" s="1"/>
  <c r="K61" i="223"/>
  <c r="G61" i="223"/>
  <c r="O60" i="223"/>
  <c r="M60" i="223"/>
  <c r="AB60" i="223" s="1"/>
  <c r="AC55" i="223" s="1"/>
  <c r="K60" i="223"/>
  <c r="AB59" i="223"/>
  <c r="AA59" i="223"/>
  <c r="V59" i="223"/>
  <c r="U59" i="223"/>
  <c r="Q59" i="223"/>
  <c r="P59" i="223"/>
  <c r="O59" i="223"/>
  <c r="N59" i="223"/>
  <c r="M59" i="223"/>
  <c r="K59" i="223"/>
  <c r="G59" i="223"/>
  <c r="AB58" i="223"/>
  <c r="AA58" i="223"/>
  <c r="V58" i="223"/>
  <c r="U58" i="223"/>
  <c r="P58" i="223"/>
  <c r="O58" i="223"/>
  <c r="N58" i="223"/>
  <c r="Q58" i="223" s="1"/>
  <c r="M58" i="223"/>
  <c r="K58" i="223"/>
  <c r="G58" i="223"/>
  <c r="AB57" i="223"/>
  <c r="AA57" i="223"/>
  <c r="V57" i="223"/>
  <c r="U57" i="223"/>
  <c r="Q57" i="223"/>
  <c r="P57" i="223"/>
  <c r="O57" i="223"/>
  <c r="N57" i="223"/>
  <c r="M57" i="223"/>
  <c r="K57" i="223"/>
  <c r="G57" i="223"/>
  <c r="AB56" i="223"/>
  <c r="AA56" i="223"/>
  <c r="V56" i="223"/>
  <c r="U56" i="223"/>
  <c r="O56" i="223"/>
  <c r="M56" i="223"/>
  <c r="N56" i="223" s="1"/>
  <c r="K56" i="223"/>
  <c r="G56" i="223"/>
  <c r="AB55" i="223"/>
  <c r="AA55" i="223"/>
  <c r="V55" i="223"/>
  <c r="O55" i="223"/>
  <c r="M55" i="223"/>
  <c r="N55" i="223" s="1"/>
  <c r="K55" i="223"/>
  <c r="G55" i="223"/>
  <c r="O54" i="223"/>
  <c r="K54" i="223"/>
  <c r="AB53" i="223"/>
  <c r="AA53" i="223"/>
  <c r="V53" i="223"/>
  <c r="U53" i="223"/>
  <c r="O53" i="223"/>
  <c r="N53" i="223"/>
  <c r="Q53" i="223" s="1"/>
  <c r="M53" i="223"/>
  <c r="K53" i="223"/>
  <c r="G53" i="223"/>
  <c r="AB52" i="223"/>
  <c r="AA52" i="223"/>
  <c r="V52" i="223"/>
  <c r="O52" i="223"/>
  <c r="N52" i="223"/>
  <c r="Q52" i="223" s="1"/>
  <c r="M52" i="223"/>
  <c r="M54" i="223" s="1"/>
  <c r="K52" i="223"/>
  <c r="G52" i="223"/>
  <c r="O51" i="223"/>
  <c r="M51" i="223"/>
  <c r="AB51" i="223" s="1"/>
  <c r="AC43" i="223" s="1"/>
  <c r="K51" i="223"/>
  <c r="AB50" i="223"/>
  <c r="AA50" i="223"/>
  <c r="V50" i="223"/>
  <c r="U50" i="223"/>
  <c r="P50" i="223"/>
  <c r="O50" i="223"/>
  <c r="N50" i="223"/>
  <c r="Q50" i="223" s="1"/>
  <c r="M50" i="223"/>
  <c r="K50" i="223"/>
  <c r="G50" i="223"/>
  <c r="AB49" i="223"/>
  <c r="AA49" i="223"/>
  <c r="V49" i="223"/>
  <c r="U49" i="223"/>
  <c r="Q49" i="223"/>
  <c r="P49" i="223"/>
  <c r="O49" i="223"/>
  <c r="N49" i="223"/>
  <c r="M49" i="223"/>
  <c r="K49" i="223"/>
  <c r="G49" i="223"/>
  <c r="AB48" i="223"/>
  <c r="AA48" i="223"/>
  <c r="V48" i="223"/>
  <c r="U48" i="223"/>
  <c r="O48" i="223"/>
  <c r="M48" i="223"/>
  <c r="N48" i="223" s="1"/>
  <c r="K48" i="223"/>
  <c r="G48" i="223"/>
  <c r="AB47" i="223"/>
  <c r="AA47" i="223"/>
  <c r="V47" i="223"/>
  <c r="U47" i="223"/>
  <c r="O47" i="223"/>
  <c r="M47" i="223"/>
  <c r="N47" i="223" s="1"/>
  <c r="K47" i="223"/>
  <c r="G47" i="223"/>
  <c r="AB46" i="223"/>
  <c r="AA46" i="223"/>
  <c r="V46" i="223"/>
  <c r="U46" i="223"/>
  <c r="O46" i="223"/>
  <c r="M46" i="223"/>
  <c r="N46" i="223" s="1"/>
  <c r="K46" i="223"/>
  <c r="G46" i="223"/>
  <c r="AB45" i="223"/>
  <c r="AA45" i="223"/>
  <c r="V45" i="223"/>
  <c r="U45" i="223"/>
  <c r="Q45" i="223"/>
  <c r="P45" i="223"/>
  <c r="O45" i="223"/>
  <c r="N45" i="223"/>
  <c r="M45" i="223"/>
  <c r="K45" i="223"/>
  <c r="G45" i="223"/>
  <c r="AB44" i="223"/>
  <c r="V44" i="223"/>
  <c r="U44" i="223"/>
  <c r="O44" i="223"/>
  <c r="M44" i="223"/>
  <c r="AA44" i="223" s="1"/>
  <c r="K44" i="223"/>
  <c r="G44" i="223"/>
  <c r="AB43" i="223"/>
  <c r="V43" i="223"/>
  <c r="O43" i="223"/>
  <c r="M43" i="223"/>
  <c r="AA43" i="223" s="1"/>
  <c r="K43" i="223"/>
  <c r="G43" i="223"/>
  <c r="O42" i="223"/>
  <c r="M42" i="223"/>
  <c r="AB42" i="223" s="1"/>
  <c r="AC36" i="223" s="1"/>
  <c r="K42" i="223"/>
  <c r="AB41" i="223"/>
  <c r="AA41" i="223"/>
  <c r="V41" i="223"/>
  <c r="U41" i="223"/>
  <c r="Q41" i="223"/>
  <c r="P41" i="223"/>
  <c r="O41" i="223"/>
  <c r="N41" i="223"/>
  <c r="M41" i="223"/>
  <c r="K41" i="223"/>
  <c r="G41" i="223"/>
  <c r="AB40" i="223"/>
  <c r="AA40" i="223"/>
  <c r="V40" i="223"/>
  <c r="U40" i="223"/>
  <c r="P40" i="223"/>
  <c r="O40" i="223"/>
  <c r="N40" i="223"/>
  <c r="Q40" i="223" s="1"/>
  <c r="M40" i="223"/>
  <c r="K40" i="223"/>
  <c r="G40" i="223"/>
  <c r="AB39" i="223"/>
  <c r="AA39" i="223"/>
  <c r="V39" i="223"/>
  <c r="U39" i="223"/>
  <c r="Q39" i="223"/>
  <c r="P39" i="223"/>
  <c r="O39" i="223"/>
  <c r="N39" i="223"/>
  <c r="M39" i="223"/>
  <c r="K39" i="223"/>
  <c r="G39" i="223"/>
  <c r="AB38" i="223"/>
  <c r="AA38" i="223"/>
  <c r="V38" i="223"/>
  <c r="U38" i="223"/>
  <c r="O38" i="223"/>
  <c r="M38" i="223"/>
  <c r="N38" i="223" s="1"/>
  <c r="K38" i="223"/>
  <c r="G38" i="223"/>
  <c r="AB37" i="223"/>
  <c r="AA37" i="223"/>
  <c r="V37" i="223"/>
  <c r="U37" i="223"/>
  <c r="O37" i="223"/>
  <c r="M37" i="223"/>
  <c r="N37" i="223" s="1"/>
  <c r="K37" i="223"/>
  <c r="G37" i="223"/>
  <c r="AB36" i="223"/>
  <c r="AA36" i="223"/>
  <c r="V36" i="223"/>
  <c r="O36" i="223"/>
  <c r="M36" i="223"/>
  <c r="N36" i="223" s="1"/>
  <c r="K36" i="223"/>
  <c r="G36" i="223"/>
  <c r="O35" i="223"/>
  <c r="K35" i="223"/>
  <c r="AB34" i="223"/>
  <c r="AA34" i="223"/>
  <c r="V34" i="223"/>
  <c r="U34" i="223"/>
  <c r="O34" i="223"/>
  <c r="N34" i="223"/>
  <c r="Q34" i="223" s="1"/>
  <c r="M34" i="223"/>
  <c r="K34" i="223"/>
  <c r="G34" i="223"/>
  <c r="AB33" i="223"/>
  <c r="AA33" i="223"/>
  <c r="V33" i="223"/>
  <c r="U33" i="223"/>
  <c r="O33" i="223"/>
  <c r="N33" i="223"/>
  <c r="Q33" i="223" s="1"/>
  <c r="M33" i="223"/>
  <c r="K33" i="223"/>
  <c r="G33" i="223"/>
  <c r="AB32" i="223"/>
  <c r="AA32" i="223"/>
  <c r="V32" i="223"/>
  <c r="U32" i="223"/>
  <c r="Q32" i="223"/>
  <c r="P32" i="223"/>
  <c r="O32" i="223"/>
  <c r="N32" i="223"/>
  <c r="M32" i="223"/>
  <c r="K32" i="223"/>
  <c r="G32" i="223"/>
  <c r="AB31" i="223"/>
  <c r="AA31" i="223"/>
  <c r="V31" i="223"/>
  <c r="U31" i="223"/>
  <c r="Q31" i="223"/>
  <c r="P31" i="223"/>
  <c r="O31" i="223"/>
  <c r="N31" i="223"/>
  <c r="M31" i="223"/>
  <c r="K31" i="223"/>
  <c r="G31" i="223"/>
  <c r="AB30" i="223"/>
  <c r="AA30" i="223"/>
  <c r="V30" i="223"/>
  <c r="U30" i="223"/>
  <c r="P30" i="223"/>
  <c r="O30" i="223"/>
  <c r="N30" i="223"/>
  <c r="Q30" i="223" s="1"/>
  <c r="M30" i="223"/>
  <c r="K30" i="223"/>
  <c r="G30" i="223"/>
  <c r="AB29" i="223"/>
  <c r="AA29" i="223"/>
  <c r="V29" i="223"/>
  <c r="U29" i="223"/>
  <c r="Q29" i="223"/>
  <c r="P29" i="223"/>
  <c r="O29" i="223"/>
  <c r="N29" i="223"/>
  <c r="M29" i="223"/>
  <c r="K29" i="223"/>
  <c r="G29" i="223"/>
  <c r="AB28" i="223"/>
  <c r="AA28" i="223"/>
  <c r="V28" i="223"/>
  <c r="U28" i="223"/>
  <c r="O28" i="223"/>
  <c r="M28" i="223"/>
  <c r="N28" i="223" s="1"/>
  <c r="K28" i="223"/>
  <c r="G28" i="223"/>
  <c r="AB27" i="223"/>
  <c r="AA27" i="223"/>
  <c r="V27" i="223"/>
  <c r="O27" i="223"/>
  <c r="M27" i="223"/>
  <c r="M35" i="223" s="1"/>
  <c r="K27" i="223"/>
  <c r="G27" i="223"/>
  <c r="O26" i="223"/>
  <c r="K26" i="223"/>
  <c r="AB25" i="223"/>
  <c r="AA25" i="223"/>
  <c r="V25" i="223"/>
  <c r="U25" i="223"/>
  <c r="O25" i="223"/>
  <c r="N25" i="223"/>
  <c r="Q25" i="223" s="1"/>
  <c r="M25" i="223"/>
  <c r="K25" i="223"/>
  <c r="G25" i="223"/>
  <c r="V24" i="223"/>
  <c r="U24" i="223"/>
  <c r="O24" i="223"/>
  <c r="M24" i="223"/>
  <c r="M26" i="223" s="1"/>
  <c r="K24" i="223"/>
  <c r="G24" i="223"/>
  <c r="AB23" i="223"/>
  <c r="AA23" i="223"/>
  <c r="V23" i="223"/>
  <c r="U23" i="223"/>
  <c r="O23" i="223"/>
  <c r="N23" i="223"/>
  <c r="Q23" i="223" s="1"/>
  <c r="M23" i="223"/>
  <c r="K23" i="223"/>
  <c r="G23" i="223"/>
  <c r="AB22" i="223"/>
  <c r="AA22" i="223"/>
  <c r="V22" i="223"/>
  <c r="U22" i="223"/>
  <c r="Q22" i="223"/>
  <c r="P22" i="223"/>
  <c r="O22" i="223"/>
  <c r="N22" i="223"/>
  <c r="M22" i="223"/>
  <c r="K22" i="223"/>
  <c r="G22" i="223"/>
  <c r="F1" i="223" s="1"/>
  <c r="AB21" i="223"/>
  <c r="AA21" i="223"/>
  <c r="V21" i="223"/>
  <c r="U21" i="223"/>
  <c r="Q21" i="223"/>
  <c r="P21" i="223"/>
  <c r="O21" i="223"/>
  <c r="N21" i="223"/>
  <c r="M21" i="223"/>
  <c r="K21" i="223"/>
  <c r="G21" i="223"/>
  <c r="AB20" i="223"/>
  <c r="AA20" i="223"/>
  <c r="V20" i="223"/>
  <c r="U20" i="223"/>
  <c r="P20" i="223"/>
  <c r="O20" i="223"/>
  <c r="N20" i="223"/>
  <c r="Q20" i="223" s="1"/>
  <c r="M20" i="223"/>
  <c r="K20" i="223"/>
  <c r="G20" i="223"/>
  <c r="AB19" i="223"/>
  <c r="AA19" i="223"/>
  <c r="V19" i="223"/>
  <c r="P19" i="223"/>
  <c r="O19" i="223"/>
  <c r="N19" i="223"/>
  <c r="Q19" i="223" s="1"/>
  <c r="M19" i="223"/>
  <c r="K19" i="223"/>
  <c r="G19" i="223"/>
  <c r="O18" i="223"/>
  <c r="K18" i="223"/>
  <c r="AB17" i="223"/>
  <c r="AA17" i="223"/>
  <c r="V17" i="223"/>
  <c r="U17" i="223"/>
  <c r="Q17" i="223"/>
  <c r="P17" i="223"/>
  <c r="O17" i="223"/>
  <c r="N17" i="223"/>
  <c r="M17" i="223"/>
  <c r="K17" i="223"/>
  <c r="G17" i="223"/>
  <c r="AB16" i="223"/>
  <c r="V16" i="223"/>
  <c r="U16" i="223"/>
  <c r="O16" i="223"/>
  <c r="M16" i="223"/>
  <c r="AA16" i="223" s="1"/>
  <c r="K16" i="223"/>
  <c r="G16" i="223"/>
  <c r="AB15" i="223"/>
  <c r="AA15" i="223"/>
  <c r="V15" i="223"/>
  <c r="U15" i="223"/>
  <c r="O15" i="223"/>
  <c r="N15" i="223"/>
  <c r="P15" i="223" s="1"/>
  <c r="M15" i="223"/>
  <c r="K15" i="223"/>
  <c r="G15" i="223"/>
  <c r="V14" i="223"/>
  <c r="U14" i="223"/>
  <c r="O14" i="223"/>
  <c r="M14" i="223"/>
  <c r="N14" i="223" s="1"/>
  <c r="K14" i="223"/>
  <c r="G14" i="223"/>
  <c r="V13" i="223"/>
  <c r="O13" i="223"/>
  <c r="M13" i="223"/>
  <c r="AA13" i="223" s="1"/>
  <c r="K13" i="223"/>
  <c r="G13" i="223"/>
  <c r="O12" i="223"/>
  <c r="K12" i="223"/>
  <c r="AB11" i="223"/>
  <c r="AA11" i="223"/>
  <c r="V11" i="223"/>
  <c r="U11" i="223"/>
  <c r="Q11" i="223"/>
  <c r="P11" i="223"/>
  <c r="O11" i="223"/>
  <c r="N11" i="223"/>
  <c r="M11" i="223"/>
  <c r="K11" i="223"/>
  <c r="G11" i="223"/>
  <c r="V10" i="223"/>
  <c r="M10" i="223" s="1"/>
  <c r="U10" i="223"/>
  <c r="O10" i="223"/>
  <c r="K10" i="223"/>
  <c r="G10" i="223"/>
  <c r="AB9" i="223"/>
  <c r="AA9" i="223"/>
  <c r="V9" i="223"/>
  <c r="U9" i="223"/>
  <c r="O9" i="223"/>
  <c r="M9" i="223"/>
  <c r="N9" i="223" s="1"/>
  <c r="K9" i="223"/>
  <c r="G9" i="223"/>
  <c r="AB8" i="223"/>
  <c r="AA8" i="223"/>
  <c r="V8" i="223"/>
  <c r="O8" i="223"/>
  <c r="M8" i="223"/>
  <c r="N8" i="223" s="1"/>
  <c r="K8" i="223"/>
  <c r="G8" i="223"/>
  <c r="O7" i="223"/>
  <c r="K7" i="223"/>
  <c r="V6" i="223"/>
  <c r="U6" i="223"/>
  <c r="O6" i="223"/>
  <c r="M6" i="223"/>
  <c r="AB6" i="223" s="1"/>
  <c r="K6" i="223"/>
  <c r="G6" i="223"/>
  <c r="V5" i="223"/>
  <c r="O5" i="223"/>
  <c r="M5" i="223"/>
  <c r="M7" i="223" s="1"/>
  <c r="K5" i="223"/>
  <c r="G5" i="223"/>
  <c r="H2" i="223"/>
  <c r="H1" i="223"/>
  <c r="D1" i="223"/>
  <c r="M18" i="222"/>
  <c r="L18" i="222"/>
  <c r="K18" i="222"/>
  <c r="J18" i="222"/>
  <c r="I18" i="222"/>
  <c r="H18" i="222"/>
  <c r="G18" i="222"/>
  <c r="F18" i="222"/>
  <c r="E18" i="222"/>
  <c r="D18" i="222"/>
  <c r="M17" i="222"/>
  <c r="L17" i="222"/>
  <c r="K17" i="222"/>
  <c r="J17" i="222"/>
  <c r="I17" i="222"/>
  <c r="H17" i="222"/>
  <c r="G17" i="222"/>
  <c r="F17" i="222"/>
  <c r="E17" i="222"/>
  <c r="D17" i="222"/>
  <c r="M16" i="222"/>
  <c r="L16" i="222"/>
  <c r="K16" i="222"/>
  <c r="J16" i="222"/>
  <c r="I16" i="222"/>
  <c r="H16" i="222"/>
  <c r="G16" i="222"/>
  <c r="F16" i="222"/>
  <c r="E16" i="222"/>
  <c r="D16" i="222"/>
  <c r="M13" i="222"/>
  <c r="L13" i="222"/>
  <c r="I6" i="222" s="1"/>
  <c r="K13" i="222"/>
  <c r="J13" i="222"/>
  <c r="G6" i="222" s="1"/>
  <c r="I13" i="222"/>
  <c r="H13" i="222"/>
  <c r="F6" i="222" s="1"/>
  <c r="G13" i="222"/>
  <c r="F13" i="222"/>
  <c r="E13" i="222"/>
  <c r="D13" i="222"/>
  <c r="F3" i="222"/>
  <c r="C3" i="222"/>
  <c r="G7" i="230" l="1"/>
  <c r="D15" i="230"/>
  <c r="F7" i="230"/>
  <c r="E7" i="230"/>
  <c r="K15" i="230"/>
  <c r="I8" i="230" s="1"/>
  <c r="I7" i="230"/>
  <c r="Q74" i="229"/>
  <c r="R68" i="229" s="1"/>
  <c r="P74" i="229"/>
  <c r="M14" i="228"/>
  <c r="M15" i="228" s="1"/>
  <c r="Q47" i="229"/>
  <c r="R39" i="229" s="1"/>
  <c r="P47" i="229"/>
  <c r="L14" i="228"/>
  <c r="L15" i="228" s="1"/>
  <c r="Q9" i="229"/>
  <c r="R5" i="229" s="1"/>
  <c r="P9" i="229"/>
  <c r="D2" i="229"/>
  <c r="D14" i="228"/>
  <c r="Q38" i="229"/>
  <c r="R30" i="229" s="1"/>
  <c r="P38" i="229"/>
  <c r="K14" i="228"/>
  <c r="Q67" i="229"/>
  <c r="R62" i="229" s="1"/>
  <c r="P67" i="229"/>
  <c r="J14" i="228"/>
  <c r="J15" i="228" s="1"/>
  <c r="Q58" i="229"/>
  <c r="R48" i="229" s="1"/>
  <c r="P58" i="229"/>
  <c r="H14" i="228"/>
  <c r="H15" i="228" s="1"/>
  <c r="Q29" i="229"/>
  <c r="R22" i="229" s="1"/>
  <c r="P29" i="229"/>
  <c r="G14" i="228"/>
  <c r="G15" i="228" s="1"/>
  <c r="P15" i="229"/>
  <c r="Q15" i="229"/>
  <c r="R10" i="229" s="1"/>
  <c r="E14" i="228"/>
  <c r="E15" i="228" s="1"/>
  <c r="Q21" i="229"/>
  <c r="R16" i="229" s="1"/>
  <c r="P21" i="229"/>
  <c r="F14" i="228"/>
  <c r="F15" i="228" s="1"/>
  <c r="P54" i="225"/>
  <c r="Q54" i="225"/>
  <c r="Q64" i="225"/>
  <c r="P64" i="225"/>
  <c r="N13" i="225"/>
  <c r="AB13" i="225"/>
  <c r="AC8" i="225" s="1"/>
  <c r="AA13" i="225"/>
  <c r="AB74" i="225"/>
  <c r="AC67" i="225" s="1"/>
  <c r="AA74" i="225"/>
  <c r="N74" i="225"/>
  <c r="Q11" i="225"/>
  <c r="P11" i="225"/>
  <c r="Q52" i="225"/>
  <c r="P52" i="225"/>
  <c r="P62" i="225"/>
  <c r="Q62" i="225"/>
  <c r="Q23" i="225"/>
  <c r="P23" i="225"/>
  <c r="P61" i="225"/>
  <c r="Q61" i="225"/>
  <c r="AB66" i="225"/>
  <c r="AC61" i="225" s="1"/>
  <c r="AA66" i="225"/>
  <c r="N66" i="225"/>
  <c r="Q18" i="225"/>
  <c r="P18" i="225"/>
  <c r="AB19" i="225"/>
  <c r="AC14" i="225" s="1"/>
  <c r="AA19" i="225"/>
  <c r="N19" i="225"/>
  <c r="Q63" i="225"/>
  <c r="P63" i="225"/>
  <c r="Q41" i="225"/>
  <c r="P41" i="225"/>
  <c r="P6" i="225"/>
  <c r="Q6" i="225"/>
  <c r="Q32" i="225"/>
  <c r="P32" i="225"/>
  <c r="Q31" i="225"/>
  <c r="P31" i="225"/>
  <c r="Q20" i="225"/>
  <c r="P20" i="225"/>
  <c r="P44" i="225"/>
  <c r="Q44" i="225"/>
  <c r="AB47" i="225"/>
  <c r="AC39" i="225" s="1"/>
  <c r="AA47" i="225"/>
  <c r="N47" i="225"/>
  <c r="Q60" i="225"/>
  <c r="R58" i="225" s="1"/>
  <c r="I14" i="224"/>
  <c r="I15" i="224" s="1"/>
  <c r="P60" i="225"/>
  <c r="AB57" i="225"/>
  <c r="AC48" i="225" s="1"/>
  <c r="AA57" i="225"/>
  <c r="N57" i="225"/>
  <c r="Q45" i="225"/>
  <c r="P45" i="225"/>
  <c r="Q56" i="225"/>
  <c r="P56" i="225"/>
  <c r="Q43" i="225"/>
  <c r="P43" i="225"/>
  <c r="Q14" i="225"/>
  <c r="P14" i="225"/>
  <c r="AB27" i="225"/>
  <c r="AC20" i="225" s="1"/>
  <c r="AA27" i="225"/>
  <c r="N27" i="225"/>
  <c r="Q9" i="225"/>
  <c r="P9" i="225"/>
  <c r="Q21" i="225"/>
  <c r="P21" i="225"/>
  <c r="Q69" i="225"/>
  <c r="P69" i="225"/>
  <c r="P24" i="225"/>
  <c r="Q24" i="225"/>
  <c r="Q28" i="225"/>
  <c r="P28" i="225"/>
  <c r="Q8" i="225"/>
  <c r="P8" i="225"/>
  <c r="Q36" i="225"/>
  <c r="P36" i="225"/>
  <c r="Q29" i="225"/>
  <c r="P29" i="225"/>
  <c r="AB38" i="225"/>
  <c r="AC28" i="225" s="1"/>
  <c r="AA38" i="225"/>
  <c r="N38" i="225"/>
  <c r="Q59" i="225"/>
  <c r="P59" i="225"/>
  <c r="Q71" i="225"/>
  <c r="P71" i="225"/>
  <c r="Q70" i="225"/>
  <c r="P70" i="225"/>
  <c r="Q42" i="225"/>
  <c r="P42" i="225"/>
  <c r="Q35" i="225"/>
  <c r="P35" i="225"/>
  <c r="Q58" i="225"/>
  <c r="P58" i="225"/>
  <c r="AA7" i="225"/>
  <c r="N7" i="225"/>
  <c r="AB7" i="225"/>
  <c r="AC5" i="225" s="1"/>
  <c r="Q33" i="225"/>
  <c r="P33" i="225"/>
  <c r="Q15" i="225"/>
  <c r="P15" i="225"/>
  <c r="Q22" i="225"/>
  <c r="P22" i="225"/>
  <c r="Q49" i="225"/>
  <c r="P49" i="225"/>
  <c r="Q55" i="225"/>
  <c r="P55" i="225"/>
  <c r="P5" i="225"/>
  <c r="Q5" i="225"/>
  <c r="Q25" i="225"/>
  <c r="P25" i="225"/>
  <c r="Q48" i="225"/>
  <c r="P48" i="225"/>
  <c r="Q73" i="225"/>
  <c r="P73" i="225"/>
  <c r="P72" i="225"/>
  <c r="Q72" i="225"/>
  <c r="P34" i="225"/>
  <c r="Q34" i="225"/>
  <c r="Q51" i="225"/>
  <c r="P51" i="225"/>
  <c r="Q53" i="225"/>
  <c r="P53" i="225"/>
  <c r="Q46" i="225"/>
  <c r="P46" i="225"/>
  <c r="P47" i="223"/>
  <c r="Q47" i="223"/>
  <c r="AB35" i="223"/>
  <c r="AC27" i="223" s="1"/>
  <c r="AA35" i="223"/>
  <c r="N35" i="223"/>
  <c r="P37" i="223"/>
  <c r="Q37" i="223"/>
  <c r="Q64" i="223"/>
  <c r="P64" i="223"/>
  <c r="AB7" i="223"/>
  <c r="AC5" i="223" s="1"/>
  <c r="AA7" i="223"/>
  <c r="N7" i="223"/>
  <c r="P8" i="223"/>
  <c r="Q8" i="223"/>
  <c r="P46" i="223"/>
  <c r="Q46" i="223"/>
  <c r="N54" i="223"/>
  <c r="AB54" i="223"/>
  <c r="AC52" i="223" s="1"/>
  <c r="AA54" i="223"/>
  <c r="Q66" i="223"/>
  <c r="P66" i="223"/>
  <c r="Q14" i="223"/>
  <c r="P14" i="223"/>
  <c r="P36" i="223"/>
  <c r="Q36" i="223"/>
  <c r="Q56" i="223"/>
  <c r="P56" i="223"/>
  <c r="N26" i="223"/>
  <c r="AA26" i="223"/>
  <c r="AB26" i="223"/>
  <c r="AC19" i="223" s="1"/>
  <c r="Q28" i="223"/>
  <c r="P28" i="223"/>
  <c r="Q48" i="223"/>
  <c r="P48" i="223"/>
  <c r="N10" i="223"/>
  <c r="AB10" i="223"/>
  <c r="M12" i="223"/>
  <c r="AA10" i="223"/>
  <c r="F2" i="223"/>
  <c r="I3" i="222"/>
  <c r="Q38" i="223"/>
  <c r="P38" i="223"/>
  <c r="P65" i="223"/>
  <c r="Q65" i="223"/>
  <c r="Q55" i="223"/>
  <c r="P55" i="223"/>
  <c r="P9" i="223"/>
  <c r="Q9" i="223"/>
  <c r="N6" i="223"/>
  <c r="N16" i="223"/>
  <c r="N43" i="223"/>
  <c r="N44" i="223"/>
  <c r="N61" i="223"/>
  <c r="N62" i="223"/>
  <c r="P25" i="223"/>
  <c r="N42" i="223"/>
  <c r="P52" i="223"/>
  <c r="P53" i="223"/>
  <c r="N60" i="223"/>
  <c r="Q15" i="223"/>
  <c r="P34" i="223"/>
  <c r="N51" i="223"/>
  <c r="E6" i="222"/>
  <c r="N13" i="223"/>
  <c r="N24" i="223"/>
  <c r="P23" i="223"/>
  <c r="P33" i="223"/>
  <c r="M67" i="223"/>
  <c r="AA42" i="223"/>
  <c r="AA60" i="223"/>
  <c r="AA6" i="223"/>
  <c r="AA14" i="223"/>
  <c r="M18" i="223"/>
  <c r="AA51" i="223"/>
  <c r="AB5" i="223"/>
  <c r="AB13" i="223"/>
  <c r="AB14" i="223"/>
  <c r="AB24" i="223"/>
  <c r="N5" i="223"/>
  <c r="AA5" i="223"/>
  <c r="AA24" i="223"/>
  <c r="N27" i="223"/>
  <c r="O69" i="221"/>
  <c r="K69" i="221"/>
  <c r="V68" i="221"/>
  <c r="M68" i="221" s="1"/>
  <c r="U68" i="221"/>
  <c r="O68" i="221"/>
  <c r="K68" i="221"/>
  <c r="G68" i="221"/>
  <c r="V67" i="221"/>
  <c r="M67" i="221" s="1"/>
  <c r="U67" i="221"/>
  <c r="O67" i="221"/>
  <c r="K67" i="221"/>
  <c r="G67" i="221"/>
  <c r="AB66" i="221"/>
  <c r="AA66" i="221"/>
  <c r="V66" i="221"/>
  <c r="U66" i="221"/>
  <c r="Q66" i="221"/>
  <c r="P66" i="221"/>
  <c r="O66" i="221"/>
  <c r="N66" i="221"/>
  <c r="M66" i="221"/>
  <c r="K66" i="221"/>
  <c r="G66" i="221"/>
  <c r="AB65" i="221"/>
  <c r="V65" i="221"/>
  <c r="U65" i="221"/>
  <c r="O65" i="221"/>
  <c r="M65" i="221"/>
  <c r="N65" i="221" s="1"/>
  <c r="K65" i="221"/>
  <c r="G65" i="221"/>
  <c r="V64" i="221"/>
  <c r="M64" i="221" s="1"/>
  <c r="U64" i="221"/>
  <c r="O64" i="221"/>
  <c r="K64" i="221"/>
  <c r="G64" i="221"/>
  <c r="V63" i="221"/>
  <c r="M63" i="221" s="1"/>
  <c r="O63" i="221"/>
  <c r="K63" i="221"/>
  <c r="G63" i="221"/>
  <c r="O62" i="221"/>
  <c r="K62" i="221"/>
  <c r="AB61" i="221"/>
  <c r="AA61" i="221"/>
  <c r="V61" i="221"/>
  <c r="U61" i="221"/>
  <c r="O61" i="221"/>
  <c r="N61" i="221"/>
  <c r="Q61" i="221" s="1"/>
  <c r="M61" i="221"/>
  <c r="K61" i="221"/>
  <c r="G61" i="221"/>
  <c r="AB60" i="221"/>
  <c r="AA60" i="221"/>
  <c r="V60" i="221"/>
  <c r="U60" i="221"/>
  <c r="O60" i="221"/>
  <c r="N60" i="221"/>
  <c r="Q60" i="221" s="1"/>
  <c r="M60" i="221"/>
  <c r="K60" i="221"/>
  <c r="G60" i="221"/>
  <c r="V59" i="221"/>
  <c r="M59" i="221" s="1"/>
  <c r="U59" i="221"/>
  <c r="O59" i="221"/>
  <c r="K59" i="221"/>
  <c r="G59" i="221"/>
  <c r="V58" i="221"/>
  <c r="M58" i="221" s="1"/>
  <c r="U58" i="221"/>
  <c r="O58" i="221"/>
  <c r="K58" i="221"/>
  <c r="G58" i="221"/>
  <c r="V57" i="221"/>
  <c r="M57" i="221" s="1"/>
  <c r="O57" i="221"/>
  <c r="K57" i="221"/>
  <c r="G57" i="221"/>
  <c r="O56" i="221"/>
  <c r="K56" i="221"/>
  <c r="V55" i="221"/>
  <c r="U55" i="221"/>
  <c r="O55" i="221"/>
  <c r="M55" i="221"/>
  <c r="N55" i="221" s="1"/>
  <c r="K55" i="221"/>
  <c r="G55" i="221"/>
  <c r="V54" i="221"/>
  <c r="O54" i="221"/>
  <c r="M54" i="221"/>
  <c r="N54" i="221" s="1"/>
  <c r="K54" i="221"/>
  <c r="G54" i="221"/>
  <c r="O53" i="221"/>
  <c r="K53" i="221"/>
  <c r="AB52" i="221"/>
  <c r="AA52" i="221"/>
  <c r="V52" i="221"/>
  <c r="U52" i="221"/>
  <c r="O52" i="221"/>
  <c r="N52" i="221"/>
  <c r="Q52" i="221" s="1"/>
  <c r="M52" i="221"/>
  <c r="K52" i="221"/>
  <c r="G52" i="221"/>
  <c r="V51" i="221"/>
  <c r="M51" i="221" s="1"/>
  <c r="U51" i="221"/>
  <c r="O51" i="221"/>
  <c r="K51" i="221"/>
  <c r="G51" i="221"/>
  <c r="V50" i="221"/>
  <c r="M50" i="221" s="1"/>
  <c r="U50" i="221"/>
  <c r="O50" i="221"/>
  <c r="K50" i="221"/>
  <c r="G50" i="221"/>
  <c r="V49" i="221"/>
  <c r="M49" i="221" s="1"/>
  <c r="U49" i="221"/>
  <c r="O49" i="221"/>
  <c r="K49" i="221"/>
  <c r="G49" i="221"/>
  <c r="AB48" i="221"/>
  <c r="AA48" i="221"/>
  <c r="V48" i="221"/>
  <c r="U48" i="221"/>
  <c r="Q48" i="221"/>
  <c r="P48" i="221"/>
  <c r="O48" i="221"/>
  <c r="N48" i="221"/>
  <c r="M48" i="221"/>
  <c r="K48" i="221"/>
  <c r="G48" i="221"/>
  <c r="AB47" i="221"/>
  <c r="V47" i="221"/>
  <c r="U47" i="221"/>
  <c r="O47" i="221"/>
  <c r="M47" i="221"/>
  <c r="N47" i="221" s="1"/>
  <c r="K47" i="221"/>
  <c r="G47" i="221"/>
  <c r="V46" i="221"/>
  <c r="M46" i="221" s="1"/>
  <c r="U46" i="221"/>
  <c r="O46" i="221"/>
  <c r="K46" i="221"/>
  <c r="G46" i="221"/>
  <c r="V45" i="221"/>
  <c r="U45" i="221"/>
  <c r="O45" i="221"/>
  <c r="M45" i="221"/>
  <c r="N45" i="221" s="1"/>
  <c r="K45" i="221"/>
  <c r="G45" i="221"/>
  <c r="V44" i="221"/>
  <c r="U44" i="221"/>
  <c r="O44" i="221"/>
  <c r="M44" i="221"/>
  <c r="AB44" i="221" s="1"/>
  <c r="K44" i="221"/>
  <c r="G44" i="221"/>
  <c r="V43" i="221"/>
  <c r="O43" i="221"/>
  <c r="M43" i="221"/>
  <c r="AB43" i="221" s="1"/>
  <c r="K43" i="221"/>
  <c r="G43" i="221"/>
  <c r="O42" i="221"/>
  <c r="K42" i="221"/>
  <c r="V41" i="221"/>
  <c r="M41" i="221" s="1"/>
  <c r="U41" i="221"/>
  <c r="O41" i="221"/>
  <c r="K41" i="221"/>
  <c r="G41" i="221"/>
  <c r="V40" i="221"/>
  <c r="M40" i="221" s="1"/>
  <c r="U40" i="221"/>
  <c r="O40" i="221"/>
  <c r="K40" i="221"/>
  <c r="G40" i="221"/>
  <c r="V39" i="221"/>
  <c r="M39" i="221" s="1"/>
  <c r="U39" i="221"/>
  <c r="O39" i="221"/>
  <c r="K39" i="221"/>
  <c r="G39" i="221"/>
  <c r="AB38" i="221"/>
  <c r="AA38" i="221"/>
  <c r="V38" i="221"/>
  <c r="U38" i="221"/>
  <c r="Q38" i="221"/>
  <c r="P38" i="221"/>
  <c r="O38" i="221"/>
  <c r="N38" i="221"/>
  <c r="M38" i="221"/>
  <c r="K38" i="221"/>
  <c r="G38" i="221"/>
  <c r="AB37" i="221"/>
  <c r="V37" i="221"/>
  <c r="U37" i="221"/>
  <c r="O37" i="221"/>
  <c r="M37" i="221"/>
  <c r="N37" i="221" s="1"/>
  <c r="K37" i="221"/>
  <c r="G37" i="221"/>
  <c r="AB36" i="221"/>
  <c r="V36" i="221"/>
  <c r="O36" i="221"/>
  <c r="M36" i="221"/>
  <c r="N36" i="221" s="1"/>
  <c r="K36" i="221"/>
  <c r="G36" i="221"/>
  <c r="O35" i="221"/>
  <c r="K35" i="221"/>
  <c r="K13" i="220" s="1"/>
  <c r="I6" i="220" s="1"/>
  <c r="AB34" i="221"/>
  <c r="AA34" i="221"/>
  <c r="V34" i="221"/>
  <c r="U34" i="221"/>
  <c r="P34" i="221"/>
  <c r="O34" i="221"/>
  <c r="N34" i="221"/>
  <c r="Q34" i="221" s="1"/>
  <c r="M34" i="221"/>
  <c r="K34" i="221"/>
  <c r="G34" i="221"/>
  <c r="AB33" i="221"/>
  <c r="AA33" i="221"/>
  <c r="V33" i="221"/>
  <c r="U33" i="221"/>
  <c r="O33" i="221"/>
  <c r="N33" i="221"/>
  <c r="Q33" i="221" s="1"/>
  <c r="M33" i="221"/>
  <c r="K33" i="221"/>
  <c r="G33" i="221"/>
  <c r="AB32" i="221"/>
  <c r="AA32" i="221"/>
  <c r="V32" i="221"/>
  <c r="U32" i="221"/>
  <c r="O32" i="221"/>
  <c r="N32" i="221"/>
  <c r="Q32" i="221" s="1"/>
  <c r="M32" i="221"/>
  <c r="K32" i="221"/>
  <c r="G32" i="221"/>
  <c r="V31" i="221"/>
  <c r="M31" i="221" s="1"/>
  <c r="U31" i="221"/>
  <c r="O31" i="221"/>
  <c r="K31" i="221"/>
  <c r="G31" i="221"/>
  <c r="V30" i="221"/>
  <c r="M30" i="221" s="1"/>
  <c r="U30" i="221"/>
  <c r="O30" i="221"/>
  <c r="K30" i="221"/>
  <c r="G30" i="221"/>
  <c r="V29" i="221"/>
  <c r="M29" i="221" s="1"/>
  <c r="U29" i="221"/>
  <c r="O29" i="221"/>
  <c r="K29" i="221"/>
  <c r="G29" i="221"/>
  <c r="AB28" i="221"/>
  <c r="AA28" i="221"/>
  <c r="V28" i="221"/>
  <c r="U28" i="221"/>
  <c r="Q28" i="221"/>
  <c r="P28" i="221"/>
  <c r="O28" i="221"/>
  <c r="N28" i="221"/>
  <c r="M28" i="221"/>
  <c r="K28" i="221"/>
  <c r="G28" i="221"/>
  <c r="AB27" i="221"/>
  <c r="AA27" i="221"/>
  <c r="V27" i="221"/>
  <c r="Q27" i="221"/>
  <c r="P27" i="221"/>
  <c r="O27" i="221"/>
  <c r="N27" i="221"/>
  <c r="M27" i="221"/>
  <c r="K27" i="221"/>
  <c r="G27" i="221"/>
  <c r="O26" i="221"/>
  <c r="K26" i="221"/>
  <c r="AB25" i="221"/>
  <c r="V25" i="221"/>
  <c r="U25" i="221"/>
  <c r="O25" i="221"/>
  <c r="N25" i="221"/>
  <c r="Q25" i="221" s="1"/>
  <c r="M25" i="221"/>
  <c r="AA25" i="221" s="1"/>
  <c r="K25" i="221"/>
  <c r="G25" i="221"/>
  <c r="AB24" i="221"/>
  <c r="AA24" i="221"/>
  <c r="V24" i="221"/>
  <c r="U24" i="221"/>
  <c r="P24" i="221"/>
  <c r="O24" i="221"/>
  <c r="N24" i="221"/>
  <c r="Q24" i="221" s="1"/>
  <c r="M24" i="221"/>
  <c r="K24" i="221"/>
  <c r="G24" i="221"/>
  <c r="AB23" i="221"/>
  <c r="AA23" i="221"/>
  <c r="V23" i="221"/>
  <c r="U23" i="221"/>
  <c r="O23" i="221"/>
  <c r="N23" i="221"/>
  <c r="Q23" i="221" s="1"/>
  <c r="M23" i="221"/>
  <c r="K23" i="221"/>
  <c r="G23" i="221"/>
  <c r="AB22" i="221"/>
  <c r="AA22" i="221"/>
  <c r="V22" i="221"/>
  <c r="U22" i="221"/>
  <c r="O22" i="221"/>
  <c r="N22" i="221"/>
  <c r="Q22" i="221" s="1"/>
  <c r="M22" i="221"/>
  <c r="K22" i="221"/>
  <c r="G22" i="221"/>
  <c r="V21" i="221"/>
  <c r="M21" i="221" s="1"/>
  <c r="U21" i="221"/>
  <c r="O21" i="221"/>
  <c r="K21" i="221"/>
  <c r="G21" i="221"/>
  <c r="V20" i="221"/>
  <c r="M20" i="221" s="1"/>
  <c r="U20" i="221"/>
  <c r="O20" i="221"/>
  <c r="K20" i="221"/>
  <c r="G20" i="221"/>
  <c r="V19" i="221"/>
  <c r="M19" i="221" s="1"/>
  <c r="O19" i="221"/>
  <c r="K19" i="221"/>
  <c r="G19" i="221"/>
  <c r="O18" i="221"/>
  <c r="K18" i="221"/>
  <c r="V17" i="221"/>
  <c r="U17" i="221"/>
  <c r="O17" i="221"/>
  <c r="M17" i="221"/>
  <c r="N17" i="221" s="1"/>
  <c r="K17" i="221"/>
  <c r="G17" i="221"/>
  <c r="V16" i="221"/>
  <c r="U16" i="221"/>
  <c r="O16" i="221"/>
  <c r="M16" i="221"/>
  <c r="M18" i="221" s="1"/>
  <c r="K16" i="221"/>
  <c r="G16" i="221"/>
  <c r="AB15" i="221"/>
  <c r="V15" i="221"/>
  <c r="U15" i="221"/>
  <c r="O15" i="221"/>
  <c r="N15" i="221"/>
  <c r="Q15" i="221" s="1"/>
  <c r="M15" i="221"/>
  <c r="AA15" i="221" s="1"/>
  <c r="K15" i="221"/>
  <c r="G15" i="221"/>
  <c r="AB14" i="221"/>
  <c r="AA14" i="221"/>
  <c r="V14" i="221"/>
  <c r="U14" i="221"/>
  <c r="P14" i="221"/>
  <c r="O14" i="221"/>
  <c r="N14" i="221"/>
  <c r="Q14" i="221" s="1"/>
  <c r="M14" i="221"/>
  <c r="K14" i="221"/>
  <c r="G14" i="221"/>
  <c r="AB13" i="221"/>
  <c r="AA13" i="221"/>
  <c r="V13" i="221"/>
  <c r="P13" i="221"/>
  <c r="O13" i="221"/>
  <c r="N13" i="221"/>
  <c r="Q13" i="221" s="1"/>
  <c r="M13" i="221"/>
  <c r="K13" i="221"/>
  <c r="G13" i="221"/>
  <c r="O12" i="221"/>
  <c r="K12" i="221"/>
  <c r="V11" i="221"/>
  <c r="M11" i="221" s="1"/>
  <c r="U11" i="221"/>
  <c r="O11" i="221"/>
  <c r="K11" i="221"/>
  <c r="G11" i="221"/>
  <c r="AB10" i="221"/>
  <c r="AA10" i="221"/>
  <c r="V10" i="221"/>
  <c r="U10" i="221"/>
  <c r="Q10" i="221"/>
  <c r="P10" i="221"/>
  <c r="O10" i="221"/>
  <c r="N10" i="221"/>
  <c r="M10" i="221"/>
  <c r="K10" i="221"/>
  <c r="G10" i="221"/>
  <c r="AB9" i="221"/>
  <c r="V9" i="221"/>
  <c r="U9" i="221"/>
  <c r="O9" i="221"/>
  <c r="M9" i="221"/>
  <c r="N9" i="221" s="1"/>
  <c r="K9" i="221"/>
  <c r="G9" i="221"/>
  <c r="AB8" i="221"/>
  <c r="V8" i="221"/>
  <c r="O8" i="221"/>
  <c r="M8" i="221"/>
  <c r="N8" i="221" s="1"/>
  <c r="K8" i="221"/>
  <c r="G8" i="221"/>
  <c r="O7" i="221"/>
  <c r="M7" i="221"/>
  <c r="AA7" i="221" s="1"/>
  <c r="K7" i="221"/>
  <c r="D13" i="220" s="1"/>
  <c r="AB6" i="221"/>
  <c r="AA6" i="221"/>
  <c r="V6" i="221"/>
  <c r="U6" i="221"/>
  <c r="P6" i="221"/>
  <c r="O6" i="221"/>
  <c r="N6" i="221"/>
  <c r="Q6" i="221" s="1"/>
  <c r="M6" i="221"/>
  <c r="K6" i="221"/>
  <c r="G6" i="221"/>
  <c r="AB5" i="221"/>
  <c r="AA5" i="221"/>
  <c r="V5" i="221"/>
  <c r="P5" i="221"/>
  <c r="O5" i="221"/>
  <c r="N5" i="221"/>
  <c r="Q5" i="221" s="1"/>
  <c r="M5" i="221"/>
  <c r="K5" i="221"/>
  <c r="G5" i="221"/>
  <c r="F1" i="221" s="1"/>
  <c r="H2" i="221"/>
  <c r="H1" i="221"/>
  <c r="D1" i="221"/>
  <c r="M18" i="220"/>
  <c r="L18" i="220"/>
  <c r="K18" i="220"/>
  <c r="J18" i="220"/>
  <c r="I18" i="220"/>
  <c r="H18" i="220"/>
  <c r="G18" i="220"/>
  <c r="F18" i="220"/>
  <c r="E18" i="220"/>
  <c r="D18" i="220"/>
  <c r="M17" i="220"/>
  <c r="L17" i="220"/>
  <c r="K17" i="220"/>
  <c r="J17" i="220"/>
  <c r="I17" i="220"/>
  <c r="H17" i="220"/>
  <c r="G17" i="220"/>
  <c r="F17" i="220"/>
  <c r="E17" i="220"/>
  <c r="D17" i="220"/>
  <c r="M16" i="220"/>
  <c r="L16" i="220"/>
  <c r="K16" i="220"/>
  <c r="J16" i="220"/>
  <c r="I16" i="220"/>
  <c r="H16" i="220"/>
  <c r="G16" i="220"/>
  <c r="F16" i="220"/>
  <c r="E16" i="220"/>
  <c r="D16" i="220"/>
  <c r="M13" i="220"/>
  <c r="L13" i="220"/>
  <c r="J13" i="220"/>
  <c r="I13" i="220"/>
  <c r="H13" i="220"/>
  <c r="G13" i="220"/>
  <c r="F13" i="220"/>
  <c r="E13" i="220"/>
  <c r="F3" i="220"/>
  <c r="C3" i="220"/>
  <c r="F8" i="230" l="1"/>
  <c r="E8" i="230"/>
  <c r="G8" i="230"/>
  <c r="G7" i="228"/>
  <c r="D15" i="228"/>
  <c r="F7" i="228"/>
  <c r="E7" i="228"/>
  <c r="K15" i="228"/>
  <c r="I8" i="228" s="1"/>
  <c r="I7" i="228"/>
  <c r="Q74" i="225"/>
  <c r="R67" i="225" s="1"/>
  <c r="P74" i="225"/>
  <c r="M14" i="224"/>
  <c r="M15" i="224" s="1"/>
  <c r="Q66" i="225"/>
  <c r="R61" i="225" s="1"/>
  <c r="P66" i="225"/>
  <c r="J14" i="224"/>
  <c r="J15" i="224" s="1"/>
  <c r="Q38" i="225"/>
  <c r="R28" i="225" s="1"/>
  <c r="P38" i="225"/>
  <c r="K14" i="224"/>
  <c r="Q47" i="225"/>
  <c r="R39" i="225" s="1"/>
  <c r="P47" i="225"/>
  <c r="L14" i="224"/>
  <c r="L15" i="224" s="1"/>
  <c r="Q7" i="225"/>
  <c r="R5" i="225" s="1"/>
  <c r="P7" i="225"/>
  <c r="D2" i="225"/>
  <c r="D14" i="224"/>
  <c r="E14" i="224"/>
  <c r="E15" i="224" s="1"/>
  <c r="Q13" i="225"/>
  <c r="R8" i="225" s="1"/>
  <c r="P13" i="225"/>
  <c r="Q19" i="225"/>
  <c r="R14" i="225" s="1"/>
  <c r="P19" i="225"/>
  <c r="F14" i="224"/>
  <c r="F15" i="224" s="1"/>
  <c r="Q57" i="225"/>
  <c r="R48" i="225" s="1"/>
  <c r="P57" i="225"/>
  <c r="H14" i="224"/>
  <c r="H15" i="224" s="1"/>
  <c r="Q27" i="225"/>
  <c r="R20" i="225" s="1"/>
  <c r="P27" i="225"/>
  <c r="G14" i="224"/>
  <c r="G15" i="224" s="1"/>
  <c r="J14" i="222"/>
  <c r="J15" i="222" s="1"/>
  <c r="Q60" i="223"/>
  <c r="R55" i="223" s="1"/>
  <c r="P60" i="223"/>
  <c r="Q26" i="223"/>
  <c r="R19" i="223" s="1"/>
  <c r="G14" i="222"/>
  <c r="G15" i="222" s="1"/>
  <c r="P26" i="223"/>
  <c r="P43" i="223"/>
  <c r="Q43" i="223"/>
  <c r="Q7" i="223"/>
  <c r="R5" i="223" s="1"/>
  <c r="P7" i="223"/>
  <c r="D14" i="222"/>
  <c r="L14" i="222"/>
  <c r="L15" i="222" s="1"/>
  <c r="Q42" i="223"/>
  <c r="R36" i="223" s="1"/>
  <c r="P42" i="223"/>
  <c r="Q5" i="223"/>
  <c r="P5" i="223"/>
  <c r="P62" i="223"/>
  <c r="Q62" i="223"/>
  <c r="Q24" i="223"/>
  <c r="P24" i="223"/>
  <c r="I14" i="222"/>
  <c r="I15" i="222" s="1"/>
  <c r="Q54" i="223"/>
  <c r="R52" i="223" s="1"/>
  <c r="P54" i="223"/>
  <c r="Q13" i="223"/>
  <c r="P13" i="223"/>
  <c r="Q51" i="223"/>
  <c r="R43" i="223" s="1"/>
  <c r="H14" i="222"/>
  <c r="H15" i="222" s="1"/>
  <c r="P51" i="223"/>
  <c r="P16" i="223"/>
  <c r="Q16" i="223"/>
  <c r="Q10" i="223"/>
  <c r="P10" i="223"/>
  <c r="Q27" i="223"/>
  <c r="P27" i="223"/>
  <c r="AB67" i="223"/>
  <c r="AC61" i="223" s="1"/>
  <c r="AA67" i="223"/>
  <c r="N67" i="223"/>
  <c r="P61" i="223"/>
  <c r="Q61" i="223"/>
  <c r="P35" i="223"/>
  <c r="K14" i="222"/>
  <c r="Q35" i="223"/>
  <c r="R27" i="223" s="1"/>
  <c r="P44" i="223"/>
  <c r="Q44" i="223"/>
  <c r="AA18" i="223"/>
  <c r="AB18" i="223"/>
  <c r="AC13" i="223" s="1"/>
  <c r="N18" i="223"/>
  <c r="D2" i="223" s="1"/>
  <c r="Q6" i="223"/>
  <c r="P6" i="223"/>
  <c r="AB12" i="223"/>
  <c r="AC8" i="223" s="1"/>
  <c r="AA12" i="223"/>
  <c r="N12" i="223"/>
  <c r="AB30" i="221"/>
  <c r="N30" i="221"/>
  <c r="AA30" i="221"/>
  <c r="AA63" i="221"/>
  <c r="AB63" i="221"/>
  <c r="M69" i="221"/>
  <c r="N63" i="221"/>
  <c r="AA41" i="221"/>
  <c r="N41" i="221"/>
  <c r="AB41" i="221"/>
  <c r="P8" i="221"/>
  <c r="Q8" i="221"/>
  <c r="AA39" i="221"/>
  <c r="N39" i="221"/>
  <c r="AB39" i="221"/>
  <c r="AA49" i="221"/>
  <c r="N49" i="221"/>
  <c r="AB49" i="221"/>
  <c r="AA59" i="221"/>
  <c r="N59" i="221"/>
  <c r="AB59" i="221"/>
  <c r="AA21" i="221"/>
  <c r="N21" i="221"/>
  <c r="AB21" i="221"/>
  <c r="N57" i="221"/>
  <c r="AB57" i="221"/>
  <c r="M62" i="221"/>
  <c r="AA57" i="221"/>
  <c r="AB19" i="221"/>
  <c r="N19" i="221"/>
  <c r="M26" i="221"/>
  <c r="AA19" i="221"/>
  <c r="AA31" i="221"/>
  <c r="N31" i="221"/>
  <c r="AB31" i="221"/>
  <c r="P47" i="221"/>
  <c r="Q47" i="221"/>
  <c r="AA67" i="221"/>
  <c r="N67" i="221"/>
  <c r="AB67" i="221"/>
  <c r="P54" i="221"/>
  <c r="Q54" i="221"/>
  <c r="AA46" i="221"/>
  <c r="AB46" i="221"/>
  <c r="N46" i="221"/>
  <c r="F2" i="221"/>
  <c r="I3" i="220"/>
  <c r="N11" i="221"/>
  <c r="M12" i="221"/>
  <c r="AA11" i="221"/>
  <c r="AB11" i="221"/>
  <c r="P45" i="221"/>
  <c r="Q45" i="221"/>
  <c r="AB50" i="221"/>
  <c r="N50" i="221"/>
  <c r="AA50" i="221"/>
  <c r="P55" i="221"/>
  <c r="Q55" i="221"/>
  <c r="AA64" i="221"/>
  <c r="AB64" i="221"/>
  <c r="N64" i="221"/>
  <c r="AB20" i="221"/>
  <c r="N20" i="221"/>
  <c r="AA20" i="221"/>
  <c r="N18" i="221"/>
  <c r="AA18" i="221"/>
  <c r="AB18" i="221"/>
  <c r="AC13" i="221" s="1"/>
  <c r="P17" i="221"/>
  <c r="Q17" i="221"/>
  <c r="AB58" i="221"/>
  <c r="N58" i="221"/>
  <c r="AA58" i="221"/>
  <c r="P9" i="221"/>
  <c r="Q9" i="221"/>
  <c r="P36" i="221"/>
  <c r="Q36" i="221"/>
  <c r="M35" i="221"/>
  <c r="N29" i="221"/>
  <c r="AA29" i="221"/>
  <c r="AB29" i="221"/>
  <c r="P37" i="221"/>
  <c r="Q37" i="221"/>
  <c r="AB40" i="221"/>
  <c r="N40" i="221"/>
  <c r="AA40" i="221"/>
  <c r="P65" i="221"/>
  <c r="Q65" i="221"/>
  <c r="AB68" i="221"/>
  <c r="N68" i="221"/>
  <c r="AA68" i="221"/>
  <c r="G6" i="220"/>
  <c r="F6" i="220"/>
  <c r="E6" i="220"/>
  <c r="AA51" i="221"/>
  <c r="N51" i="221"/>
  <c r="AB51" i="221"/>
  <c r="N7" i="221"/>
  <c r="N16" i="221"/>
  <c r="N43" i="221"/>
  <c r="N44" i="221"/>
  <c r="M42" i="221"/>
  <c r="AA8" i="221"/>
  <c r="AA9" i="221"/>
  <c r="P15" i="221"/>
  <c r="P25" i="221"/>
  <c r="AA36" i="221"/>
  <c r="AA37" i="221"/>
  <c r="AA47" i="221"/>
  <c r="AA65" i="221"/>
  <c r="AB7" i="221"/>
  <c r="AC5" i="221" s="1"/>
  <c r="AA17" i="221"/>
  <c r="P23" i="221"/>
  <c r="P33" i="221"/>
  <c r="AA45" i="221"/>
  <c r="AA54" i="221"/>
  <c r="AA55" i="221"/>
  <c r="P61" i="221"/>
  <c r="M53" i="221"/>
  <c r="AA16" i="221"/>
  <c r="AB17" i="221"/>
  <c r="P22" i="221"/>
  <c r="P32" i="221"/>
  <c r="AA43" i="221"/>
  <c r="AA44" i="221"/>
  <c r="AB45" i="221"/>
  <c r="P52" i="221"/>
  <c r="AB54" i="221"/>
  <c r="AB55" i="221"/>
  <c r="P60" i="221"/>
  <c r="AB16" i="221"/>
  <c r="M56" i="221"/>
  <c r="F8" i="228" l="1"/>
  <c r="E8" i="228"/>
  <c r="G8" i="228"/>
  <c r="K15" i="224"/>
  <c r="I8" i="224" s="1"/>
  <c r="I7" i="224"/>
  <c r="F7" i="224"/>
  <c r="E7" i="224"/>
  <c r="D15" i="224"/>
  <c r="G7" i="224"/>
  <c r="D15" i="222"/>
  <c r="K15" i="222"/>
  <c r="Q12" i="223"/>
  <c r="R8" i="223" s="1"/>
  <c r="P12" i="223"/>
  <c r="E14" i="222"/>
  <c r="E15" i="222" s="1"/>
  <c r="P18" i="223"/>
  <c r="F14" i="222"/>
  <c r="F15" i="222" s="1"/>
  <c r="Q18" i="223"/>
  <c r="R13" i="223" s="1"/>
  <c r="Q67" i="223"/>
  <c r="R61" i="223" s="1"/>
  <c r="P67" i="223"/>
  <c r="M14" i="222"/>
  <c r="M15" i="222" s="1"/>
  <c r="Q51" i="221"/>
  <c r="P51" i="221"/>
  <c r="Q31" i="221"/>
  <c r="P31" i="221"/>
  <c r="Q46" i="221"/>
  <c r="P46" i="221"/>
  <c r="Q59" i="221"/>
  <c r="P59" i="221"/>
  <c r="Q64" i="221"/>
  <c r="P64" i="221"/>
  <c r="N56" i="221"/>
  <c r="AA56" i="221"/>
  <c r="AB56" i="221"/>
  <c r="AC54" i="221" s="1"/>
  <c r="Q41" i="221"/>
  <c r="P41" i="221"/>
  <c r="Q50" i="221"/>
  <c r="P50" i="221"/>
  <c r="Q19" i="221"/>
  <c r="P19" i="221"/>
  <c r="AB69" i="221"/>
  <c r="AC63" i="221" s="1"/>
  <c r="AA69" i="221"/>
  <c r="N69" i="221"/>
  <c r="D2" i="221"/>
  <c r="D14" i="220"/>
  <c r="Q7" i="221"/>
  <c r="R5" i="221" s="1"/>
  <c r="P7" i="221"/>
  <c r="Q68" i="221"/>
  <c r="P68" i="221"/>
  <c r="AA12" i="221"/>
  <c r="AB12" i="221"/>
  <c r="AC8" i="221" s="1"/>
  <c r="N12" i="221"/>
  <c r="Q40" i="221"/>
  <c r="P40" i="221"/>
  <c r="Q63" i="221"/>
  <c r="P63" i="221"/>
  <c r="P29" i="221"/>
  <c r="Q29" i="221"/>
  <c r="AB35" i="221"/>
  <c r="AC27" i="221" s="1"/>
  <c r="AA35" i="221"/>
  <c r="N35" i="221"/>
  <c r="Q44" i="221"/>
  <c r="P44" i="221"/>
  <c r="Q58" i="221"/>
  <c r="P58" i="221"/>
  <c r="AB53" i="221"/>
  <c r="AC43" i="221" s="1"/>
  <c r="AA53" i="221"/>
  <c r="N53" i="221"/>
  <c r="AB42" i="221"/>
  <c r="AC36" i="221" s="1"/>
  <c r="AA42" i="221"/>
  <c r="N42" i="221"/>
  <c r="P18" i="221"/>
  <c r="F14" i="220"/>
  <c r="F15" i="220" s="1"/>
  <c r="Q18" i="221"/>
  <c r="R13" i="221" s="1"/>
  <c r="Q20" i="221"/>
  <c r="P20" i="221"/>
  <c r="P67" i="221"/>
  <c r="Q67" i="221"/>
  <c r="AB62" i="221"/>
  <c r="AC57" i="221" s="1"/>
  <c r="N62" i="221"/>
  <c r="AA62" i="221"/>
  <c r="Q57" i="221"/>
  <c r="P57" i="221"/>
  <c r="P11" i="221"/>
  <c r="Q11" i="221"/>
  <c r="Q21" i="221"/>
  <c r="P21" i="221"/>
  <c r="N26" i="221"/>
  <c r="AB26" i="221"/>
  <c r="AC19" i="221" s="1"/>
  <c r="AA26" i="221"/>
  <c r="P49" i="221"/>
  <c r="Q49" i="221"/>
  <c r="Q43" i="221"/>
  <c r="P43" i="221"/>
  <c r="Q16" i="221"/>
  <c r="P16" i="221"/>
  <c r="P39" i="221"/>
  <c r="Q39" i="221"/>
  <c r="Q30" i="221"/>
  <c r="P30" i="221"/>
  <c r="G8" i="224" l="1"/>
  <c r="F8" i="224"/>
  <c r="E8" i="224"/>
  <c r="G7" i="222"/>
  <c r="I7" i="222"/>
  <c r="I8" i="222"/>
  <c r="E7" i="222"/>
  <c r="F7" i="222"/>
  <c r="F8" i="222"/>
  <c r="G8" i="222"/>
  <c r="E8" i="222"/>
  <c r="D15" i="220"/>
  <c r="J14" i="220"/>
  <c r="J15" i="220" s="1"/>
  <c r="Q62" i="221"/>
  <c r="R57" i="221" s="1"/>
  <c r="P62" i="221"/>
  <c r="P56" i="221"/>
  <c r="I14" i="220"/>
  <c r="I15" i="220" s="1"/>
  <c r="Q56" i="221"/>
  <c r="R54" i="221" s="1"/>
  <c r="H14" i="220"/>
  <c r="H15" i="220" s="1"/>
  <c r="P53" i="221"/>
  <c r="Q53" i="221"/>
  <c r="R43" i="221" s="1"/>
  <c r="P26" i="221"/>
  <c r="G14" i="220"/>
  <c r="G15" i="220" s="1"/>
  <c r="Q26" i="221"/>
  <c r="R19" i="221" s="1"/>
  <c r="E14" i="220"/>
  <c r="E15" i="220" s="1"/>
  <c r="Q12" i="221"/>
  <c r="R8" i="221" s="1"/>
  <c r="P12" i="221"/>
  <c r="M14" i="220"/>
  <c r="M15" i="220" s="1"/>
  <c r="Q69" i="221"/>
  <c r="R63" i="221" s="1"/>
  <c r="P69" i="221"/>
  <c r="Q35" i="221"/>
  <c r="R27" i="221" s="1"/>
  <c r="P35" i="221"/>
  <c r="K14" i="220"/>
  <c r="L14" i="220"/>
  <c r="L15" i="220" s="1"/>
  <c r="Q42" i="221"/>
  <c r="R36" i="221" s="1"/>
  <c r="P42" i="221"/>
  <c r="E7" i="220" l="1"/>
  <c r="I7" i="220"/>
  <c r="K15" i="220"/>
  <c r="I8" i="220" s="1"/>
  <c r="G7" i="220"/>
  <c r="F7" i="220"/>
  <c r="G8" i="220"/>
  <c r="E8" i="220"/>
  <c r="F8" i="220"/>
  <c r="O77" i="219" l="1"/>
  <c r="K77" i="219"/>
  <c r="AA76" i="219"/>
  <c r="V76" i="219"/>
  <c r="U76" i="219"/>
  <c r="O76" i="219"/>
  <c r="M76" i="219"/>
  <c r="N76" i="219" s="1"/>
  <c r="K76" i="219"/>
  <c r="G76" i="219"/>
  <c r="AB75" i="219"/>
  <c r="AA75" i="219"/>
  <c r="V75" i="219"/>
  <c r="U75" i="219"/>
  <c r="O75" i="219"/>
  <c r="M75" i="219"/>
  <c r="N75" i="219" s="1"/>
  <c r="K75" i="219"/>
  <c r="G75" i="219"/>
  <c r="AB74" i="219"/>
  <c r="AA74" i="219"/>
  <c r="V74" i="219"/>
  <c r="U74" i="219"/>
  <c r="O74" i="219"/>
  <c r="M74" i="219"/>
  <c r="N74" i="219" s="1"/>
  <c r="K74" i="219"/>
  <c r="G74" i="219"/>
  <c r="AB73" i="219"/>
  <c r="AA73" i="219"/>
  <c r="V73" i="219"/>
  <c r="U73" i="219"/>
  <c r="O73" i="219"/>
  <c r="M73" i="219"/>
  <c r="N73" i="219" s="1"/>
  <c r="K73" i="219"/>
  <c r="G73" i="219"/>
  <c r="AB72" i="219"/>
  <c r="AA72" i="219"/>
  <c r="V72" i="219"/>
  <c r="U72" i="219"/>
  <c r="O72" i="219"/>
  <c r="N72" i="219"/>
  <c r="Q72" i="219" s="1"/>
  <c r="M72" i="219"/>
  <c r="K72" i="219"/>
  <c r="G72" i="219"/>
  <c r="V71" i="219"/>
  <c r="U71" i="219"/>
  <c r="O71" i="219"/>
  <c r="M71" i="219"/>
  <c r="AA71" i="219" s="1"/>
  <c r="K71" i="219"/>
  <c r="G71" i="219"/>
  <c r="V70" i="219"/>
  <c r="O70" i="219"/>
  <c r="M70" i="219"/>
  <c r="M77" i="219" s="1"/>
  <c r="K70" i="219"/>
  <c r="G70" i="219"/>
  <c r="O69" i="219"/>
  <c r="K69" i="219"/>
  <c r="AB68" i="219"/>
  <c r="AA68" i="219"/>
  <c r="V68" i="219"/>
  <c r="U68" i="219"/>
  <c r="Q68" i="219"/>
  <c r="P68" i="219"/>
  <c r="O68" i="219"/>
  <c r="N68" i="219"/>
  <c r="M68" i="219"/>
  <c r="K68" i="219"/>
  <c r="G68" i="219"/>
  <c r="AB67" i="219"/>
  <c r="AA67" i="219"/>
  <c r="V67" i="219"/>
  <c r="U67" i="219"/>
  <c r="O67" i="219"/>
  <c r="N67" i="219"/>
  <c r="Q67" i="219" s="1"/>
  <c r="M67" i="219"/>
  <c r="K67" i="219"/>
  <c r="G67" i="219"/>
  <c r="AA66" i="219"/>
  <c r="V66" i="219"/>
  <c r="U66" i="219"/>
  <c r="O66" i="219"/>
  <c r="M66" i="219"/>
  <c r="N66" i="219" s="1"/>
  <c r="K66" i="219"/>
  <c r="G66" i="219"/>
  <c r="AB65" i="219"/>
  <c r="AA65" i="219"/>
  <c r="V65" i="219"/>
  <c r="U65" i="219"/>
  <c r="O65" i="219"/>
  <c r="M65" i="219"/>
  <c r="N65" i="219" s="1"/>
  <c r="K65" i="219"/>
  <c r="G65" i="219"/>
  <c r="AB64" i="219"/>
  <c r="AA64" i="219"/>
  <c r="V64" i="219"/>
  <c r="O64" i="219"/>
  <c r="M64" i="219"/>
  <c r="N64" i="219" s="1"/>
  <c r="K64" i="219"/>
  <c r="G64" i="219"/>
  <c r="AB63" i="219"/>
  <c r="AC61" i="219" s="1"/>
  <c r="AA63" i="219"/>
  <c r="O63" i="219"/>
  <c r="N63" i="219"/>
  <c r="I14" i="218" s="1"/>
  <c r="I15" i="218" s="1"/>
  <c r="M63" i="219"/>
  <c r="K63" i="219"/>
  <c r="AB62" i="219"/>
  <c r="AA62" i="219"/>
  <c r="V62" i="219"/>
  <c r="U62" i="219"/>
  <c r="Q62" i="219"/>
  <c r="P62" i="219"/>
  <c r="O62" i="219"/>
  <c r="N62" i="219"/>
  <c r="M62" i="219"/>
  <c r="K62" i="219"/>
  <c r="G62" i="219"/>
  <c r="AB61" i="219"/>
  <c r="AA61" i="219"/>
  <c r="V61" i="219"/>
  <c r="Q61" i="219"/>
  <c r="P61" i="219"/>
  <c r="O61" i="219"/>
  <c r="N61" i="219"/>
  <c r="M61" i="219"/>
  <c r="K61" i="219"/>
  <c r="G61" i="219"/>
  <c r="O60" i="219"/>
  <c r="K60" i="219"/>
  <c r="AB59" i="219"/>
  <c r="AA59" i="219"/>
  <c r="V59" i="219"/>
  <c r="U59" i="219"/>
  <c r="O59" i="219"/>
  <c r="N59" i="219"/>
  <c r="Q59" i="219" s="1"/>
  <c r="M59" i="219"/>
  <c r="K59" i="219"/>
  <c r="G59" i="219"/>
  <c r="AA58" i="219"/>
  <c r="V58" i="219"/>
  <c r="U58" i="219"/>
  <c r="O58" i="219"/>
  <c r="M58" i="219"/>
  <c r="N58" i="219" s="1"/>
  <c r="K58" i="219"/>
  <c r="G58" i="219"/>
  <c r="AB57" i="219"/>
  <c r="AA57" i="219"/>
  <c r="V57" i="219"/>
  <c r="U57" i="219"/>
  <c r="O57" i="219"/>
  <c r="M57" i="219"/>
  <c r="N57" i="219" s="1"/>
  <c r="K57" i="219"/>
  <c r="G57" i="219"/>
  <c r="AB56" i="219"/>
  <c r="AA56" i="219"/>
  <c r="V56" i="219"/>
  <c r="U56" i="219"/>
  <c r="O56" i="219"/>
  <c r="M56" i="219"/>
  <c r="N56" i="219" s="1"/>
  <c r="K56" i="219"/>
  <c r="G56" i="219"/>
  <c r="AB55" i="219"/>
  <c r="AA55" i="219"/>
  <c r="V55" i="219"/>
  <c r="U55" i="219"/>
  <c r="Q55" i="219"/>
  <c r="P55" i="219"/>
  <c r="O55" i="219"/>
  <c r="N55" i="219"/>
  <c r="M55" i="219"/>
  <c r="K55" i="219"/>
  <c r="G55" i="219"/>
  <c r="AB54" i="219"/>
  <c r="AA54" i="219"/>
  <c r="V54" i="219"/>
  <c r="U54" i="219"/>
  <c r="O54" i="219"/>
  <c r="N54" i="219"/>
  <c r="Q54" i="219" s="1"/>
  <c r="M54" i="219"/>
  <c r="K54" i="219"/>
  <c r="G54" i="219"/>
  <c r="V53" i="219"/>
  <c r="U53" i="219"/>
  <c r="O53" i="219"/>
  <c r="M53" i="219"/>
  <c r="AA53" i="219" s="1"/>
  <c r="K53" i="219"/>
  <c r="G53" i="219"/>
  <c r="AB52" i="219"/>
  <c r="AA52" i="219"/>
  <c r="V52" i="219"/>
  <c r="U52" i="219"/>
  <c r="Q52" i="219"/>
  <c r="P52" i="219"/>
  <c r="O52" i="219"/>
  <c r="N52" i="219"/>
  <c r="M52" i="219"/>
  <c r="K52" i="219"/>
  <c r="G52" i="219"/>
  <c r="AB51" i="219"/>
  <c r="AA51" i="219"/>
  <c r="V51" i="219"/>
  <c r="U51" i="219"/>
  <c r="Q51" i="219"/>
  <c r="P51" i="219"/>
  <c r="O51" i="219"/>
  <c r="N51" i="219"/>
  <c r="M51" i="219"/>
  <c r="K51" i="219"/>
  <c r="G51" i="219"/>
  <c r="AB50" i="219"/>
  <c r="AA50" i="219"/>
  <c r="V50" i="219"/>
  <c r="U50" i="219"/>
  <c r="O50" i="219"/>
  <c r="N50" i="219"/>
  <c r="P50" i="219" s="1"/>
  <c r="M50" i="219"/>
  <c r="K50" i="219"/>
  <c r="G50" i="219"/>
  <c r="AB49" i="219"/>
  <c r="AA49" i="219"/>
  <c r="V49" i="219"/>
  <c r="U49" i="219"/>
  <c r="Q49" i="219"/>
  <c r="P49" i="219"/>
  <c r="O49" i="219"/>
  <c r="N49" i="219"/>
  <c r="M49" i="219"/>
  <c r="K49" i="219"/>
  <c r="G49" i="219"/>
  <c r="AB48" i="219"/>
  <c r="AA48" i="219"/>
  <c r="V48" i="219"/>
  <c r="Q48" i="219"/>
  <c r="P48" i="219"/>
  <c r="O48" i="219"/>
  <c r="N48" i="219"/>
  <c r="M48" i="219"/>
  <c r="K48" i="219"/>
  <c r="G48" i="219"/>
  <c r="O47" i="219"/>
  <c r="K47" i="219"/>
  <c r="AB46" i="219"/>
  <c r="AA46" i="219"/>
  <c r="V46" i="219"/>
  <c r="U46" i="219"/>
  <c r="O46" i="219"/>
  <c r="M46" i="219"/>
  <c r="N46" i="219" s="1"/>
  <c r="K46" i="219"/>
  <c r="G46" i="219"/>
  <c r="AB45" i="219"/>
  <c r="AA45" i="219"/>
  <c r="V45" i="219"/>
  <c r="U45" i="219"/>
  <c r="Q45" i="219"/>
  <c r="P45" i="219"/>
  <c r="O45" i="219"/>
  <c r="N45" i="219"/>
  <c r="M45" i="219"/>
  <c r="K45" i="219"/>
  <c r="G45" i="219"/>
  <c r="AB44" i="219"/>
  <c r="AA44" i="219"/>
  <c r="V44" i="219"/>
  <c r="U44" i="219"/>
  <c r="O44" i="219"/>
  <c r="N44" i="219"/>
  <c r="Q44" i="219" s="1"/>
  <c r="M44" i="219"/>
  <c r="K44" i="219"/>
  <c r="G44" i="219"/>
  <c r="V43" i="219"/>
  <c r="U43" i="219"/>
  <c r="O43" i="219"/>
  <c r="M43" i="219"/>
  <c r="M47" i="219" s="1"/>
  <c r="K43" i="219"/>
  <c r="G43" i="219"/>
  <c r="AB42" i="219"/>
  <c r="AA42" i="219"/>
  <c r="V42" i="219"/>
  <c r="U42" i="219"/>
  <c r="Q42" i="219"/>
  <c r="P42" i="219"/>
  <c r="O42" i="219"/>
  <c r="N42" i="219"/>
  <c r="M42" i="219"/>
  <c r="K42" i="219"/>
  <c r="G42" i="219"/>
  <c r="AB41" i="219"/>
  <c r="AA41" i="219"/>
  <c r="V41" i="219"/>
  <c r="U41" i="219"/>
  <c r="Q41" i="219"/>
  <c r="P41" i="219"/>
  <c r="O41" i="219"/>
  <c r="N41" i="219"/>
  <c r="M41" i="219"/>
  <c r="K41" i="219"/>
  <c r="G41" i="219"/>
  <c r="AB40" i="219"/>
  <c r="AA40" i="219"/>
  <c r="V40" i="219"/>
  <c r="U40" i="219"/>
  <c r="O40" i="219"/>
  <c r="N40" i="219"/>
  <c r="Q40" i="219" s="1"/>
  <c r="M40" i="219"/>
  <c r="K40" i="219"/>
  <c r="G40" i="219"/>
  <c r="AB39" i="219"/>
  <c r="AA39" i="219"/>
  <c r="V39" i="219"/>
  <c r="O39" i="219"/>
  <c r="N39" i="219"/>
  <c r="Q39" i="219" s="1"/>
  <c r="M39" i="219"/>
  <c r="K39" i="219"/>
  <c r="G39" i="219"/>
  <c r="O38" i="219"/>
  <c r="K38" i="219"/>
  <c r="AB37" i="219"/>
  <c r="AA37" i="219"/>
  <c r="V37" i="219"/>
  <c r="U37" i="219"/>
  <c r="O37" i="219"/>
  <c r="M37" i="219"/>
  <c r="N37" i="219" s="1"/>
  <c r="K37" i="219"/>
  <c r="G37" i="219"/>
  <c r="AB36" i="219"/>
  <c r="AA36" i="219"/>
  <c r="V36" i="219"/>
  <c r="U36" i="219"/>
  <c r="O36" i="219"/>
  <c r="M36" i="219"/>
  <c r="N36" i="219" s="1"/>
  <c r="K36" i="219"/>
  <c r="G36" i="219"/>
  <c r="AB35" i="219"/>
  <c r="AA35" i="219"/>
  <c r="V35" i="219"/>
  <c r="U35" i="219"/>
  <c r="Q35" i="219"/>
  <c r="P35" i="219"/>
  <c r="O35" i="219"/>
  <c r="N35" i="219"/>
  <c r="M35" i="219"/>
  <c r="K35" i="219"/>
  <c r="G35" i="219"/>
  <c r="AB34" i="219"/>
  <c r="AA34" i="219"/>
  <c r="V34" i="219"/>
  <c r="U34" i="219"/>
  <c r="O34" i="219"/>
  <c r="N34" i="219"/>
  <c r="Q34" i="219" s="1"/>
  <c r="M34" i="219"/>
  <c r="K34" i="219"/>
  <c r="G34" i="219"/>
  <c r="V33" i="219"/>
  <c r="U33" i="219"/>
  <c r="O33" i="219"/>
  <c r="M33" i="219"/>
  <c r="AA33" i="219" s="1"/>
  <c r="K33" i="219"/>
  <c r="G33" i="219"/>
  <c r="AB32" i="219"/>
  <c r="AA32" i="219"/>
  <c r="V32" i="219"/>
  <c r="U32" i="219"/>
  <c r="Q32" i="219"/>
  <c r="P32" i="219"/>
  <c r="O32" i="219"/>
  <c r="N32" i="219"/>
  <c r="M32" i="219"/>
  <c r="K32" i="219"/>
  <c r="G32" i="219"/>
  <c r="AB31" i="219"/>
  <c r="AA31" i="219"/>
  <c r="V31" i="219"/>
  <c r="U31" i="219"/>
  <c r="Q31" i="219"/>
  <c r="P31" i="219"/>
  <c r="O31" i="219"/>
  <c r="N31" i="219"/>
  <c r="M31" i="219"/>
  <c r="K31" i="219"/>
  <c r="G31" i="219"/>
  <c r="AB30" i="219"/>
  <c r="AA30" i="219"/>
  <c r="V30" i="219"/>
  <c r="U30" i="219"/>
  <c r="O30" i="219"/>
  <c r="N30" i="219"/>
  <c r="P30" i="219" s="1"/>
  <c r="M30" i="219"/>
  <c r="K30" i="219"/>
  <c r="G30" i="219"/>
  <c r="AB29" i="219"/>
  <c r="AA29" i="219"/>
  <c r="V29" i="219"/>
  <c r="U29" i="219"/>
  <c r="Q29" i="219"/>
  <c r="P29" i="219"/>
  <c r="O29" i="219"/>
  <c r="N29" i="219"/>
  <c r="M29" i="219"/>
  <c r="K29" i="219"/>
  <c r="G29" i="219"/>
  <c r="AB28" i="219"/>
  <c r="AA28" i="219"/>
  <c r="V28" i="219"/>
  <c r="Q28" i="219"/>
  <c r="P28" i="219"/>
  <c r="O28" i="219"/>
  <c r="N28" i="219"/>
  <c r="M28" i="219"/>
  <c r="K28" i="219"/>
  <c r="G28" i="219"/>
  <c r="O27" i="219"/>
  <c r="K27" i="219"/>
  <c r="AB26" i="219"/>
  <c r="AA26" i="219"/>
  <c r="V26" i="219"/>
  <c r="U26" i="219"/>
  <c r="O26" i="219"/>
  <c r="M26" i="219"/>
  <c r="N26" i="219" s="1"/>
  <c r="K26" i="219"/>
  <c r="G26" i="219"/>
  <c r="AB25" i="219"/>
  <c r="AA25" i="219"/>
  <c r="V25" i="219"/>
  <c r="U25" i="219"/>
  <c r="Q25" i="219"/>
  <c r="P25" i="219"/>
  <c r="O25" i="219"/>
  <c r="N25" i="219"/>
  <c r="M25" i="219"/>
  <c r="K25" i="219"/>
  <c r="G25" i="219"/>
  <c r="AB24" i="219"/>
  <c r="AA24" i="219"/>
  <c r="V24" i="219"/>
  <c r="U24" i="219"/>
  <c r="O24" i="219"/>
  <c r="N24" i="219"/>
  <c r="Q24" i="219" s="1"/>
  <c r="M24" i="219"/>
  <c r="K24" i="219"/>
  <c r="G24" i="219"/>
  <c r="V23" i="219"/>
  <c r="U23" i="219"/>
  <c r="O23" i="219"/>
  <c r="M23" i="219"/>
  <c r="AA23" i="219" s="1"/>
  <c r="K23" i="219"/>
  <c r="G23" i="219"/>
  <c r="AB22" i="219"/>
  <c r="AA22" i="219"/>
  <c r="V22" i="219"/>
  <c r="U22" i="219"/>
  <c r="Q22" i="219"/>
  <c r="P22" i="219"/>
  <c r="O22" i="219"/>
  <c r="N22" i="219"/>
  <c r="M22" i="219"/>
  <c r="K22" i="219"/>
  <c r="G22" i="219"/>
  <c r="AB21" i="219"/>
  <c r="AA21" i="219"/>
  <c r="V21" i="219"/>
  <c r="U21" i="219"/>
  <c r="Q21" i="219"/>
  <c r="P21" i="219"/>
  <c r="O21" i="219"/>
  <c r="N21" i="219"/>
  <c r="M21" i="219"/>
  <c r="K21" i="219"/>
  <c r="G21" i="219"/>
  <c r="AB20" i="219"/>
  <c r="AA20" i="219"/>
  <c r="V20" i="219"/>
  <c r="Q20" i="219"/>
  <c r="P20" i="219"/>
  <c r="O20" i="219"/>
  <c r="N20" i="219"/>
  <c r="M20" i="219"/>
  <c r="K20" i="219"/>
  <c r="G20" i="219"/>
  <c r="O19" i="219"/>
  <c r="M19" i="219"/>
  <c r="AB19" i="219" s="1"/>
  <c r="AC14" i="219" s="1"/>
  <c r="K19" i="219"/>
  <c r="AA18" i="219"/>
  <c r="V18" i="219"/>
  <c r="U18" i="219"/>
  <c r="O18" i="219"/>
  <c r="M18" i="219"/>
  <c r="N18" i="219" s="1"/>
  <c r="K18" i="219"/>
  <c r="G18" i="219"/>
  <c r="AB17" i="219"/>
  <c r="AA17" i="219"/>
  <c r="V17" i="219"/>
  <c r="U17" i="219"/>
  <c r="O17" i="219"/>
  <c r="M17" i="219"/>
  <c r="N17" i="219" s="1"/>
  <c r="K17" i="219"/>
  <c r="G17" i="219"/>
  <c r="AB16" i="219"/>
  <c r="AA16" i="219"/>
  <c r="V16" i="219"/>
  <c r="U16" i="219"/>
  <c r="O16" i="219"/>
  <c r="M16" i="219"/>
  <c r="N16" i="219" s="1"/>
  <c r="K16" i="219"/>
  <c r="G16" i="219"/>
  <c r="AB15" i="219"/>
  <c r="AA15" i="219"/>
  <c r="V15" i="219"/>
  <c r="U15" i="219"/>
  <c r="O15" i="219"/>
  <c r="M15" i="219"/>
  <c r="N15" i="219" s="1"/>
  <c r="K15" i="219"/>
  <c r="G15" i="219"/>
  <c r="AB14" i="219"/>
  <c r="AA14" i="219"/>
  <c r="V14" i="219"/>
  <c r="O14" i="219"/>
  <c r="M14" i="219"/>
  <c r="N14" i="219" s="1"/>
  <c r="K14" i="219"/>
  <c r="G14" i="219"/>
  <c r="O13" i="219"/>
  <c r="M13" i="219"/>
  <c r="AB13" i="219" s="1"/>
  <c r="AC8" i="219" s="1"/>
  <c r="K13" i="219"/>
  <c r="AB12" i="219"/>
  <c r="AA12" i="219"/>
  <c r="V12" i="219"/>
  <c r="U12" i="219"/>
  <c r="O12" i="219"/>
  <c r="N12" i="219"/>
  <c r="Q12" i="219" s="1"/>
  <c r="M12" i="219"/>
  <c r="K12" i="219"/>
  <c r="G12" i="219"/>
  <c r="AB11" i="219"/>
  <c r="AA11" i="219"/>
  <c r="V11" i="219"/>
  <c r="U11" i="219"/>
  <c r="Q11" i="219"/>
  <c r="P11" i="219"/>
  <c r="O11" i="219"/>
  <c r="N11" i="219"/>
  <c r="M11" i="219"/>
  <c r="K11" i="219"/>
  <c r="G11" i="219"/>
  <c r="AB10" i="219"/>
  <c r="AA10" i="219"/>
  <c r="V10" i="219"/>
  <c r="U10" i="219"/>
  <c r="Q10" i="219"/>
  <c r="P10" i="219"/>
  <c r="O10" i="219"/>
  <c r="N10" i="219"/>
  <c r="M10" i="219"/>
  <c r="K10" i="219"/>
  <c r="G10" i="219"/>
  <c r="AB9" i="219"/>
  <c r="AA9" i="219"/>
  <c r="V9" i="219"/>
  <c r="U9" i="219"/>
  <c r="O9" i="219"/>
  <c r="N9" i="219"/>
  <c r="Q9" i="219" s="1"/>
  <c r="M9" i="219"/>
  <c r="K9" i="219"/>
  <c r="G9" i="219"/>
  <c r="AB8" i="219"/>
  <c r="AA8" i="219"/>
  <c r="V8" i="219"/>
  <c r="O8" i="219"/>
  <c r="N8" i="219"/>
  <c r="Q8" i="219" s="1"/>
  <c r="M8" i="219"/>
  <c r="K8" i="219"/>
  <c r="G8" i="219"/>
  <c r="AB7" i="219"/>
  <c r="AC5" i="219" s="1"/>
  <c r="AA7" i="219"/>
  <c r="O7" i="219"/>
  <c r="M7" i="219"/>
  <c r="N7" i="219" s="1"/>
  <c r="K7" i="219"/>
  <c r="AB6" i="219"/>
  <c r="AA6" i="219"/>
  <c r="V6" i="219"/>
  <c r="U6" i="219"/>
  <c r="O6" i="219"/>
  <c r="N6" i="219"/>
  <c r="Q6" i="219" s="1"/>
  <c r="M6" i="219"/>
  <c r="K6" i="219"/>
  <c r="G6" i="219"/>
  <c r="AB5" i="219"/>
  <c r="AA5" i="219"/>
  <c r="V5" i="219"/>
  <c r="O5" i="219"/>
  <c r="N5" i="219"/>
  <c r="Q5" i="219" s="1"/>
  <c r="M5" i="219"/>
  <c r="K5" i="219"/>
  <c r="G5" i="219"/>
  <c r="H2" i="219"/>
  <c r="H1" i="219"/>
  <c r="F1" i="219"/>
  <c r="F2" i="219" s="1"/>
  <c r="D1" i="219"/>
  <c r="M18" i="218"/>
  <c r="L18" i="218"/>
  <c r="K18" i="218"/>
  <c r="J18" i="218"/>
  <c r="I18" i="218"/>
  <c r="H18" i="218"/>
  <c r="G18" i="218"/>
  <c r="F18" i="218"/>
  <c r="E18" i="218"/>
  <c r="D18" i="218"/>
  <c r="M17" i="218"/>
  <c r="L17" i="218"/>
  <c r="K17" i="218"/>
  <c r="J17" i="218"/>
  <c r="I17" i="218"/>
  <c r="H17" i="218"/>
  <c r="G17" i="218"/>
  <c r="F17" i="218"/>
  <c r="E17" i="218"/>
  <c r="D17" i="218"/>
  <c r="M16" i="218"/>
  <c r="L16" i="218"/>
  <c r="K16" i="218"/>
  <c r="J16" i="218"/>
  <c r="I16" i="218"/>
  <c r="H16" i="218"/>
  <c r="G16" i="218"/>
  <c r="F16" i="218"/>
  <c r="E16" i="218"/>
  <c r="D16" i="218"/>
  <c r="M13" i="218"/>
  <c r="L13" i="218"/>
  <c r="K13" i="218"/>
  <c r="J13" i="218"/>
  <c r="I13" i="218"/>
  <c r="H13" i="218"/>
  <c r="G13" i="218"/>
  <c r="F13" i="218"/>
  <c r="E13" i="218"/>
  <c r="D13" i="218"/>
  <c r="I6" i="218"/>
  <c r="G6" i="218"/>
  <c r="F6" i="218"/>
  <c r="E6" i="218"/>
  <c r="I3" i="218"/>
  <c r="F3" i="218"/>
  <c r="C3" i="218"/>
  <c r="P17" i="219" l="1"/>
  <c r="Q17" i="219"/>
  <c r="Q74" i="219"/>
  <c r="P74" i="219"/>
  <c r="P14" i="219"/>
  <c r="Q14" i="219"/>
  <c r="Q73" i="219"/>
  <c r="P73" i="219"/>
  <c r="AA47" i="219"/>
  <c r="N47" i="219"/>
  <c r="AB47" i="219"/>
  <c r="AC39" i="219" s="1"/>
  <c r="P57" i="219"/>
  <c r="Q57" i="219"/>
  <c r="Q56" i="219"/>
  <c r="P56" i="219"/>
  <c r="Q58" i="219"/>
  <c r="P58" i="219"/>
  <c r="Q7" i="219"/>
  <c r="R5" i="219" s="1"/>
  <c r="P7" i="219"/>
  <c r="D14" i="218"/>
  <c r="Q16" i="219"/>
  <c r="P16" i="219"/>
  <c r="Q26" i="219"/>
  <c r="P26" i="219"/>
  <c r="P37" i="219"/>
  <c r="Q37" i="219"/>
  <c r="Q46" i="219"/>
  <c r="P46" i="219"/>
  <c r="Q15" i="219"/>
  <c r="P15" i="219"/>
  <c r="P36" i="219"/>
  <c r="Q36" i="219"/>
  <c r="AB77" i="219"/>
  <c r="AC70" i="219" s="1"/>
  <c r="AA77" i="219"/>
  <c r="N77" i="219"/>
  <c r="P75" i="219"/>
  <c r="Q75" i="219"/>
  <c r="P64" i="219"/>
  <c r="Q64" i="219"/>
  <c r="Q66" i="219"/>
  <c r="P66" i="219"/>
  <c r="Q76" i="219"/>
  <c r="P76" i="219"/>
  <c r="P65" i="219"/>
  <c r="Q65" i="219"/>
  <c r="Q18" i="219"/>
  <c r="P18" i="219"/>
  <c r="P5" i="219"/>
  <c r="P6" i="219"/>
  <c r="N13" i="219"/>
  <c r="P24" i="219"/>
  <c r="P34" i="219"/>
  <c r="P44" i="219"/>
  <c r="P54" i="219"/>
  <c r="P63" i="219"/>
  <c r="P72" i="219"/>
  <c r="AB18" i="219"/>
  <c r="AB58" i="219"/>
  <c r="Q63" i="219"/>
  <c r="R61" i="219" s="1"/>
  <c r="AB66" i="219"/>
  <c r="M69" i="219"/>
  <c r="AB76" i="219"/>
  <c r="N53" i="219"/>
  <c r="N71" i="219"/>
  <c r="P12" i="219"/>
  <c r="P39" i="219"/>
  <c r="Q30" i="219"/>
  <c r="AA43" i="219"/>
  <c r="Q50" i="219"/>
  <c r="AB23" i="219"/>
  <c r="AB33" i="219"/>
  <c r="AB43" i="219"/>
  <c r="AB53" i="219"/>
  <c r="AB70" i="219"/>
  <c r="AB71" i="219"/>
  <c r="N23" i="219"/>
  <c r="N33" i="219"/>
  <c r="N70" i="219"/>
  <c r="M60" i="219"/>
  <c r="AA13" i="219"/>
  <c r="N19" i="219"/>
  <c r="P40" i="219"/>
  <c r="M27" i="219"/>
  <c r="AA70" i="219"/>
  <c r="P8" i="219"/>
  <c r="P9" i="219"/>
  <c r="P59" i="219"/>
  <c r="P67" i="219"/>
  <c r="N43" i="219"/>
  <c r="AA19" i="219"/>
  <c r="M38" i="219"/>
  <c r="O77" i="217"/>
  <c r="K77" i="217"/>
  <c r="AB76" i="217"/>
  <c r="AA76" i="217"/>
  <c r="V76" i="217"/>
  <c r="U76" i="217"/>
  <c r="P76" i="217"/>
  <c r="O76" i="217"/>
  <c r="N76" i="217"/>
  <c r="Q76" i="217" s="1"/>
  <c r="M76" i="217"/>
  <c r="K76" i="217"/>
  <c r="G76" i="217"/>
  <c r="V75" i="217"/>
  <c r="M75" i="217" s="1"/>
  <c r="U75" i="217"/>
  <c r="O75" i="217"/>
  <c r="K75" i="217"/>
  <c r="G75" i="217"/>
  <c r="V74" i="217"/>
  <c r="M74" i="217" s="1"/>
  <c r="U74" i="217"/>
  <c r="O74" i="217"/>
  <c r="K74" i="217"/>
  <c r="G74" i="217"/>
  <c r="AA73" i="217"/>
  <c r="V73" i="217"/>
  <c r="U73" i="217"/>
  <c r="O73" i="217"/>
  <c r="M73" i="217"/>
  <c r="N73" i="217" s="1"/>
  <c r="K73" i="217"/>
  <c r="G73" i="217"/>
  <c r="AB72" i="217"/>
  <c r="AA72" i="217"/>
  <c r="V72" i="217"/>
  <c r="U72" i="217"/>
  <c r="O72" i="217"/>
  <c r="N72" i="217"/>
  <c r="M72" i="217"/>
  <c r="K72" i="217"/>
  <c r="G72" i="217"/>
  <c r="V71" i="217"/>
  <c r="U71" i="217"/>
  <c r="O71" i="217"/>
  <c r="M71" i="217"/>
  <c r="K71" i="217"/>
  <c r="G71" i="217"/>
  <c r="V70" i="217"/>
  <c r="O70" i="217"/>
  <c r="M70" i="217"/>
  <c r="K70" i="217"/>
  <c r="G70" i="217"/>
  <c r="O69" i="217"/>
  <c r="K69" i="217"/>
  <c r="AB68" i="217"/>
  <c r="AA68" i="217"/>
  <c r="V68" i="217"/>
  <c r="U68" i="217"/>
  <c r="O68" i="217"/>
  <c r="N68" i="217"/>
  <c r="P68" i="217" s="1"/>
  <c r="M68" i="217"/>
  <c r="K68" i="217"/>
  <c r="Q68" i="217" s="1"/>
  <c r="G68" i="217"/>
  <c r="V67" i="217"/>
  <c r="M67" i="217" s="1"/>
  <c r="U67" i="217"/>
  <c r="O67" i="217"/>
  <c r="K67" i="217"/>
  <c r="G67" i="217"/>
  <c r="AB66" i="217"/>
  <c r="AA66" i="217"/>
  <c r="V66" i="217"/>
  <c r="U66" i="217"/>
  <c r="P66" i="217"/>
  <c r="O66" i="217"/>
  <c r="N66" i="217"/>
  <c r="Q66" i="217" s="1"/>
  <c r="M66" i="217"/>
  <c r="K66" i="217"/>
  <c r="G66" i="217"/>
  <c r="V65" i="217"/>
  <c r="M65" i="217" s="1"/>
  <c r="U65" i="217"/>
  <c r="O65" i="217"/>
  <c r="K65" i="217"/>
  <c r="G65" i="217"/>
  <c r="V64" i="217"/>
  <c r="M64" i="217" s="1"/>
  <c r="O64" i="217"/>
  <c r="K64" i="217"/>
  <c r="G64" i="217"/>
  <c r="O63" i="217"/>
  <c r="N63" i="217"/>
  <c r="K63" i="217"/>
  <c r="V62" i="217"/>
  <c r="U62" i="217"/>
  <c r="O62" i="217"/>
  <c r="M62" i="217"/>
  <c r="AB62" i="217" s="1"/>
  <c r="K62" i="217"/>
  <c r="G62" i="217"/>
  <c r="V61" i="217"/>
  <c r="O61" i="217"/>
  <c r="M61" i="217"/>
  <c r="M63" i="217" s="1"/>
  <c r="K61" i="217"/>
  <c r="G61" i="217"/>
  <c r="O60" i="217"/>
  <c r="K60" i="217"/>
  <c r="H13" i="216" s="1"/>
  <c r="V59" i="217"/>
  <c r="M59" i="217" s="1"/>
  <c r="U59" i="217"/>
  <c r="O59" i="217"/>
  <c r="K59" i="217"/>
  <c r="G59" i="217"/>
  <c r="AB58" i="217"/>
  <c r="AA58" i="217"/>
  <c r="V58" i="217"/>
  <c r="U58" i="217"/>
  <c r="P58" i="217"/>
  <c r="O58" i="217"/>
  <c r="N58" i="217"/>
  <c r="Q58" i="217" s="1"/>
  <c r="M58" i="217"/>
  <c r="K58" i="217"/>
  <c r="G58" i="217"/>
  <c r="V57" i="217"/>
  <c r="M57" i="217" s="1"/>
  <c r="U57" i="217"/>
  <c r="O57" i="217"/>
  <c r="K57" i="217"/>
  <c r="G57" i="217"/>
  <c r="V56" i="217"/>
  <c r="M56" i="217" s="1"/>
  <c r="U56" i="217"/>
  <c r="O56" i="217"/>
  <c r="K56" i="217"/>
  <c r="G56" i="217"/>
  <c r="V55" i="217"/>
  <c r="M55" i="217" s="1"/>
  <c r="U55" i="217"/>
  <c r="O55" i="217"/>
  <c r="K55" i="217"/>
  <c r="G55" i="217"/>
  <c r="AB54" i="217"/>
  <c r="AA54" i="217"/>
  <c r="V54" i="217"/>
  <c r="U54" i="217"/>
  <c r="O54" i="217"/>
  <c r="N54" i="217"/>
  <c r="M54" i="217"/>
  <c r="K54" i="217"/>
  <c r="G54" i="217"/>
  <c r="V53" i="217"/>
  <c r="U53" i="217"/>
  <c r="O53" i="217"/>
  <c r="M53" i="217"/>
  <c r="K53" i="217"/>
  <c r="G53" i="217"/>
  <c r="V52" i="217"/>
  <c r="U52" i="217"/>
  <c r="O52" i="217"/>
  <c r="M52" i="217"/>
  <c r="AB52" i="217" s="1"/>
  <c r="K52" i="217"/>
  <c r="G52" i="217"/>
  <c r="AB51" i="217"/>
  <c r="AA51" i="217"/>
  <c r="V51" i="217"/>
  <c r="U51" i="217"/>
  <c r="O51" i="217"/>
  <c r="N51" i="217"/>
  <c r="Q51" i="217" s="1"/>
  <c r="M51" i="217"/>
  <c r="K51" i="217"/>
  <c r="G51" i="217"/>
  <c r="V50" i="217"/>
  <c r="U50" i="217"/>
  <c r="O50" i="217"/>
  <c r="M50" i="217"/>
  <c r="AB50" i="217" s="1"/>
  <c r="K50" i="217"/>
  <c r="G50" i="217"/>
  <c r="AB49" i="217"/>
  <c r="V49" i="217"/>
  <c r="U49" i="217"/>
  <c r="O49" i="217"/>
  <c r="M49" i="217"/>
  <c r="AA49" i="217" s="1"/>
  <c r="K49" i="217"/>
  <c r="G49" i="217"/>
  <c r="AB48" i="217"/>
  <c r="V48" i="217"/>
  <c r="O48" i="217"/>
  <c r="M48" i="217"/>
  <c r="AA48" i="217" s="1"/>
  <c r="K48" i="217"/>
  <c r="G48" i="217"/>
  <c r="O47" i="217"/>
  <c r="K47" i="217"/>
  <c r="V46" i="217"/>
  <c r="M46" i="217" s="1"/>
  <c r="U46" i="217"/>
  <c r="O46" i="217"/>
  <c r="K46" i="217"/>
  <c r="G46" i="217"/>
  <c r="V45" i="217"/>
  <c r="M45" i="217" s="1"/>
  <c r="U45" i="217"/>
  <c r="O45" i="217"/>
  <c r="K45" i="217"/>
  <c r="G45" i="217"/>
  <c r="AB44" i="217"/>
  <c r="AA44" i="217"/>
  <c r="V44" i="217"/>
  <c r="U44" i="217"/>
  <c r="O44" i="217"/>
  <c r="N44" i="217"/>
  <c r="M44" i="217"/>
  <c r="K44" i="217"/>
  <c r="G44" i="217"/>
  <c r="V43" i="217"/>
  <c r="U43" i="217"/>
  <c r="O43" i="217"/>
  <c r="M43" i="217"/>
  <c r="K43" i="217"/>
  <c r="G43" i="217"/>
  <c r="V42" i="217"/>
  <c r="U42" i="217"/>
  <c r="O42" i="217"/>
  <c r="M42" i="217"/>
  <c r="AB42" i="217" s="1"/>
  <c r="K42" i="217"/>
  <c r="G42" i="217"/>
  <c r="AB41" i="217"/>
  <c r="AA41" i="217"/>
  <c r="V41" i="217"/>
  <c r="U41" i="217"/>
  <c r="O41" i="217"/>
  <c r="N41" i="217"/>
  <c r="Q41" i="217" s="1"/>
  <c r="M41" i="217"/>
  <c r="K41" i="217"/>
  <c r="G41" i="217"/>
  <c r="V40" i="217"/>
  <c r="U40" i="217"/>
  <c r="O40" i="217"/>
  <c r="M40" i="217"/>
  <c r="AB40" i="217" s="1"/>
  <c r="K40" i="217"/>
  <c r="G40" i="217"/>
  <c r="V39" i="217"/>
  <c r="O39" i="217"/>
  <c r="M39" i="217"/>
  <c r="AB39" i="217" s="1"/>
  <c r="K39" i="217"/>
  <c r="G39" i="217"/>
  <c r="O38" i="217"/>
  <c r="K38" i="217"/>
  <c r="V37" i="217"/>
  <c r="M37" i="217" s="1"/>
  <c r="U37" i="217"/>
  <c r="O37" i="217"/>
  <c r="K37" i="217"/>
  <c r="G37" i="217"/>
  <c r="V36" i="217"/>
  <c r="M36" i="217" s="1"/>
  <c r="U36" i="217"/>
  <c r="O36" i="217"/>
  <c r="K36" i="217"/>
  <c r="G36" i="217"/>
  <c r="V35" i="217"/>
  <c r="M35" i="217" s="1"/>
  <c r="U35" i="217"/>
  <c r="O35" i="217"/>
  <c r="K35" i="217"/>
  <c r="G35" i="217"/>
  <c r="AB34" i="217"/>
  <c r="AA34" i="217"/>
  <c r="V34" i="217"/>
  <c r="U34" i="217"/>
  <c r="O34" i="217"/>
  <c r="N34" i="217"/>
  <c r="M34" i="217"/>
  <c r="K34" i="217"/>
  <c r="G34" i="217"/>
  <c r="V33" i="217"/>
  <c r="U33" i="217"/>
  <c r="O33" i="217"/>
  <c r="M33" i="217"/>
  <c r="K33" i="217"/>
  <c r="G33" i="217"/>
  <c r="V32" i="217"/>
  <c r="U32" i="217"/>
  <c r="O32" i="217"/>
  <c r="M32" i="217"/>
  <c r="AB32" i="217" s="1"/>
  <c r="K32" i="217"/>
  <c r="G32" i="217"/>
  <c r="AB31" i="217"/>
  <c r="AA31" i="217"/>
  <c r="V31" i="217"/>
  <c r="U31" i="217"/>
  <c r="O31" i="217"/>
  <c r="N31" i="217"/>
  <c r="Q31" i="217" s="1"/>
  <c r="M31" i="217"/>
  <c r="K31" i="217"/>
  <c r="G31" i="217"/>
  <c r="V30" i="217"/>
  <c r="U30" i="217"/>
  <c r="O30" i="217"/>
  <c r="M30" i="217"/>
  <c r="AB30" i="217" s="1"/>
  <c r="K30" i="217"/>
  <c r="G30" i="217"/>
  <c r="AB29" i="217"/>
  <c r="V29" i="217"/>
  <c r="U29" i="217"/>
  <c r="O29" i="217"/>
  <c r="M29" i="217"/>
  <c r="AA29" i="217" s="1"/>
  <c r="K29" i="217"/>
  <c r="G29" i="217"/>
  <c r="AB28" i="217"/>
  <c r="V28" i="217"/>
  <c r="O28" i="217"/>
  <c r="M28" i="217"/>
  <c r="AA28" i="217" s="1"/>
  <c r="K28" i="217"/>
  <c r="G28" i="217"/>
  <c r="O27" i="217"/>
  <c r="K27" i="217"/>
  <c r="V26" i="217"/>
  <c r="M26" i="217" s="1"/>
  <c r="U26" i="217"/>
  <c r="O26" i="217"/>
  <c r="K26" i="217"/>
  <c r="G26" i="217"/>
  <c r="V25" i="217"/>
  <c r="M25" i="217" s="1"/>
  <c r="U25" i="217"/>
  <c r="O25" i="217"/>
  <c r="K25" i="217"/>
  <c r="G25" i="217"/>
  <c r="AB24" i="217"/>
  <c r="AA24" i="217"/>
  <c r="V24" i="217"/>
  <c r="U24" i="217"/>
  <c r="O24" i="217"/>
  <c r="N24" i="217"/>
  <c r="M24" i="217"/>
  <c r="K24" i="217"/>
  <c r="G24" i="217"/>
  <c r="V23" i="217"/>
  <c r="U23" i="217"/>
  <c r="O23" i="217"/>
  <c r="M23" i="217"/>
  <c r="K23" i="217"/>
  <c r="G23" i="217"/>
  <c r="V22" i="217"/>
  <c r="U22" i="217"/>
  <c r="O22" i="217"/>
  <c r="M22" i="217"/>
  <c r="AB22" i="217" s="1"/>
  <c r="K22" i="217"/>
  <c r="G22" i="217"/>
  <c r="AB21" i="217"/>
  <c r="AA21" i="217"/>
  <c r="V21" i="217"/>
  <c r="U21" i="217"/>
  <c r="O21" i="217"/>
  <c r="N21" i="217"/>
  <c r="Q21" i="217" s="1"/>
  <c r="M21" i="217"/>
  <c r="K21" i="217"/>
  <c r="G21" i="217"/>
  <c r="AB20" i="217"/>
  <c r="AA20" i="217"/>
  <c r="V20" i="217"/>
  <c r="O20" i="217"/>
  <c r="N20" i="217"/>
  <c r="Q20" i="217" s="1"/>
  <c r="M20" i="217"/>
  <c r="M27" i="217" s="1"/>
  <c r="AA27" i="217" s="1"/>
  <c r="K20" i="217"/>
  <c r="G20" i="217"/>
  <c r="O19" i="217"/>
  <c r="K19" i="217"/>
  <c r="F13" i="216" s="1"/>
  <c r="AB18" i="217"/>
  <c r="AA18" i="217"/>
  <c r="V18" i="217"/>
  <c r="U18" i="217"/>
  <c r="P18" i="217"/>
  <c r="O18" i="217"/>
  <c r="N18" i="217"/>
  <c r="Q18" i="217" s="1"/>
  <c r="M18" i="217"/>
  <c r="K18" i="217"/>
  <c r="G18" i="217"/>
  <c r="V17" i="217"/>
  <c r="M17" i="217" s="1"/>
  <c r="U17" i="217"/>
  <c r="O17" i="217"/>
  <c r="K17" i="217"/>
  <c r="G17" i="217"/>
  <c r="V16" i="217"/>
  <c r="M16" i="217" s="1"/>
  <c r="U16" i="217"/>
  <c r="O16" i="217"/>
  <c r="K16" i="217"/>
  <c r="G16" i="217"/>
  <c r="V15" i="217"/>
  <c r="M15" i="217" s="1"/>
  <c r="U15" i="217"/>
  <c r="O15" i="217"/>
  <c r="K15" i="217"/>
  <c r="G15" i="217"/>
  <c r="V14" i="217"/>
  <c r="M14" i="217" s="1"/>
  <c r="O14" i="217"/>
  <c r="K14" i="217"/>
  <c r="G14" i="217"/>
  <c r="O13" i="217"/>
  <c r="K13" i="217"/>
  <c r="E13" i="216" s="1"/>
  <c r="V12" i="217"/>
  <c r="U12" i="217"/>
  <c r="O12" i="217"/>
  <c r="M12" i="217"/>
  <c r="AB12" i="217" s="1"/>
  <c r="K12" i="217"/>
  <c r="G12" i="217"/>
  <c r="AB11" i="217"/>
  <c r="V11" i="217"/>
  <c r="U11" i="217"/>
  <c r="O11" i="217"/>
  <c r="M11" i="217"/>
  <c r="AA11" i="217" s="1"/>
  <c r="K11" i="217"/>
  <c r="G11" i="217"/>
  <c r="AB10" i="217"/>
  <c r="AA10" i="217"/>
  <c r="V10" i="217"/>
  <c r="U10" i="217"/>
  <c r="O10" i="217"/>
  <c r="N10" i="217"/>
  <c r="P10" i="217" s="1"/>
  <c r="M10" i="217"/>
  <c r="K10" i="217"/>
  <c r="Q10" i="217" s="1"/>
  <c r="G10" i="217"/>
  <c r="V9" i="217"/>
  <c r="M9" i="217" s="1"/>
  <c r="U9" i="217"/>
  <c r="O9" i="217"/>
  <c r="K9" i="217"/>
  <c r="G9" i="217"/>
  <c r="V8" i="217"/>
  <c r="M8" i="217" s="1"/>
  <c r="O8" i="217"/>
  <c r="K8" i="217"/>
  <c r="G8" i="217"/>
  <c r="AB7" i="217"/>
  <c r="AC5" i="217" s="1"/>
  <c r="Q7" i="217"/>
  <c r="R5" i="217" s="1"/>
  <c r="P7" i="217"/>
  <c r="O7" i="217"/>
  <c r="N7" i="217"/>
  <c r="M7" i="217"/>
  <c r="AA7" i="217" s="1"/>
  <c r="K7" i="217"/>
  <c r="AB6" i="217"/>
  <c r="AA6" i="217"/>
  <c r="V6" i="217"/>
  <c r="U6" i="217"/>
  <c r="O6" i="217"/>
  <c r="N6" i="217"/>
  <c r="M6" i="217"/>
  <c r="K6" i="217"/>
  <c r="G6" i="217"/>
  <c r="AB5" i="217"/>
  <c r="AA5" i="217"/>
  <c r="V5" i="217"/>
  <c r="O5" i="217"/>
  <c r="N5" i="217"/>
  <c r="M5" i="217"/>
  <c r="K5" i="217"/>
  <c r="G5" i="217"/>
  <c r="H2" i="217"/>
  <c r="H1" i="217"/>
  <c r="D1" i="217"/>
  <c r="M18" i="216"/>
  <c r="L18" i="216"/>
  <c r="K18" i="216"/>
  <c r="J18" i="216"/>
  <c r="I18" i="216"/>
  <c r="H18" i="216"/>
  <c r="G18" i="216"/>
  <c r="F18" i="216"/>
  <c r="E18" i="216"/>
  <c r="D18" i="216"/>
  <c r="M17" i="216"/>
  <c r="L17" i="216"/>
  <c r="K17" i="216"/>
  <c r="J17" i="216"/>
  <c r="I17" i="216"/>
  <c r="H17" i="216"/>
  <c r="G17" i="216"/>
  <c r="F17" i="216"/>
  <c r="E17" i="216"/>
  <c r="D17" i="216"/>
  <c r="M16" i="216"/>
  <c r="L16" i="216"/>
  <c r="K16" i="216"/>
  <c r="J16" i="216"/>
  <c r="I16" i="216"/>
  <c r="H16" i="216"/>
  <c r="G16" i="216"/>
  <c r="F16" i="216"/>
  <c r="E16" i="216"/>
  <c r="D16" i="216"/>
  <c r="D14" i="216"/>
  <c r="M13" i="216"/>
  <c r="L13" i="216"/>
  <c r="K13" i="216"/>
  <c r="J13" i="216"/>
  <c r="I13" i="216"/>
  <c r="G13" i="216"/>
  <c r="D13" i="216"/>
  <c r="F3" i="216"/>
  <c r="C3" i="216"/>
  <c r="AB27" i="219" l="1"/>
  <c r="AC20" i="219" s="1"/>
  <c r="N27" i="219"/>
  <c r="AA27" i="219"/>
  <c r="M14" i="218"/>
  <c r="M15" i="218" s="1"/>
  <c r="Q77" i="219"/>
  <c r="R70" i="219" s="1"/>
  <c r="P77" i="219"/>
  <c r="Q47" i="219"/>
  <c r="R39" i="219" s="1"/>
  <c r="P47" i="219"/>
  <c r="L14" i="218"/>
  <c r="L15" i="218" s="1"/>
  <c r="N60" i="219"/>
  <c r="AB60" i="219"/>
  <c r="AC48" i="219" s="1"/>
  <c r="AA60" i="219"/>
  <c r="Q70" i="219"/>
  <c r="P70" i="219"/>
  <c r="Q23" i="219"/>
  <c r="P23" i="219"/>
  <c r="Q53" i="219"/>
  <c r="P53" i="219"/>
  <c r="Q13" i="219"/>
  <c r="R8" i="219" s="1"/>
  <c r="P13" i="219"/>
  <c r="E14" i="218"/>
  <c r="E15" i="218" s="1"/>
  <c r="Q19" i="219"/>
  <c r="R14" i="219" s="1"/>
  <c r="P19" i="219"/>
  <c r="F14" i="218"/>
  <c r="F15" i="218" s="1"/>
  <c r="AA38" i="219"/>
  <c r="N38" i="219"/>
  <c r="AB38" i="219"/>
  <c r="AC28" i="219" s="1"/>
  <c r="Q43" i="219"/>
  <c r="P43" i="219"/>
  <c r="Q33" i="219"/>
  <c r="P33" i="219"/>
  <c r="AB69" i="219"/>
  <c r="AC64" i="219" s="1"/>
  <c r="N69" i="219"/>
  <c r="AA69" i="219"/>
  <c r="D15" i="218"/>
  <c r="Q71" i="219"/>
  <c r="P71" i="219"/>
  <c r="N36" i="217"/>
  <c r="AA36" i="217"/>
  <c r="AB36" i="217"/>
  <c r="D15" i="216"/>
  <c r="AB27" i="217"/>
  <c r="AC20" i="217" s="1"/>
  <c r="N27" i="217"/>
  <c r="N57" i="217"/>
  <c r="AB57" i="217"/>
  <c r="AA57" i="217"/>
  <c r="N64" i="217"/>
  <c r="AB64" i="217"/>
  <c r="M69" i="217"/>
  <c r="AA64" i="217"/>
  <c r="N33" i="217"/>
  <c r="AB33" i="217"/>
  <c r="AA33" i="217"/>
  <c r="Q54" i="217"/>
  <c r="P54" i="217"/>
  <c r="N14" i="217"/>
  <c r="AB14" i="217"/>
  <c r="M19" i="217"/>
  <c r="AA14" i="217"/>
  <c r="N25" i="217"/>
  <c r="AB25" i="217"/>
  <c r="AA25" i="217"/>
  <c r="N71" i="217"/>
  <c r="AB71" i="217"/>
  <c r="AA71" i="217"/>
  <c r="N8" i="217"/>
  <c r="AB8" i="217"/>
  <c r="N16" i="217"/>
  <c r="AB16" i="217"/>
  <c r="AA16" i="217"/>
  <c r="N46" i="217"/>
  <c r="AB46" i="217"/>
  <c r="AA46" i="217"/>
  <c r="AA59" i="217"/>
  <c r="N59" i="217"/>
  <c r="AB59" i="217"/>
  <c r="AA8" i="217"/>
  <c r="N43" i="217"/>
  <c r="AB43" i="217"/>
  <c r="AA43" i="217"/>
  <c r="E6" i="216"/>
  <c r="Q24" i="217"/>
  <c r="P24" i="217"/>
  <c r="N56" i="217"/>
  <c r="AB56" i="217"/>
  <c r="AA56" i="217"/>
  <c r="Q63" i="217"/>
  <c r="R61" i="217" s="1"/>
  <c r="I14" i="216"/>
  <c r="I15" i="216" s="1"/>
  <c r="P63" i="217"/>
  <c r="N65" i="217"/>
  <c r="AB65" i="217"/>
  <c r="AA65" i="217"/>
  <c r="N35" i="217"/>
  <c r="AB35" i="217"/>
  <c r="AA35" i="217"/>
  <c r="N37" i="217"/>
  <c r="AA37" i="217"/>
  <c r="AB37" i="217"/>
  <c r="N53" i="217"/>
  <c r="AB53" i="217"/>
  <c r="AA53" i="217"/>
  <c r="P73" i="217"/>
  <c r="Q73" i="217"/>
  <c r="AA63" i="217"/>
  <c r="AB63" i="217"/>
  <c r="AC61" i="217" s="1"/>
  <c r="I6" i="216"/>
  <c r="N9" i="217"/>
  <c r="AB9" i="217"/>
  <c r="N74" i="217"/>
  <c r="AA74" i="217"/>
  <c r="AB74" i="217"/>
  <c r="N15" i="217"/>
  <c r="AB15" i="217"/>
  <c r="AA15" i="217"/>
  <c r="N17" i="217"/>
  <c r="AB17" i="217"/>
  <c r="AA17" i="217"/>
  <c r="Q34" i="217"/>
  <c r="P34" i="217"/>
  <c r="N45" i="217"/>
  <c r="AB45" i="217"/>
  <c r="AA45" i="217"/>
  <c r="AA67" i="217"/>
  <c r="N67" i="217"/>
  <c r="AB67" i="217"/>
  <c r="AA9" i="217"/>
  <c r="M13" i="217"/>
  <c r="N26" i="217"/>
  <c r="AA26" i="217"/>
  <c r="AB26" i="217"/>
  <c r="N55" i="217"/>
  <c r="AB55" i="217"/>
  <c r="AA55" i="217"/>
  <c r="Q5" i="217"/>
  <c r="P5" i="217"/>
  <c r="Q6" i="217"/>
  <c r="P6" i="217"/>
  <c r="F1" i="217"/>
  <c r="N23" i="217"/>
  <c r="AB23" i="217"/>
  <c r="AA23" i="217"/>
  <c r="Q44" i="217"/>
  <c r="P44" i="217"/>
  <c r="N70" i="217"/>
  <c r="AB70" i="217"/>
  <c r="AA70" i="217"/>
  <c r="M77" i="217"/>
  <c r="Q72" i="217"/>
  <c r="P72" i="217"/>
  <c r="N75" i="217"/>
  <c r="AB75" i="217"/>
  <c r="AA75" i="217"/>
  <c r="N22" i="217"/>
  <c r="N32" i="217"/>
  <c r="N42" i="217"/>
  <c r="N52" i="217"/>
  <c r="N61" i="217"/>
  <c r="N62" i="217"/>
  <c r="N12" i="217"/>
  <c r="N30" i="217"/>
  <c r="N39" i="217"/>
  <c r="N50" i="217"/>
  <c r="N11" i="217"/>
  <c r="P20" i="217"/>
  <c r="P21" i="217"/>
  <c r="N28" i="217"/>
  <c r="N29" i="217"/>
  <c r="P31" i="217"/>
  <c r="P41" i="217"/>
  <c r="N48" i="217"/>
  <c r="N49" i="217"/>
  <c r="P51" i="217"/>
  <c r="M38" i="217"/>
  <c r="AB73" i="217"/>
  <c r="F6" i="216"/>
  <c r="M47" i="217"/>
  <c r="N40" i="217"/>
  <c r="M60" i="217"/>
  <c r="G6" i="216"/>
  <c r="AA22" i="217"/>
  <c r="AA32" i="217"/>
  <c r="AA42" i="217"/>
  <c r="AA52" i="217"/>
  <c r="AA61" i="217"/>
  <c r="AA62" i="217"/>
  <c r="AB61" i="217"/>
  <c r="AA12" i="217"/>
  <c r="AA30" i="217"/>
  <c r="AA39" i="217"/>
  <c r="AA40" i="217"/>
  <c r="AA50" i="217"/>
  <c r="O88" i="215"/>
  <c r="K88" i="215"/>
  <c r="V87" i="215"/>
  <c r="M87" i="215" s="1"/>
  <c r="N87" i="215" s="1"/>
  <c r="U87" i="215"/>
  <c r="O87" i="215"/>
  <c r="K87" i="215"/>
  <c r="G87" i="215"/>
  <c r="V86" i="215"/>
  <c r="U86" i="215"/>
  <c r="O86" i="215"/>
  <c r="M86" i="215"/>
  <c r="K86" i="215"/>
  <c r="G86" i="215"/>
  <c r="V85" i="215"/>
  <c r="M85" i="215" s="1"/>
  <c r="U85" i="215"/>
  <c r="O85" i="215"/>
  <c r="K85" i="215"/>
  <c r="G85" i="215"/>
  <c r="V84" i="215"/>
  <c r="M84" i="215" s="1"/>
  <c r="U84" i="215"/>
  <c r="O84" i="215"/>
  <c r="K84" i="215"/>
  <c r="G84" i="215"/>
  <c r="V83" i="215"/>
  <c r="M83" i="215" s="1"/>
  <c r="N83" i="215" s="1"/>
  <c r="U83" i="215"/>
  <c r="O83" i="215"/>
  <c r="K83" i="215"/>
  <c r="G83" i="215"/>
  <c r="AB82" i="215"/>
  <c r="V82" i="215"/>
  <c r="U82" i="215"/>
  <c r="O82" i="215"/>
  <c r="M82" i="215"/>
  <c r="K82" i="215"/>
  <c r="G82" i="215"/>
  <c r="AB81" i="215"/>
  <c r="V81" i="215"/>
  <c r="O81" i="215"/>
  <c r="M81" i="215"/>
  <c r="K81" i="215"/>
  <c r="G81" i="215"/>
  <c r="O80" i="215"/>
  <c r="K80" i="215"/>
  <c r="AA79" i="215"/>
  <c r="V79" i="215"/>
  <c r="U79" i="215"/>
  <c r="P79" i="215"/>
  <c r="O79" i="215"/>
  <c r="M79" i="215"/>
  <c r="N79" i="215" s="1"/>
  <c r="Q79" i="215" s="1"/>
  <c r="K79" i="215"/>
  <c r="G79" i="215"/>
  <c r="V78" i="215"/>
  <c r="M78" i="215" s="1"/>
  <c r="U78" i="215"/>
  <c r="O78" i="215"/>
  <c r="K78" i="215"/>
  <c r="G78" i="215"/>
  <c r="V77" i="215"/>
  <c r="M77" i="215" s="1"/>
  <c r="U77" i="215"/>
  <c r="O77" i="215"/>
  <c r="N77" i="215"/>
  <c r="K77" i="215"/>
  <c r="G77" i="215"/>
  <c r="V76" i="215"/>
  <c r="U76" i="215"/>
  <c r="O76" i="215"/>
  <c r="M76" i="215"/>
  <c r="K76" i="215"/>
  <c r="G76" i="215"/>
  <c r="V75" i="215"/>
  <c r="O75" i="215"/>
  <c r="M75" i="215"/>
  <c r="K75" i="215"/>
  <c r="G75" i="215"/>
  <c r="O74" i="215"/>
  <c r="N74" i="215"/>
  <c r="K74" i="215"/>
  <c r="AA73" i="215"/>
  <c r="V73" i="215"/>
  <c r="U73" i="215"/>
  <c r="O73" i="215"/>
  <c r="N73" i="215"/>
  <c r="Q73" i="215" s="1"/>
  <c r="M73" i="215"/>
  <c r="AB73" i="215" s="1"/>
  <c r="K73" i="215"/>
  <c r="G73" i="215"/>
  <c r="AA72" i="215"/>
  <c r="V72" i="215"/>
  <c r="O72" i="215"/>
  <c r="N72" i="215"/>
  <c r="Q72" i="215" s="1"/>
  <c r="M72" i="215"/>
  <c r="M74" i="215" s="1"/>
  <c r="K72" i="215"/>
  <c r="G72" i="215"/>
  <c r="O71" i="215"/>
  <c r="K71" i="215"/>
  <c r="V70" i="215"/>
  <c r="M70" i="215" s="1"/>
  <c r="U70" i="215"/>
  <c r="O70" i="215"/>
  <c r="K70" i="215"/>
  <c r="G70" i="215"/>
  <c r="V69" i="215"/>
  <c r="M69" i="215" s="1"/>
  <c r="U69" i="215"/>
  <c r="O69" i="215"/>
  <c r="K69" i="215"/>
  <c r="G69" i="215"/>
  <c r="V68" i="215"/>
  <c r="U68" i="215"/>
  <c r="O68" i="215"/>
  <c r="M68" i="215"/>
  <c r="K68" i="215"/>
  <c r="G68" i="215"/>
  <c r="V67" i="215"/>
  <c r="M67" i="215" s="1"/>
  <c r="U67" i="215"/>
  <c r="O67" i="215"/>
  <c r="K67" i="215"/>
  <c r="G67" i="215"/>
  <c r="V66" i="215"/>
  <c r="M66" i="215" s="1"/>
  <c r="U66" i="215"/>
  <c r="O66" i="215"/>
  <c r="K66" i="215"/>
  <c r="G66" i="215"/>
  <c r="V65" i="215"/>
  <c r="M65" i="215" s="1"/>
  <c r="U65" i="215"/>
  <c r="O65" i="215"/>
  <c r="K65" i="215"/>
  <c r="G65" i="215"/>
  <c r="V64" i="215"/>
  <c r="U64" i="215"/>
  <c r="O64" i="215"/>
  <c r="M64" i="215"/>
  <c r="K64" i="215"/>
  <c r="G64" i="215"/>
  <c r="AA63" i="215"/>
  <c r="V63" i="215"/>
  <c r="U63" i="215"/>
  <c r="O63" i="215"/>
  <c r="N63" i="215"/>
  <c r="Q63" i="215" s="1"/>
  <c r="M63" i="215"/>
  <c r="AB63" i="215" s="1"/>
  <c r="K63" i="215"/>
  <c r="G63" i="215"/>
  <c r="V62" i="215"/>
  <c r="M62" i="215" s="1"/>
  <c r="U62" i="215"/>
  <c r="O62" i="215"/>
  <c r="K62" i="215"/>
  <c r="G62" i="215"/>
  <c r="V61" i="215"/>
  <c r="U61" i="215"/>
  <c r="O61" i="215"/>
  <c r="M61" i="215"/>
  <c r="AB61" i="215" s="1"/>
  <c r="K61" i="215"/>
  <c r="G61" i="215"/>
  <c r="AB60" i="215"/>
  <c r="V60" i="215"/>
  <c r="U60" i="215"/>
  <c r="O60" i="215"/>
  <c r="M60" i="215"/>
  <c r="AA60" i="215" s="1"/>
  <c r="K60" i="215"/>
  <c r="G60" i="215"/>
  <c r="AA59" i="215"/>
  <c r="V59" i="215"/>
  <c r="U59" i="215"/>
  <c r="O59" i="215"/>
  <c r="M59" i="215"/>
  <c r="N59" i="215" s="1"/>
  <c r="Q59" i="215" s="1"/>
  <c r="K59" i="215"/>
  <c r="G59" i="215"/>
  <c r="V58" i="215"/>
  <c r="M58" i="215" s="1"/>
  <c r="U58" i="215"/>
  <c r="O58" i="215"/>
  <c r="K58" i="215"/>
  <c r="G58" i="215"/>
  <c r="V57" i="215"/>
  <c r="M57" i="215" s="1"/>
  <c r="N57" i="215" s="1"/>
  <c r="U57" i="215"/>
  <c r="O57" i="215"/>
  <c r="K57" i="215"/>
  <c r="G57" i="215"/>
  <c r="V56" i="215"/>
  <c r="U56" i="215"/>
  <c r="O56" i="215"/>
  <c r="M56" i="215"/>
  <c r="K56" i="215"/>
  <c r="G56" i="215"/>
  <c r="V55" i="215"/>
  <c r="O55" i="215"/>
  <c r="M55" i="215"/>
  <c r="K55" i="215"/>
  <c r="G55" i="215"/>
  <c r="O54" i="215"/>
  <c r="K54" i="215"/>
  <c r="AA53" i="215"/>
  <c r="V53" i="215"/>
  <c r="U53" i="215"/>
  <c r="O53" i="215"/>
  <c r="N53" i="215"/>
  <c r="M53" i="215"/>
  <c r="AB53" i="215" s="1"/>
  <c r="K53" i="215"/>
  <c r="G53" i="215"/>
  <c r="V52" i="215"/>
  <c r="M52" i="215" s="1"/>
  <c r="U52" i="215"/>
  <c r="O52" i="215"/>
  <c r="K52" i="215"/>
  <c r="G52" i="215"/>
  <c r="V51" i="215"/>
  <c r="U51" i="215"/>
  <c r="O51" i="215"/>
  <c r="M51" i="215"/>
  <c r="AB51" i="215" s="1"/>
  <c r="K51" i="215"/>
  <c r="G51" i="215"/>
  <c r="AB50" i="215"/>
  <c r="V50" i="215"/>
  <c r="U50" i="215"/>
  <c r="O50" i="215"/>
  <c r="M50" i="215"/>
  <c r="AA50" i="215" s="1"/>
  <c r="K50" i="215"/>
  <c r="G50" i="215"/>
  <c r="AA49" i="215"/>
  <c r="V49" i="215"/>
  <c r="U49" i="215"/>
  <c r="O49" i="215"/>
  <c r="M49" i="215"/>
  <c r="N49" i="215" s="1"/>
  <c r="Q49" i="215" s="1"/>
  <c r="K49" i="215"/>
  <c r="G49" i="215"/>
  <c r="V48" i="215"/>
  <c r="M48" i="215" s="1"/>
  <c r="U48" i="215"/>
  <c r="O48" i="215"/>
  <c r="K48" i="215"/>
  <c r="G48" i="215"/>
  <c r="V47" i="215"/>
  <c r="M47" i="215" s="1"/>
  <c r="U47" i="215"/>
  <c r="O47" i="215"/>
  <c r="N47" i="215"/>
  <c r="K47" i="215"/>
  <c r="G47" i="215"/>
  <c r="V46" i="215"/>
  <c r="U46" i="215"/>
  <c r="O46" i="215"/>
  <c r="M46" i="215"/>
  <c r="K46" i="215"/>
  <c r="G46" i="215"/>
  <c r="V45" i="215"/>
  <c r="O45" i="215"/>
  <c r="M45" i="215"/>
  <c r="K45" i="215"/>
  <c r="G45" i="215"/>
  <c r="O44" i="215"/>
  <c r="K44" i="215"/>
  <c r="AA43" i="215"/>
  <c r="V43" i="215"/>
  <c r="U43" i="215"/>
  <c r="O43" i="215"/>
  <c r="N43" i="215"/>
  <c r="M43" i="215"/>
  <c r="AB43" i="215" s="1"/>
  <c r="K43" i="215"/>
  <c r="G43" i="215"/>
  <c r="V42" i="215"/>
  <c r="M42" i="215" s="1"/>
  <c r="U42" i="215"/>
  <c r="O42" i="215"/>
  <c r="K42" i="215"/>
  <c r="G42" i="215"/>
  <c r="V41" i="215"/>
  <c r="U41" i="215"/>
  <c r="O41" i="215"/>
  <c r="M41" i="215"/>
  <c r="AB41" i="215" s="1"/>
  <c r="K41" i="215"/>
  <c r="G41" i="215"/>
  <c r="AB40" i="215"/>
  <c r="V40" i="215"/>
  <c r="U40" i="215"/>
  <c r="O40" i="215"/>
  <c r="M40" i="215"/>
  <c r="AA40" i="215" s="1"/>
  <c r="K40" i="215"/>
  <c r="G40" i="215"/>
  <c r="AA39" i="215"/>
  <c r="V39" i="215"/>
  <c r="U39" i="215"/>
  <c r="P39" i="215"/>
  <c r="O39" i="215"/>
  <c r="M39" i="215"/>
  <c r="N39" i="215" s="1"/>
  <c r="Q39" i="215" s="1"/>
  <c r="K39" i="215"/>
  <c r="G39" i="215"/>
  <c r="V38" i="215"/>
  <c r="M38" i="215" s="1"/>
  <c r="U38" i="215"/>
  <c r="O38" i="215"/>
  <c r="K38" i="215"/>
  <c r="G38" i="215"/>
  <c r="V37" i="215"/>
  <c r="M37" i="215" s="1"/>
  <c r="U37" i="215"/>
  <c r="O37" i="215"/>
  <c r="N37" i="215"/>
  <c r="K37" i="215"/>
  <c r="G37" i="215"/>
  <c r="V36" i="215"/>
  <c r="U36" i="215"/>
  <c r="O36" i="215"/>
  <c r="M36" i="215"/>
  <c r="K36" i="215"/>
  <c r="G36" i="215"/>
  <c r="V35" i="215"/>
  <c r="M35" i="215" s="1"/>
  <c r="U35" i="215"/>
  <c r="O35" i="215"/>
  <c r="K35" i="215"/>
  <c r="G35" i="215"/>
  <c r="V34" i="215"/>
  <c r="M34" i="215" s="1"/>
  <c r="U34" i="215"/>
  <c r="O34" i="215"/>
  <c r="K34" i="215"/>
  <c r="G34" i="215"/>
  <c r="V33" i="215"/>
  <c r="M33" i="215" s="1"/>
  <c r="O33" i="215"/>
  <c r="K33" i="215"/>
  <c r="G33" i="215"/>
  <c r="O32" i="215"/>
  <c r="K32" i="215"/>
  <c r="G13" i="214" s="1"/>
  <c r="V31" i="215"/>
  <c r="U31" i="215"/>
  <c r="O31" i="215"/>
  <c r="M31" i="215"/>
  <c r="AB31" i="215" s="1"/>
  <c r="K31" i="215"/>
  <c r="G31" i="215"/>
  <c r="AB30" i="215"/>
  <c r="V30" i="215"/>
  <c r="U30" i="215"/>
  <c r="O30" i="215"/>
  <c r="M30" i="215"/>
  <c r="AA30" i="215" s="1"/>
  <c r="K30" i="215"/>
  <c r="G30" i="215"/>
  <c r="AA29" i="215"/>
  <c r="V29" i="215"/>
  <c r="U29" i="215"/>
  <c r="O29" i="215"/>
  <c r="M29" i="215"/>
  <c r="N29" i="215" s="1"/>
  <c r="Q29" i="215" s="1"/>
  <c r="K29" i="215"/>
  <c r="G29" i="215"/>
  <c r="V28" i="215"/>
  <c r="M28" i="215" s="1"/>
  <c r="U28" i="215"/>
  <c r="O28" i="215"/>
  <c r="K28" i="215"/>
  <c r="G28" i="215"/>
  <c r="V27" i="215"/>
  <c r="M27" i="215" s="1"/>
  <c r="AB27" i="215" s="1"/>
  <c r="U27" i="215"/>
  <c r="O27" i="215"/>
  <c r="K27" i="215"/>
  <c r="G27" i="215"/>
  <c r="V26" i="215"/>
  <c r="M26" i="215" s="1"/>
  <c r="U26" i="215"/>
  <c r="O26" i="215"/>
  <c r="K26" i="215"/>
  <c r="G26" i="215"/>
  <c r="V25" i="215"/>
  <c r="M25" i="215" s="1"/>
  <c r="U25" i="215"/>
  <c r="O25" i="215"/>
  <c r="K25" i="215"/>
  <c r="G25" i="215"/>
  <c r="V24" i="215"/>
  <c r="M24" i="215" s="1"/>
  <c r="U24" i="215"/>
  <c r="O24" i="215"/>
  <c r="K24" i="215"/>
  <c r="G24" i="215"/>
  <c r="V23" i="215"/>
  <c r="M23" i="215" s="1"/>
  <c r="O23" i="215"/>
  <c r="K23" i="215"/>
  <c r="G23" i="215"/>
  <c r="O22" i="215"/>
  <c r="K22" i="215"/>
  <c r="F13" i="214" s="1"/>
  <c r="V21" i="215"/>
  <c r="U21" i="215"/>
  <c r="O21" i="215"/>
  <c r="M21" i="215"/>
  <c r="AB21" i="215" s="1"/>
  <c r="K21" i="215"/>
  <c r="G21" i="215"/>
  <c r="AB20" i="215"/>
  <c r="V20" i="215"/>
  <c r="U20" i="215"/>
  <c r="O20" i="215"/>
  <c r="M20" i="215"/>
  <c r="AA20" i="215" s="1"/>
  <c r="K20" i="215"/>
  <c r="G20" i="215"/>
  <c r="AA19" i="215"/>
  <c r="V19" i="215"/>
  <c r="U19" i="215"/>
  <c r="P19" i="215"/>
  <c r="O19" i="215"/>
  <c r="M19" i="215"/>
  <c r="N19" i="215" s="1"/>
  <c r="Q19" i="215" s="1"/>
  <c r="K19" i="215"/>
  <c r="G19" i="215"/>
  <c r="V18" i="215"/>
  <c r="M18" i="215" s="1"/>
  <c r="U18" i="215"/>
  <c r="O18" i="215"/>
  <c r="K18" i="215"/>
  <c r="G18" i="215"/>
  <c r="V17" i="215"/>
  <c r="M17" i="215" s="1"/>
  <c r="AB17" i="215" s="1"/>
  <c r="U17" i="215"/>
  <c r="O17" i="215"/>
  <c r="K17" i="215"/>
  <c r="G17" i="215"/>
  <c r="V16" i="215"/>
  <c r="U16" i="215"/>
  <c r="O16" i="215"/>
  <c r="M16" i="215"/>
  <c r="K16" i="215"/>
  <c r="G16" i="215"/>
  <c r="V15" i="215"/>
  <c r="O15" i="215"/>
  <c r="M15" i="215"/>
  <c r="K15" i="215"/>
  <c r="G15" i="215"/>
  <c r="O14" i="215"/>
  <c r="K14" i="215"/>
  <c r="AA13" i="215"/>
  <c r="V13" i="215"/>
  <c r="U13" i="215"/>
  <c r="O13" i="215"/>
  <c r="N13" i="215"/>
  <c r="M13" i="215"/>
  <c r="AB13" i="215" s="1"/>
  <c r="K13" i="215"/>
  <c r="G13" i="215"/>
  <c r="V12" i="215"/>
  <c r="U12" i="215"/>
  <c r="O12" i="215"/>
  <c r="M12" i="215"/>
  <c r="K12" i="215"/>
  <c r="G12" i="215"/>
  <c r="V11" i="215"/>
  <c r="U11" i="215"/>
  <c r="O11" i="215"/>
  <c r="M11" i="215"/>
  <c r="AB11" i="215" s="1"/>
  <c r="K11" i="215"/>
  <c r="G11" i="215"/>
  <c r="AB10" i="215"/>
  <c r="V10" i="215"/>
  <c r="U10" i="215"/>
  <c r="O10" i="215"/>
  <c r="M10" i="215"/>
  <c r="AA10" i="215" s="1"/>
  <c r="K10" i="215"/>
  <c r="G10" i="215"/>
  <c r="AA9" i="215"/>
  <c r="V9" i="215"/>
  <c r="U9" i="215"/>
  <c r="P9" i="215"/>
  <c r="O9" i="215"/>
  <c r="M9" i="215"/>
  <c r="N9" i="215" s="1"/>
  <c r="Q9" i="215" s="1"/>
  <c r="K9" i="215"/>
  <c r="G9" i="215"/>
  <c r="AA8" i="215"/>
  <c r="V8" i="215"/>
  <c r="O8" i="215"/>
  <c r="M8" i="215"/>
  <c r="K8" i="215"/>
  <c r="G8" i="215"/>
  <c r="O7" i="215"/>
  <c r="K7" i="215"/>
  <c r="V6" i="215"/>
  <c r="M6" i="215" s="1"/>
  <c r="U6" i="215"/>
  <c r="O6" i="215"/>
  <c r="K6" i="215"/>
  <c r="G6" i="215"/>
  <c r="V5" i="215"/>
  <c r="M5" i="215" s="1"/>
  <c r="O5" i="215"/>
  <c r="K5" i="215"/>
  <c r="G5" i="215"/>
  <c r="H2" i="215"/>
  <c r="H1" i="215"/>
  <c r="D1" i="215"/>
  <c r="M18" i="214"/>
  <c r="L18" i="214"/>
  <c r="K18" i="214"/>
  <c r="J18" i="214"/>
  <c r="I18" i="214"/>
  <c r="H18" i="214"/>
  <c r="G18" i="214"/>
  <c r="F18" i="214"/>
  <c r="E18" i="214"/>
  <c r="D18" i="214"/>
  <c r="M17" i="214"/>
  <c r="L17" i="214"/>
  <c r="K17" i="214"/>
  <c r="J17" i="214"/>
  <c r="I17" i="214"/>
  <c r="H17" i="214"/>
  <c r="G17" i="214"/>
  <c r="F17" i="214"/>
  <c r="E17" i="214"/>
  <c r="D17" i="214"/>
  <c r="M16" i="214"/>
  <c r="L16" i="214"/>
  <c r="K16" i="214"/>
  <c r="J16" i="214"/>
  <c r="I16" i="214"/>
  <c r="H16" i="214"/>
  <c r="G16" i="214"/>
  <c r="F16" i="214"/>
  <c r="E16" i="214"/>
  <c r="D16" i="214"/>
  <c r="M13" i="214"/>
  <c r="L13" i="214"/>
  <c r="K13" i="214"/>
  <c r="I6" i="214" s="1"/>
  <c r="J13" i="214"/>
  <c r="I13" i="214"/>
  <c r="H13" i="214"/>
  <c r="E13" i="214"/>
  <c r="D13" i="214"/>
  <c r="F3" i="214"/>
  <c r="C3" i="214"/>
  <c r="H14" i="218" l="1"/>
  <c r="H15" i="218" s="1"/>
  <c r="P60" i="219"/>
  <c r="Q60" i="219"/>
  <c r="R48" i="219" s="1"/>
  <c r="D2" i="219"/>
  <c r="Q38" i="219"/>
  <c r="R28" i="219" s="1"/>
  <c r="P38" i="219"/>
  <c r="K14" i="218"/>
  <c r="Q27" i="219"/>
  <c r="R20" i="219" s="1"/>
  <c r="P27" i="219"/>
  <c r="G14" i="218"/>
  <c r="G15" i="218" s="1"/>
  <c r="Q69" i="219"/>
  <c r="R64" i="219" s="1"/>
  <c r="P69" i="219"/>
  <c r="J14" i="218"/>
  <c r="J15" i="218" s="1"/>
  <c r="Q40" i="217"/>
  <c r="P40" i="217"/>
  <c r="Q16" i="217"/>
  <c r="P16" i="217"/>
  <c r="Q48" i="217"/>
  <c r="P48" i="217"/>
  <c r="Q59" i="217"/>
  <c r="P59" i="217"/>
  <c r="Q71" i="217"/>
  <c r="P71" i="217"/>
  <c r="Q33" i="217"/>
  <c r="P33" i="217"/>
  <c r="Q74" i="217"/>
  <c r="P74" i="217"/>
  <c r="P22" i="217"/>
  <c r="Q22" i="217"/>
  <c r="AB13" i="217"/>
  <c r="AC8" i="217" s="1"/>
  <c r="AA13" i="217"/>
  <c r="N13" i="217"/>
  <c r="Q14" i="217"/>
  <c r="P14" i="217"/>
  <c r="Q50" i="217"/>
  <c r="P50" i="217"/>
  <c r="AA38" i="217"/>
  <c r="N38" i="217"/>
  <c r="AB38" i="217"/>
  <c r="AC28" i="217" s="1"/>
  <c r="Q67" i="217"/>
  <c r="P67" i="217"/>
  <c r="P15" i="217"/>
  <c r="Q15" i="217"/>
  <c r="Q49" i="217"/>
  <c r="P49" i="217"/>
  <c r="Q12" i="217"/>
  <c r="P12" i="217"/>
  <c r="AB77" i="217"/>
  <c r="AC70" i="217" s="1"/>
  <c r="AA77" i="217"/>
  <c r="N77" i="217"/>
  <c r="Q53" i="217"/>
  <c r="P53" i="217"/>
  <c r="P62" i="217"/>
  <c r="Q62" i="217"/>
  <c r="P61" i="217"/>
  <c r="Q61" i="217"/>
  <c r="Q52" i="217"/>
  <c r="P52" i="217"/>
  <c r="Q70" i="217"/>
  <c r="P70" i="217"/>
  <c r="P45" i="217"/>
  <c r="Q45" i="217"/>
  <c r="P37" i="217"/>
  <c r="Q37" i="217"/>
  <c r="AB69" i="217"/>
  <c r="AC64" i="217" s="1"/>
  <c r="AA69" i="217"/>
  <c r="N69" i="217"/>
  <c r="P35" i="217"/>
  <c r="Q35" i="217"/>
  <c r="AB47" i="217"/>
  <c r="AC39" i="217" s="1"/>
  <c r="N47" i="217"/>
  <c r="AA47" i="217"/>
  <c r="Q26" i="217"/>
  <c r="P26" i="217"/>
  <c r="I3" i="216"/>
  <c r="F2" i="217"/>
  <c r="Q39" i="217"/>
  <c r="P39" i="217"/>
  <c r="P65" i="217"/>
  <c r="Q65" i="217"/>
  <c r="P43" i="217"/>
  <c r="Q43" i="217"/>
  <c r="Q8" i="217"/>
  <c r="P8" i="217"/>
  <c r="Q29" i="217"/>
  <c r="P29" i="217"/>
  <c r="P42" i="217"/>
  <c r="Q42" i="217"/>
  <c r="P55" i="217"/>
  <c r="Q55" i="217"/>
  <c r="Q9" i="217"/>
  <c r="P9" i="217"/>
  <c r="Q56" i="217"/>
  <c r="P56" i="217"/>
  <c r="P25" i="217"/>
  <c r="Q25" i="217"/>
  <c r="AB19" i="217"/>
  <c r="AC14" i="217" s="1"/>
  <c r="AA19" i="217"/>
  <c r="N19" i="217"/>
  <c r="Q11" i="217"/>
  <c r="P11" i="217"/>
  <c r="P23" i="217"/>
  <c r="Q23" i="217"/>
  <c r="P17" i="217"/>
  <c r="Q17" i="217"/>
  <c r="P57" i="217"/>
  <c r="Q57" i="217"/>
  <c r="P75" i="217"/>
  <c r="Q75" i="217"/>
  <c r="Q27" i="217"/>
  <c r="R20" i="217" s="1"/>
  <c r="P27" i="217"/>
  <c r="G14" i="216"/>
  <c r="G15" i="216" s="1"/>
  <c r="Q30" i="217"/>
  <c r="P30" i="217"/>
  <c r="AB60" i="217"/>
  <c r="AC48" i="217" s="1"/>
  <c r="AA60" i="217"/>
  <c r="N60" i="217"/>
  <c r="Q28" i="217"/>
  <c r="P28" i="217"/>
  <c r="P32" i="217"/>
  <c r="Q32" i="217"/>
  <c r="Q46" i="217"/>
  <c r="P46" i="217"/>
  <c r="P64" i="217"/>
  <c r="Q64" i="217"/>
  <c r="Q36" i="217"/>
  <c r="P36" i="217"/>
  <c r="Q83" i="215"/>
  <c r="P83" i="215"/>
  <c r="Q87" i="215"/>
  <c r="P87" i="215"/>
  <c r="Q57" i="215"/>
  <c r="P57" i="215"/>
  <c r="N26" i="215"/>
  <c r="AB26" i="215"/>
  <c r="AA26" i="215"/>
  <c r="N6" i="215"/>
  <c r="AB6" i="215"/>
  <c r="AA6" i="215"/>
  <c r="Q37" i="215"/>
  <c r="P37" i="215"/>
  <c r="N58" i="215"/>
  <c r="AB58" i="215"/>
  <c r="AA58" i="215"/>
  <c r="AB65" i="215"/>
  <c r="AA65" i="215"/>
  <c r="AB69" i="215"/>
  <c r="AA69" i="215"/>
  <c r="AA17" i="215"/>
  <c r="N23" i="215"/>
  <c r="AB23" i="215"/>
  <c r="AA23" i="215"/>
  <c r="M32" i="215"/>
  <c r="AB52" i="215"/>
  <c r="AA52" i="215"/>
  <c r="N52" i="215"/>
  <c r="I14" i="214"/>
  <c r="I15" i="214" s="1"/>
  <c r="Q74" i="215"/>
  <c r="R72" i="215" s="1"/>
  <c r="P74" i="215"/>
  <c r="N84" i="215"/>
  <c r="AB84" i="215"/>
  <c r="AA84" i="215"/>
  <c r="F1" i="215"/>
  <c r="N25" i="215"/>
  <c r="AB25" i="215"/>
  <c r="AA25" i="215"/>
  <c r="M54" i="215"/>
  <c r="N45" i="215"/>
  <c r="AB45" i="215"/>
  <c r="AA45" i="215"/>
  <c r="M7" i="215"/>
  <c r="AB12" i="215"/>
  <c r="AA12" i="215"/>
  <c r="N12" i="215"/>
  <c r="N16" i="215"/>
  <c r="AA16" i="215"/>
  <c r="AB16" i="215"/>
  <c r="P29" i="215"/>
  <c r="N35" i="215"/>
  <c r="AB35" i="215"/>
  <c r="AA35" i="215"/>
  <c r="Q47" i="215"/>
  <c r="P47" i="215"/>
  <c r="AA64" i="215"/>
  <c r="N64" i="215"/>
  <c r="N68" i="215"/>
  <c r="AA68" i="215"/>
  <c r="AB68" i="215"/>
  <c r="N78" i="215"/>
  <c r="AB78" i="215"/>
  <c r="AA78" i="215"/>
  <c r="AA27" i="215"/>
  <c r="M44" i="215"/>
  <c r="N33" i="215"/>
  <c r="AB33" i="215"/>
  <c r="AA33" i="215"/>
  <c r="AB37" i="215"/>
  <c r="AA37" i="215"/>
  <c r="Q43" i="215"/>
  <c r="P49" i="215"/>
  <c r="N55" i="215"/>
  <c r="AA55" i="215"/>
  <c r="M71" i="215"/>
  <c r="AB55" i="215"/>
  <c r="AB62" i="215"/>
  <c r="AA62" i="215"/>
  <c r="N62" i="215"/>
  <c r="AA81" i="215"/>
  <c r="M88" i="215"/>
  <c r="N81" i="215"/>
  <c r="N36" i="215"/>
  <c r="AB36" i="215"/>
  <c r="AA36" i="215"/>
  <c r="AB47" i="215"/>
  <c r="AA47" i="215"/>
  <c r="Q53" i="215"/>
  <c r="P59" i="215"/>
  <c r="N66" i="215"/>
  <c r="AB66" i="215"/>
  <c r="AA66" i="215"/>
  <c r="N70" i="215"/>
  <c r="AB70" i="215"/>
  <c r="AA70" i="215"/>
  <c r="N75" i="215"/>
  <c r="AA75" i="215"/>
  <c r="AB75" i="215"/>
  <c r="M80" i="215"/>
  <c r="N5" i="215"/>
  <c r="AB5" i="215"/>
  <c r="AA5" i="215"/>
  <c r="N18" i="215"/>
  <c r="AA18" i="215"/>
  <c r="AB64" i="215"/>
  <c r="Q77" i="215"/>
  <c r="P77" i="215"/>
  <c r="G6" i="214"/>
  <c r="F6" i="214"/>
  <c r="AB18" i="215"/>
  <c r="N24" i="215"/>
  <c r="AB24" i="215"/>
  <c r="AA24" i="215"/>
  <c r="N46" i="215"/>
  <c r="AB46" i="215"/>
  <c r="AA46" i="215"/>
  <c r="AB57" i="215"/>
  <c r="AA57" i="215"/>
  <c r="N85" i="215"/>
  <c r="AB85" i="215"/>
  <c r="AA85" i="215"/>
  <c r="M14" i="215"/>
  <c r="N15" i="215"/>
  <c r="AB15" i="215"/>
  <c r="AA15" i="215"/>
  <c r="M22" i="215"/>
  <c r="N28" i="215"/>
  <c r="AA28" i="215"/>
  <c r="N34" i="215"/>
  <c r="AB34" i="215"/>
  <c r="AA34" i="215"/>
  <c r="N38" i="215"/>
  <c r="AB38" i="215"/>
  <c r="AA38" i="215"/>
  <c r="AB83" i="215"/>
  <c r="AA83" i="215"/>
  <c r="AB87" i="215"/>
  <c r="AA87" i="215"/>
  <c r="Q13" i="215"/>
  <c r="P13" i="215"/>
  <c r="N17" i="215"/>
  <c r="AB28" i="215"/>
  <c r="N56" i="215"/>
  <c r="AB56" i="215"/>
  <c r="AA56" i="215"/>
  <c r="N65" i="215"/>
  <c r="N69" i="215"/>
  <c r="AB77" i="215"/>
  <c r="AA77" i="215"/>
  <c r="E6" i="214"/>
  <c r="N48" i="215"/>
  <c r="AB48" i="215"/>
  <c r="AA48" i="215"/>
  <c r="AA82" i="215"/>
  <c r="N82" i="215"/>
  <c r="N86" i="215"/>
  <c r="AB86" i="215"/>
  <c r="AA86" i="215"/>
  <c r="N27" i="215"/>
  <c r="AB42" i="215"/>
  <c r="AA42" i="215"/>
  <c r="N42" i="215"/>
  <c r="N67" i="215"/>
  <c r="AB67" i="215"/>
  <c r="AA67" i="215"/>
  <c r="AB74" i="215"/>
  <c r="AC72" i="215" s="1"/>
  <c r="AA74" i="215"/>
  <c r="N76" i="215"/>
  <c r="AB76" i="215"/>
  <c r="AA76" i="215"/>
  <c r="AB8" i="215"/>
  <c r="AB9" i="215"/>
  <c r="AB19" i="215"/>
  <c r="AB29" i="215"/>
  <c r="AB39" i="215"/>
  <c r="AB49" i="215"/>
  <c r="AB59" i="215"/>
  <c r="AB79" i="215"/>
  <c r="N11" i="215"/>
  <c r="N21" i="215"/>
  <c r="N31" i="215"/>
  <c r="N41" i="215"/>
  <c r="P43" i="215"/>
  <c r="N51" i="215"/>
  <c r="P53" i="215"/>
  <c r="N61" i="215"/>
  <c r="P63" i="215"/>
  <c r="P72" i="215"/>
  <c r="P73" i="215"/>
  <c r="N10" i="215"/>
  <c r="N20" i="215"/>
  <c r="N30" i="215"/>
  <c r="N40" i="215"/>
  <c r="N50" i="215"/>
  <c r="N60" i="215"/>
  <c r="N8" i="215"/>
  <c r="AB72" i="215"/>
  <c r="AA11" i="215"/>
  <c r="AA21" i="215"/>
  <c r="AA31" i="215"/>
  <c r="AA41" i="215"/>
  <c r="AA51" i="215"/>
  <c r="AA61" i="215"/>
  <c r="E8" i="218" l="1"/>
  <c r="K15" i="218"/>
  <c r="I8" i="218" s="1"/>
  <c r="I7" i="218"/>
  <c r="E7" i="218"/>
  <c r="F7" i="218"/>
  <c r="G8" i="218"/>
  <c r="G7" i="218"/>
  <c r="F8" i="218"/>
  <c r="Q60" i="217"/>
  <c r="R48" i="217" s="1"/>
  <c r="P60" i="217"/>
  <c r="H14" i="216"/>
  <c r="H15" i="216" s="1"/>
  <c r="Q13" i="217"/>
  <c r="R8" i="217" s="1"/>
  <c r="P13" i="217"/>
  <c r="E14" i="216"/>
  <c r="D2" i="217"/>
  <c r="Q69" i="217"/>
  <c r="R64" i="217" s="1"/>
  <c r="J14" i="216"/>
  <c r="J15" i="216" s="1"/>
  <c r="P69" i="217"/>
  <c r="Q19" i="217"/>
  <c r="R14" i="217" s="1"/>
  <c r="P19" i="217"/>
  <c r="F14" i="216"/>
  <c r="F15" i="216" s="1"/>
  <c r="M14" i="216"/>
  <c r="M15" i="216" s="1"/>
  <c r="Q77" i="217"/>
  <c r="R70" i="217" s="1"/>
  <c r="P77" i="217"/>
  <c r="Q38" i="217"/>
  <c r="R28" i="217" s="1"/>
  <c r="P38" i="217"/>
  <c r="K14" i="216"/>
  <c r="Q47" i="217"/>
  <c r="R39" i="217" s="1"/>
  <c r="P47" i="217"/>
  <c r="L14" i="216"/>
  <c r="L15" i="216" s="1"/>
  <c r="Q82" i="215"/>
  <c r="P82" i="215"/>
  <c r="P10" i="215"/>
  <c r="Q10" i="215"/>
  <c r="P68" i="215"/>
  <c r="Q68" i="215"/>
  <c r="Q17" i="215"/>
  <c r="P17" i="215"/>
  <c r="P20" i="215"/>
  <c r="Q20" i="215"/>
  <c r="Q85" i="215"/>
  <c r="P85" i="215"/>
  <c r="Q12" i="215"/>
  <c r="P12" i="215"/>
  <c r="AB88" i="215"/>
  <c r="AC81" i="215" s="1"/>
  <c r="AA88" i="215"/>
  <c r="N88" i="215"/>
  <c r="Q61" i="215"/>
  <c r="P61" i="215"/>
  <c r="P46" i="215"/>
  <c r="Q46" i="215"/>
  <c r="Q66" i="215"/>
  <c r="P66" i="215"/>
  <c r="P33" i="215"/>
  <c r="Q33" i="215"/>
  <c r="AB44" i="215"/>
  <c r="AC33" i="215" s="1"/>
  <c r="AA44" i="215"/>
  <c r="N44" i="215"/>
  <c r="Q8" i="215"/>
  <c r="P8" i="215"/>
  <c r="Q51" i="215"/>
  <c r="P51" i="215"/>
  <c r="P5" i="215"/>
  <c r="Q5" i="215"/>
  <c r="P45" i="215"/>
  <c r="Q45" i="215"/>
  <c r="Q52" i="215"/>
  <c r="P52" i="215"/>
  <c r="AB54" i="215"/>
  <c r="AC45" i="215" s="1"/>
  <c r="AA54" i="215"/>
  <c r="N54" i="215"/>
  <c r="F2" i="215"/>
  <c r="I3" i="214"/>
  <c r="Q84" i="215"/>
  <c r="P84" i="215"/>
  <c r="Q67" i="215"/>
  <c r="P67" i="215"/>
  <c r="Q48" i="215"/>
  <c r="P48" i="215"/>
  <c r="Q28" i="215"/>
  <c r="P28" i="215"/>
  <c r="Q18" i="215"/>
  <c r="P18" i="215"/>
  <c r="Q62" i="215"/>
  <c r="P62" i="215"/>
  <c r="AB22" i="215"/>
  <c r="AC15" i="215" s="1"/>
  <c r="AA22" i="215"/>
  <c r="N22" i="215"/>
  <c r="P60" i="215"/>
  <c r="Q60" i="215"/>
  <c r="Q69" i="215"/>
  <c r="P69" i="215"/>
  <c r="P24" i="215"/>
  <c r="Q24" i="215"/>
  <c r="Q35" i="215"/>
  <c r="P35" i="215"/>
  <c r="P50" i="215"/>
  <c r="Q50" i="215"/>
  <c r="Q41" i="215"/>
  <c r="P41" i="215"/>
  <c r="Q65" i="215"/>
  <c r="P65" i="215"/>
  <c r="AB14" i="215"/>
  <c r="AC8" i="215" s="1"/>
  <c r="AA14" i="215"/>
  <c r="N14" i="215"/>
  <c r="Q58" i="215"/>
  <c r="P58" i="215"/>
  <c r="Q11" i="215"/>
  <c r="P11" i="215"/>
  <c r="Q34" i="215"/>
  <c r="P34" i="215"/>
  <c r="Q70" i="215"/>
  <c r="P70" i="215"/>
  <c r="P64" i="215"/>
  <c r="Q64" i="215"/>
  <c r="N7" i="215"/>
  <c r="AA7" i="215"/>
  <c r="AB7" i="215"/>
  <c r="AC5" i="215" s="1"/>
  <c r="Q27" i="215"/>
  <c r="P27" i="215"/>
  <c r="P15" i="215"/>
  <c r="Q15" i="215"/>
  <c r="AB80" i="215"/>
  <c r="AC75" i="215" s="1"/>
  <c r="N80" i="215"/>
  <c r="AA80" i="215"/>
  <c r="P40" i="215"/>
  <c r="Q40" i="215"/>
  <c r="Q31" i="215"/>
  <c r="P31" i="215"/>
  <c r="P55" i="215"/>
  <c r="Q55" i="215"/>
  <c r="Q78" i="215"/>
  <c r="P78" i="215"/>
  <c r="AB32" i="215"/>
  <c r="AC23" i="215" s="1"/>
  <c r="AA32" i="215"/>
  <c r="N32" i="215"/>
  <c r="P56" i="215"/>
  <c r="Q56" i="215"/>
  <c r="P36" i="215"/>
  <c r="Q36" i="215"/>
  <c r="P16" i="215"/>
  <c r="Q16" i="215"/>
  <c r="P81" i="215"/>
  <c r="Q81" i="215"/>
  <c r="P23" i="215"/>
  <c r="Q23" i="215"/>
  <c r="P6" i="215"/>
  <c r="Q6" i="215"/>
  <c r="Q42" i="215"/>
  <c r="P42" i="215"/>
  <c r="P26" i="215"/>
  <c r="Q26" i="215"/>
  <c r="AB71" i="215"/>
  <c r="AC55" i="215" s="1"/>
  <c r="AA71" i="215"/>
  <c r="N71" i="215"/>
  <c r="P30" i="215"/>
  <c r="Q30" i="215"/>
  <c r="Q21" i="215"/>
  <c r="P21" i="215"/>
  <c r="P76" i="215"/>
  <c r="Q76" i="215"/>
  <c r="P86" i="215"/>
  <c r="Q86" i="215"/>
  <c r="Q38" i="215"/>
  <c r="P38" i="215"/>
  <c r="P75" i="215"/>
  <c r="Q75" i="215"/>
  <c r="Q25" i="215"/>
  <c r="P25" i="215"/>
  <c r="E15" i="216" l="1"/>
  <c r="G7" i="216"/>
  <c r="F7" i="216"/>
  <c r="E7" i="216"/>
  <c r="I7" i="216"/>
  <c r="K15" i="216"/>
  <c r="I8" i="216" s="1"/>
  <c r="Q80" i="215"/>
  <c r="R75" i="215" s="1"/>
  <c r="P80" i="215"/>
  <c r="J14" i="214"/>
  <c r="J15" i="214" s="1"/>
  <c r="Q54" i="215"/>
  <c r="R45" i="215" s="1"/>
  <c r="P54" i="215"/>
  <c r="L14" i="214"/>
  <c r="L15" i="214" s="1"/>
  <c r="Q88" i="215"/>
  <c r="R81" i="215" s="1"/>
  <c r="P88" i="215"/>
  <c r="M14" i="214"/>
  <c r="M15" i="214" s="1"/>
  <c r="Q32" i="215"/>
  <c r="R23" i="215" s="1"/>
  <c r="P32" i="215"/>
  <c r="G14" i="214"/>
  <c r="G15" i="214" s="1"/>
  <c r="Q44" i="215"/>
  <c r="R33" i="215" s="1"/>
  <c r="P44" i="215"/>
  <c r="K14" i="214"/>
  <c r="Q14" i="215"/>
  <c r="R8" i="215" s="1"/>
  <c r="P14" i="215"/>
  <c r="E14" i="214"/>
  <c r="E15" i="214" s="1"/>
  <c r="Q22" i="215"/>
  <c r="R15" i="215" s="1"/>
  <c r="P22" i="215"/>
  <c r="F14" i="214"/>
  <c r="F15" i="214" s="1"/>
  <c r="P7" i="215"/>
  <c r="D2" i="215"/>
  <c r="Q7" i="215"/>
  <c r="R5" i="215" s="1"/>
  <c r="D14" i="214"/>
  <c r="P71" i="215"/>
  <c r="H14" i="214"/>
  <c r="H15" i="214" s="1"/>
  <c r="Q71" i="215"/>
  <c r="R55" i="215" s="1"/>
  <c r="E8" i="216" l="1"/>
  <c r="F8" i="216"/>
  <c r="G8" i="216"/>
  <c r="K15" i="214"/>
  <c r="I8" i="214" s="1"/>
  <c r="I7" i="214"/>
  <c r="D15" i="214"/>
  <c r="F7" i="214"/>
  <c r="G7" i="214"/>
  <c r="E7" i="214"/>
  <c r="G8" i="214" l="1"/>
  <c r="F8" i="214"/>
  <c r="E8" i="214"/>
</calcChain>
</file>

<file path=xl/sharedStrings.xml><?xml version="1.0" encoding="utf-8"?>
<sst xmlns="http://schemas.openxmlformats.org/spreadsheetml/2006/main" count="10826" uniqueCount="1678">
  <si>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</si>
  <si>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</si>
  <si>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</si>
  <si>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</si>
  <si>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</si>
  <si>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沙拉線一線</t>
  </si>
  <si>
    <t>沙拉線二線</t>
  </si>
  <si>
    <t>沙拉線三線</t>
  </si>
  <si>
    <t>三明治一線</t>
  </si>
  <si>
    <t>自動包裝線</t>
  </si>
  <si>
    <t>涼麵一線</t>
  </si>
  <si>
    <t>三明治四線</t>
  </si>
  <si>
    <t>自動包裝二線</t>
  </si>
  <si>
    <t>微波主食</t>
  </si>
  <si>
    <t>極上炙烤親子丼</t>
  </si>
  <si>
    <t>沙拉</t>
  </si>
  <si>
    <t>青醬優格雞肉握沙拉(113年)</t>
  </si>
  <si>
    <t>青檸烤雞握沙拉(113年)</t>
  </si>
  <si>
    <t>小菜、微波</t>
  </si>
  <si>
    <t>剝皮辣椒雞湯</t>
  </si>
  <si>
    <t>蔥鹽雞肉麵沙拉(114年)</t>
  </si>
  <si>
    <t>小吃</t>
  </si>
  <si>
    <t>古早味炒炊粉</t>
  </si>
  <si>
    <t>鐵板滑蛋炸豬排丼</t>
  </si>
  <si>
    <t>三明治</t>
  </si>
  <si>
    <t>肉鬆火腿三明治</t>
  </si>
  <si>
    <t>經典總匯三明治</t>
  </si>
  <si>
    <t>輕乳酪巧克力三明治</t>
  </si>
  <si>
    <t>海鹽花生可可三明治</t>
  </si>
  <si>
    <t>鮪魚起司溏心蛋三明治</t>
  </si>
  <si>
    <t>醬燒烤雞三明治</t>
  </si>
  <si>
    <t>瘋狂起司三明治(113年)</t>
  </si>
  <si>
    <t>蛋蛋嘉年華三明治</t>
  </si>
  <si>
    <t>調理麵包</t>
  </si>
  <si>
    <t>豬肉起司蛋堡</t>
  </si>
  <si>
    <t>豬肉起司堡</t>
  </si>
  <si>
    <t>香雞蛋堡(112年)</t>
  </si>
  <si>
    <t>超HOT雞腿堡</t>
  </si>
  <si>
    <t>美式雞腿堡(113年)</t>
  </si>
  <si>
    <t>溏心蛋洋芋沙拉</t>
  </si>
  <si>
    <t>美式熱狗堡</t>
  </si>
  <si>
    <t>大麥雙蛋白豬肉堡</t>
  </si>
  <si>
    <t>黃金魚堡</t>
  </si>
  <si>
    <t>經典雙牛起司堡(113年)</t>
  </si>
  <si>
    <t>紐奧良風味烤雞鮮蔬三明治(113年)</t>
  </si>
  <si>
    <t>火腿起司蛋三明治</t>
  </si>
  <si>
    <t>雞蛋沙拉三明治</t>
  </si>
  <si>
    <t>排關平均</t>
  </si>
  <si>
    <t>實績平均</t>
  </si>
  <si>
    <t>達成率平均</t>
  </si>
  <si>
    <t>ET-55</t>
  </si>
  <si>
    <t>熱縮爐</t>
  </si>
  <si>
    <t>伺服包裝機</t>
  </si>
  <si>
    <t>➂</t>
    <phoneticPr fontId="4" type="noConversion"/>
  </si>
  <si>
    <t>厚蛋時蔬握沙拉</t>
  </si>
  <si>
    <t>好多菜三明治</t>
  </si>
  <si>
    <t>香鬆起司蛋三明治(114年)</t>
  </si>
  <si>
    <t/>
  </si>
  <si>
    <t>二配煸椒烘蛋飯</t>
  </si>
  <si>
    <t>二配金咖哩果香甘口咖哩飯</t>
  </si>
  <si>
    <t>二配川味麻婆燒豆腐燴飯</t>
  </si>
  <si>
    <t>二配泰式綠咖哩雞</t>
  </si>
  <si>
    <t>二配極旨黑咖哩漢堡排飯</t>
  </si>
  <si>
    <t>二配金咖哩濃厚辛辣咖哩飯</t>
  </si>
  <si>
    <t>二配香拌海鮮醬肉絲蛋炒飯</t>
  </si>
  <si>
    <t>二配香辣醬蒜味香腸蛋炒飯</t>
  </si>
  <si>
    <t>二配粗飽系雞排炒飯</t>
  </si>
  <si>
    <t>美式起司巨牛堡</t>
  </si>
  <si>
    <t>莓好鮮彩握沙拉</t>
  </si>
  <si>
    <t>藍莓優格三明治(114年)</t>
  </si>
  <si>
    <t>③三明治-各編組展開</t>
    <phoneticPr fontId="3" type="noConversion"/>
  </si>
  <si>
    <t>人時性差異分析</t>
    <phoneticPr fontId="4" type="noConversion"/>
  </si>
  <si>
    <t>紅燒纖牛若風味燴飯</t>
  </si>
  <si>
    <t>哞哞奶香白醬火腿蛋堡</t>
  </si>
  <si>
    <t>星期二</t>
  </si>
  <si>
    <t>莎莎烤雞麵沙拉</t>
  </si>
  <si>
    <t>人數</t>
    <phoneticPr fontId="4" type="noConversion"/>
  </si>
  <si>
    <t>三明治二線</t>
    <phoneticPr fontId="3" type="noConversion"/>
  </si>
  <si>
    <t>L型包裝機</t>
    <phoneticPr fontId="4" type="noConversion"/>
  </si>
  <si>
    <t>稼動時間/分</t>
    <phoneticPr fontId="4" type="noConversion"/>
  </si>
  <si>
    <t>達成率平均</t>
    <phoneticPr fontId="4" type="noConversion"/>
  </si>
  <si>
    <t>平均</t>
    <phoneticPr fontId="4" type="noConversion"/>
  </si>
  <si>
    <t>營業額</t>
    <phoneticPr fontId="7" type="noConversion"/>
  </si>
  <si>
    <t>三重火腿三明治</t>
  </si>
  <si>
    <t>起司芋見肉鬆三明治</t>
  </si>
  <si>
    <t>※現行日本鮮食廠以達成率80%為基本(即為現行KPI)</t>
    <phoneticPr fontId="4" type="noConversion"/>
  </si>
  <si>
    <t>沙拉一線</t>
    <phoneticPr fontId="3" type="noConversion"/>
  </si>
  <si>
    <t>排關</t>
    <phoneticPr fontId="3" type="noConversion"/>
  </si>
  <si>
    <t>實績</t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</si>
  <si>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</si>
  <si>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</si>
  <si>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</si>
  <si>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</si>
  <si>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組合室</t>
    <phoneticPr fontId="3" type="noConversion"/>
  </si>
  <si>
    <t>4度C-各編組展開</t>
    <phoneticPr fontId="3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</si>
  <si>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</si>
  <si>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</si>
  <si>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</si>
  <si>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</si>
  <si>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</si>
  <si>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</si>
  <si>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</si>
  <si>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達成率</t>
    <phoneticPr fontId="3" type="noConversion"/>
  </si>
  <si>
    <t>開始</t>
    <phoneticPr fontId="3" type="noConversion"/>
  </si>
  <si>
    <t>主要應用設備</t>
    <phoneticPr fontId="3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</si>
  <si>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</si>
  <si>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</si>
  <si>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</si>
  <si>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</si>
  <si>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</si>
  <si>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</si>
  <si>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</si>
  <si>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</si>
  <si>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</si>
  <si>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</si>
  <si>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</si>
  <si>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</si>
  <si>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</si>
  <si>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</si>
  <si>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</si>
  <si>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(新豐回填)</t>
    <phoneticPr fontId="4" type="noConversion"/>
  </si>
  <si>
    <t>達成率</t>
    <phoneticPr fontId="4" type="noConversion"/>
  </si>
  <si>
    <t>結束</t>
    <phoneticPr fontId="4" type="noConversion"/>
  </si>
  <si>
    <t>沙拉線一線</t>
    <phoneticPr fontId="4" type="noConversion"/>
  </si>
  <si>
    <t>沙拉線二線</t>
    <phoneticPr fontId="4" type="noConversion"/>
  </si>
  <si>
    <t>涼麵一線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</si>
  <si>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</si>
  <si>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</si>
  <si>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項目</t>
    <phoneticPr fontId="4" type="noConversion"/>
  </si>
  <si>
    <t>➁</t>
    <phoneticPr fontId="4" type="noConversion"/>
  </si>
  <si>
    <t>全溫層</t>
    <phoneticPr fontId="3" type="noConversion"/>
  </si>
  <si>
    <t>➁4度C-各編組展開</t>
    <phoneticPr fontId="3" type="noConversion"/>
  </si>
  <si>
    <t>沙拉二線</t>
    <phoneticPr fontId="3" type="noConversion"/>
  </si>
  <si>
    <t>三明治四線</t>
    <phoneticPr fontId="3" type="noConversion"/>
  </si>
  <si>
    <t>三明治一線</t>
    <phoneticPr fontId="3" type="noConversion"/>
  </si>
  <si>
    <t>自動包裝二線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</si>
  <si>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</si>
  <si>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</si>
  <si>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</si>
  <si>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</si>
  <si>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</si>
  <si>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</si>
  <si>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</si>
  <si>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</si>
  <si>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</si>
  <si>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</si>
  <si>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</si>
  <si>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品名</t>
    <phoneticPr fontId="3" type="noConversion"/>
  </si>
  <si>
    <t>營收</t>
    <phoneticPr fontId="7" type="noConversion"/>
  </si>
  <si>
    <t>產能/時</t>
    <phoneticPr fontId="4" type="noConversion"/>
  </si>
  <si>
    <t>休息時間</t>
    <phoneticPr fontId="4" type="noConversion"/>
  </si>
  <si>
    <t>開始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</si>
  <si>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</si>
  <si>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</si>
  <si>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</si>
  <si>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平均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</si>
  <si>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</si>
  <si>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</si>
  <si>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</si>
  <si>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</si>
  <si>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</si>
  <si>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平均</t>
    <phoneticPr fontId="4" type="noConversion"/>
  </si>
  <si>
    <t>自動包裝線</t>
    <phoneticPr fontId="4" type="noConversion"/>
  </si>
  <si>
    <t>三明治四線</t>
    <phoneticPr fontId="4" type="noConversion"/>
  </si>
  <si>
    <t>自動包裝二線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</si>
  <si>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</si>
  <si>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</si>
  <si>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</si>
  <si>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</si>
  <si>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</si>
  <si>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</si>
  <si>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</si>
  <si>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</si>
  <si>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</si>
  <si>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</si>
  <si>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</si>
  <si>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</si>
  <si>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</si>
  <si>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</si>
  <si>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</si>
  <si>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</si>
  <si>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</si>
  <si>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沙拉二線</t>
    <phoneticPr fontId="3" type="noConversion"/>
  </si>
  <si>
    <t>自動包裝線</t>
    <phoneticPr fontId="3" type="noConversion"/>
  </si>
  <si>
    <t>涼麵一線</t>
    <phoneticPr fontId="3" type="noConversion"/>
  </si>
  <si>
    <t>三明治二線</t>
    <phoneticPr fontId="3" type="noConversion"/>
  </si>
  <si>
    <t>自動包裝二線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</si>
  <si>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</si>
  <si>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</si>
  <si>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</si>
  <si>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</si>
  <si>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</si>
  <si>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</si>
  <si>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</si>
  <si>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</si>
  <si>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</si>
  <si>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</si>
  <si>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</si>
  <si>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</si>
  <si>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</si>
  <si>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</si>
  <si>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</si>
  <si>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</si>
  <si>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</si>
  <si>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</si>
  <si>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</si>
  <si>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</si>
  <si>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</si>
  <si>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</si>
  <si>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</si>
  <si>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</si>
  <si>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</si>
  <si>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</si>
  <si>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</si>
  <si>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星期三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</si>
  <si>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</si>
  <si>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</si>
  <si>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</si>
  <si>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</si>
  <si>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</si>
  <si>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</si>
  <si>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</si>
  <si>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</si>
  <si>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</si>
  <si>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</si>
  <si>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</si>
  <si>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</si>
  <si>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</si>
  <si>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</si>
  <si>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</si>
  <si>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</si>
  <si>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</si>
  <si>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</si>
  <si>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</si>
  <si>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</si>
  <si>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</si>
  <si>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</si>
  <si>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</si>
  <si>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</si>
  <si>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平均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</si>
  <si>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</si>
  <si>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</si>
  <si>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</si>
  <si>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</si>
  <si>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</si>
  <si>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</si>
  <si>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</si>
  <si>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</si>
  <si>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訂單量</t>
    <phoneticPr fontId="3" type="noConversion"/>
  </si>
  <si>
    <t>組合室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</si>
  <si>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</si>
  <si>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</si>
  <si>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</si>
  <si>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自動包裝線</t>
    <phoneticPr fontId="3" type="noConversion"/>
  </si>
  <si>
    <t>三明治一線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</si>
  <si>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</si>
  <si>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</si>
  <si>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</si>
  <si>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L型包裝機</t>
    <phoneticPr fontId="4" type="noConversion"/>
  </si>
  <si>
    <t>次要應用設備</t>
    <phoneticPr fontId="3" type="noConversion"/>
  </si>
  <si>
    <t>共用L型包裝機</t>
    <phoneticPr fontId="4" type="noConversion"/>
  </si>
  <si>
    <t>星期四</t>
  </si>
  <si>
    <t>線別</t>
    <phoneticPr fontId="3" type="noConversion"/>
  </si>
  <si>
    <t>多次
生產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</si>
  <si>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</si>
  <si>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</si>
  <si>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</si>
  <si>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</si>
  <si>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</si>
  <si>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</si>
  <si>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</si>
  <si>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全溫層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</si>
  <si>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</si>
  <si>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</si>
  <si>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</si>
  <si>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</si>
  <si>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</si>
  <si>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</si>
  <si>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</si>
  <si>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</si>
  <si>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三明治四線</t>
    <phoneticPr fontId="3" type="noConversion"/>
  </si>
  <si>
    <t>自動包裝二線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</si>
  <si>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</si>
  <si>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</si>
  <si>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</si>
  <si>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</si>
  <si>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</si>
  <si>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</si>
  <si>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</si>
  <si>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</si>
  <si>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</si>
  <si>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</si>
  <si>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</si>
  <si>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</si>
  <si>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</si>
  <si>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</si>
  <si>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</si>
  <si>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</si>
  <si>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</si>
  <si>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</si>
  <si>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</si>
  <si>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</si>
  <si>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</si>
  <si>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星期五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</si>
  <si>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</si>
  <si>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</si>
  <si>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</si>
  <si>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</si>
  <si>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</si>
  <si>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</si>
  <si>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</si>
  <si>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</si>
  <si>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</si>
  <si>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</si>
  <si>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</si>
  <si>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</si>
  <si>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</si>
  <si>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</si>
  <si>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</si>
  <si>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</si>
  <si>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</si>
  <si>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</si>
  <si>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</si>
  <si>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</si>
  <si>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</si>
  <si>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</si>
  <si>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三明治一線</t>
    <phoneticPr fontId="4" type="noConversion"/>
  </si>
  <si>
    <t>三明治二線</t>
    <phoneticPr fontId="4" type="noConversion"/>
  </si>
  <si>
    <t>三明治四線</t>
    <phoneticPr fontId="4" type="noConversion"/>
  </si>
  <si>
    <t>訂單量</t>
    <phoneticPr fontId="3" type="noConversion"/>
  </si>
  <si>
    <t>項目</t>
    <phoneticPr fontId="4" type="noConversion"/>
  </si>
  <si>
    <t>➀</t>
    <phoneticPr fontId="4" type="noConversion"/>
  </si>
  <si>
    <t>溫層</t>
    <phoneticPr fontId="3" type="noConversion"/>
  </si>
  <si>
    <t>③三明治-各編組展開</t>
    <phoneticPr fontId="4" type="noConversion"/>
  </si>
  <si>
    <t>燴飯線</t>
    <phoneticPr fontId="3" type="noConversion"/>
  </si>
  <si>
    <t>沙拉一線</t>
    <phoneticPr fontId="3" type="noConversion"/>
  </si>
  <si>
    <t>三明治四線</t>
    <phoneticPr fontId="3" type="noConversion"/>
  </si>
  <si>
    <t>自動包裝二線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</si>
  <si>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</si>
  <si>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</si>
  <si>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</si>
  <si>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</si>
  <si>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</si>
  <si>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</si>
  <si>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</si>
  <si>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</si>
  <si>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</si>
  <si>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</si>
  <si>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</si>
  <si>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</si>
  <si>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</si>
  <si>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</si>
  <si>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</si>
  <si>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</si>
  <si>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</si>
  <si>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星期六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</si>
  <si>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</si>
  <si>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</si>
  <si>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</si>
  <si>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</si>
  <si>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</si>
  <si>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</si>
  <si>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</si>
  <si>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</si>
  <si>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</si>
  <si>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</si>
  <si>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</si>
  <si>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</si>
  <si>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</si>
  <si>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</si>
  <si>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</si>
  <si>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</si>
  <si>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</si>
  <si>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</si>
  <si>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</si>
  <si>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</si>
  <si>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</si>
  <si>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</si>
  <si>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</si>
  <si>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</si>
  <si>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</si>
  <si>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</si>
  <si>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</si>
  <si>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</si>
  <si>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</si>
  <si>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</si>
  <si>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</si>
  <si>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</si>
  <si>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4度C-各編組展開</t>
    <phoneticPr fontId="3" type="noConversion"/>
  </si>
  <si>
    <t>③三明治-各編組展開</t>
    <phoneticPr fontId="3" type="noConversion"/>
  </si>
  <si>
    <t>➁4度C-各編組展開</t>
    <phoneticPr fontId="3" type="noConversion"/>
  </si>
  <si>
    <t>燴飯線</t>
    <phoneticPr fontId="3" type="noConversion"/>
  </si>
  <si>
    <t>沙拉二線</t>
    <phoneticPr fontId="3" type="noConversion"/>
  </si>
  <si>
    <t>自動包裝線</t>
    <phoneticPr fontId="3" type="noConversion"/>
  </si>
  <si>
    <t>三明治二線</t>
    <phoneticPr fontId="3" type="noConversion"/>
  </si>
  <si>
    <t>達成率</t>
    <phoneticPr fontId="3" type="noConversion"/>
  </si>
  <si>
    <t>開始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</si>
  <si>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</si>
  <si>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</si>
  <si>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</si>
  <si>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</si>
  <si>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握沙拉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</si>
  <si>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</si>
  <si>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</si>
  <si>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</si>
  <si>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</si>
  <si>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</si>
  <si>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</si>
  <si>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</si>
  <si>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</si>
  <si>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</si>
  <si>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</si>
  <si>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</si>
  <si>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</si>
  <si>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</si>
  <si>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</si>
  <si>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</si>
  <si>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</si>
  <si>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</si>
  <si>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</si>
  <si>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</si>
  <si>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</si>
  <si>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</si>
  <si>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</si>
  <si>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</si>
  <si>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</si>
  <si>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</si>
  <si>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</si>
  <si>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</si>
  <si>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</si>
  <si>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</si>
  <si>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</si>
  <si>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</si>
  <si>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</si>
  <si>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</si>
  <si>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</si>
  <si>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</si>
  <si>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</si>
  <si>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平均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</si>
  <si>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</si>
  <si>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</si>
  <si>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</si>
  <si>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</si>
  <si>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</si>
  <si>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</si>
  <si>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溏心蛋洋芋沙拉</t>
    <phoneticPr fontId="3" type="noConversion"/>
  </si>
  <si>
    <t>自動包裝二線</t>
    <phoneticPr fontId="4" type="noConversion"/>
  </si>
  <si>
    <t>星期一</t>
  </si>
  <si>
    <t>二配港式香滑嫩蛋牛肉燴飯</t>
  </si>
  <si>
    <t>營業額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</si>
  <si>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</si>
  <si>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</si>
  <si>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</si>
  <si>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沙拉二線</t>
    <phoneticPr fontId="3" type="noConversion"/>
  </si>
  <si>
    <t>自動包裝線</t>
    <phoneticPr fontId="3" type="noConversion"/>
  </si>
  <si>
    <t>涼麵一線</t>
    <phoneticPr fontId="3" type="noConversion"/>
  </si>
  <si>
    <t>三明治一線</t>
    <phoneticPr fontId="3" type="noConversion"/>
  </si>
  <si>
    <t>三明治二線</t>
    <phoneticPr fontId="3" type="noConversion"/>
  </si>
  <si>
    <t>人時性</t>
    <phoneticPr fontId="4" type="noConversion"/>
  </si>
  <si>
    <t>排關</t>
    <phoneticPr fontId="3" type="noConversion"/>
  </si>
  <si>
    <t>結束</t>
    <phoneticPr fontId="3" type="noConversion"/>
  </si>
  <si>
    <t>配置人數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</si>
  <si>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</si>
  <si>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</si>
  <si>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</si>
  <si>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</si>
  <si>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</si>
  <si>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</si>
  <si>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</si>
  <si>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</si>
  <si>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</si>
  <si>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</si>
  <si>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</si>
  <si>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</si>
  <si>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</si>
  <si>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</si>
  <si>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</si>
  <si>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</si>
  <si>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</si>
  <si>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</si>
  <si>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</si>
  <si>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</si>
  <si>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</si>
  <si>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</si>
  <si>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</si>
  <si>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</si>
  <si>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</si>
  <si>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</si>
  <si>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</si>
  <si>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</si>
  <si>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</si>
  <si>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</si>
  <si>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</si>
  <si>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</si>
  <si>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</si>
  <si>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</si>
  <si>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</si>
  <si>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</si>
  <si>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</si>
  <si>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</si>
  <si>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</si>
  <si>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</si>
  <si>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</si>
  <si>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</si>
  <si>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調理麵包</t>
    <phoneticPr fontId="4" type="noConversion"/>
  </si>
  <si>
    <t>三明治包裝機</t>
    <phoneticPr fontId="4" type="noConversion"/>
  </si>
  <si>
    <t>排關</t>
    <phoneticPr fontId="3" type="noConversion"/>
  </si>
  <si>
    <t>三明治四線</t>
    <phoneticPr fontId="3" type="noConversion"/>
  </si>
  <si>
    <t>全溫層</t>
    <phoneticPr fontId="3" type="noConversion"/>
  </si>
  <si>
    <t>日期</t>
    <phoneticPr fontId="3" type="noConversion"/>
  </si>
  <si>
    <t>水果派對三明治</t>
  </si>
  <si>
    <t>美式雞腿堡</t>
  </si>
  <si>
    <t>涼麵一線</t>
    <phoneticPr fontId="4" type="noConversion"/>
  </si>
  <si>
    <t>紐奧良風味烤雞鮮蔬三明治</t>
  </si>
  <si>
    <t>三明治二線</t>
    <phoneticPr fontId="4" type="noConversion"/>
  </si>
  <si>
    <t>三明治一線</t>
    <phoneticPr fontId="4" type="noConversion"/>
  </si>
  <si>
    <t>沙拉線三線</t>
    <phoneticPr fontId="4" type="noConversion"/>
  </si>
  <si>
    <t>地瓜瓜握沙拉</t>
  </si>
  <si>
    <t>燴飯線</t>
    <phoneticPr fontId="4" type="noConversion"/>
  </si>
  <si>
    <t>達成率</t>
    <phoneticPr fontId="4" type="noConversion"/>
  </si>
  <si>
    <t>人數</t>
    <phoneticPr fontId="4" type="noConversion"/>
  </si>
  <si>
    <t>品名</t>
    <phoneticPr fontId="3" type="noConversion"/>
  </si>
  <si>
    <t>人時性</t>
    <phoneticPr fontId="4" type="noConversion"/>
  </si>
  <si>
    <t>日報登錄</t>
    <phoneticPr fontId="4" type="noConversion"/>
  </si>
  <si>
    <t>出勤人數</t>
    <phoneticPr fontId="4" type="noConversion"/>
  </si>
  <si>
    <t>日期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</si>
  <si>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</si>
  <si>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</si>
  <si>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</si>
  <si>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③三明治-各編組展開</t>
    <phoneticPr fontId="4" type="noConversion"/>
  </si>
  <si>
    <t>自動包裝線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</si>
  <si>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</si>
  <si>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</si>
  <si>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</si>
  <si>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</si>
  <si>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</si>
  <si>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</si>
  <si>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</si>
  <si>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</si>
  <si>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</si>
  <si>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</si>
  <si>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</si>
  <si>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</si>
  <si>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</si>
  <si>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</si>
  <si>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</si>
  <si>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調理麵包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</si>
  <si>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</si>
  <si>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</si>
  <si>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</si>
  <si>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</si>
  <si>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</si>
  <si>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組合室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</si>
  <si>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</si>
  <si>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</si>
  <si>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</si>
  <si>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</si>
  <si>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燴飯線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</si>
  <si>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</si>
  <si>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</si>
  <si>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</si>
  <si>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</si>
  <si>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</si>
  <si>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</si>
  <si>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</si>
  <si>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</si>
  <si>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</si>
  <si>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</si>
  <si>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</si>
  <si>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</si>
  <si>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</si>
  <si>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</si>
  <si>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</si>
  <si>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</si>
  <si>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</si>
  <si>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</si>
  <si>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</si>
  <si>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</si>
  <si>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</si>
  <si>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</si>
  <si>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</si>
  <si>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</si>
  <si>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</si>
  <si>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</si>
  <si>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</si>
  <si>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</si>
  <si>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</si>
  <si>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</si>
  <si>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</si>
  <si>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</si>
  <si>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</si>
  <si>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</si>
  <si>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</si>
  <si>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</si>
  <si>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</si>
  <si>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</si>
  <si>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</si>
  <si>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</si>
  <si>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</si>
  <si>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</si>
  <si>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</si>
  <si>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</si>
  <si>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</si>
  <si>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</si>
  <si>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</si>
  <si>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</si>
  <si>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</si>
  <si>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</si>
  <si>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三明治二線</t>
    <phoneticPr fontId="4" type="noConversion"/>
  </si>
  <si>
    <t>三明治二線</t>
    <phoneticPr fontId="4" type="noConversion"/>
  </si>
  <si>
    <t>日期</t>
    <phoneticPr fontId="3" type="noConversion"/>
  </si>
  <si>
    <t>訂單量</t>
    <phoneticPr fontId="3" type="noConversion"/>
  </si>
  <si>
    <t>項目</t>
    <phoneticPr fontId="4" type="noConversion"/>
  </si>
  <si>
    <t>③三明治-各編組展開</t>
    <phoneticPr fontId="3" type="noConversion"/>
  </si>
  <si>
    <t>沙拉一線</t>
    <phoneticPr fontId="3" type="noConversion"/>
  </si>
  <si>
    <t>涼麵一線</t>
    <phoneticPr fontId="3" type="noConversion"/>
  </si>
  <si>
    <t>三明治四線</t>
    <phoneticPr fontId="3" type="noConversion"/>
  </si>
  <si>
    <t>三明治二線</t>
    <phoneticPr fontId="3" type="noConversion"/>
  </si>
  <si>
    <t>實績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</si>
  <si>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</si>
  <si>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</si>
  <si>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</si>
  <si>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</si>
  <si>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</si>
  <si>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</si>
  <si>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>炒飯+沙拉</t>
    <phoneticPr fontId="4" type="noConversion"/>
  </si>
  <si>
    <t>日期</t>
    <phoneticPr fontId="3" type="noConversion"/>
  </si>
  <si>
    <t>營業額</t>
    <phoneticPr fontId="3" type="noConversion"/>
  </si>
  <si>
    <t>➁</t>
    <phoneticPr fontId="4" type="noConversion"/>
  </si>
  <si>
    <t>➂</t>
    <phoneticPr fontId="4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</si>
  <si>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</si>
  <si>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</si>
  <si>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</si>
  <si>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沙拉三線</t>
    <phoneticPr fontId="3" type="noConversion"/>
  </si>
  <si>
    <t>三明治四線</t>
    <phoneticPr fontId="3" type="noConversion"/>
  </si>
  <si>
    <t>排關</t>
    <phoneticPr fontId="3" type="noConversion"/>
  </si>
  <si>
    <t>達成率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</si>
  <si>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</si>
  <si>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</si>
  <si>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</si>
  <si>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</si>
  <si>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</si>
  <si>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調理麵包</t>
    <phoneticPr fontId="4" type="noConversion"/>
  </si>
  <si>
    <t>炒飯+沙拉</t>
    <phoneticPr fontId="4" type="noConversion"/>
  </si>
  <si>
    <t>三明治一線</t>
    <phoneticPr fontId="4" type="noConversion"/>
  </si>
  <si>
    <t>平均</t>
    <phoneticPr fontId="4" type="noConversion"/>
  </si>
  <si>
    <t>三明治二線</t>
    <phoneticPr fontId="4" type="noConversion"/>
  </si>
  <si>
    <t>三明治二線</t>
    <phoneticPr fontId="4" type="noConversion"/>
  </si>
  <si>
    <t>涼麵一線</t>
    <phoneticPr fontId="4" type="noConversion"/>
  </si>
  <si>
    <t>自動包裝二線</t>
    <phoneticPr fontId="4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</si>
  <si>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</si>
  <si>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</si>
  <si>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</si>
  <si>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</si>
  <si>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</si>
  <si>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</si>
  <si>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</si>
  <si>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</si>
  <si>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</si>
  <si>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</si>
  <si>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</si>
  <si>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</si>
  <si>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開始</t>
    <phoneticPr fontId="3" type="noConversion"/>
  </si>
  <si>
    <t>三明治包裝機</t>
    <phoneticPr fontId="4" type="noConversion"/>
  </si>
  <si>
    <t>次要應用設備</t>
    <phoneticPr fontId="3" type="noConversion"/>
  </si>
  <si>
    <t>共用L型包裝機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</si>
  <si>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</si>
  <si>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</si>
  <si>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</si>
  <si>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</si>
  <si>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</si>
  <si>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</si>
  <si>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</si>
  <si>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</si>
  <si>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</si>
  <si>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</si>
  <si>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</si>
  <si>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</si>
  <si>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</si>
  <si>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</si>
  <si>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</si>
  <si>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</si>
  <si>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</si>
  <si>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</si>
  <si>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</si>
  <si>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</si>
  <si>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</si>
  <si>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</si>
  <si>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</si>
  <si>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</si>
  <si>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</si>
  <si>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</si>
  <si>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</si>
  <si>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</si>
  <si>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</si>
  <si>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平均</t>
    <phoneticPr fontId="4" type="noConversion"/>
  </si>
  <si>
    <t>沙拉線三線</t>
    <phoneticPr fontId="4" type="noConversion"/>
  </si>
  <si>
    <t>三明治二線</t>
    <phoneticPr fontId="4" type="noConversion"/>
  </si>
  <si>
    <t>涼麵一線</t>
    <phoneticPr fontId="4" type="noConversion"/>
  </si>
  <si>
    <t>三明治四線</t>
    <phoneticPr fontId="4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</si>
  <si>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</si>
  <si>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</si>
  <si>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</si>
  <si>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全溫層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</si>
  <si>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</si>
  <si>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</si>
  <si>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</si>
  <si>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燴飯線</t>
    <phoneticPr fontId="3" type="noConversion"/>
  </si>
  <si>
    <t>涼麵一線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</si>
  <si>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</si>
  <si>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</si>
  <si>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</si>
  <si>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</si>
  <si>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</si>
  <si>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</si>
  <si>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</si>
  <si>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</si>
  <si>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備註</t>
    <phoneticPr fontId="3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</si>
  <si>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</si>
  <si>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</si>
  <si>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</si>
  <si>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人時性</t>
    <phoneticPr fontId="4" type="noConversion"/>
  </si>
  <si>
    <t>廠價</t>
    <phoneticPr fontId="7" type="noConversion"/>
  </si>
  <si>
    <t>生產量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</si>
  <si>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</si>
  <si>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</si>
  <si>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</si>
  <si>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</si>
  <si>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</si>
  <si>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</si>
  <si>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</si>
  <si>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</si>
  <si>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</si>
  <si>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</si>
  <si>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</si>
  <si>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</si>
  <si>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平均</t>
    <phoneticPr fontId="4" type="noConversion"/>
  </si>
  <si>
    <t>沙拉線二線</t>
    <phoneticPr fontId="4" type="noConversion"/>
  </si>
  <si>
    <t>沙拉線三線</t>
    <phoneticPr fontId="4" type="noConversion"/>
  </si>
  <si>
    <t>平均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</si>
  <si>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</si>
  <si>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</si>
  <si>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</si>
  <si>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涼麵一線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</si>
  <si>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</si>
  <si>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</si>
  <si>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</si>
  <si>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全溫層</t>
    <phoneticPr fontId="3" type="noConversion"/>
  </si>
  <si>
    <t>溫層</t>
    <phoneticPr fontId="3" type="noConversion"/>
  </si>
  <si>
    <t>燴飯線</t>
    <phoneticPr fontId="3" type="noConversion"/>
  </si>
  <si>
    <t>沙拉二線</t>
    <phoneticPr fontId="3" type="noConversion"/>
  </si>
  <si>
    <t>三明治四線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</si>
  <si>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</si>
  <si>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</si>
  <si>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</si>
  <si>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</si>
  <si>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</si>
  <si>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</si>
  <si>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</si>
  <si>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握沙拉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</si>
  <si>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</si>
  <si>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</si>
  <si>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</si>
  <si>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</si>
  <si>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</si>
  <si>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</si>
  <si>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</si>
  <si>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</si>
  <si>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</si>
  <si>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</si>
  <si>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</si>
  <si>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</si>
  <si>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</si>
  <si>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</si>
  <si>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</si>
  <si>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</si>
  <si>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</si>
  <si>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</si>
  <si>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</si>
  <si>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</si>
  <si>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</si>
  <si>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</si>
  <si>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沙拉線二線</t>
    <phoneticPr fontId="4" type="noConversion"/>
  </si>
  <si>
    <t>沙拉線三線</t>
    <phoneticPr fontId="4" type="noConversion"/>
  </si>
  <si>
    <t>海老鰻魚丼滋丼</t>
  </si>
  <si>
    <t>三明治一線</t>
    <phoneticPr fontId="4" type="noConversion"/>
  </si>
  <si>
    <t>平均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</si>
  <si>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</si>
  <si>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</si>
  <si>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</si>
  <si>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自動包裝二線</t>
    <phoneticPr fontId="4" type="noConversion"/>
  </si>
  <si>
    <t>➀</t>
    <phoneticPr fontId="4" type="noConversion"/>
  </si>
  <si>
    <t>➂</t>
    <phoneticPr fontId="4" type="noConversion"/>
  </si>
  <si>
    <t>組合室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</si>
  <si>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</si>
  <si>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</si>
  <si>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燴飯線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</si>
  <si>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</si>
  <si>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</si>
  <si>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</si>
  <si>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</si>
  <si>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三明治一線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</si>
  <si>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</si>
  <si>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</si>
  <si>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</si>
  <si>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</si>
  <si>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</si>
  <si>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</si>
  <si>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</si>
  <si>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</si>
  <si>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</si>
  <si>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</si>
  <si>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</si>
  <si>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</si>
  <si>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</si>
  <si>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</si>
  <si>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</si>
  <si>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</si>
  <si>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</si>
  <si>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線別</t>
    <phoneticPr fontId="3" type="noConversion"/>
  </si>
  <si>
    <t>廠價</t>
    <phoneticPr fontId="7" type="noConversion"/>
  </si>
  <si>
    <t>生產量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</si>
  <si>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</si>
  <si>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</si>
  <si>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</si>
  <si>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</si>
  <si>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</si>
  <si>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</si>
  <si>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</si>
  <si>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</si>
  <si>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</si>
  <si>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</si>
  <si>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</si>
  <si>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</si>
  <si>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</si>
  <si>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</si>
  <si>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</si>
  <si>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</si>
  <si>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</si>
  <si>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</si>
  <si>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</si>
  <si>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</si>
  <si>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</si>
  <si>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</si>
  <si>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</si>
  <si>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</si>
  <si>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</si>
  <si>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</si>
  <si>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</si>
  <si>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</si>
  <si>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</si>
  <si>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</si>
  <si>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</si>
  <si>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沙拉一線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</si>
  <si>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</si>
  <si>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</si>
  <si>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</si>
  <si>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</si>
  <si>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</si>
  <si>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</si>
  <si>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</si>
  <si>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</si>
  <si>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</si>
  <si>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</si>
  <si>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</si>
  <si>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</si>
  <si>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</si>
  <si>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</si>
  <si>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</si>
  <si>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</si>
  <si>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</si>
  <si>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</si>
  <si>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</si>
  <si>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</si>
  <si>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</si>
  <si>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</si>
  <si>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</si>
  <si>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</si>
  <si>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</si>
  <si>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</si>
  <si>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</si>
  <si>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</si>
  <si>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</si>
  <si>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</si>
  <si>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</si>
  <si>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</si>
  <si>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</si>
  <si>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</si>
  <si>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</si>
  <si>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</si>
  <si>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</si>
  <si>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</si>
  <si>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</si>
  <si>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</si>
  <si>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</si>
  <si>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</si>
  <si>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</si>
  <si>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人時性</t>
    <phoneticPr fontId="4" type="noConversion"/>
  </si>
  <si>
    <t>稼動時間/分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</si>
  <si>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</si>
  <si>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</si>
  <si>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</si>
  <si>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</si>
  <si>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</si>
  <si>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</si>
  <si>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</si>
  <si>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</si>
  <si>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</si>
  <si>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平均</t>
    <phoneticPr fontId="4" type="noConversion"/>
  </si>
  <si>
    <t>沙拉線二線</t>
    <phoneticPr fontId="4" type="noConversion"/>
  </si>
  <si>
    <t>平均</t>
    <phoneticPr fontId="4" type="noConversion"/>
  </si>
  <si>
    <t>平均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</si>
  <si>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</si>
  <si>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</si>
  <si>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</si>
  <si>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</si>
  <si>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</si>
  <si>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</si>
  <si>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</si>
  <si>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平均</t>
    <phoneticPr fontId="4" type="noConversion"/>
  </si>
  <si>
    <t>三明治四線</t>
    <phoneticPr fontId="4" type="noConversion"/>
  </si>
  <si>
    <t>自動包裝二線</t>
    <phoneticPr fontId="4" type="noConversion"/>
  </si>
  <si>
    <t>訂單量</t>
    <phoneticPr fontId="3" type="noConversion"/>
  </si>
  <si>
    <t>人時性</t>
    <phoneticPr fontId="3" type="noConversion"/>
  </si>
  <si>
    <t>➁</t>
    <phoneticPr fontId="4" type="noConversion"/>
  </si>
  <si>
    <t>➂</t>
    <phoneticPr fontId="4" type="noConversion"/>
  </si>
  <si>
    <t>4度C-各編組展開</t>
    <phoneticPr fontId="3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</si>
  <si>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</si>
  <si>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</si>
  <si>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</si>
  <si>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</si>
  <si>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</si>
  <si>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</si>
  <si>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</si>
  <si>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</si>
  <si>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</si>
  <si>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</si>
  <si>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</si>
  <si>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</si>
  <si>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</si>
  <si>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</si>
  <si>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</si>
  <si>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</si>
  <si>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</si>
  <si>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</si>
  <si>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</si>
  <si>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</si>
  <si>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</si>
  <si>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</si>
  <si>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</si>
  <si>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</si>
  <si>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</si>
  <si>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</si>
  <si>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</si>
  <si>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</si>
  <si>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</si>
  <si>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</si>
  <si>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</si>
  <si>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</si>
  <si>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</si>
  <si>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</si>
  <si>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</si>
  <si>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</si>
  <si>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</si>
  <si>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</si>
  <si>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</si>
  <si>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</si>
  <si>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</si>
  <si>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</si>
  <si>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</si>
  <si>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</si>
  <si>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</si>
  <si>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</si>
  <si>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</si>
  <si>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</si>
  <si>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</si>
  <si>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</si>
  <si>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</si>
  <si>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</si>
  <si>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</si>
  <si>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</si>
  <si>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</si>
  <si>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</si>
  <si>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</si>
  <si>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</si>
  <si>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</si>
  <si>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</si>
  <si>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</si>
  <si>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</si>
  <si>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</si>
  <si>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</si>
  <si>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</si>
  <si>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</si>
  <si>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</si>
  <si>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</si>
  <si>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</si>
  <si>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</si>
  <si>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燴飯線</t>
    <phoneticPr fontId="3" type="noConversion"/>
  </si>
  <si>
    <t>沙拉二線</t>
    <phoneticPr fontId="3" type="noConversion"/>
  </si>
  <si>
    <t>沙拉三線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</si>
  <si>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</si>
  <si>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</si>
  <si>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</si>
  <si>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自動包裝二線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</si>
  <si>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</si>
  <si>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</si>
  <si>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</si>
  <si>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</si>
  <si>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</si>
  <si>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</si>
  <si>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</si>
  <si>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</si>
  <si>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</si>
  <si>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</si>
  <si>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</si>
  <si>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</si>
  <si>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</si>
  <si>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</si>
  <si>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</si>
  <si>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</si>
  <si>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</si>
  <si>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</si>
  <si>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</si>
  <si>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</si>
  <si>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</si>
  <si>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</si>
  <si>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</si>
  <si>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</si>
  <si>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</si>
  <si>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</si>
  <si>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</si>
  <si>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</si>
  <si>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</si>
  <si>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</si>
  <si>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</si>
  <si>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</si>
  <si>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</si>
  <si>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</si>
  <si>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</si>
  <si>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</si>
  <si>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</si>
  <si>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</si>
  <si>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</si>
  <si>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</si>
  <si>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</si>
  <si>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</si>
  <si>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</si>
  <si>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</si>
  <si>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</si>
  <si>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</si>
  <si>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</si>
  <si>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</si>
  <si>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</si>
  <si>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</si>
  <si>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平均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</si>
  <si>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</si>
  <si>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</si>
  <si>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</si>
  <si>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</si>
  <si>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</si>
  <si>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</si>
  <si>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</si>
  <si>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</si>
  <si>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</si>
  <si>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</si>
  <si>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</si>
  <si>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</si>
  <si>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➂</t>
    <phoneticPr fontId="4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</si>
  <si>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</si>
  <si>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</si>
  <si>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沙拉一線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</si>
  <si>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</si>
  <si>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</si>
  <si>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</si>
  <si>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</si>
  <si>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</si>
  <si>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</si>
  <si>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</si>
  <si>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</si>
  <si>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三明治包裝機</t>
    <phoneticPr fontId="4" type="noConversion"/>
  </si>
  <si>
    <t>三明治包裝機</t>
    <phoneticPr fontId="4" type="noConversion"/>
  </si>
  <si>
    <t>握沙拉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</si>
  <si>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</si>
  <si>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</si>
  <si>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</si>
  <si>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</si>
  <si>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</si>
  <si>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</si>
  <si>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</si>
  <si>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</si>
  <si>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</si>
  <si>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</si>
  <si>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</si>
  <si>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</si>
  <si>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</si>
  <si>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</si>
  <si>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</si>
  <si>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</si>
  <si>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</si>
  <si>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</si>
  <si>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</si>
  <si>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</si>
  <si>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</si>
  <si>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</si>
  <si>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</si>
  <si>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</si>
  <si>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</si>
  <si>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</si>
  <si>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</si>
  <si>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</si>
  <si>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</si>
  <si>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</si>
  <si>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</si>
  <si>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沙拉線一線</t>
    <phoneticPr fontId="4" type="noConversion"/>
  </si>
  <si>
    <t>平均</t>
    <phoneticPr fontId="4" type="noConversion"/>
  </si>
  <si>
    <t>沙拉線二線</t>
    <phoneticPr fontId="4" type="noConversion"/>
  </si>
  <si>
    <t>沙拉線三線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</si>
  <si>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</si>
  <si>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</si>
  <si>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</si>
  <si>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</si>
  <si>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</si>
  <si>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平均</t>
    <phoneticPr fontId="4" type="noConversion"/>
  </si>
  <si>
    <t>涼麵一線</t>
    <phoneticPr fontId="4" type="noConversion"/>
  </si>
  <si>
    <t>三明治四線</t>
    <phoneticPr fontId="4" type="noConversion"/>
  </si>
  <si>
    <t>平均</t>
    <phoneticPr fontId="4" type="noConversion"/>
  </si>
  <si>
    <t>自動包裝二線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</si>
  <si>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</si>
  <si>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</si>
  <si>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</si>
  <si>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</si>
  <si>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</si>
  <si>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</si>
  <si>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</si>
  <si>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</si>
  <si>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</si>
  <si>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</si>
  <si>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</si>
  <si>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</si>
  <si>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</si>
  <si>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</si>
  <si>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</si>
  <si>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</si>
  <si>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</si>
  <si>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</si>
  <si>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沙拉一線</t>
    <phoneticPr fontId="3" type="noConversion"/>
  </si>
  <si>
    <t>涼麵一線</t>
    <phoneticPr fontId="3" type="noConversion"/>
  </si>
  <si>
    <t>三明治四線</t>
    <phoneticPr fontId="3" type="noConversion"/>
  </si>
  <si>
    <t>人時性</t>
    <phoneticPr fontId="4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</si>
  <si>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</si>
  <si>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</si>
  <si>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</si>
  <si>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調理麵包</t>
    <phoneticPr fontId="4" type="noConversion"/>
  </si>
  <si>
    <t>品類</t>
    <phoneticPr fontId="4" type="noConversion"/>
  </si>
  <si>
    <t>人數</t>
    <phoneticPr fontId="4" type="noConversion"/>
  </si>
  <si>
    <t>達成率平均</t>
    <phoneticPr fontId="4" type="noConversion"/>
  </si>
  <si>
    <t>產能/時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</si>
  <si>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</si>
  <si>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</si>
  <si>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</si>
  <si>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</si>
  <si>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</si>
  <si>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二配黑胡椒素豬若飯</t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</si>
  <si>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</si>
  <si>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</si>
  <si>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</si>
  <si>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</si>
  <si>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</si>
  <si>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</si>
  <si>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溫層</t>
    <phoneticPr fontId="3" type="noConversion"/>
  </si>
  <si>
    <t>編組</t>
    <phoneticPr fontId="3" type="noConversion"/>
  </si>
  <si>
    <t>沙拉二線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</si>
  <si>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</si>
  <si>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</si>
  <si>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</si>
  <si>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</si>
  <si>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開始</t>
    <phoneticPr fontId="3" type="noConversion"/>
  </si>
  <si>
    <t>主要應用設備</t>
    <phoneticPr fontId="3" type="noConversion"/>
  </si>
  <si>
    <t>三明治包裝機</t>
    <phoneticPr fontId="4" type="noConversion"/>
  </si>
  <si>
    <t>產線配置圖</t>
    <phoneticPr fontId="4" type="noConversion"/>
  </si>
  <si>
    <t>日報登錄</t>
    <phoneticPr fontId="4" type="noConversion"/>
  </si>
  <si>
    <t>廠價</t>
    <phoneticPr fontId="7" type="noConversion"/>
  </si>
  <si>
    <t>多次
生產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</si>
  <si>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</si>
  <si>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</si>
  <si>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</si>
  <si>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平均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</si>
  <si>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</si>
  <si>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</si>
  <si>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</si>
  <si>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</si>
  <si>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</si>
  <si>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</si>
  <si>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三明治四線</t>
    <phoneticPr fontId="4" type="noConversion"/>
  </si>
  <si>
    <t>超HOT雞腿堡(114年)</t>
  </si>
  <si>
    <t>平均</t>
    <phoneticPr fontId="4" type="noConversion"/>
  </si>
  <si>
    <t>自動包裝二線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</si>
  <si>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</si>
  <si>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</si>
  <si>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</si>
  <si>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</si>
  <si>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</si>
  <si>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</si>
  <si>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</si>
  <si>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</si>
  <si>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</si>
  <si>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</si>
  <si>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</si>
  <si>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</si>
  <si>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</si>
  <si>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</si>
  <si>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編組</t>
    <phoneticPr fontId="3" type="noConversion"/>
  </si>
  <si>
    <t>自動包裝線</t>
    <phoneticPr fontId="3" type="noConversion"/>
  </si>
  <si>
    <t>涼麵一線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</si>
  <si>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</si>
  <si>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</si>
  <si>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</si>
  <si>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</si>
  <si>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</si>
  <si>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</si>
  <si>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</si>
  <si>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</si>
  <si>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次要應用設備</t>
    <phoneticPr fontId="3" type="noConversion"/>
  </si>
  <si>
    <t>握沙拉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</si>
  <si>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</si>
  <si>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</si>
  <si>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</si>
  <si>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</si>
  <si>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</si>
  <si>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</si>
  <si>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</si>
  <si>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</si>
  <si>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</si>
  <si>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</si>
  <si>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</si>
  <si>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</si>
  <si>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</si>
  <si>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</si>
  <si>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</si>
  <si>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</si>
  <si>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</si>
  <si>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</si>
  <si>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</si>
  <si>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</si>
  <si>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</si>
  <si>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</si>
  <si>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</si>
  <si>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</si>
  <si>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</si>
  <si>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</si>
  <si>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</si>
  <si>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</si>
  <si>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</si>
  <si>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</si>
  <si>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</si>
  <si>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</si>
  <si>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</si>
  <si>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</si>
  <si>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</si>
  <si>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</si>
  <si>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</si>
  <si>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</si>
  <si>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</si>
  <si>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</si>
  <si>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</si>
  <si>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</si>
  <si>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</si>
  <si>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</si>
  <si>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</si>
  <si>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</si>
  <si>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</si>
  <si>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</si>
  <si>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</si>
  <si>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</si>
  <si>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編組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</si>
  <si>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</si>
  <si>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</si>
  <si>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</si>
  <si>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</si>
  <si>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</si>
  <si>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</si>
  <si>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三明治二線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</si>
  <si>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</si>
  <si>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</si>
  <si>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</si>
  <si>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</si>
  <si>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</si>
  <si>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</si>
  <si>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</si>
  <si>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</si>
  <si>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</si>
  <si>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</si>
  <si>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</si>
  <si>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</si>
  <si>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</si>
  <si>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</si>
  <si>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</si>
  <si>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</si>
  <si>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</si>
  <si>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</si>
  <si>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</si>
  <si>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</si>
  <si>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</si>
  <si>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</si>
  <si>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廠價</t>
    <phoneticPr fontId="7" type="noConversion"/>
  </si>
  <si>
    <t>人時性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</si>
  <si>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</si>
  <si>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</si>
  <si>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</si>
  <si>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</si>
  <si>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</si>
  <si>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</si>
  <si>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</si>
  <si>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燴飯線</t>
    <phoneticPr fontId="4" type="noConversion"/>
  </si>
  <si>
    <t>平均</t>
    <phoneticPr fontId="4" type="noConversion"/>
  </si>
  <si>
    <t>沙拉線三線</t>
    <phoneticPr fontId="4" type="noConversion"/>
  </si>
  <si>
    <t>平均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</si>
  <si>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</si>
  <si>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</si>
  <si>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</si>
  <si>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</si>
  <si>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</si>
  <si>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</si>
  <si>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平均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</si>
  <si>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</si>
  <si>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</si>
  <si>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</si>
  <si>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</si>
  <si>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</si>
  <si>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</si>
  <si>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</si>
  <si>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</si>
  <si>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</si>
  <si>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</si>
  <si>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</si>
  <si>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</si>
  <si>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</si>
  <si>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</si>
  <si>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</si>
  <si>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</si>
  <si>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</si>
  <si>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沙拉一線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</si>
  <si>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</si>
  <si>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</si>
  <si>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</si>
  <si>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</si>
  <si>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</si>
  <si>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</si>
  <si>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</si>
  <si>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</si>
  <si>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</si>
  <si>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</si>
  <si>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</si>
  <si>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</si>
  <si>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</si>
  <si>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</si>
  <si>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</si>
  <si>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</si>
  <si>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</si>
  <si>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</si>
  <si>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</si>
  <si>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</si>
  <si>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</si>
  <si>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</si>
  <si>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</si>
  <si>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</si>
  <si>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</si>
  <si>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</si>
  <si>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</si>
  <si>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</si>
  <si>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</si>
  <si>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</si>
  <si>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</si>
  <si>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</si>
  <si>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</si>
  <si>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</si>
  <si>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</si>
  <si>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</si>
  <si>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</si>
  <si>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</si>
  <si>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</si>
  <si>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</si>
  <si>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</si>
  <si>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</si>
  <si>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</si>
  <si>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</si>
  <si>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</si>
  <si>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</si>
  <si>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</si>
  <si>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</si>
  <si>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</si>
  <si>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</si>
  <si>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</si>
  <si>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</si>
  <si>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</si>
  <si>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</si>
  <si>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</si>
  <si>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</si>
  <si>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</si>
  <si>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</si>
  <si>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</si>
  <si>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</si>
  <si>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</si>
  <si>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</si>
  <si>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</si>
  <si>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</si>
  <si>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</si>
  <si>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</si>
  <si>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</si>
  <si>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</si>
  <si>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</si>
  <si>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</si>
  <si>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③三明治-各編組展開</t>
    <phoneticPr fontId="3" type="noConversion"/>
  </si>
  <si>
    <t>L型包裝機</t>
    <phoneticPr fontId="4" type="noConversion"/>
  </si>
  <si>
    <t>沙拉線一線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</si>
  <si>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</si>
  <si>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</si>
  <si>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</si>
  <si>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</si>
  <si>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➂</t>
    <phoneticPr fontId="4" type="noConversion"/>
  </si>
  <si>
    <t>全溫層</t>
    <phoneticPr fontId="3" type="noConversion"/>
  </si>
  <si>
    <t>③三明治-各編組展開</t>
    <phoneticPr fontId="3" type="noConversion"/>
  </si>
  <si>
    <t>燴飯線</t>
    <phoneticPr fontId="3" type="noConversion"/>
  </si>
  <si>
    <t>沙拉一線</t>
    <phoneticPr fontId="3" type="noConversion"/>
  </si>
  <si>
    <t>自動包裝線</t>
    <phoneticPr fontId="3" type="noConversion"/>
  </si>
  <si>
    <t>涼麵一線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</si>
  <si>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</si>
  <si>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</si>
  <si>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</si>
  <si>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開始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</si>
  <si>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</si>
  <si>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</si>
  <si>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</si>
  <si>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</si>
  <si>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</si>
  <si>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</si>
  <si>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</si>
  <si>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產線配置圖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</si>
  <si>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</si>
  <si>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</si>
  <si>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</si>
  <si>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</si>
  <si>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</si>
  <si>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人數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</si>
  <si>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</si>
  <si>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</si>
  <si>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</si>
  <si>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稼動時間/分</t>
    <phoneticPr fontId="4" type="noConversion"/>
  </si>
  <si>
    <t>達成率</t>
    <phoneticPr fontId="4" type="noConversion"/>
  </si>
  <si>
    <t>達成率平均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</si>
  <si>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</si>
  <si>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</si>
  <si>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</si>
  <si>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</si>
  <si>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</si>
  <si>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</si>
  <si>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平均</t>
    <phoneticPr fontId="4" type="noConversion"/>
  </si>
  <si>
    <t>涼麵一線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</si>
  <si>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</si>
  <si>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</si>
  <si>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</si>
  <si>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</si>
  <si>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</si>
  <si>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</si>
  <si>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</si>
  <si>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</si>
  <si>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</si>
  <si>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</si>
  <si>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</si>
  <si>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</si>
  <si>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</si>
  <si>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</si>
  <si>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沙拉一線</t>
    <phoneticPr fontId="3" type="noConversion"/>
  </si>
  <si>
    <t>沙拉二線</t>
    <phoneticPr fontId="3" type="noConversion"/>
  </si>
  <si>
    <t>沙拉三線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</si>
  <si>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</si>
  <si>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</si>
  <si>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</si>
  <si>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三明治二線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</si>
  <si>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</si>
  <si>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</si>
  <si>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</si>
  <si>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</si>
  <si>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</si>
  <si>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</si>
  <si>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</si>
  <si>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</si>
  <si>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</si>
  <si>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</si>
  <si>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</si>
  <si>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</si>
  <si>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</si>
  <si>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</si>
  <si>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</si>
  <si>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</si>
  <si>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</si>
  <si>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</si>
  <si>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</si>
  <si>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</si>
  <si>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</si>
  <si>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</si>
  <si>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</si>
  <si>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</si>
  <si>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</si>
  <si>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</si>
  <si>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</si>
  <si>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</si>
  <si>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</si>
  <si>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</si>
  <si>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</si>
  <si>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</si>
  <si>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</si>
  <si>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</si>
  <si>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</si>
  <si>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</si>
  <si>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</si>
  <si>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</si>
  <si>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</si>
  <si>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</si>
  <si>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</si>
  <si>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</si>
  <si>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</si>
  <si>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</si>
  <si>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二配美味蟹煲</t>
  </si>
  <si>
    <t>沙拉線三線</t>
    <phoneticPr fontId="4" type="noConversion"/>
  </si>
  <si>
    <t>三明治一線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</si>
  <si>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</si>
  <si>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</si>
  <si>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</si>
  <si>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涼麵一線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</si>
  <si>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</si>
  <si>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</si>
  <si>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</si>
  <si>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</si>
  <si>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</si>
  <si>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</si>
  <si>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</si>
  <si>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</si>
  <si>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燴飯線</t>
    <phoneticPr fontId="3" type="noConversion"/>
  </si>
  <si>
    <t>沙拉二線</t>
    <phoneticPr fontId="3" type="noConversion"/>
  </si>
  <si>
    <t>三明治四線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</si>
  <si>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</si>
  <si>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</si>
  <si>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</si>
  <si>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</si>
  <si>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</si>
  <si>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</si>
  <si>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</si>
  <si>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</si>
  <si>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</si>
  <si>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</si>
  <si>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</si>
  <si>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</si>
  <si>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</si>
  <si>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</si>
  <si>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</si>
  <si>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</si>
  <si>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</si>
  <si>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生產實績</t>
    <phoneticPr fontId="4" type="noConversion"/>
  </si>
  <si>
    <t>日報登錄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</si>
  <si>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</si>
  <si>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</si>
  <si>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</si>
  <si>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</si>
  <si>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</si>
  <si>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</si>
  <si>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</si>
  <si>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</si>
  <si>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</si>
  <si>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</si>
  <si>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</si>
  <si>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</si>
  <si>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</si>
  <si>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</si>
  <si>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</si>
  <si>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</si>
  <si>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</si>
  <si>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沙拉線二線</t>
    <phoneticPr fontId="4" type="noConversion"/>
  </si>
  <si>
    <t>沙拉線三線</t>
    <phoneticPr fontId="4" type="noConversion"/>
  </si>
  <si>
    <t>平均</t>
    <phoneticPr fontId="4" type="noConversion"/>
  </si>
  <si>
    <t>三明治二線</t>
    <phoneticPr fontId="4" type="noConversion"/>
  </si>
  <si>
    <t>涼麵一線</t>
    <phoneticPr fontId="4" type="noConversion"/>
  </si>
  <si>
    <t>自動包裝二線</t>
    <phoneticPr fontId="4" type="noConversion"/>
  </si>
  <si>
    <t>訂單量</t>
    <phoneticPr fontId="3" type="noConversion"/>
  </si>
  <si>
    <t>營業額</t>
    <phoneticPr fontId="3" type="noConversion"/>
  </si>
  <si>
    <t>➁</t>
    <phoneticPr fontId="4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</si>
  <si>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</si>
  <si>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</si>
  <si>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</si>
  <si>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</si>
  <si>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</si>
  <si>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共用L型包裝機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</si>
  <si>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</si>
  <si>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</si>
  <si>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</si>
  <si>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人時性差異分析</t>
    <phoneticPr fontId="4" type="noConversion"/>
  </si>
  <si>
    <t>日報登錄</t>
    <phoneticPr fontId="4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</si>
  <si>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</si>
  <si>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</si>
  <si>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</si>
  <si>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</si>
  <si>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</si>
  <si>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</si>
  <si>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</si>
  <si>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</si>
  <si>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</si>
  <si>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</si>
  <si>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</si>
  <si>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</si>
  <si>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</si>
  <si>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</si>
  <si>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</si>
  <si>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</si>
  <si>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</si>
  <si>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</si>
  <si>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</si>
  <si>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燴飯線</t>
    <phoneticPr fontId="4" type="noConversion"/>
  </si>
  <si>
    <t>沙拉線一線</t>
    <phoneticPr fontId="4" type="noConversion"/>
  </si>
  <si>
    <t>平均</t>
    <phoneticPr fontId="4" type="noConversion"/>
  </si>
  <si>
    <t>沙拉線二線</t>
    <phoneticPr fontId="4" type="noConversion"/>
  </si>
  <si>
    <t>三明治一線</t>
    <phoneticPr fontId="4" type="noConversion"/>
  </si>
  <si>
    <t>三明治二線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</si>
  <si>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</si>
  <si>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</si>
  <si>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</si>
  <si>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</si>
  <si>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</si>
  <si>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</si>
  <si>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</si>
  <si>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</si>
  <si>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</si>
  <si>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</si>
  <si>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</si>
  <si>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</si>
  <si>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</si>
  <si>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共用L型包裝機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</si>
  <si>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</si>
  <si>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</si>
  <si>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</si>
  <si>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</si>
  <si>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</si>
  <si>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</si>
  <si>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</si>
  <si>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</si>
  <si>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</si>
  <si>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</si>
  <si>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</si>
  <si>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</si>
  <si>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</si>
  <si>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</si>
  <si>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</si>
  <si>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</si>
  <si>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</si>
  <si>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</si>
  <si>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</si>
  <si>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</si>
  <si>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</si>
  <si>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</si>
  <si>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</si>
  <si>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</si>
  <si>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</si>
  <si>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</si>
  <si>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</si>
  <si>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</si>
  <si>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</si>
  <si>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</si>
  <si>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</si>
  <si>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</si>
  <si>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</si>
  <si>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</si>
  <si>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沙拉線二線</t>
    <phoneticPr fontId="4" type="noConversion"/>
  </si>
  <si>
    <t>三明治一線</t>
    <phoneticPr fontId="4" type="noConversion"/>
  </si>
  <si>
    <t>平均</t>
    <phoneticPr fontId="4" type="noConversion"/>
  </si>
  <si>
    <t>三明治二線</t>
    <phoneticPr fontId="4" type="noConversion"/>
  </si>
  <si>
    <t>三明治二線</t>
    <phoneticPr fontId="4" type="noConversion"/>
  </si>
  <si>
    <t>三明治二線</t>
    <phoneticPr fontId="4" type="noConversion"/>
  </si>
  <si>
    <t>平均</t>
    <phoneticPr fontId="4" type="noConversion"/>
  </si>
  <si>
    <t>自動包裝二線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</si>
</sst>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_-* #,##0_-;\-* #,##0_-;_-* &quot;-&quot;??_-;_-@_-"/>
    <numFmt numFmtId="183" formatCode="0,000&quot;元&quot;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03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20" fontId="6" fillId="0" borderId="1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6" fillId="0" borderId="0" xfId="1" applyFont="1" applyFill="1">
      <alignment vertical="center"/>
    </xf>
    <xf numFmtId="0" fontId="6" fillId="0" borderId="0" xfId="1" applyFont="1" applyAlignment="1">
      <alignment vertical="center" wrapText="1"/>
    </xf>
    <xf numFmtId="176" fontId="2" fillId="0" borderId="2" xfId="1" applyNumberFormat="1" applyFont="1" applyFill="1" applyBorder="1" applyAlignment="1">
      <alignment horizontal="left" vertical="center"/>
    </xf>
    <xf numFmtId="176" fontId="2" fillId="0" borderId="3" xfId="1" applyNumberFormat="1" applyFont="1" applyFill="1" applyBorder="1">
      <alignment vertical="center"/>
    </xf>
    <xf numFmtId="18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 vertical="center"/>
    </xf>
    <xf numFmtId="0" fontId="14" fillId="0" borderId="0" xfId="5" applyFont="1" applyAlignment="1">
      <alignment vertical="center"/>
    </xf>
    <xf numFmtId="0" fontId="6" fillId="0" borderId="0" xfId="5" applyFont="1">
      <alignment vertical="center"/>
    </xf>
    <xf numFmtId="0" fontId="14" fillId="0" borderId="0" xfId="5" applyFont="1" applyBorder="1" applyAlignment="1">
      <alignment vertical="center"/>
    </xf>
    <xf numFmtId="0" fontId="6" fillId="0" borderId="8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9" fillId="0" borderId="0" xfId="6" applyFont="1" applyBorder="1" applyAlignment="1">
      <alignment vertical="center"/>
    </xf>
    <xf numFmtId="0" fontId="6" fillId="0" borderId="0" xfId="5" applyFont="1" applyAlignment="1">
      <alignment horizontal="center" vertical="center"/>
    </xf>
    <xf numFmtId="0" fontId="20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6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 wrapText="1"/>
    </xf>
    <xf numFmtId="0" fontId="9" fillId="0" borderId="18" xfId="5" applyFont="1" applyBorder="1" applyAlignment="1">
      <alignment horizontal="center" vertical="center" wrapText="1"/>
    </xf>
    <xf numFmtId="0" fontId="9" fillId="0" borderId="19" xfId="5" applyFont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 wrapText="1"/>
    </xf>
    <xf numFmtId="177" fontId="6" fillId="0" borderId="20" xfId="5" applyNumberFormat="1" applyFont="1" applyFill="1" applyBorder="1" applyAlignment="1">
      <alignment horizontal="center" vertical="center" wrapText="1"/>
    </xf>
    <xf numFmtId="177" fontId="6" fillId="0" borderId="21" xfId="5" applyNumberFormat="1" applyFont="1" applyFill="1" applyBorder="1" applyAlignment="1">
      <alignment horizontal="center" vertical="center" wrapText="1"/>
    </xf>
    <xf numFmtId="177" fontId="6" fillId="0" borderId="18" xfId="5" applyNumberFormat="1" applyFont="1" applyFill="1" applyBorder="1" applyAlignment="1">
      <alignment horizontal="center" vertical="center" wrapText="1"/>
    </xf>
    <xf numFmtId="177" fontId="6" fillId="0" borderId="19" xfId="5" applyNumberFormat="1" applyFont="1" applyFill="1" applyBorder="1" applyAlignment="1">
      <alignment horizontal="center" vertical="center" wrapText="1"/>
    </xf>
    <xf numFmtId="177" fontId="6" fillId="0" borderId="22" xfId="5" applyNumberFormat="1" applyFont="1" applyFill="1" applyBorder="1" applyAlignment="1">
      <alignment horizontal="center" vertical="center" wrapText="1"/>
    </xf>
    <xf numFmtId="177" fontId="6" fillId="0" borderId="23" xfId="5" applyNumberFormat="1" applyFont="1" applyFill="1" applyBorder="1" applyAlignment="1">
      <alignment horizontal="center" vertical="center" wrapText="1"/>
    </xf>
    <xf numFmtId="0" fontId="22" fillId="0" borderId="13" xfId="6" applyFont="1" applyBorder="1" applyAlignment="1">
      <alignment horizontal="center" vertical="center" wrapText="1"/>
    </xf>
    <xf numFmtId="177" fontId="22" fillId="0" borderId="17" xfId="5" applyNumberFormat="1" applyFont="1" applyFill="1" applyBorder="1" applyAlignment="1">
      <alignment horizontal="center" vertical="center"/>
    </xf>
    <xf numFmtId="177" fontId="22" fillId="0" borderId="18" xfId="5" applyNumberFormat="1" applyFont="1" applyFill="1" applyBorder="1" applyAlignment="1">
      <alignment horizontal="center" vertical="center"/>
    </xf>
    <xf numFmtId="177" fontId="22" fillId="0" borderId="19" xfId="5" applyNumberFormat="1" applyFont="1" applyFill="1" applyBorder="1" applyAlignment="1">
      <alignment horizontal="center" vertical="center"/>
    </xf>
    <xf numFmtId="177" fontId="22" fillId="0" borderId="22" xfId="5" applyNumberFormat="1" applyFont="1" applyFill="1" applyBorder="1" applyAlignment="1">
      <alignment horizontal="center" vertical="center"/>
    </xf>
    <xf numFmtId="177" fontId="22" fillId="0" borderId="23" xfId="5" applyNumberFormat="1" applyFont="1" applyFill="1" applyBorder="1" applyAlignment="1">
      <alignment horizontal="center" vertical="center"/>
    </xf>
    <xf numFmtId="0" fontId="22" fillId="0" borderId="13" xfId="6" applyFont="1" applyBorder="1" applyAlignment="1">
      <alignment horizontal="center" vertical="center"/>
    </xf>
    <xf numFmtId="180" fontId="22" fillId="0" borderId="17" xfId="3" applyNumberFormat="1" applyFont="1" applyFill="1" applyBorder="1" applyAlignment="1">
      <alignment horizontal="center" vertical="center"/>
    </xf>
    <xf numFmtId="180" fontId="22" fillId="0" borderId="18" xfId="3" applyNumberFormat="1" applyFont="1" applyFill="1" applyBorder="1" applyAlignment="1">
      <alignment horizontal="center" vertical="center"/>
    </xf>
    <xf numFmtId="180" fontId="22" fillId="0" borderId="19" xfId="3" applyNumberFormat="1" applyFont="1" applyFill="1" applyBorder="1" applyAlignment="1">
      <alignment horizontal="center" vertical="center"/>
    </xf>
    <xf numFmtId="181" fontId="6" fillId="0" borderId="12" xfId="1" applyNumberFormat="1" applyFont="1" applyFill="1" applyBorder="1" applyAlignment="1">
      <alignment horizontal="center" vertical="center"/>
    </xf>
    <xf numFmtId="181" fontId="6" fillId="0" borderId="13" xfId="1" applyNumberFormat="1" applyFont="1" applyFill="1" applyBorder="1" applyAlignment="1">
      <alignment horizontal="center" vertical="center"/>
    </xf>
    <xf numFmtId="181" fontId="6" fillId="0" borderId="12" xfId="8" applyNumberFormat="1" applyFont="1" applyFill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center" vertical="center"/>
    </xf>
    <xf numFmtId="181" fontId="6" fillId="0" borderId="13" xfId="8" applyNumberFormat="1" applyFont="1" applyFill="1" applyBorder="1" applyAlignment="1">
      <alignment horizontal="center" vertical="center"/>
    </xf>
    <xf numFmtId="1" fontId="6" fillId="0" borderId="24" xfId="5" applyNumberFormat="1" applyFont="1" applyFill="1" applyBorder="1" applyAlignment="1">
      <alignment horizontal="center" vertical="center"/>
    </xf>
    <xf numFmtId="1" fontId="6" fillId="0" borderId="25" xfId="5" applyNumberFormat="1" applyFont="1" applyFill="1" applyBorder="1" applyAlignment="1">
      <alignment horizontal="center" vertical="center"/>
    </xf>
    <xf numFmtId="1" fontId="6" fillId="0" borderId="26" xfId="5" applyNumberFormat="1" applyFont="1" applyFill="1" applyBorder="1" applyAlignment="1">
      <alignment horizontal="center" vertical="center"/>
    </xf>
    <xf numFmtId="0" fontId="9" fillId="0" borderId="12" xfId="5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0" fontId="6" fillId="0" borderId="29" xfId="5" applyFont="1" applyBorder="1">
      <alignment vertical="center"/>
    </xf>
    <xf numFmtId="0" fontId="6" fillId="0" borderId="31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4" fillId="0" borderId="7" xfId="5" applyFont="1" applyBorder="1" applyAlignment="1">
      <alignment horizontal="center" vertical="center"/>
    </xf>
    <xf numFmtId="0" fontId="16" fillId="13" borderId="1" xfId="6" applyFont="1" applyFill="1" applyBorder="1" applyAlignment="1">
      <alignment horizontal="center" vertical="center"/>
    </xf>
    <xf numFmtId="182" fontId="5" fillId="0" borderId="1" xfId="7" applyNumberFormat="1" applyFont="1" applyBorder="1" applyAlignment="1">
      <alignment horizontal="center" vertical="center"/>
    </xf>
    <xf numFmtId="183" fontId="5" fillId="0" borderId="1" xfId="7" applyNumberFormat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182" fontId="2" fillId="3" borderId="1" xfId="7" applyNumberFormat="1" applyFont="1" applyFill="1" applyBorder="1" applyAlignment="1">
      <alignment horizontal="center" vertical="center"/>
    </xf>
    <xf numFmtId="182" fontId="2" fillId="5" borderId="1" xfId="7" applyNumberFormat="1" applyFont="1" applyFill="1" applyBorder="1" applyAlignment="1">
      <alignment horizontal="center" vertical="center"/>
    </xf>
    <xf numFmtId="177" fontId="5" fillId="0" borderId="1" xfId="6" applyNumberFormat="1" applyFont="1" applyBorder="1" applyAlignment="1">
      <alignment horizontal="center" vertical="center"/>
    </xf>
    <xf numFmtId="177" fontId="5" fillId="0" borderId="1" xfId="7" applyNumberFormat="1" applyFont="1" applyBorder="1" applyAlignment="1">
      <alignment horizontal="center" vertical="center"/>
    </xf>
    <xf numFmtId="0" fontId="6" fillId="0" borderId="12" xfId="6" applyFont="1" applyBorder="1" applyAlignment="1">
      <alignment horizontal="center" vertical="center" wrapText="1"/>
    </xf>
    <xf numFmtId="0" fontId="6" fillId="0" borderId="12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177" fontId="18" fillId="6" borderId="1" xfId="6" applyNumberFormat="1" applyFont="1" applyFill="1" applyBorder="1" applyAlignment="1">
      <alignment horizontal="center" vertical="center"/>
    </xf>
    <xf numFmtId="0" fontId="18" fillId="6" borderId="1" xfId="6" applyFont="1" applyFill="1" applyBorder="1" applyAlignment="1">
      <alignment horizontal="center" vertical="center"/>
    </xf>
    <xf numFmtId="177" fontId="18" fillId="6" borderId="1" xfId="7" applyNumberFormat="1" applyFont="1" applyFill="1" applyBorder="1" applyAlignment="1">
      <alignment horizontal="center" vertical="center"/>
    </xf>
    <xf numFmtId="180" fontId="18" fillId="0" borderId="1" xfId="6" applyNumberFormat="1" applyFont="1" applyBorder="1" applyAlignment="1">
      <alignment horizontal="center" vertical="center"/>
    </xf>
    <xf numFmtId="180" fontId="18" fillId="0" borderId="1" xfId="3" applyNumberFormat="1" applyFont="1" applyFill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10" xfId="6" applyFont="1" applyBorder="1" applyAlignment="1">
      <alignment horizontal="center" vertical="center"/>
    </xf>
    <xf numFmtId="0" fontId="21" fillId="3" borderId="9" xfId="5" applyFont="1" applyFill="1" applyBorder="1" applyAlignment="1">
      <alignment horizontal="center" vertical="center"/>
    </xf>
    <xf numFmtId="0" fontId="21" fillId="3" borderId="11" xfId="5" applyFont="1" applyFill="1" applyBorder="1" applyAlignment="1">
      <alignment horizontal="center" vertical="center"/>
    </xf>
    <xf numFmtId="0" fontId="21" fillId="3" borderId="10" xfId="5" applyFont="1" applyFill="1" applyBorder="1" applyAlignment="1">
      <alignment horizontal="center" vertical="center"/>
    </xf>
    <xf numFmtId="0" fontId="21" fillId="5" borderId="9" xfId="5" applyFont="1" applyFill="1" applyBorder="1" applyAlignment="1">
      <alignment horizontal="center" vertical="center"/>
    </xf>
    <xf numFmtId="0" fontId="21" fillId="5" borderId="11" xfId="5" applyFont="1" applyFill="1" applyBorder="1" applyAlignment="1">
      <alignment horizontal="center" vertical="center"/>
    </xf>
    <xf numFmtId="0" fontId="21" fillId="5" borderId="10" xfId="5" applyFont="1" applyFill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2" xfId="6" applyFont="1" applyBorder="1" applyAlignment="1">
      <alignment horizontal="center" vertical="center" textRotation="255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2" xfId="5" applyFont="1" applyBorder="1" applyAlignment="1">
      <alignment horizontal="center" vertical="center"/>
    </xf>
    <xf numFmtId="0" fontId="6" fillId="0" borderId="33" xfId="5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10" fillId="6" borderId="1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180" fontId="6" fillId="0" borderId="1" xfId="3" applyNumberFormat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9" borderId="34" xfId="1" applyFont="1" applyFill="1" applyBorder="1" applyAlignment="1">
      <alignment horizontal="center" vertical="center" wrapText="1"/>
    </xf>
    <xf numFmtId="0" fontId="6" fillId="9" borderId="35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5" borderId="4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180" fontId="6" fillId="0" borderId="4" xfId="3" applyNumberFormat="1" applyFont="1" applyBorder="1" applyAlignment="1">
      <alignment horizontal="center" vertical="center"/>
    </xf>
    <xf numFmtId="180" fontId="6" fillId="0" borderId="6" xfId="3" applyNumberFormat="1" applyFont="1" applyBorder="1" applyAlignment="1">
      <alignment horizontal="center" vertical="center"/>
    </xf>
    <xf numFmtId="180" fontId="6" fillId="0" borderId="5" xfId="3" applyNumberFormat="1" applyFont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/>
    <xf numFmtId="0" fontId="6" fillId="0" borderId="3" xfId="1" applyFont="1" applyFill="1" applyBorder="1" applyAlignment="1"/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13" fillId="6" borderId="1" xfId="1" applyFont="1" applyFill="1" applyBorder="1" applyAlignment="1">
      <alignment horizontal="center" vertical="center" wrapText="1"/>
    </xf>
    <xf numFmtId="0" fontId="12" fillId="0" borderId="3" xfId="4" applyBorder="1" applyAlignment="1">
      <alignment horizontal="center" vertical="center"/>
    </xf>
  </cellXfs>
  <cellStyles count="9">
    <cellStyle name="一般" xfId="0" builtinId="0"/>
    <cellStyle name="一般 2 2" xfId="1"/>
    <cellStyle name="一般 2 2 2" xfId="6"/>
    <cellStyle name="一般 2 2 29" xfId="8"/>
    <cellStyle name="一般 2 4" xfId="2"/>
    <cellStyle name="一般 3" xfId="5"/>
    <cellStyle name="一般 48" xfId="4"/>
    <cellStyle name="千分位 2" xfId="7"/>
    <cellStyle name="百分比 2" xfId="3"/>
  </cellStyles>
  <dxfs count="2140"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abSelected="1" zoomScale="70" zoomScaleNormal="70" workbookViewId="0">
      <selection activeCell="C6" sqref="C6:D6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1622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406" t="s">
        <v>1623</v>
      </c>
      <c r="C3" s="421" t="str">
        <f>TEXT('0731 4度C'!A2,"yyyy.mm.ddaaaa")</f>
        <v>2025.07.31星期四</v>
      </c>
      <c r="D3" s="421"/>
      <c r="E3" s="406" t="s">
        <v>1624</v>
      </c>
      <c r="F3" s="422">
        <f>'0731 4度C'!D1</f>
        <v>152356</v>
      </c>
      <c r="G3" s="422"/>
      <c r="H3" s="406" t="s">
        <v>1625</v>
      </c>
      <c r="I3" s="423">
        <f>'0731 4度C'!F1</f>
        <v>5197137.53</v>
      </c>
      <c r="J3" s="423"/>
      <c r="K3" s="31"/>
      <c r="L3" s="32"/>
      <c r="M3" s="33"/>
      <c r="N3" s="33"/>
    </row>
    <row r="4" spans="2:17" ht="28.5" customHeight="1">
      <c r="B4" s="424" t="s">
        <v>1626</v>
      </c>
      <c r="C4" s="424" t="s">
        <v>1627</v>
      </c>
      <c r="D4" s="424"/>
      <c r="E4" s="425" t="s">
        <v>1628</v>
      </c>
      <c r="F4" s="425"/>
      <c r="G4" s="425" t="s">
        <v>1629</v>
      </c>
      <c r="H4" s="425"/>
      <c r="I4" s="425" t="s">
        <v>1630</v>
      </c>
      <c r="J4" s="425"/>
      <c r="L4" s="33"/>
      <c r="M4" s="33"/>
      <c r="N4" s="33"/>
    </row>
    <row r="5" spans="2:17" ht="28.5" customHeight="1">
      <c r="B5" s="424"/>
      <c r="C5" s="424" t="s">
        <v>1631</v>
      </c>
      <c r="D5" s="424"/>
      <c r="E5" s="424" t="s">
        <v>1632</v>
      </c>
      <c r="F5" s="424"/>
      <c r="G5" s="426" t="s">
        <v>1633</v>
      </c>
      <c r="H5" s="426"/>
      <c r="I5" s="427" t="s">
        <v>1634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142.20317490877216</v>
      </c>
      <c r="F6" s="424">
        <f>AVERAGE(D27:O27,D13:J13)</f>
        <v>145.01728753788862</v>
      </c>
      <c r="G6" s="429">
        <f>AVERAGE(D13:J13)</f>
        <v>145.01728753788862</v>
      </c>
      <c r="H6" s="429"/>
      <c r="I6" s="429">
        <f>AVERAGE(K13:M13)</f>
        <v>135.63691210750036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130.65572266737678</v>
      </c>
      <c r="F7" s="434">
        <f>AVERAGE(D28:O28,D14:J14)</f>
        <v>133.34696145314291</v>
      </c>
      <c r="G7" s="435">
        <f>AVERAGE(D14:J14)</f>
        <v>133.34696145314291</v>
      </c>
      <c r="H7" s="435"/>
      <c r="I7" s="435">
        <f>AVERAGE(K14:M14)</f>
        <v>124.37616550058915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0.91882063643414269</v>
      </c>
      <c r="F8" s="432">
        <f>AVERAGE(D15:J15,D29:O29)</f>
        <v>0.91962653391219951</v>
      </c>
      <c r="G8" s="437">
        <f>AVERAGE(D15:J15)</f>
        <v>0.91962653391219951</v>
      </c>
      <c r="H8" s="437"/>
      <c r="I8" s="437">
        <f>AVERAGE(K15:M15)</f>
        <v>0.91694020898534401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183</v>
      </c>
      <c r="I12" s="42" t="s">
        <v>101</v>
      </c>
      <c r="J12" s="43" t="s">
        <v>133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87</v>
      </c>
      <c r="D13" s="45">
        <f>SUMIFS('0731 4度C'!$K:$K,'0731 4度C'!$A:$A,"燴飯線",'0731 4度C'!$B:$B,"平均")</f>
        <v>105.88235294117646</v>
      </c>
      <c r="E13" s="46">
        <f>SUMIFS('0731 4度C'!$K:$K,'0731 4度C'!$A:$A,"沙拉線一線",'0731 4度C'!$B:$B,"平均")</f>
        <v>81.081081081081081</v>
      </c>
      <c r="F13" s="47">
        <f>SUMIFS('0731 4度C'!$K:$K,'0731 4度C'!$A:$A,"沙拉線二線",'0731 4度C'!$B:$B,"平均")</f>
        <v>81.298969072164951</v>
      </c>
      <c r="G13" s="47">
        <f>SUMIFS('0731 4度C'!$K:$K,'0731 4度C'!$A:$A,"沙拉線三線",'0731 4度C'!$B:$B,"平均")</f>
        <v>104.19161676646706</v>
      </c>
      <c r="H13" s="47">
        <f>SUMIFS('0731 4度C'!$K:$K,'0731 4度C'!$A:$A,"自動包裝線",'0731 4度C'!$B:$B,"平均")</f>
        <v>300</v>
      </c>
      <c r="I13" s="47">
        <f>SUMIFS('0731 4度C'!$K:$K,'0731 4度C'!$A:$A,"涼麵一線",'0731 4度C'!$B:$B,"平均")</f>
        <v>89.552238805970148</v>
      </c>
      <c r="J13" s="48">
        <f>SUMIFS('0731 4度C'!$K:$K,'0731 4度C'!$A:$A,"三明治四線",'0731 4度C'!$B:$B,"平均")</f>
        <v>253.11475409836069</v>
      </c>
      <c r="K13" s="49">
        <f>SUMIFS('0731 4度C'!$K:$K,'0731 4度C'!$A:$A,"三明治一線",'0731 4度C'!$B:$B,"平均")</f>
        <v>138.46153846153848</v>
      </c>
      <c r="L13" s="50">
        <f>SUMIFS('0731 4度C'!$K:$K,'0731 4度C'!$A:$A,"三明治二線",'0731 4度C'!$B:$B,"平均")</f>
        <v>127.27272727272727</v>
      </c>
      <c r="M13" s="48">
        <f>SUMIFS('0731 4度C'!$K:$K,'0731 4度C'!$A:$A,"自動包裝二線",'0731 4度C'!$B:$B,"平均")</f>
        <v>141.1764705882353</v>
      </c>
    </row>
    <row r="14" spans="2:17" ht="39.6" customHeight="1">
      <c r="B14" s="447"/>
      <c r="C14" s="51" t="s">
        <v>188</v>
      </c>
      <c r="D14" s="52">
        <f>SUMIFS('0731 4度C'!$N:$N,'0731 4度C'!$A:$A,"燴飯線",'0731 4度C'!$B:$B,"平均")</f>
        <v>98.135168536409566</v>
      </c>
      <c r="E14" s="53">
        <f>SUMIFS('0731 4度C'!$N:$N,'0731 4度C'!$A:$A,"沙拉線一線",'0731 4度C'!$B:$B,"平均")</f>
        <v>74.184480141716989</v>
      </c>
      <c r="F14" s="53">
        <f>SUMIFS('0731 4度C'!$N:$N,'0731 4度C'!$A:$A,"沙拉線二線",'0731 4度C'!$B:$B,"平均")</f>
        <v>74.786701372207744</v>
      </c>
      <c r="G14" s="53">
        <f>SUMIFS('0731 4度C'!$N:$N,'0731 4度C'!$A:$A,"沙拉線三線",'0731 4度C'!$B:$B,"平均")</f>
        <v>96.152448121231856</v>
      </c>
      <c r="H14" s="53">
        <f>SUMIFS('0731 4度C'!$N:$N,'0731 4度C'!$A:$A,"自動包裝線",'0731 4度C'!$B:$B,"平均")</f>
        <v>275.42493843308216</v>
      </c>
      <c r="I14" s="53">
        <f>SUMIFS('0731 4度C'!$N:$N,'0731 4度C'!$A:$A,"涼麵一線",'0731 4度C'!$B:$B,"平均")</f>
        <v>81.944359833485635</v>
      </c>
      <c r="J14" s="54">
        <f>SUMIFS('0731 4度C'!$N:$N,'0731 4度C'!$A:$A,"三明治四線",'0731 4度C'!$B:$B,"平均")</f>
        <v>232.80063373386639</v>
      </c>
      <c r="K14" s="55">
        <f>SUMIFS('0731 4度C'!$N:$N,'0731 4度C'!$A:$A,"三明治一線",'0731 4度C'!$B:$B,"平均")</f>
        <v>126.9817485739004</v>
      </c>
      <c r="L14" s="56">
        <f>SUMIFS('0731 4度C'!$N:$N,'0731 4度C'!$A:$A,"三明治二線",'0731 4度C'!$B:$B,"平均")</f>
        <v>116.55420788296799</v>
      </c>
      <c r="M14" s="54">
        <f>SUMIFS('0731 4度C'!$N:$N,'0731 4度C'!$A:$A,"自動包裝二線",'0731 4度C'!$B:$B,"平均")</f>
        <v>129.59254004489904</v>
      </c>
    </row>
    <row r="15" spans="2:17" ht="40.15" customHeight="1">
      <c r="B15" s="447"/>
      <c r="C15" s="57" t="s">
        <v>189</v>
      </c>
      <c r="D15" s="58">
        <f>D14/D13</f>
        <v>0.92683214728831265</v>
      </c>
      <c r="E15" s="59">
        <f t="shared" ref="E15:M15" si="0">E14/E13</f>
        <v>0.91494192174784283</v>
      </c>
      <c r="F15" s="59">
        <f t="shared" si="0"/>
        <v>0.91989729052804348</v>
      </c>
      <c r="G15" s="59">
        <f t="shared" si="0"/>
        <v>0.92284246185320229</v>
      </c>
      <c r="H15" s="59">
        <f>H14/H13</f>
        <v>0.91808312811027382</v>
      </c>
      <c r="I15" s="59">
        <f>I14/I13</f>
        <v>0.91504535147392296</v>
      </c>
      <c r="J15" s="60">
        <f>J14/J13</f>
        <v>0.91974343638379841</v>
      </c>
      <c r="K15" s="58">
        <f>K14/K13</f>
        <v>0.9170904063670583</v>
      </c>
      <c r="L15" s="59">
        <f>L14/L13</f>
        <v>0.91578306193760561</v>
      </c>
      <c r="M15" s="60">
        <f t="shared" si="0"/>
        <v>0.91794715865136811</v>
      </c>
    </row>
    <row r="16" spans="2:17" ht="17.25" customHeight="1">
      <c r="B16" s="430" t="s">
        <v>136</v>
      </c>
      <c r="C16" s="405" t="s">
        <v>103</v>
      </c>
      <c r="D16" s="61">
        <f>VLOOKUP("燴飯線",'0731 4度C'!$A:$T,19,0)</f>
        <v>0.70833333333333337</v>
      </c>
      <c r="E16" s="24">
        <f>VLOOKUP("沙拉線一線",'0731 4度C'!$A:$T,19,0)</f>
        <v>0.12986111111111112</v>
      </c>
      <c r="F16" s="24">
        <f>VLOOKUP("沙拉線二線",'0731 4度C'!$A:$T,19,0)</f>
        <v>0.25</v>
      </c>
      <c r="G16" s="24">
        <f>VLOOKUP("沙拉線三線",'0731 4度C'!$A:$T,19,0)</f>
        <v>0.16666666666666666</v>
      </c>
      <c r="H16" s="24">
        <f>VLOOKUP("自動包裝線",'0731 4度C'!$A:$T,19,0)</f>
        <v>0.20833333333333334</v>
      </c>
      <c r="I16" s="24">
        <f>VLOOKUP("涼麵一線",'0731 4度C'!$A:$T,19,0)</f>
        <v>0.29166666666666669</v>
      </c>
      <c r="J16" s="62">
        <f>VLOOKUP("三明治四線",'0731 4度C'!$A:$T,19,0)</f>
        <v>0.20833333333333334</v>
      </c>
      <c r="K16" s="63">
        <f>VLOOKUP("三明治一線",'0731 4度C'!$A:$T,19,0)</f>
        <v>0.125</v>
      </c>
      <c r="L16" s="64">
        <f>VLOOKUP("三明治二線",'0731 4度C'!$A:$T,19,0)</f>
        <v>0.125</v>
      </c>
      <c r="M16" s="65">
        <f>VLOOKUP("自動包裝二線",'0731 4度C'!$A:$T,19,0)</f>
        <v>0.125</v>
      </c>
    </row>
    <row r="17" spans="2:13" ht="17.25" customHeight="1">
      <c r="B17" s="431"/>
      <c r="C17" s="405" t="s">
        <v>137</v>
      </c>
      <c r="D17" s="63">
        <f>LOOKUP(2,1/(('0731 4度C'!$A:$A="燴飯線")*('0731 4度C'!$T:$T&lt;&gt;"")),'0731 4度C'!$T:$T)</f>
        <v>0.82638888888888884</v>
      </c>
      <c r="E17" s="24">
        <f>LOOKUP(2,1/(('0731 4度C'!$A:$A="沙拉線一線")*('0731 4度C'!$T:$T&lt;&gt;"")),'0731 4度C'!$T:$T)</f>
        <v>0.61458333333333315</v>
      </c>
      <c r="F17" s="24">
        <f>LOOKUP(2,1/(('0731 4度C'!$A:$A="沙拉線二線")*('0731 4度C'!$T:$T&lt;&gt;"")),'0731 4度C'!$T:$T)</f>
        <v>0.87569444444444444</v>
      </c>
      <c r="G17" s="24">
        <f>LOOKUP(2,1/(('0731 4度C'!$A:$A="沙拉線三線")*('0731 4度C'!$T:$T&lt;&gt;"")),'0731 4度C'!$T:$T)</f>
        <v>0.91319444444444442</v>
      </c>
      <c r="H17" s="24">
        <f>LOOKUP(2,1/(('0731 4度C'!$A:$A="自動包裝線")*('0731 4度C'!$T:$T&lt;&gt;"")),'0731 4度C'!$T:$T)</f>
        <v>0.61458333333333304</v>
      </c>
      <c r="I17" s="24">
        <f>LOOKUP(2,1/(('0731 4度C'!$A:$A="涼麵一線")*('0731 4度C'!$T:$T&lt;&gt;"")),'0731 4度C'!$T:$T)</f>
        <v>0.8041666666666667</v>
      </c>
      <c r="J17" s="62">
        <f>LOOKUP(2,1/(('0731 4度C'!$A:$A="三明治四線")*('0731 4度C'!$T:$T&lt;&gt;"")),'0731 4度C'!$T:$T)</f>
        <v>0.49305555555555547</v>
      </c>
      <c r="K17" s="61">
        <f>LOOKUP(2,1/(('0731 4度C'!$A:$A="三明治一線")*('0731 4度C'!$T:$T&lt;&gt;"")),'0731 4度C'!$T:$T)</f>
        <v>0.61597222222222225</v>
      </c>
      <c r="L17" s="24">
        <f>LOOKUP(2,1/(('0731 4度C'!$A:$A="三明治二線")*('0731 4度C'!$T:$T&lt;&gt;"")),'0731 4度C'!$T:$T)</f>
        <v>0.61388888888888882</v>
      </c>
      <c r="M17" s="62">
        <f>LOOKUP(2,1/(('0731 4度C'!$A:$A="自動包裝二線")*('0731 4度C'!$T:$T&lt;&gt;"")),'0731 4度C'!$T:$T)</f>
        <v>0.58541666666666659</v>
      </c>
    </row>
    <row r="18" spans="2:13" ht="17.25" customHeight="1">
      <c r="B18" s="431" t="s">
        <v>138</v>
      </c>
      <c r="C18" s="446"/>
      <c r="D18" s="66">
        <f>SUMIFS('0731 4度C'!$I:$I,'0731 4度C'!$A:$A,"燴飯線",'0731 4度C'!$B:$B,"平均")</f>
        <v>17</v>
      </c>
      <c r="E18" s="67">
        <f>SUMIFS('0731 4度C'!$I:$I,'0731 4度C'!$A:$A,"沙拉線一線",'0731 4度C'!$B:$B,"平均")</f>
        <v>18.5</v>
      </c>
      <c r="F18" s="67">
        <f>SUMIFS('0731 4度C'!$I:$I,'0731 4度C'!$A:$A,"沙拉線二線",'0731 4度C'!$B:$B,"平均")</f>
        <v>19.399999999999999</v>
      </c>
      <c r="G18" s="67">
        <f>SUMIFS('0731 4度C'!$I:$I,'0731 4度C'!$A:$A,"沙拉線三線",'0731 4度C'!$B:$B,"平均")</f>
        <v>16.7</v>
      </c>
      <c r="H18" s="67">
        <f>SUMIFS('0731 4度C'!$I:$I,'0731 4度C'!$A:$A,"自動包裝線",'0731 4度C'!$B:$B,"平均")</f>
        <v>10</v>
      </c>
      <c r="I18" s="67">
        <f>SUMIFS('0731 4度C'!$I:$I,'0731 4度C'!$A:$A,"涼麵一線",'0731 4度C'!$B:$B,"平均")</f>
        <v>16.75</v>
      </c>
      <c r="J18" s="68">
        <f>SUMIFS('0731 4度C'!$I:$I,'0731 4度C'!$A:$A,"三明治四線",'0731 4度C'!$B:$B,"平均")</f>
        <v>10.166666666666666</v>
      </c>
      <c r="K18" s="66">
        <f>SUMIFS('0731 4度C'!$I:$I,'0731 4度C'!$A:$A,"三明治一線",'0731 4度C'!$B:$B,"平均")</f>
        <v>17.333333333333332</v>
      </c>
      <c r="L18" s="67">
        <f>SUMIFS('0731 4度C'!$I:$I,'0731 4度C'!$A:$A,"三明治二線",'0731 4度C'!$B:$B,"平均")</f>
        <v>18.857142857142858</v>
      </c>
      <c r="M18" s="68">
        <f>SUMIFS('0731 4度C'!$I:$I,'0731 4度C'!$A:$A,"自動包裝二線",'0731 4度C'!$B:$B,"平均")</f>
        <v>17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1635</v>
      </c>
      <c r="G21" s="453"/>
      <c r="H21" s="73" t="s">
        <v>202</v>
      </c>
      <c r="I21" s="73" t="s">
        <v>108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8:C18"/>
    <mergeCell ref="B19:C19"/>
    <mergeCell ref="B20:C20"/>
    <mergeCell ref="B21:C21"/>
    <mergeCell ref="F21:G21"/>
    <mergeCell ref="B10:C10"/>
    <mergeCell ref="D10:J10"/>
    <mergeCell ref="K10:M10"/>
    <mergeCell ref="B11:C12"/>
    <mergeCell ref="B13:B15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E5:F5"/>
    <mergeCell ref="G5:H5"/>
    <mergeCell ref="I5:J5"/>
    <mergeCell ref="C6:D6"/>
    <mergeCell ref="E6:F6"/>
    <mergeCell ref="G6:H6"/>
    <mergeCell ref="I6:J6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</mergeCells>
  <phoneticPr fontId="3" type="noConversion"/>
  <conditionalFormatting sqref="D15:M15">
    <cfRule type="cellIs" dxfId="6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5" activePane="bottomLeft" state="frozen"/>
      <selection activeCell="I3" sqref="I3:J3"/>
      <selection pane="bottomLeft" activeCell="I3" sqref="I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1636</v>
      </c>
      <c r="B1" s="1"/>
      <c r="C1" s="2" t="s">
        <v>1637</v>
      </c>
      <c r="D1" s="3">
        <f>SUM(F5:F73)</f>
        <v>152356</v>
      </c>
      <c r="E1" s="407" t="s">
        <v>1638</v>
      </c>
      <c r="F1" s="1">
        <f>SUM(G5:G73)</f>
        <v>5197137.53</v>
      </c>
      <c r="G1" s="1" t="s">
        <v>1639</v>
      </c>
      <c r="H1" s="4">
        <f>L8+L13+L54+L59+L19+L66+L37+L45+L30+L73</f>
        <v>161.70714285714286</v>
      </c>
      <c r="I1" s="454" t="s">
        <v>1640</v>
      </c>
      <c r="J1" s="454"/>
      <c r="K1" s="454"/>
      <c r="L1" s="454" t="s">
        <v>1641</v>
      </c>
      <c r="M1" s="454"/>
      <c r="N1" s="454"/>
      <c r="O1" s="454" t="s">
        <v>1642</v>
      </c>
      <c r="P1" s="454"/>
      <c r="Q1" s="454"/>
      <c r="R1" s="454"/>
      <c r="S1" s="454" t="s">
        <v>1643</v>
      </c>
      <c r="T1" s="454"/>
      <c r="U1" s="454"/>
      <c r="V1" s="454"/>
      <c r="W1" s="454"/>
      <c r="X1" s="454"/>
      <c r="Y1" s="454" t="s">
        <v>1644</v>
      </c>
      <c r="Z1" s="454"/>
      <c r="AA1" s="454" t="s">
        <v>1645</v>
      </c>
      <c r="AB1" s="455"/>
      <c r="AC1" s="455"/>
    </row>
    <row r="2" spans="1:29" ht="26.25" customHeight="1">
      <c r="A2" s="22">
        <v>45869</v>
      </c>
      <c r="B2" s="23" t="s">
        <v>261</v>
      </c>
      <c r="C2" s="2" t="s">
        <v>1646</v>
      </c>
      <c r="D2" s="6">
        <f>AVERAGE(N8,N13,N54,N59,N19,N66,N30,N37,N45,N73)</f>
        <v>130.65572266737678</v>
      </c>
      <c r="E2" s="7" t="s">
        <v>0</v>
      </c>
      <c r="F2" s="8">
        <f>F1/D1</f>
        <v>34.111800848013864</v>
      </c>
      <c r="G2" s="1" t="s">
        <v>1647</v>
      </c>
      <c r="H2" s="418">
        <f>COUNT(H5:H73)</f>
        <v>8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1648</v>
      </c>
      <c r="B3" s="456" t="s">
        <v>1649</v>
      </c>
      <c r="C3" s="456" t="s">
        <v>1650</v>
      </c>
      <c r="D3" s="456"/>
      <c r="E3" s="457" t="s">
        <v>1651</v>
      </c>
      <c r="F3" s="456" t="s">
        <v>1652</v>
      </c>
      <c r="G3" s="457" t="s">
        <v>1653</v>
      </c>
      <c r="H3" s="463" t="s">
        <v>1654</v>
      </c>
      <c r="I3" s="464" t="s">
        <v>1655</v>
      </c>
      <c r="J3" s="465" t="s">
        <v>1656</v>
      </c>
      <c r="K3" s="459" t="s">
        <v>1646</v>
      </c>
      <c r="L3" s="464" t="s">
        <v>1657</v>
      </c>
      <c r="M3" s="465" t="s">
        <v>1658</v>
      </c>
      <c r="N3" s="459" t="s">
        <v>1659</v>
      </c>
      <c r="O3" s="464" t="s">
        <v>1657</v>
      </c>
      <c r="P3" s="459" t="s">
        <v>1646</v>
      </c>
      <c r="Q3" s="460" t="s">
        <v>1660</v>
      </c>
      <c r="R3" s="461" t="s">
        <v>1661</v>
      </c>
      <c r="S3" s="462" t="s">
        <v>1</v>
      </c>
      <c r="T3" s="462"/>
      <c r="U3" s="463" t="s">
        <v>2</v>
      </c>
      <c r="V3" s="463" t="s">
        <v>1662</v>
      </c>
      <c r="W3" s="456" t="s">
        <v>150</v>
      </c>
      <c r="X3" s="456"/>
      <c r="Y3" s="475" t="s">
        <v>1663</v>
      </c>
      <c r="Z3" s="476"/>
      <c r="AA3" s="465" t="s">
        <v>1664</v>
      </c>
      <c r="AB3" s="460" t="s">
        <v>1660</v>
      </c>
      <c r="AC3" s="461" t="s">
        <v>1661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417" t="s">
        <v>3</v>
      </c>
      <c r="T4" s="417" t="s">
        <v>4</v>
      </c>
      <c r="U4" s="463"/>
      <c r="V4" s="463"/>
      <c r="W4" s="407" t="s">
        <v>1665</v>
      </c>
      <c r="X4" s="407" t="s">
        <v>1666</v>
      </c>
      <c r="Y4" s="476"/>
      <c r="Z4" s="476"/>
      <c r="AA4" s="465"/>
      <c r="AB4" s="460"/>
      <c r="AC4" s="461"/>
    </row>
    <row r="5" spans="1:29">
      <c r="A5" s="471" t="s">
        <v>1667</v>
      </c>
      <c r="B5" s="26" t="s">
        <v>13</v>
      </c>
      <c r="C5" s="472" t="s">
        <v>58</v>
      </c>
      <c r="D5" s="472"/>
      <c r="E5" s="26">
        <v>46.93</v>
      </c>
      <c r="F5" s="417">
        <v>788</v>
      </c>
      <c r="G5" s="407">
        <f>E5*F5</f>
        <v>36980.839999999997</v>
      </c>
      <c r="H5" s="76" t="s">
        <v>57</v>
      </c>
      <c r="I5" s="415">
        <v>17</v>
      </c>
      <c r="J5" s="18">
        <v>1800</v>
      </c>
      <c r="K5" s="9">
        <f>J5/I5</f>
        <v>105.88235294117646</v>
      </c>
      <c r="L5" s="415">
        <v>17</v>
      </c>
      <c r="M5" s="10">
        <f>F5/V5*60</f>
        <v>1688.5714285714248</v>
      </c>
      <c r="N5" s="9">
        <f>M5/L5</f>
        <v>99.32773109243675</v>
      </c>
      <c r="O5" s="11">
        <f t="shared" ref="O5:O7" si="0">L5-I5</f>
        <v>0</v>
      </c>
      <c r="P5" s="12">
        <f t="shared" ref="P5:P7" si="1">N5-K5</f>
        <v>-6.5546218487397141</v>
      </c>
      <c r="Q5" s="409">
        <f>N5/K5</f>
        <v>0.93809523809523598</v>
      </c>
      <c r="R5" s="470">
        <f>Q8</f>
        <v>0.92683214728831265</v>
      </c>
      <c r="S5" s="24">
        <v>0.70833333333333337</v>
      </c>
      <c r="T5" s="24">
        <v>0.72777777777777786</v>
      </c>
      <c r="U5" s="407"/>
      <c r="V5" s="416">
        <f>(T5-S5)*24*60</f>
        <v>28.00000000000006</v>
      </c>
      <c r="W5" s="13"/>
      <c r="X5" s="13"/>
      <c r="Y5" s="456"/>
      <c r="Z5" s="456"/>
      <c r="AA5" s="11">
        <f t="shared" ref="AA5:AA68" si="2">M5-J5</f>
        <v>-111.4285714285752</v>
      </c>
      <c r="AB5" s="409">
        <f t="shared" ref="AB5:AB7" si="3">M5/J5</f>
        <v>0.93809523809523598</v>
      </c>
      <c r="AC5" s="470">
        <f>AB8</f>
        <v>0.92683214728831254</v>
      </c>
    </row>
    <row r="6" spans="1:29">
      <c r="A6" s="464" t="s">
        <v>1668</v>
      </c>
      <c r="B6" s="26" t="s">
        <v>13</v>
      </c>
      <c r="C6" s="472" t="s">
        <v>60</v>
      </c>
      <c r="D6" s="472"/>
      <c r="E6" s="26">
        <v>50.49</v>
      </c>
      <c r="F6" s="417">
        <v>1691</v>
      </c>
      <c r="G6" s="407">
        <f t="shared" ref="G6:G7" si="4">E6*F6</f>
        <v>85378.59</v>
      </c>
      <c r="H6" s="76" t="s">
        <v>57</v>
      </c>
      <c r="I6" s="415">
        <v>16</v>
      </c>
      <c r="J6" s="18">
        <v>1800</v>
      </c>
      <c r="K6" s="9">
        <f t="shared" ref="K6:K7" si="5">J6/I6</f>
        <v>112.5</v>
      </c>
      <c r="L6" s="415">
        <v>16</v>
      </c>
      <c r="M6" s="10">
        <f>F6/V6*60</f>
        <v>1663.2786885245919</v>
      </c>
      <c r="N6" s="9">
        <f t="shared" ref="N6:N7" si="6">M6/L6</f>
        <v>103.95491803278699</v>
      </c>
      <c r="O6" s="11">
        <f t="shared" si="0"/>
        <v>0</v>
      </c>
      <c r="P6" s="12">
        <f t="shared" si="1"/>
        <v>-8.5450819672130081</v>
      </c>
      <c r="Q6" s="409">
        <f t="shared" ref="Q6:Q7" si="7">N6/K6</f>
        <v>0.92404371584699552</v>
      </c>
      <c r="R6" s="470"/>
      <c r="S6" s="24">
        <v>0.73125000000000007</v>
      </c>
      <c r="T6" s="24">
        <v>0.77361111111111114</v>
      </c>
      <c r="U6" s="407">
        <f>(S6-T5)*24*60</f>
        <v>4.9999999999999822</v>
      </c>
      <c r="V6" s="416">
        <f>(T6-S6)*24*60</f>
        <v>60.999999999999943</v>
      </c>
      <c r="W6" s="14"/>
      <c r="X6" s="14"/>
      <c r="Y6" s="456"/>
      <c r="Z6" s="456"/>
      <c r="AA6" s="11">
        <f t="shared" si="2"/>
        <v>-136.72131147540813</v>
      </c>
      <c r="AB6" s="409">
        <f t="shared" si="3"/>
        <v>0.92404371584699552</v>
      </c>
      <c r="AC6" s="470"/>
    </row>
    <row r="7" spans="1:29">
      <c r="A7" s="464" t="s">
        <v>152</v>
      </c>
      <c r="B7" s="26" t="s">
        <v>13</v>
      </c>
      <c r="C7" s="468" t="s">
        <v>448</v>
      </c>
      <c r="D7" s="469"/>
      <c r="E7" s="26">
        <v>50.67</v>
      </c>
      <c r="F7" s="417">
        <v>1901</v>
      </c>
      <c r="G7" s="407">
        <f t="shared" si="4"/>
        <v>96323.67</v>
      </c>
      <c r="H7" s="76" t="s">
        <v>57</v>
      </c>
      <c r="I7" s="415">
        <v>18</v>
      </c>
      <c r="J7" s="18">
        <v>1800</v>
      </c>
      <c r="K7" s="9">
        <f t="shared" si="5"/>
        <v>100</v>
      </c>
      <c r="L7" s="415">
        <v>18</v>
      </c>
      <c r="M7" s="10">
        <f t="shared" ref="M7" si="8">F7/V7*60</f>
        <v>1653.0434782608716</v>
      </c>
      <c r="N7" s="9">
        <f t="shared" si="6"/>
        <v>91.835748792270635</v>
      </c>
      <c r="O7" s="11">
        <f t="shared" si="0"/>
        <v>0</v>
      </c>
      <c r="P7" s="12">
        <f t="shared" si="1"/>
        <v>-8.1642512077293645</v>
      </c>
      <c r="Q7" s="409">
        <f t="shared" si="7"/>
        <v>0.91835748792270633</v>
      </c>
      <c r="R7" s="470"/>
      <c r="S7" s="24">
        <v>0.77847222222222223</v>
      </c>
      <c r="T7" s="24">
        <v>0.82638888888888884</v>
      </c>
      <c r="U7" s="407">
        <f t="shared" ref="U7" si="9">(S7-T6)*24*60</f>
        <v>6.9999999999999751</v>
      </c>
      <c r="V7" s="416">
        <f t="shared" ref="V7" si="10">(T7-S7)*24*60</f>
        <v>68.999999999999915</v>
      </c>
      <c r="W7" s="14"/>
      <c r="X7" s="14"/>
      <c r="Y7" s="473"/>
      <c r="Z7" s="474"/>
      <c r="AA7" s="11">
        <f t="shared" si="2"/>
        <v>-146.95652173912845</v>
      </c>
      <c r="AB7" s="409">
        <f t="shared" si="3"/>
        <v>0.91835748792270644</v>
      </c>
      <c r="AC7" s="470"/>
    </row>
    <row r="8" spans="1:29">
      <c r="A8" s="464" t="s">
        <v>152</v>
      </c>
      <c r="B8" s="26" t="s">
        <v>154</v>
      </c>
      <c r="C8" s="466"/>
      <c r="D8" s="466"/>
      <c r="E8" s="408"/>
      <c r="F8" s="16"/>
      <c r="G8" s="9"/>
      <c r="H8" s="417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1668.2978651189626</v>
      </c>
      <c r="N8" s="9">
        <f>M8/L8</f>
        <v>98.135168536409566</v>
      </c>
      <c r="O8" s="11">
        <f>L8-I8</f>
        <v>0</v>
      </c>
      <c r="P8" s="12">
        <f>N8-K8</f>
        <v>-7.7471844047668981</v>
      </c>
      <c r="Q8" s="409">
        <f>N8/K8</f>
        <v>0.92683214728831265</v>
      </c>
      <c r="R8" s="470"/>
      <c r="S8" s="24"/>
      <c r="T8" s="24"/>
      <c r="U8" s="407"/>
      <c r="V8" s="416"/>
      <c r="W8" s="9"/>
      <c r="X8" s="9"/>
      <c r="Y8" s="456"/>
      <c r="Z8" s="456"/>
      <c r="AA8" s="11">
        <f t="shared" si="2"/>
        <v>-131.70213488103741</v>
      </c>
      <c r="AB8" s="409">
        <f>M8/J8</f>
        <v>0.92683214728831254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417">
        <v>4127</v>
      </c>
      <c r="G9" s="407">
        <f t="shared" ref="G9:G12" si="11">E9*F9</f>
        <v>163511.74</v>
      </c>
      <c r="H9" s="76" t="s">
        <v>57</v>
      </c>
      <c r="I9" s="415">
        <v>19</v>
      </c>
      <c r="J9" s="18">
        <v>1500</v>
      </c>
      <c r="K9" s="9">
        <f t="shared" ref="K9:K12" si="12">J9/I9</f>
        <v>78.94736842105263</v>
      </c>
      <c r="L9" s="415">
        <v>19</v>
      </c>
      <c r="M9" s="10">
        <f t="shared" ref="M9:M12" si="13">F9/V9*60</f>
        <v>1375.666666666667</v>
      </c>
      <c r="N9" s="9">
        <f t="shared" ref="N9:N12" si="14">M9/L9</f>
        <v>72.403508771929836</v>
      </c>
      <c r="O9" s="11">
        <f t="shared" ref="O9:O12" si="15">L9-I9</f>
        <v>0</v>
      </c>
      <c r="P9" s="12">
        <f>N9-K9</f>
        <v>-6.5438596491227941</v>
      </c>
      <c r="Q9" s="409">
        <f>N9/K9</f>
        <v>0.91711111111111132</v>
      </c>
      <c r="R9" s="470">
        <f>Q13</f>
        <v>0.91494192174784283</v>
      </c>
      <c r="S9" s="24">
        <v>0.12986111111111112</v>
      </c>
      <c r="T9" s="24">
        <v>0.25486111111111109</v>
      </c>
      <c r="U9" s="407"/>
      <c r="V9" s="416">
        <f t="shared" ref="V9:V12" si="16">(T9-S9)*24*60</f>
        <v>179.99999999999994</v>
      </c>
      <c r="W9" s="9"/>
      <c r="X9" s="9"/>
      <c r="Y9" s="456"/>
      <c r="Z9" s="456"/>
      <c r="AA9" s="11">
        <f t="shared" si="2"/>
        <v>-124.33333333333303</v>
      </c>
      <c r="AB9" s="409">
        <f>M9/J9</f>
        <v>0.91711111111111132</v>
      </c>
      <c r="AC9" s="470">
        <f>AB13</f>
        <v>0.91494192174784283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417">
        <v>2600</v>
      </c>
      <c r="G10" s="407">
        <f t="shared" si="11"/>
        <v>103479.99999999999</v>
      </c>
      <c r="H10" s="76">
        <v>2</v>
      </c>
      <c r="I10" s="415">
        <v>18</v>
      </c>
      <c r="J10" s="18">
        <v>1500</v>
      </c>
      <c r="K10" s="9">
        <f t="shared" si="12"/>
        <v>83.333333333333329</v>
      </c>
      <c r="L10" s="415">
        <v>18</v>
      </c>
      <c r="M10" s="10">
        <f t="shared" si="13"/>
        <v>1368.421052631579</v>
      </c>
      <c r="N10" s="9">
        <f t="shared" si="14"/>
        <v>76.023391812865498</v>
      </c>
      <c r="O10" s="11">
        <f t="shared" si="15"/>
        <v>0</v>
      </c>
      <c r="P10" s="12">
        <f t="shared" ref="P10:P12" si="17">N10-K10</f>
        <v>-7.3099415204678309</v>
      </c>
      <c r="Q10" s="409">
        <f t="shared" ref="Q10:Q12" si="18">N10/K10</f>
        <v>0.91228070175438603</v>
      </c>
      <c r="R10" s="470"/>
      <c r="S10" s="24">
        <v>0.27708333333333329</v>
      </c>
      <c r="T10" s="24">
        <v>0.35624999999999996</v>
      </c>
      <c r="U10" s="407">
        <f>(S10-T9)*24*60</f>
        <v>31.999999999999964</v>
      </c>
      <c r="V10" s="416">
        <f t="shared" si="16"/>
        <v>114</v>
      </c>
      <c r="W10" s="14"/>
      <c r="X10" s="14"/>
      <c r="Y10" s="456"/>
      <c r="Z10" s="456"/>
      <c r="AA10" s="11">
        <f t="shared" si="2"/>
        <v>-131.57894736842104</v>
      </c>
      <c r="AB10" s="409">
        <f t="shared" ref="AB10:AB30" si="19">M10/J10</f>
        <v>0.91228070175438603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417">
        <v>3665</v>
      </c>
      <c r="G11" s="407">
        <f t="shared" si="11"/>
        <v>143997.85</v>
      </c>
      <c r="H11" s="76" t="s">
        <v>57</v>
      </c>
      <c r="I11" s="415">
        <v>19</v>
      </c>
      <c r="J11" s="18">
        <v>1500</v>
      </c>
      <c r="K11" s="9">
        <f t="shared" si="12"/>
        <v>78.94736842105263</v>
      </c>
      <c r="L11" s="415">
        <v>19</v>
      </c>
      <c r="M11" s="10">
        <f t="shared" si="13"/>
        <v>1374.375</v>
      </c>
      <c r="N11" s="9">
        <f t="shared" si="14"/>
        <v>72.33552631578948</v>
      </c>
      <c r="O11" s="11">
        <f t="shared" si="15"/>
        <v>0</v>
      </c>
      <c r="P11" s="12">
        <f t="shared" si="17"/>
        <v>-6.6118421052631504</v>
      </c>
      <c r="Q11" s="409">
        <f t="shared" si="18"/>
        <v>0.91625000000000012</v>
      </c>
      <c r="R11" s="470"/>
      <c r="S11" s="24">
        <v>0.36597222222222214</v>
      </c>
      <c r="T11" s="24">
        <v>0.47708333333333325</v>
      </c>
      <c r="U11" s="407">
        <f t="shared" ref="U11:U12" si="20">(S11-T10)*24*60</f>
        <v>13.99999999999995</v>
      </c>
      <c r="V11" s="416">
        <f t="shared" si="16"/>
        <v>160</v>
      </c>
      <c r="W11" s="14"/>
      <c r="X11" s="14"/>
      <c r="Y11" s="456"/>
      <c r="Z11" s="456"/>
      <c r="AA11" s="11">
        <f t="shared" si="2"/>
        <v>-125.625</v>
      </c>
      <c r="AB11" s="409">
        <f t="shared" si="19"/>
        <v>0.91625000000000001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417">
        <v>3268</v>
      </c>
      <c r="G12" s="407">
        <f t="shared" si="11"/>
        <v>130066.4</v>
      </c>
      <c r="H12" s="76" t="s">
        <v>57</v>
      </c>
      <c r="I12" s="415">
        <v>18</v>
      </c>
      <c r="J12" s="18">
        <v>1500</v>
      </c>
      <c r="K12" s="9">
        <f t="shared" si="12"/>
        <v>83.333333333333329</v>
      </c>
      <c r="L12" s="415">
        <v>18</v>
      </c>
      <c r="M12" s="10">
        <f t="shared" si="13"/>
        <v>1371.1888111888113</v>
      </c>
      <c r="N12" s="9">
        <f t="shared" si="14"/>
        <v>76.177156177156178</v>
      </c>
      <c r="O12" s="11">
        <f t="shared" si="15"/>
        <v>0</v>
      </c>
      <c r="P12" s="12">
        <f t="shared" si="17"/>
        <v>-7.1561771561771508</v>
      </c>
      <c r="Q12" s="409">
        <f t="shared" si="18"/>
        <v>0.9141258741258742</v>
      </c>
      <c r="R12" s="470"/>
      <c r="S12" s="24">
        <v>0.51527777777777761</v>
      </c>
      <c r="T12" s="24">
        <v>0.61458333333333315</v>
      </c>
      <c r="U12" s="407">
        <f t="shared" si="20"/>
        <v>54.999999999999886</v>
      </c>
      <c r="V12" s="416">
        <f t="shared" si="16"/>
        <v>142.99999999999997</v>
      </c>
      <c r="W12" s="14"/>
      <c r="X12" s="14"/>
      <c r="Y12" s="456"/>
      <c r="Z12" s="456"/>
      <c r="AA12" s="11">
        <f t="shared" si="2"/>
        <v>-128.81118881118869</v>
      </c>
      <c r="AB12" s="409">
        <f t="shared" si="19"/>
        <v>0.9141258741258742</v>
      </c>
      <c r="AC12" s="470"/>
    </row>
    <row r="13" spans="1:29" ht="16.5" customHeight="1">
      <c r="A13" s="467" t="s">
        <v>5</v>
      </c>
      <c r="B13" s="26" t="s">
        <v>1669</v>
      </c>
      <c r="C13" s="466"/>
      <c r="D13" s="466"/>
      <c r="E13" s="408"/>
      <c r="F13" s="18"/>
      <c r="G13" s="10"/>
      <c r="H13" s="417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1372.4128826217643</v>
      </c>
      <c r="N13" s="9">
        <f>M13/L13</f>
        <v>74.184480141716989</v>
      </c>
      <c r="O13" s="11">
        <f>L13-I13</f>
        <v>0</v>
      </c>
      <c r="P13" s="12">
        <f>N13-K13</f>
        <v>-6.8966009393640917</v>
      </c>
      <c r="Q13" s="409">
        <f>N13/K13</f>
        <v>0.91494192174784283</v>
      </c>
      <c r="R13" s="470"/>
      <c r="S13" s="24"/>
      <c r="T13" s="24"/>
      <c r="U13" s="9"/>
      <c r="V13" s="416"/>
      <c r="W13" s="9"/>
      <c r="X13" s="9"/>
      <c r="Y13" s="456"/>
      <c r="Z13" s="456"/>
      <c r="AA13" s="11">
        <f t="shared" si="2"/>
        <v>-127.58711737823569</v>
      </c>
      <c r="AB13" s="409">
        <f t="shared" si="19"/>
        <v>0.91494192174784283</v>
      </c>
      <c r="AC13" s="470"/>
    </row>
    <row r="14" spans="1:29" ht="16.5" customHeight="1">
      <c r="A14" s="480" t="s">
        <v>1670</v>
      </c>
      <c r="B14" s="417" t="s">
        <v>18</v>
      </c>
      <c r="C14" s="477" t="s">
        <v>19</v>
      </c>
      <c r="D14" s="477"/>
      <c r="E14" s="26">
        <v>41</v>
      </c>
      <c r="F14" s="417">
        <v>1725</v>
      </c>
      <c r="G14" s="407">
        <f t="shared" ref="G14:G18" si="21">E14*F14</f>
        <v>70725</v>
      </c>
      <c r="H14" s="76" t="s">
        <v>57</v>
      </c>
      <c r="I14" s="415">
        <v>26</v>
      </c>
      <c r="J14" s="18">
        <v>1286</v>
      </c>
      <c r="K14" s="9">
        <f>J14/I14</f>
        <v>49.46153846153846</v>
      </c>
      <c r="L14" s="415">
        <v>26</v>
      </c>
      <c r="M14" s="10">
        <f>F14/V14*60</f>
        <v>1176.1363636363635</v>
      </c>
      <c r="N14" s="9">
        <f t="shared" ref="N14:N29" si="22">M14/L14</f>
        <v>45.23601398601398</v>
      </c>
      <c r="O14" s="11">
        <f t="shared" ref="O14" si="23">L14-I14</f>
        <v>0</v>
      </c>
      <c r="P14" s="12">
        <f t="shared" ref="P14" si="24">N14-K14</f>
        <v>-4.2255244755244803</v>
      </c>
      <c r="Q14" s="409">
        <f>N14/K14</f>
        <v>0.91456948960836981</v>
      </c>
      <c r="R14" s="470">
        <f>Q19</f>
        <v>0.91989729052804348</v>
      </c>
      <c r="S14" s="24">
        <v>0.25</v>
      </c>
      <c r="T14" s="24">
        <v>0.31111111111111112</v>
      </c>
      <c r="U14" s="407"/>
      <c r="V14" s="416">
        <f>(T14-S14)*24*60</f>
        <v>88</v>
      </c>
      <c r="W14" s="15"/>
      <c r="X14" s="15"/>
      <c r="Y14" s="456"/>
      <c r="Z14" s="456"/>
      <c r="AA14" s="11">
        <f t="shared" si="2"/>
        <v>-109.86363636363649</v>
      </c>
      <c r="AB14" s="409">
        <f t="shared" si="19"/>
        <v>0.91456948960836981</v>
      </c>
      <c r="AC14" s="470">
        <f>AB19</f>
        <v>0.91989729052804337</v>
      </c>
    </row>
    <row r="15" spans="1:29" ht="16.5" customHeight="1">
      <c r="A15" s="481" t="s">
        <v>6</v>
      </c>
      <c r="B15" s="417" t="s">
        <v>15</v>
      </c>
      <c r="C15" s="477" t="s">
        <v>54</v>
      </c>
      <c r="D15" s="477"/>
      <c r="E15" s="26">
        <v>39.29</v>
      </c>
      <c r="F15" s="417">
        <v>3081</v>
      </c>
      <c r="G15" s="407">
        <f t="shared" si="21"/>
        <v>121052.48999999999</v>
      </c>
      <c r="H15" s="76" t="s">
        <v>57</v>
      </c>
      <c r="I15" s="415">
        <v>18</v>
      </c>
      <c r="J15" s="18">
        <v>1500</v>
      </c>
      <c r="K15" s="9">
        <f>J15/I15</f>
        <v>83.333333333333329</v>
      </c>
      <c r="L15" s="415">
        <v>18</v>
      </c>
      <c r="M15" s="10">
        <f>F15/V15*60</f>
        <v>1369.3333333333335</v>
      </c>
      <c r="N15" s="9">
        <f t="shared" si="22"/>
        <v>76.074074074074076</v>
      </c>
      <c r="O15" s="11">
        <f>L15-I15</f>
        <v>0</v>
      </c>
      <c r="P15" s="12">
        <f>N15-K15</f>
        <v>-7.2592592592592524</v>
      </c>
      <c r="Q15" s="409">
        <f>N15/K15</f>
        <v>0.91288888888888897</v>
      </c>
      <c r="R15" s="470"/>
      <c r="S15" s="24">
        <v>0.31944444444444442</v>
      </c>
      <c r="T15" s="24">
        <v>0.41319444444444442</v>
      </c>
      <c r="U15" s="407">
        <f>(S15-T14)*24*60</f>
        <v>11.999999999999957</v>
      </c>
      <c r="V15" s="416">
        <f>(T15-S15)*24*60</f>
        <v>135</v>
      </c>
      <c r="W15" s="14"/>
      <c r="X15" s="14"/>
      <c r="Y15" s="456"/>
      <c r="Z15" s="456"/>
      <c r="AA15" s="11">
        <f t="shared" si="2"/>
        <v>-130.66666666666652</v>
      </c>
      <c r="AB15" s="409">
        <f t="shared" si="19"/>
        <v>0.91288888888888897</v>
      </c>
      <c r="AC15" s="470"/>
    </row>
    <row r="16" spans="1:29" ht="16.5" customHeight="1">
      <c r="A16" s="481" t="s">
        <v>6</v>
      </c>
      <c r="B16" s="417" t="s">
        <v>13</v>
      </c>
      <c r="C16" s="477" t="s">
        <v>63</v>
      </c>
      <c r="D16" s="477"/>
      <c r="E16" s="26">
        <v>50.98</v>
      </c>
      <c r="F16" s="417">
        <v>2331</v>
      </c>
      <c r="G16" s="407">
        <f t="shared" si="21"/>
        <v>118834.37999999999</v>
      </c>
      <c r="H16" s="76" t="s">
        <v>57</v>
      </c>
      <c r="I16" s="415">
        <v>17</v>
      </c>
      <c r="J16" s="18">
        <v>1800</v>
      </c>
      <c r="K16" s="9">
        <f t="shared" ref="K16:K18" si="25">J16/I16</f>
        <v>105.88235294117646</v>
      </c>
      <c r="L16" s="415">
        <v>17</v>
      </c>
      <c r="M16" s="10">
        <f t="shared" ref="M16:M18" si="26">F16/V16*60</f>
        <v>1645.411764705882</v>
      </c>
      <c r="N16" s="9">
        <f t="shared" si="22"/>
        <v>96.788927335640111</v>
      </c>
      <c r="O16" s="11">
        <f t="shared" ref="O16:O18" si="27">L16-I16</f>
        <v>0</v>
      </c>
      <c r="P16" s="12">
        <f t="shared" ref="P16:P18" si="28">N16-K16</f>
        <v>-9.0934256055363534</v>
      </c>
      <c r="Q16" s="409">
        <f t="shared" ref="Q16:Q29" si="29">N16/K16</f>
        <v>0.91411764705882337</v>
      </c>
      <c r="R16" s="470"/>
      <c r="S16" s="24">
        <v>0.70833333333333337</v>
      </c>
      <c r="T16" s="24">
        <v>0.76736111111111116</v>
      </c>
      <c r="U16" s="407">
        <f t="shared" ref="U16:U18" si="30">(S16-T15)*24*60</f>
        <v>425.00000000000011</v>
      </c>
      <c r="V16" s="416">
        <f t="shared" ref="V16:V18" si="31">(T16-S16)*24*60</f>
        <v>85.000000000000014</v>
      </c>
      <c r="W16" s="14"/>
      <c r="X16" s="14"/>
      <c r="Y16" s="456"/>
      <c r="Z16" s="456"/>
      <c r="AA16" s="11">
        <f t="shared" si="2"/>
        <v>-154.58823529411802</v>
      </c>
      <c r="AB16" s="409">
        <f t="shared" si="19"/>
        <v>0.91411764705882337</v>
      </c>
      <c r="AC16" s="470"/>
    </row>
    <row r="17" spans="1:29" ht="16.5" customHeight="1">
      <c r="A17" s="481" t="s">
        <v>6</v>
      </c>
      <c r="B17" s="417" t="s">
        <v>13</v>
      </c>
      <c r="C17" s="477" t="s">
        <v>66</v>
      </c>
      <c r="D17" s="477"/>
      <c r="E17" s="26">
        <v>57.73</v>
      </c>
      <c r="F17" s="417">
        <v>1403</v>
      </c>
      <c r="G17" s="407">
        <f t="shared" si="21"/>
        <v>80995.19</v>
      </c>
      <c r="H17" s="76" t="s">
        <v>57</v>
      </c>
      <c r="I17" s="415">
        <v>16</v>
      </c>
      <c r="J17" s="18">
        <v>1500</v>
      </c>
      <c r="K17" s="9">
        <f t="shared" si="25"/>
        <v>93.75</v>
      </c>
      <c r="L17" s="415">
        <v>16</v>
      </c>
      <c r="M17" s="10">
        <f t="shared" si="26"/>
        <v>1380.0000000000014</v>
      </c>
      <c r="N17" s="9">
        <f t="shared" si="22"/>
        <v>86.250000000000085</v>
      </c>
      <c r="O17" s="11">
        <f t="shared" si="27"/>
        <v>0</v>
      </c>
      <c r="P17" s="12">
        <f t="shared" si="28"/>
        <v>-7.4999999999999147</v>
      </c>
      <c r="Q17" s="409">
        <f t="shared" si="29"/>
        <v>0.92000000000000093</v>
      </c>
      <c r="R17" s="470"/>
      <c r="S17" s="24">
        <v>0.77083333333333337</v>
      </c>
      <c r="T17" s="24">
        <v>0.81319444444444444</v>
      </c>
      <c r="U17" s="407">
        <f t="shared" si="30"/>
        <v>4.9999999999999822</v>
      </c>
      <c r="V17" s="416">
        <f t="shared" si="31"/>
        <v>60.999999999999943</v>
      </c>
      <c r="W17" s="14"/>
      <c r="X17" s="14"/>
      <c r="Y17" s="456"/>
      <c r="Z17" s="456"/>
      <c r="AA17" s="11">
        <f t="shared" si="2"/>
        <v>-119.99999999999864</v>
      </c>
      <c r="AB17" s="409">
        <f t="shared" si="19"/>
        <v>0.92000000000000093</v>
      </c>
      <c r="AC17" s="470"/>
    </row>
    <row r="18" spans="1:29" ht="16.5" customHeight="1">
      <c r="A18" s="481" t="s">
        <v>6</v>
      </c>
      <c r="B18" s="417" t="s">
        <v>13</v>
      </c>
      <c r="C18" s="477" t="s">
        <v>1523</v>
      </c>
      <c r="D18" s="477"/>
      <c r="E18" s="26">
        <v>54.09</v>
      </c>
      <c r="F18" s="417">
        <v>982</v>
      </c>
      <c r="G18" s="407">
        <f t="shared" si="21"/>
        <v>53116.380000000005</v>
      </c>
      <c r="H18" s="76" t="s">
        <v>57</v>
      </c>
      <c r="I18" s="415">
        <v>20</v>
      </c>
      <c r="J18" s="18">
        <v>1800</v>
      </c>
      <c r="K18" s="9">
        <f t="shared" si="25"/>
        <v>90</v>
      </c>
      <c r="L18" s="415">
        <v>20</v>
      </c>
      <c r="M18" s="10">
        <f t="shared" si="26"/>
        <v>1683.4285714285697</v>
      </c>
      <c r="N18" s="9">
        <f t="shared" si="22"/>
        <v>84.171428571428493</v>
      </c>
      <c r="O18" s="11">
        <f t="shared" si="27"/>
        <v>0</v>
      </c>
      <c r="P18" s="12">
        <f t="shared" si="28"/>
        <v>-5.8285714285715073</v>
      </c>
      <c r="Q18" s="409">
        <f t="shared" si="29"/>
        <v>0.93523809523809431</v>
      </c>
      <c r="R18" s="470"/>
      <c r="S18" s="24">
        <v>0.85138888888888886</v>
      </c>
      <c r="T18" s="24">
        <v>0.87569444444444444</v>
      </c>
      <c r="U18" s="407">
        <f t="shared" si="30"/>
        <v>54.999999999999964</v>
      </c>
      <c r="V18" s="416">
        <f t="shared" si="31"/>
        <v>35.000000000000036</v>
      </c>
      <c r="W18" s="14"/>
      <c r="X18" s="14"/>
      <c r="Y18" s="456"/>
      <c r="Z18" s="456"/>
      <c r="AA18" s="11">
        <f t="shared" si="2"/>
        <v>-116.57142857143026</v>
      </c>
      <c r="AB18" s="409">
        <f t="shared" si="19"/>
        <v>0.93523809523809431</v>
      </c>
      <c r="AC18" s="470"/>
    </row>
    <row r="19" spans="1:29" ht="16.5" customHeight="1">
      <c r="A19" s="481" t="s">
        <v>6</v>
      </c>
      <c r="B19" s="26" t="s">
        <v>154</v>
      </c>
      <c r="C19" s="466"/>
      <c r="D19" s="466"/>
      <c r="E19" s="408"/>
      <c r="F19" s="16"/>
      <c r="G19" s="9"/>
      <c r="H19" s="417"/>
      <c r="I19" s="17">
        <v>19.399999999999999</v>
      </c>
      <c r="J19" s="18">
        <v>1577.2</v>
      </c>
      <c r="K19" s="9">
        <f>J19/I19</f>
        <v>81.298969072164951</v>
      </c>
      <c r="L19" s="17">
        <v>19.399999999999999</v>
      </c>
      <c r="M19" s="10">
        <f>AVERAGE(M14:M18)</f>
        <v>1450.86200662083</v>
      </c>
      <c r="N19" s="9">
        <f t="shared" si="22"/>
        <v>74.786701372207744</v>
      </c>
      <c r="O19" s="11">
        <f>L19-I19</f>
        <v>0</v>
      </c>
      <c r="P19" s="12">
        <f>N19-K19</f>
        <v>-6.5122676999572064</v>
      </c>
      <c r="Q19" s="409">
        <f t="shared" si="29"/>
        <v>0.91989729052804348</v>
      </c>
      <c r="R19" s="470"/>
      <c r="S19" s="24"/>
      <c r="T19" s="24"/>
      <c r="U19" s="407"/>
      <c r="V19" s="416"/>
      <c r="W19" s="9"/>
      <c r="X19" s="9"/>
      <c r="Y19" s="456"/>
      <c r="Z19" s="456"/>
      <c r="AA19" s="11">
        <f t="shared" si="2"/>
        <v>-126.33799337917003</v>
      </c>
      <c r="AB19" s="409">
        <f t="shared" si="19"/>
        <v>0.91989729052804337</v>
      </c>
      <c r="AC19" s="470"/>
    </row>
    <row r="20" spans="1:29" ht="15.75" customHeight="1">
      <c r="A20" s="478" t="s">
        <v>156</v>
      </c>
      <c r="B20" s="26" t="s">
        <v>21</v>
      </c>
      <c r="C20" s="477" t="s">
        <v>22</v>
      </c>
      <c r="D20" s="477"/>
      <c r="E20" s="26">
        <v>43.14</v>
      </c>
      <c r="F20" s="417">
        <v>1210</v>
      </c>
      <c r="G20" s="407">
        <f t="shared" ref="G20:G29" si="32">E20*F20</f>
        <v>52199.4</v>
      </c>
      <c r="H20" s="76" t="s">
        <v>57</v>
      </c>
      <c r="I20" s="415">
        <v>17</v>
      </c>
      <c r="J20" s="18">
        <v>1200</v>
      </c>
      <c r="K20" s="9">
        <f t="shared" ref="K20:K30" si="33">J20/I20</f>
        <v>70.588235294117652</v>
      </c>
      <c r="L20" s="415">
        <v>17</v>
      </c>
      <c r="M20" s="10">
        <f t="shared" ref="M20:M29" si="34">F20/V20*60</f>
        <v>1100</v>
      </c>
      <c r="N20" s="9">
        <f t="shared" si="22"/>
        <v>64.705882352941174</v>
      </c>
      <c r="O20" s="11">
        <f t="shared" ref="O20:O29" si="35">L20-I20</f>
        <v>0</v>
      </c>
      <c r="P20" s="12">
        <f t="shared" ref="P20:P29" si="36">N20-K20</f>
        <v>-5.8823529411764781</v>
      </c>
      <c r="Q20" s="409">
        <f t="shared" si="29"/>
        <v>0.91666666666666652</v>
      </c>
      <c r="R20" s="470">
        <f>Q30</f>
        <v>0.92284246185320229</v>
      </c>
      <c r="S20" s="24">
        <v>0.16666666666666666</v>
      </c>
      <c r="T20" s="24">
        <v>0.21249999999999999</v>
      </c>
      <c r="U20" s="407"/>
      <c r="V20" s="416">
        <f>(T20-S20)*24*60</f>
        <v>66</v>
      </c>
      <c r="W20" s="15"/>
      <c r="X20" s="15"/>
      <c r="Y20" s="456"/>
      <c r="Z20" s="456"/>
      <c r="AA20" s="11">
        <f t="shared" si="2"/>
        <v>-100</v>
      </c>
      <c r="AB20" s="409">
        <f t="shared" si="19"/>
        <v>0.91666666666666663</v>
      </c>
      <c r="AC20" s="470">
        <f>AB30</f>
        <v>0.92284246185320229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417">
        <v>2866</v>
      </c>
      <c r="G21" s="407">
        <f t="shared" si="32"/>
        <v>165454.18</v>
      </c>
      <c r="H21" s="76" t="s">
        <v>57</v>
      </c>
      <c r="I21" s="415">
        <v>16</v>
      </c>
      <c r="J21" s="18">
        <v>1800</v>
      </c>
      <c r="K21" s="9">
        <f t="shared" si="33"/>
        <v>112.5</v>
      </c>
      <c r="L21" s="415">
        <v>16</v>
      </c>
      <c r="M21" s="10">
        <f t="shared" si="34"/>
        <v>1653.4615384615386</v>
      </c>
      <c r="N21" s="9">
        <f t="shared" si="22"/>
        <v>103.34134615384616</v>
      </c>
      <c r="O21" s="11">
        <f t="shared" si="35"/>
        <v>0</v>
      </c>
      <c r="P21" s="12">
        <f t="shared" si="36"/>
        <v>-9.1586538461538396</v>
      </c>
      <c r="Q21" s="409">
        <f t="shared" si="29"/>
        <v>0.91858974358974366</v>
      </c>
      <c r="R21" s="470"/>
      <c r="S21" s="24">
        <v>0.23194444444444443</v>
      </c>
      <c r="T21" s="24">
        <v>0.30416666666666664</v>
      </c>
      <c r="U21" s="407">
        <f>(S21-T20)*24*60</f>
        <v>27.999999999999979</v>
      </c>
      <c r="V21" s="416">
        <f t="shared" ref="V21:V29" si="37">(T21-S21)*24*60</f>
        <v>103.99999999999999</v>
      </c>
      <c r="W21" s="14"/>
      <c r="X21" s="407"/>
      <c r="Y21" s="456"/>
      <c r="Z21" s="456"/>
      <c r="AA21" s="11">
        <f t="shared" si="2"/>
        <v>-146.53846153846143</v>
      </c>
      <c r="AB21" s="409">
        <f t="shared" si="19"/>
        <v>0.91858974358974366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417">
        <v>1678</v>
      </c>
      <c r="G22" s="407">
        <f t="shared" si="32"/>
        <v>90075.04</v>
      </c>
      <c r="H22" s="76" t="s">
        <v>57</v>
      </c>
      <c r="I22" s="415">
        <v>17</v>
      </c>
      <c r="J22" s="18">
        <v>1800</v>
      </c>
      <c r="K22" s="9">
        <f t="shared" si="33"/>
        <v>105.88235294117646</v>
      </c>
      <c r="L22" s="415">
        <v>17</v>
      </c>
      <c r="M22" s="10">
        <f t="shared" si="34"/>
        <v>1650.4918032786879</v>
      </c>
      <c r="N22" s="9">
        <f t="shared" si="22"/>
        <v>97.087753134040469</v>
      </c>
      <c r="O22" s="11">
        <f t="shared" si="35"/>
        <v>0</v>
      </c>
      <c r="P22" s="12">
        <f t="shared" si="36"/>
        <v>-8.7945998071359952</v>
      </c>
      <c r="Q22" s="409">
        <f t="shared" si="29"/>
        <v>0.91693989071038229</v>
      </c>
      <c r="R22" s="470"/>
      <c r="S22" s="24">
        <v>0.30833333333333329</v>
      </c>
      <c r="T22" s="24">
        <v>0.35069444444444442</v>
      </c>
      <c r="U22" s="407">
        <f t="shared" ref="U22:U29" si="38">(S22-T21)*24*60</f>
        <v>5.9999999999999787</v>
      </c>
      <c r="V22" s="416">
        <f t="shared" si="37"/>
        <v>61.000000000000021</v>
      </c>
      <c r="W22" s="14"/>
      <c r="X22" s="407"/>
      <c r="Y22" s="456"/>
      <c r="Z22" s="456"/>
      <c r="AA22" s="11">
        <f t="shared" si="2"/>
        <v>-149.50819672131206</v>
      </c>
      <c r="AB22" s="409">
        <f t="shared" si="19"/>
        <v>0.91693989071038218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417">
        <v>986</v>
      </c>
      <c r="G23" s="407">
        <f t="shared" si="32"/>
        <v>49960.62</v>
      </c>
      <c r="H23" s="76" t="s">
        <v>57</v>
      </c>
      <c r="I23" s="415">
        <v>16</v>
      </c>
      <c r="J23" s="18">
        <v>1800</v>
      </c>
      <c r="K23" s="9">
        <f t="shared" si="33"/>
        <v>112.5</v>
      </c>
      <c r="L23" s="415">
        <v>16</v>
      </c>
      <c r="M23" s="10">
        <f t="shared" si="34"/>
        <v>1643.3333333333321</v>
      </c>
      <c r="N23" s="9">
        <f t="shared" si="22"/>
        <v>102.70833333333326</v>
      </c>
      <c r="O23" s="11">
        <f t="shared" si="35"/>
        <v>0</v>
      </c>
      <c r="P23" s="12">
        <f t="shared" si="36"/>
        <v>-9.7916666666667425</v>
      </c>
      <c r="Q23" s="409">
        <f t="shared" si="29"/>
        <v>0.91296296296296231</v>
      </c>
      <c r="R23" s="470"/>
      <c r="S23" s="24">
        <v>0.35416666666666663</v>
      </c>
      <c r="T23" s="24">
        <v>0.37916666666666665</v>
      </c>
      <c r="U23" s="407">
        <f t="shared" si="38"/>
        <v>4.9999999999999822</v>
      </c>
      <c r="V23" s="416">
        <f t="shared" si="37"/>
        <v>36.000000000000028</v>
      </c>
      <c r="W23" s="14"/>
      <c r="X23" s="407"/>
      <c r="Y23" s="456"/>
      <c r="Z23" s="456"/>
      <c r="AA23" s="11">
        <f t="shared" si="2"/>
        <v>-156.66666666666788</v>
      </c>
      <c r="AB23" s="409">
        <f t="shared" si="19"/>
        <v>0.91296296296296231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417">
        <v>2849</v>
      </c>
      <c r="G24" s="407">
        <f t="shared" si="32"/>
        <v>165726.33000000002</v>
      </c>
      <c r="H24" s="76" t="s">
        <v>57</v>
      </c>
      <c r="I24" s="415">
        <v>18</v>
      </c>
      <c r="J24" s="18">
        <v>1800</v>
      </c>
      <c r="K24" s="9">
        <f t="shared" si="33"/>
        <v>100</v>
      </c>
      <c r="L24" s="415">
        <v>18</v>
      </c>
      <c r="M24" s="10">
        <f t="shared" si="34"/>
        <v>1643.6538461538457</v>
      </c>
      <c r="N24" s="9">
        <f t="shared" si="22"/>
        <v>91.314102564102541</v>
      </c>
      <c r="O24" s="11">
        <f t="shared" si="35"/>
        <v>0</v>
      </c>
      <c r="P24" s="12">
        <f t="shared" si="36"/>
        <v>-8.6858974358974592</v>
      </c>
      <c r="Q24" s="409">
        <f t="shared" si="29"/>
        <v>0.91314102564102539</v>
      </c>
      <c r="R24" s="470"/>
      <c r="S24" s="24">
        <v>0.38263888888888886</v>
      </c>
      <c r="T24" s="24">
        <v>0.4548611111111111</v>
      </c>
      <c r="U24" s="407">
        <f t="shared" si="38"/>
        <v>4.9999999999999822</v>
      </c>
      <c r="V24" s="416">
        <f t="shared" si="37"/>
        <v>104.00000000000003</v>
      </c>
      <c r="W24" s="14"/>
      <c r="X24" s="407"/>
      <c r="Y24" s="456"/>
      <c r="Z24" s="456"/>
      <c r="AA24" s="11">
        <f t="shared" si="2"/>
        <v>-156.34615384615427</v>
      </c>
      <c r="AB24" s="409">
        <f t="shared" si="19"/>
        <v>0.91314102564102539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417">
        <v>1000</v>
      </c>
      <c r="G25" s="407">
        <f t="shared" si="32"/>
        <v>50920</v>
      </c>
      <c r="H25" s="76">
        <v>2</v>
      </c>
      <c r="I25" s="415">
        <v>16</v>
      </c>
      <c r="J25" s="18">
        <v>1800</v>
      </c>
      <c r="K25" s="9">
        <f t="shared" si="33"/>
        <v>112.5</v>
      </c>
      <c r="L25" s="415">
        <v>16</v>
      </c>
      <c r="M25" s="10">
        <f t="shared" si="34"/>
        <v>1666.6666666666654</v>
      </c>
      <c r="N25" s="9">
        <f t="shared" si="22"/>
        <v>104.16666666666659</v>
      </c>
      <c r="O25" s="11">
        <f t="shared" si="35"/>
        <v>0</v>
      </c>
      <c r="P25" s="12">
        <f t="shared" si="36"/>
        <v>-8.3333333333334139</v>
      </c>
      <c r="Q25" s="409">
        <f t="shared" si="29"/>
        <v>0.92592592592592526</v>
      </c>
      <c r="R25" s="470"/>
      <c r="S25" s="24">
        <v>0.70833333333333337</v>
      </c>
      <c r="T25" s="24">
        <v>0.73333333333333339</v>
      </c>
      <c r="U25" s="407">
        <f t="shared" si="38"/>
        <v>365.00000000000006</v>
      </c>
      <c r="V25" s="416">
        <f t="shared" si="37"/>
        <v>36.000000000000028</v>
      </c>
      <c r="W25" s="14"/>
      <c r="X25" s="15"/>
      <c r="Y25" s="456"/>
      <c r="Z25" s="456"/>
      <c r="AA25" s="11">
        <f t="shared" si="2"/>
        <v>-133.33333333333462</v>
      </c>
      <c r="AB25" s="409">
        <f t="shared" si="19"/>
        <v>0.92592592592592526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417">
        <v>436</v>
      </c>
      <c r="G26" s="407">
        <f t="shared" si="32"/>
        <v>23225.72</v>
      </c>
      <c r="H26" s="76" t="s">
        <v>57</v>
      </c>
      <c r="I26" s="415">
        <v>15</v>
      </c>
      <c r="J26" s="18">
        <v>1800</v>
      </c>
      <c r="K26" s="9">
        <f t="shared" si="33"/>
        <v>120</v>
      </c>
      <c r="L26" s="415">
        <v>15</v>
      </c>
      <c r="M26" s="10">
        <f t="shared" si="34"/>
        <v>1744.0000000000061</v>
      </c>
      <c r="N26" s="9">
        <f t="shared" si="22"/>
        <v>116.26666666666708</v>
      </c>
      <c r="O26" s="11">
        <f t="shared" si="35"/>
        <v>0</v>
      </c>
      <c r="P26" s="12">
        <f t="shared" si="36"/>
        <v>-3.7333333333329222</v>
      </c>
      <c r="Q26" s="409">
        <f t="shared" si="29"/>
        <v>0.96888888888889235</v>
      </c>
      <c r="R26" s="470"/>
      <c r="S26" s="24">
        <v>0.7368055555555556</v>
      </c>
      <c r="T26" s="24">
        <v>0.74722222222222223</v>
      </c>
      <c r="U26" s="407">
        <f t="shared" si="38"/>
        <v>4.9999999999999822</v>
      </c>
      <c r="V26" s="416">
        <f t="shared" si="37"/>
        <v>14.999999999999947</v>
      </c>
      <c r="W26" s="14"/>
      <c r="X26" s="15"/>
      <c r="Y26" s="473"/>
      <c r="Z26" s="474"/>
      <c r="AA26" s="11">
        <f t="shared" si="2"/>
        <v>-55.999999999993861</v>
      </c>
      <c r="AB26" s="409">
        <f t="shared" si="19"/>
        <v>0.96888888888889235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49.91</v>
      </c>
      <c r="F27" s="417">
        <v>663</v>
      </c>
      <c r="G27" s="407">
        <f t="shared" si="32"/>
        <v>33090.329999999994</v>
      </c>
      <c r="H27" s="76" t="s">
        <v>57</v>
      </c>
      <c r="I27" s="415">
        <v>16</v>
      </c>
      <c r="J27" s="18">
        <v>1800</v>
      </c>
      <c r="K27" s="9">
        <f t="shared" si="33"/>
        <v>112.5</v>
      </c>
      <c r="L27" s="415">
        <v>16</v>
      </c>
      <c r="M27" s="10">
        <f t="shared" si="34"/>
        <v>1657.499999999995</v>
      </c>
      <c r="N27" s="9">
        <f t="shared" si="22"/>
        <v>103.59374999999969</v>
      </c>
      <c r="O27" s="11">
        <f t="shared" si="35"/>
        <v>0</v>
      </c>
      <c r="P27" s="12">
        <f t="shared" si="36"/>
        <v>-8.9062500000003126</v>
      </c>
      <c r="Q27" s="409">
        <f t="shared" si="29"/>
        <v>0.92083333333333051</v>
      </c>
      <c r="R27" s="470"/>
      <c r="S27" s="24">
        <v>0.75069444444444444</v>
      </c>
      <c r="T27" s="24">
        <v>0.76736111111111116</v>
      </c>
      <c r="U27" s="407">
        <f t="shared" si="38"/>
        <v>4.9999999999999822</v>
      </c>
      <c r="V27" s="416">
        <f t="shared" si="37"/>
        <v>24.000000000000075</v>
      </c>
      <c r="W27" s="14"/>
      <c r="X27" s="14"/>
      <c r="Y27" s="473"/>
      <c r="Z27" s="474"/>
      <c r="AA27" s="11">
        <f t="shared" si="2"/>
        <v>-142.500000000005</v>
      </c>
      <c r="AB27" s="409">
        <f t="shared" si="19"/>
        <v>0.92083333333333051</v>
      </c>
      <c r="AC27" s="470"/>
    </row>
    <row r="28" spans="1:29" ht="15.75" customHeight="1">
      <c r="A28" s="479" t="s">
        <v>7</v>
      </c>
      <c r="B28" s="26" t="s">
        <v>13</v>
      </c>
      <c r="C28" s="482" t="s">
        <v>1523</v>
      </c>
      <c r="D28" s="483"/>
      <c r="E28" s="26">
        <v>54.09</v>
      </c>
      <c r="F28" s="417">
        <v>2500</v>
      </c>
      <c r="G28" s="407">
        <f t="shared" si="32"/>
        <v>135225</v>
      </c>
      <c r="H28" s="76">
        <v>2</v>
      </c>
      <c r="I28" s="415">
        <v>20</v>
      </c>
      <c r="J28" s="18">
        <v>1800</v>
      </c>
      <c r="K28" s="9">
        <f t="shared" si="33"/>
        <v>90</v>
      </c>
      <c r="L28" s="415">
        <v>20</v>
      </c>
      <c r="M28" s="10">
        <f t="shared" si="34"/>
        <v>1648.3516483516482</v>
      </c>
      <c r="N28" s="9">
        <f t="shared" si="22"/>
        <v>82.417582417582409</v>
      </c>
      <c r="O28" s="11">
        <f t="shared" si="35"/>
        <v>0</v>
      </c>
      <c r="P28" s="12">
        <f t="shared" si="36"/>
        <v>-7.582417582417591</v>
      </c>
      <c r="Q28" s="409">
        <f t="shared" si="29"/>
        <v>0.91575091575091561</v>
      </c>
      <c r="R28" s="470"/>
      <c r="S28" s="24">
        <v>0.77083333333333337</v>
      </c>
      <c r="T28" s="24">
        <v>0.83402777777777781</v>
      </c>
      <c r="U28" s="407">
        <f t="shared" si="38"/>
        <v>4.9999999999999822</v>
      </c>
      <c r="V28" s="416">
        <f t="shared" si="37"/>
        <v>91</v>
      </c>
      <c r="W28" s="14"/>
      <c r="X28" s="14"/>
      <c r="Y28" s="473"/>
      <c r="Z28" s="474"/>
      <c r="AA28" s="11">
        <f t="shared" si="2"/>
        <v>-151.64835164835176</v>
      </c>
      <c r="AB28" s="409">
        <f t="shared" si="19"/>
        <v>0.91575091575091572</v>
      </c>
      <c r="AC28" s="470"/>
    </row>
    <row r="29" spans="1:29" ht="15.75" customHeight="1">
      <c r="A29" s="479" t="s">
        <v>7</v>
      </c>
      <c r="B29" s="26" t="s">
        <v>13</v>
      </c>
      <c r="C29" s="482" t="s">
        <v>59</v>
      </c>
      <c r="D29" s="483"/>
      <c r="E29" s="26">
        <v>50.92</v>
      </c>
      <c r="F29" s="417">
        <v>1540</v>
      </c>
      <c r="G29" s="407">
        <f t="shared" si="32"/>
        <v>78416.800000000003</v>
      </c>
      <c r="H29" s="76" t="s">
        <v>57</v>
      </c>
      <c r="I29" s="415">
        <v>16</v>
      </c>
      <c r="J29" s="18">
        <v>1800</v>
      </c>
      <c r="K29" s="9">
        <f t="shared" si="33"/>
        <v>112.5</v>
      </c>
      <c r="L29" s="415">
        <v>16</v>
      </c>
      <c r="M29" s="10">
        <f t="shared" si="34"/>
        <v>1650.0000000000014</v>
      </c>
      <c r="N29" s="9">
        <f t="shared" si="22"/>
        <v>103.12500000000009</v>
      </c>
      <c r="O29" s="11">
        <f t="shared" si="35"/>
        <v>0</v>
      </c>
      <c r="P29" s="12">
        <f t="shared" si="36"/>
        <v>-9.3749999999999147</v>
      </c>
      <c r="Q29" s="409">
        <f t="shared" si="29"/>
        <v>0.91666666666666741</v>
      </c>
      <c r="R29" s="470"/>
      <c r="S29" s="24">
        <v>0.87430555555555556</v>
      </c>
      <c r="T29" s="24">
        <v>0.91319444444444442</v>
      </c>
      <c r="U29" s="407">
        <f t="shared" si="38"/>
        <v>57.999999999999957</v>
      </c>
      <c r="V29" s="416">
        <f t="shared" si="37"/>
        <v>55.999999999999957</v>
      </c>
      <c r="W29" s="14"/>
      <c r="X29" s="14"/>
      <c r="Y29" s="473"/>
      <c r="Z29" s="474"/>
      <c r="AA29" s="11">
        <f t="shared" si="2"/>
        <v>-149.99999999999864</v>
      </c>
      <c r="AB29" s="409">
        <f t="shared" si="19"/>
        <v>0.91666666666666741</v>
      </c>
      <c r="AC29" s="470"/>
    </row>
    <row r="30" spans="1:29" ht="15.75" customHeight="1">
      <c r="A30" s="479" t="s">
        <v>7</v>
      </c>
      <c r="B30" s="26" t="s">
        <v>154</v>
      </c>
      <c r="C30" s="466"/>
      <c r="D30" s="466"/>
      <c r="E30" s="408"/>
      <c r="F30" s="417"/>
      <c r="G30" s="407"/>
      <c r="H30" s="417"/>
      <c r="I30" s="17">
        <v>16.7</v>
      </c>
      <c r="J30" s="18">
        <v>1740</v>
      </c>
      <c r="K30" s="9">
        <f t="shared" si="33"/>
        <v>104.19161676646706</v>
      </c>
      <c r="L30" s="17">
        <v>16.7</v>
      </c>
      <c r="M30" s="10">
        <f>AVERAGE(M20:M29)</f>
        <v>1605.7458836245719</v>
      </c>
      <c r="N30" s="9">
        <f>M30/L30</f>
        <v>96.152448121231856</v>
      </c>
      <c r="O30" s="11">
        <f>L30-I30</f>
        <v>0</v>
      </c>
      <c r="P30" s="12">
        <f>N30-K30</f>
        <v>-8.0391686452352076</v>
      </c>
      <c r="Q30" s="409">
        <f>N30/K30</f>
        <v>0.92284246185320229</v>
      </c>
      <c r="R30" s="470"/>
      <c r="S30" s="24"/>
      <c r="T30" s="24"/>
      <c r="U30" s="9"/>
      <c r="V30" s="416"/>
      <c r="W30" s="9"/>
      <c r="X30" s="9"/>
      <c r="Y30" s="456"/>
      <c r="Z30" s="456"/>
      <c r="AA30" s="11">
        <f t="shared" si="2"/>
        <v>-134.25411637542811</v>
      </c>
      <c r="AB30" s="409">
        <f t="shared" si="19"/>
        <v>0.92284246185320229</v>
      </c>
      <c r="AC30" s="470"/>
    </row>
    <row r="31" spans="1:29" ht="15.75" customHeight="1">
      <c r="A31" s="484" t="s">
        <v>1671</v>
      </c>
      <c r="B31" s="26" t="s">
        <v>24</v>
      </c>
      <c r="C31" s="477" t="s">
        <v>26</v>
      </c>
      <c r="D31" s="477"/>
      <c r="E31" s="26">
        <v>26.2</v>
      </c>
      <c r="F31" s="417">
        <v>3648</v>
      </c>
      <c r="G31" s="407">
        <f t="shared" ref="G31:G36" si="39">E31*F31</f>
        <v>95577.599999999991</v>
      </c>
      <c r="H31" s="76" t="s">
        <v>57</v>
      </c>
      <c r="I31" s="415">
        <v>20</v>
      </c>
      <c r="J31" s="18">
        <v>2400</v>
      </c>
      <c r="K31" s="9">
        <f>J31/I31</f>
        <v>120</v>
      </c>
      <c r="L31" s="415">
        <v>20</v>
      </c>
      <c r="M31" s="10">
        <f t="shared" ref="M31:M36" si="40">F31/V31*60</f>
        <v>2188.7999999999997</v>
      </c>
      <c r="N31" s="9">
        <f t="shared" ref="N31:N36" si="41">M31/L31</f>
        <v>109.43999999999998</v>
      </c>
      <c r="O31" s="11">
        <f t="shared" ref="O31:O36" si="42">L31-I31</f>
        <v>0</v>
      </c>
      <c r="P31" s="12">
        <f t="shared" ref="P31:P36" si="43">N31-K31</f>
        <v>-10.560000000000016</v>
      </c>
      <c r="Q31" s="409">
        <f t="shared" ref="Q31:Q36" si="44">N31/K31</f>
        <v>0.91199999999999981</v>
      </c>
      <c r="R31" s="470">
        <f>Q37</f>
        <v>0.9170904063670583</v>
      </c>
      <c r="S31" s="24">
        <v>0.125</v>
      </c>
      <c r="T31" s="24">
        <v>0.19444444444444445</v>
      </c>
      <c r="U31" s="407"/>
      <c r="V31" s="416">
        <f t="shared" ref="V31:V36" si="45">(T31-S31)*24*60</f>
        <v>100</v>
      </c>
      <c r="W31" s="14"/>
      <c r="X31" s="14"/>
      <c r="Y31" s="456"/>
      <c r="Z31" s="456"/>
      <c r="AA31" s="11">
        <f t="shared" si="2"/>
        <v>-211.20000000000027</v>
      </c>
      <c r="AB31" s="409">
        <f>M31/J31</f>
        <v>0.91199999999999992</v>
      </c>
      <c r="AC31" s="470">
        <f>AB37</f>
        <v>0.91709040636705841</v>
      </c>
    </row>
    <row r="32" spans="1:29" ht="15.75" customHeight="1">
      <c r="A32" s="484" t="s">
        <v>8</v>
      </c>
      <c r="B32" s="26" t="s">
        <v>24</v>
      </c>
      <c r="C32" s="477" t="s">
        <v>25</v>
      </c>
      <c r="D32" s="477"/>
      <c r="E32" s="26">
        <v>20.52</v>
      </c>
      <c r="F32" s="417">
        <v>3960</v>
      </c>
      <c r="G32" s="407">
        <f t="shared" si="39"/>
        <v>81259.199999999997</v>
      </c>
      <c r="H32" s="76" t="s">
        <v>57</v>
      </c>
      <c r="I32" s="415">
        <v>18</v>
      </c>
      <c r="J32" s="18">
        <v>2400</v>
      </c>
      <c r="K32" s="9">
        <f t="shared" ref="K32:K37" si="46">J32/I32</f>
        <v>133.33333333333334</v>
      </c>
      <c r="L32" s="415">
        <v>18</v>
      </c>
      <c r="M32" s="10">
        <f t="shared" si="40"/>
        <v>2200</v>
      </c>
      <c r="N32" s="9">
        <f t="shared" si="41"/>
        <v>122.22222222222223</v>
      </c>
      <c r="O32" s="11">
        <f t="shared" si="42"/>
        <v>0</v>
      </c>
      <c r="P32" s="12">
        <f t="shared" si="43"/>
        <v>-11.111111111111114</v>
      </c>
      <c r="Q32" s="409">
        <f t="shared" si="44"/>
        <v>0.91666666666666663</v>
      </c>
      <c r="R32" s="470"/>
      <c r="S32" s="24">
        <v>0.21180555555555552</v>
      </c>
      <c r="T32" s="24">
        <v>0.28680555555555554</v>
      </c>
      <c r="U32" s="407">
        <f>(S32-T31)*24*60</f>
        <v>24.99999999999995</v>
      </c>
      <c r="V32" s="416">
        <f t="shared" si="45"/>
        <v>108.00000000000001</v>
      </c>
      <c r="W32" s="14"/>
      <c r="X32" s="14"/>
      <c r="Y32" s="456"/>
      <c r="Z32" s="456"/>
      <c r="AA32" s="11">
        <f t="shared" si="2"/>
        <v>-200</v>
      </c>
      <c r="AB32" s="409">
        <f t="shared" ref="AB32:AB36" si="47">M32/J32</f>
        <v>0.91666666666666663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417">
        <v>3500</v>
      </c>
      <c r="G33" s="407">
        <f t="shared" si="39"/>
        <v>109515</v>
      </c>
      <c r="H33" s="76">
        <v>2</v>
      </c>
      <c r="I33" s="415">
        <v>16</v>
      </c>
      <c r="J33" s="18">
        <v>2400</v>
      </c>
      <c r="K33" s="9">
        <f t="shared" si="46"/>
        <v>150</v>
      </c>
      <c r="L33" s="415">
        <v>16</v>
      </c>
      <c r="M33" s="10">
        <f t="shared" si="40"/>
        <v>2210.5263157894738</v>
      </c>
      <c r="N33" s="9">
        <f t="shared" si="41"/>
        <v>138.15789473684211</v>
      </c>
      <c r="O33" s="11">
        <f t="shared" si="42"/>
        <v>0</v>
      </c>
      <c r="P33" s="12">
        <f t="shared" si="43"/>
        <v>-11.84210526315789</v>
      </c>
      <c r="Q33" s="409">
        <f t="shared" si="44"/>
        <v>0.92105263157894735</v>
      </c>
      <c r="R33" s="470"/>
      <c r="S33" s="24">
        <v>0.29027777777777775</v>
      </c>
      <c r="T33" s="24">
        <v>0.35624999999999996</v>
      </c>
      <c r="U33" s="407">
        <f t="shared" ref="U33:U36" si="48">(S33-T32)*24*60</f>
        <v>4.9999999999999822</v>
      </c>
      <c r="V33" s="416">
        <f t="shared" si="45"/>
        <v>94.999999999999986</v>
      </c>
      <c r="W33" s="14"/>
      <c r="X33" s="14"/>
      <c r="Y33" s="456"/>
      <c r="Z33" s="456"/>
      <c r="AA33" s="11">
        <f t="shared" si="2"/>
        <v>-189.47368421052624</v>
      </c>
      <c r="AB33" s="409">
        <f t="shared" si="47"/>
        <v>0.92105263157894735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417">
        <v>4773</v>
      </c>
      <c r="G34" s="407">
        <f t="shared" si="39"/>
        <v>115745.25</v>
      </c>
      <c r="H34" s="76" t="s">
        <v>57</v>
      </c>
      <c r="I34" s="415">
        <v>18</v>
      </c>
      <c r="J34" s="18">
        <v>2400</v>
      </c>
      <c r="K34" s="9">
        <f t="shared" si="46"/>
        <v>133.33333333333334</v>
      </c>
      <c r="L34" s="415">
        <v>18</v>
      </c>
      <c r="M34" s="10">
        <f t="shared" si="40"/>
        <v>2186.1068702290077</v>
      </c>
      <c r="N34" s="9">
        <f t="shared" si="41"/>
        <v>121.45038167938931</v>
      </c>
      <c r="O34" s="11">
        <f t="shared" si="42"/>
        <v>0</v>
      </c>
      <c r="P34" s="12">
        <f t="shared" si="43"/>
        <v>-11.882951653944033</v>
      </c>
      <c r="Q34" s="409">
        <f t="shared" si="44"/>
        <v>0.91087786259541981</v>
      </c>
      <c r="R34" s="470"/>
      <c r="S34" s="24">
        <v>0.35972222222222217</v>
      </c>
      <c r="T34" s="24">
        <v>0.4506944444444444</v>
      </c>
      <c r="U34" s="407">
        <f t="shared" si="48"/>
        <v>4.9999999999999822</v>
      </c>
      <c r="V34" s="416">
        <f t="shared" si="45"/>
        <v>131</v>
      </c>
      <c r="W34" s="14"/>
      <c r="X34" s="14"/>
      <c r="Y34" s="456"/>
      <c r="Z34" s="456"/>
      <c r="AA34" s="11">
        <f t="shared" si="2"/>
        <v>-213.89312977099235</v>
      </c>
      <c r="AB34" s="409">
        <f t="shared" si="47"/>
        <v>0.91087786259541981</v>
      </c>
      <c r="AC34" s="470"/>
    </row>
    <row r="35" spans="1:29" ht="15.75" customHeight="1">
      <c r="A35" s="484" t="s">
        <v>8</v>
      </c>
      <c r="B35" s="26" t="s">
        <v>24</v>
      </c>
      <c r="C35" s="477" t="s">
        <v>69</v>
      </c>
      <c r="D35" s="477"/>
      <c r="E35" s="26">
        <v>22.35</v>
      </c>
      <c r="F35" s="417">
        <v>2149</v>
      </c>
      <c r="G35" s="407">
        <f t="shared" si="39"/>
        <v>48030.15</v>
      </c>
      <c r="H35" s="76" t="s">
        <v>57</v>
      </c>
      <c r="I35" s="415">
        <v>16</v>
      </c>
      <c r="J35" s="18">
        <v>2400</v>
      </c>
      <c r="K35" s="9">
        <f t="shared" si="46"/>
        <v>150</v>
      </c>
      <c r="L35" s="415">
        <v>16</v>
      </c>
      <c r="M35" s="10">
        <f t="shared" si="40"/>
        <v>2223.1034482758605</v>
      </c>
      <c r="N35" s="9">
        <f t="shared" si="41"/>
        <v>138.94396551724128</v>
      </c>
      <c r="O35" s="11">
        <f t="shared" si="42"/>
        <v>0</v>
      </c>
      <c r="P35" s="12">
        <f t="shared" si="43"/>
        <v>-11.056034482758719</v>
      </c>
      <c r="Q35" s="409">
        <f t="shared" si="44"/>
        <v>0.9262931034482752</v>
      </c>
      <c r="R35" s="470"/>
      <c r="S35" s="24">
        <v>0.45486111111111105</v>
      </c>
      <c r="T35" s="24">
        <v>0.49513888888888885</v>
      </c>
      <c r="U35" s="407">
        <f t="shared" si="48"/>
        <v>5.9999999999999787</v>
      </c>
      <c r="V35" s="416">
        <f t="shared" si="45"/>
        <v>58.000000000000036</v>
      </c>
      <c r="W35" s="14"/>
      <c r="X35" s="14"/>
      <c r="Y35" s="456"/>
      <c r="Z35" s="456"/>
      <c r="AA35" s="11">
        <f t="shared" si="2"/>
        <v>-176.8965517241395</v>
      </c>
      <c r="AB35" s="409">
        <f t="shared" si="47"/>
        <v>0.9262931034482752</v>
      </c>
      <c r="AC35" s="470"/>
    </row>
    <row r="36" spans="1:29" ht="15.75" customHeight="1">
      <c r="A36" s="484" t="s">
        <v>8</v>
      </c>
      <c r="B36" s="26" t="s">
        <v>24</v>
      </c>
      <c r="C36" s="477" t="s">
        <v>513</v>
      </c>
      <c r="D36" s="477"/>
      <c r="E36" s="26">
        <v>31.29</v>
      </c>
      <c r="F36" s="417">
        <v>4212</v>
      </c>
      <c r="G36" s="407">
        <f t="shared" si="39"/>
        <v>131793.48000000001</v>
      </c>
      <c r="H36" s="76" t="s">
        <v>57</v>
      </c>
      <c r="I36" s="415">
        <v>16</v>
      </c>
      <c r="J36" s="18">
        <v>2400</v>
      </c>
      <c r="K36" s="9">
        <f t="shared" si="46"/>
        <v>150</v>
      </c>
      <c r="L36" s="415">
        <v>16</v>
      </c>
      <c r="M36" s="10">
        <f t="shared" si="40"/>
        <v>2197.5652173913031</v>
      </c>
      <c r="N36" s="9">
        <f t="shared" si="41"/>
        <v>137.34782608695645</v>
      </c>
      <c r="O36" s="11">
        <f t="shared" si="42"/>
        <v>0</v>
      </c>
      <c r="P36" s="12">
        <f t="shared" si="43"/>
        <v>-12.652173913043555</v>
      </c>
      <c r="Q36" s="409">
        <f t="shared" si="44"/>
        <v>0.91565217391304299</v>
      </c>
      <c r="R36" s="470"/>
      <c r="S36" s="24">
        <v>0.53611111111111109</v>
      </c>
      <c r="T36" s="24">
        <v>0.61597222222222225</v>
      </c>
      <c r="U36" s="407">
        <f t="shared" si="48"/>
        <v>59.000000000000028</v>
      </c>
      <c r="V36" s="416">
        <f t="shared" si="45"/>
        <v>115.00000000000007</v>
      </c>
      <c r="W36" s="14"/>
      <c r="X36" s="14"/>
      <c r="Y36" s="456"/>
      <c r="Z36" s="456"/>
      <c r="AA36" s="11">
        <f t="shared" si="2"/>
        <v>-202.43478260869688</v>
      </c>
      <c r="AB36" s="409">
        <f t="shared" si="47"/>
        <v>0.91565217391304299</v>
      </c>
      <c r="AC36" s="470"/>
    </row>
    <row r="37" spans="1:29" ht="15.75" customHeight="1">
      <c r="A37" s="484" t="s">
        <v>8</v>
      </c>
      <c r="B37" s="26" t="s">
        <v>1672</v>
      </c>
      <c r="C37" s="466"/>
      <c r="D37" s="466"/>
      <c r="E37" s="408"/>
      <c r="F37" s="417"/>
      <c r="G37" s="407"/>
      <c r="H37" s="417"/>
      <c r="I37" s="17">
        <v>17.333333333333332</v>
      </c>
      <c r="J37" s="18">
        <v>2400</v>
      </c>
      <c r="K37" s="9">
        <f t="shared" si="46"/>
        <v>138.46153846153848</v>
      </c>
      <c r="L37" s="17">
        <v>17.333333333333332</v>
      </c>
      <c r="M37" s="10">
        <f>AVERAGE(M31:M36)</f>
        <v>2201.0169752809402</v>
      </c>
      <c r="N37" s="9">
        <f>M37/L37</f>
        <v>126.9817485739004</v>
      </c>
      <c r="O37" s="11">
        <f>L37-I37</f>
        <v>0</v>
      </c>
      <c r="P37" s="12">
        <f>N37-K37</f>
        <v>-11.479789887638077</v>
      </c>
      <c r="Q37" s="409">
        <f>N37/K37</f>
        <v>0.9170904063670583</v>
      </c>
      <c r="R37" s="470"/>
      <c r="S37" s="24"/>
      <c r="T37" s="24"/>
      <c r="U37" s="407"/>
      <c r="V37" s="416"/>
      <c r="W37" s="407"/>
      <c r="X37" s="407"/>
      <c r="Y37" s="456"/>
      <c r="Z37" s="456"/>
      <c r="AA37" s="11">
        <f t="shared" si="2"/>
        <v>-198.98302471905981</v>
      </c>
      <c r="AB37" s="409">
        <f>M37/J37</f>
        <v>0.91709040636705841</v>
      </c>
      <c r="AC37" s="470"/>
    </row>
    <row r="38" spans="1:29" ht="15.75" customHeight="1">
      <c r="A38" s="485" t="s">
        <v>158</v>
      </c>
      <c r="B38" s="26" t="s">
        <v>24</v>
      </c>
      <c r="C38" s="487" t="s">
        <v>29</v>
      </c>
      <c r="D38" s="487"/>
      <c r="E38" s="26">
        <v>26.2</v>
      </c>
      <c r="F38" s="417">
        <v>2500</v>
      </c>
      <c r="G38" s="407">
        <f t="shared" ref="G38:G44" si="49">E38*F38</f>
        <v>65500</v>
      </c>
      <c r="H38" s="76">
        <v>2</v>
      </c>
      <c r="I38" s="415">
        <v>18</v>
      </c>
      <c r="J38" s="18">
        <v>2400</v>
      </c>
      <c r="K38" s="9">
        <f>J38/I38</f>
        <v>133.33333333333334</v>
      </c>
      <c r="L38" s="415">
        <v>18</v>
      </c>
      <c r="M38" s="10">
        <f>F38/V38*60</f>
        <v>2205.8823529411766</v>
      </c>
      <c r="N38" s="9">
        <f>M38/L38</f>
        <v>122.54901960784315</v>
      </c>
      <c r="O38" s="11">
        <f t="shared" ref="O38:O44" si="50">L38-I38</f>
        <v>0</v>
      </c>
      <c r="P38" s="12">
        <f t="shared" ref="P38:P54" si="51">N38-K38</f>
        <v>-10.784313725490193</v>
      </c>
      <c r="Q38" s="409">
        <f t="shared" ref="Q38:Q49" si="52">N38/K38</f>
        <v>0.91911764705882359</v>
      </c>
      <c r="R38" s="470">
        <f>Q45</f>
        <v>0.91578306193760561</v>
      </c>
      <c r="S38" s="24">
        <v>0.125</v>
      </c>
      <c r="T38" s="24">
        <v>0.17222222222222222</v>
      </c>
      <c r="U38" s="407"/>
      <c r="V38" s="416">
        <f t="shared" ref="V38:V44" si="53">(T38-S38)*24*60</f>
        <v>68</v>
      </c>
      <c r="W38" s="15"/>
      <c r="X38" s="15"/>
      <c r="Y38" s="456"/>
      <c r="Z38" s="456"/>
      <c r="AA38" s="11">
        <f t="shared" si="2"/>
        <v>-194.11764705882342</v>
      </c>
      <c r="AB38" s="409">
        <f>M38/J38</f>
        <v>0.91911764705882359</v>
      </c>
      <c r="AC38" s="470">
        <f>AB45</f>
        <v>0.91578306193760572</v>
      </c>
    </row>
    <row r="39" spans="1:29" ht="15.75" customHeight="1">
      <c r="A39" s="485" t="s">
        <v>1673</v>
      </c>
      <c r="B39" s="26" t="s">
        <v>24</v>
      </c>
      <c r="C39" s="487" t="s">
        <v>31</v>
      </c>
      <c r="D39" s="487"/>
      <c r="E39" s="26">
        <v>24.45</v>
      </c>
      <c r="F39" s="417">
        <v>2089</v>
      </c>
      <c r="G39" s="407">
        <f t="shared" si="49"/>
        <v>51076.049999999996</v>
      </c>
      <c r="H39" s="76" t="s">
        <v>57</v>
      </c>
      <c r="I39" s="415">
        <v>20</v>
      </c>
      <c r="J39" s="18">
        <v>2400</v>
      </c>
      <c r="K39" s="9">
        <f t="shared" ref="K39:K53" si="54">J39/I39</f>
        <v>120</v>
      </c>
      <c r="L39" s="415">
        <v>20</v>
      </c>
      <c r="M39" s="10">
        <f t="shared" ref="M39:M44" si="55">F39/V39*60</f>
        <v>2198.9473684210525</v>
      </c>
      <c r="N39" s="9">
        <f t="shared" ref="N39:N44" si="56">M39/L39</f>
        <v>109.94736842105263</v>
      </c>
      <c r="O39" s="11">
        <f t="shared" si="50"/>
        <v>0</v>
      </c>
      <c r="P39" s="12">
        <f t="shared" si="51"/>
        <v>-10.05263157894737</v>
      </c>
      <c r="Q39" s="409">
        <f t="shared" si="52"/>
        <v>0.91622807017543861</v>
      </c>
      <c r="R39" s="470"/>
      <c r="S39" s="24">
        <v>0.19236111111111112</v>
      </c>
      <c r="T39" s="24">
        <v>0.23194444444444445</v>
      </c>
      <c r="U39" s="407">
        <f>(S39-T38)*24*60</f>
        <v>29.000000000000018</v>
      </c>
      <c r="V39" s="416">
        <f t="shared" si="53"/>
        <v>57</v>
      </c>
      <c r="W39" s="407"/>
      <c r="X39" s="407"/>
      <c r="Y39" s="456"/>
      <c r="Z39" s="456"/>
      <c r="AA39" s="11">
        <f t="shared" si="2"/>
        <v>-201.05263157894751</v>
      </c>
      <c r="AB39" s="409">
        <f t="shared" ref="AB39:AB66" si="57">M39/J39</f>
        <v>0.9162280701754385</v>
      </c>
      <c r="AC39" s="470"/>
    </row>
    <row r="40" spans="1:29">
      <c r="A40" s="486" t="s">
        <v>158</v>
      </c>
      <c r="B40" s="26" t="s">
        <v>24</v>
      </c>
      <c r="C40" s="487" t="s">
        <v>32</v>
      </c>
      <c r="D40" s="487"/>
      <c r="E40" s="26">
        <v>26.2</v>
      </c>
      <c r="F40" s="417">
        <v>2829</v>
      </c>
      <c r="G40" s="407">
        <f t="shared" si="49"/>
        <v>74119.8</v>
      </c>
      <c r="H40" s="76" t="s">
        <v>57</v>
      </c>
      <c r="I40" s="415">
        <v>20</v>
      </c>
      <c r="J40" s="18">
        <v>2400</v>
      </c>
      <c r="K40" s="9">
        <f t="shared" si="54"/>
        <v>120</v>
      </c>
      <c r="L40" s="415">
        <v>20</v>
      </c>
      <c r="M40" s="10">
        <f t="shared" si="55"/>
        <v>2204.4155844155844</v>
      </c>
      <c r="N40" s="9">
        <f t="shared" si="56"/>
        <v>110.22077922077922</v>
      </c>
      <c r="O40" s="11">
        <f t="shared" si="50"/>
        <v>0</v>
      </c>
      <c r="P40" s="12">
        <f t="shared" si="51"/>
        <v>-9.779220779220779</v>
      </c>
      <c r="Q40" s="409">
        <f t="shared" si="52"/>
        <v>0.91850649350649349</v>
      </c>
      <c r="R40" s="470"/>
      <c r="S40" s="24">
        <v>0.23611111111111113</v>
      </c>
      <c r="T40" s="24">
        <v>0.28958333333333336</v>
      </c>
      <c r="U40" s="407">
        <f t="shared" ref="U40:U44" si="58">(S40-T39)*24*60</f>
        <v>6.0000000000000187</v>
      </c>
      <c r="V40" s="416">
        <f t="shared" si="53"/>
        <v>77</v>
      </c>
      <c r="W40" s="407"/>
      <c r="X40" s="407"/>
      <c r="Y40" s="456"/>
      <c r="Z40" s="456"/>
      <c r="AA40" s="11">
        <f t="shared" si="2"/>
        <v>-195.58441558441564</v>
      </c>
      <c r="AB40" s="409">
        <f t="shared" si="57"/>
        <v>0.91850649350649349</v>
      </c>
      <c r="AC40" s="470"/>
    </row>
    <row r="41" spans="1:29">
      <c r="A41" s="486" t="s">
        <v>1674</v>
      </c>
      <c r="B41" s="26" t="s">
        <v>24</v>
      </c>
      <c r="C41" s="487" t="s">
        <v>30</v>
      </c>
      <c r="D41" s="487"/>
      <c r="E41" s="26">
        <v>26.39</v>
      </c>
      <c r="F41" s="417">
        <v>4668</v>
      </c>
      <c r="G41" s="407">
        <f t="shared" si="49"/>
        <v>123188.52</v>
      </c>
      <c r="H41" s="76" t="s">
        <v>57</v>
      </c>
      <c r="I41" s="415">
        <v>19</v>
      </c>
      <c r="J41" s="18">
        <v>2400</v>
      </c>
      <c r="K41" s="9">
        <f t="shared" si="54"/>
        <v>126.31578947368421</v>
      </c>
      <c r="L41" s="415">
        <v>19</v>
      </c>
      <c r="M41" s="10">
        <f t="shared" si="55"/>
        <v>2188.1249999999995</v>
      </c>
      <c r="N41" s="9">
        <f t="shared" si="56"/>
        <v>115.16447368421051</v>
      </c>
      <c r="O41" s="11">
        <f t="shared" si="50"/>
        <v>0</v>
      </c>
      <c r="P41" s="12">
        <f t="shared" si="51"/>
        <v>-11.151315789473699</v>
      </c>
      <c r="Q41" s="409">
        <f t="shared" si="52"/>
        <v>0.91171874999999991</v>
      </c>
      <c r="R41" s="470"/>
      <c r="S41" s="24">
        <v>0.2951388888888889</v>
      </c>
      <c r="T41" s="24">
        <v>0.3840277777777778</v>
      </c>
      <c r="U41" s="407">
        <f t="shared" si="58"/>
        <v>7.9999999999999716</v>
      </c>
      <c r="V41" s="416">
        <f t="shared" si="53"/>
        <v>128.00000000000003</v>
      </c>
      <c r="W41" s="14"/>
      <c r="X41" s="14"/>
      <c r="Y41" s="456"/>
      <c r="Z41" s="456"/>
      <c r="AA41" s="11">
        <f t="shared" si="2"/>
        <v>-211.87500000000045</v>
      </c>
      <c r="AB41" s="409">
        <f t="shared" si="57"/>
        <v>0.9117187499999998</v>
      </c>
      <c r="AC41" s="470"/>
    </row>
    <row r="42" spans="1:29">
      <c r="A42" s="486" t="s">
        <v>1673</v>
      </c>
      <c r="B42" s="26" t="s">
        <v>24</v>
      </c>
      <c r="C42" s="487" t="s">
        <v>27</v>
      </c>
      <c r="D42" s="487"/>
      <c r="E42" s="26">
        <v>20.52</v>
      </c>
      <c r="F42" s="417">
        <v>2900</v>
      </c>
      <c r="G42" s="407">
        <f t="shared" si="49"/>
        <v>59508</v>
      </c>
      <c r="H42" s="76" t="s">
        <v>57</v>
      </c>
      <c r="I42" s="415">
        <v>18</v>
      </c>
      <c r="J42" s="18">
        <v>2400</v>
      </c>
      <c r="K42" s="9">
        <f t="shared" si="54"/>
        <v>133.33333333333334</v>
      </c>
      <c r="L42" s="415">
        <v>18</v>
      </c>
      <c r="M42" s="10">
        <f t="shared" si="55"/>
        <v>2202.5316455696211</v>
      </c>
      <c r="N42" s="9">
        <f t="shared" si="56"/>
        <v>122.36286919831228</v>
      </c>
      <c r="O42" s="11">
        <f t="shared" si="50"/>
        <v>0</v>
      </c>
      <c r="P42" s="12">
        <f t="shared" si="51"/>
        <v>-10.970464135021061</v>
      </c>
      <c r="Q42" s="409">
        <f t="shared" si="52"/>
        <v>0.917721518987342</v>
      </c>
      <c r="R42" s="470"/>
      <c r="S42" s="24">
        <v>0.38750000000000001</v>
      </c>
      <c r="T42" s="24">
        <v>0.44236111111111109</v>
      </c>
      <c r="U42" s="407">
        <f t="shared" si="58"/>
        <v>4.9999999999999822</v>
      </c>
      <c r="V42" s="416">
        <f t="shared" si="53"/>
        <v>78.999999999999957</v>
      </c>
      <c r="W42" s="14"/>
      <c r="X42" s="14"/>
      <c r="Y42" s="456"/>
      <c r="Z42" s="456"/>
      <c r="AA42" s="11">
        <f t="shared" si="2"/>
        <v>-197.46835443037889</v>
      </c>
      <c r="AB42" s="409">
        <f t="shared" si="57"/>
        <v>0.91772151898734211</v>
      </c>
      <c r="AC42" s="470"/>
    </row>
    <row r="43" spans="1:29">
      <c r="A43" s="486" t="s">
        <v>1675</v>
      </c>
      <c r="B43" s="26" t="s">
        <v>24</v>
      </c>
      <c r="C43" s="487" t="s">
        <v>55</v>
      </c>
      <c r="D43" s="487"/>
      <c r="E43" s="26">
        <v>26.2</v>
      </c>
      <c r="F43" s="417">
        <v>3685</v>
      </c>
      <c r="G43" s="407">
        <f t="shared" si="49"/>
        <v>96547</v>
      </c>
      <c r="H43" s="76" t="s">
        <v>57</v>
      </c>
      <c r="I43" s="415">
        <v>19</v>
      </c>
      <c r="J43" s="18">
        <v>2400</v>
      </c>
      <c r="K43" s="9">
        <f t="shared" si="54"/>
        <v>126.31578947368421</v>
      </c>
      <c r="L43" s="415">
        <v>19</v>
      </c>
      <c r="M43" s="10">
        <f t="shared" si="55"/>
        <v>2189.1089108910901</v>
      </c>
      <c r="N43" s="9">
        <f t="shared" si="56"/>
        <v>115.21625846795212</v>
      </c>
      <c r="O43" s="11">
        <f t="shared" si="50"/>
        <v>0</v>
      </c>
      <c r="P43" s="12">
        <f t="shared" si="51"/>
        <v>-11.099531005732089</v>
      </c>
      <c r="Q43" s="409">
        <f t="shared" si="52"/>
        <v>0.91212871287128761</v>
      </c>
      <c r="R43" s="470"/>
      <c r="S43" s="24">
        <v>0.44652777777777775</v>
      </c>
      <c r="T43" s="24">
        <v>0.51666666666666661</v>
      </c>
      <c r="U43" s="407">
        <f t="shared" si="58"/>
        <v>5.9999999999999787</v>
      </c>
      <c r="V43" s="416">
        <f t="shared" si="53"/>
        <v>100.99999999999996</v>
      </c>
      <c r="W43" s="14"/>
      <c r="X43" s="14"/>
      <c r="Y43" s="456"/>
      <c r="Z43" s="456"/>
      <c r="AA43" s="11">
        <f t="shared" si="2"/>
        <v>-210.89108910890991</v>
      </c>
      <c r="AB43" s="409">
        <f t="shared" si="57"/>
        <v>0.91212871287128749</v>
      </c>
      <c r="AC43" s="470"/>
    </row>
    <row r="44" spans="1:29">
      <c r="A44" s="486" t="s">
        <v>158</v>
      </c>
      <c r="B44" s="26" t="s">
        <v>24</v>
      </c>
      <c r="C44" s="487" t="s">
        <v>29</v>
      </c>
      <c r="D44" s="487"/>
      <c r="E44" s="26">
        <v>26.2</v>
      </c>
      <c r="F44" s="417">
        <v>3038</v>
      </c>
      <c r="G44" s="407">
        <f t="shared" si="49"/>
        <v>79595.599999999991</v>
      </c>
      <c r="H44" s="76" t="s">
        <v>57</v>
      </c>
      <c r="I44" s="415">
        <v>18</v>
      </c>
      <c r="J44" s="18">
        <v>2400</v>
      </c>
      <c r="K44" s="9">
        <f t="shared" si="54"/>
        <v>133.33333333333334</v>
      </c>
      <c r="L44" s="415">
        <v>18</v>
      </c>
      <c r="M44" s="10">
        <f t="shared" si="55"/>
        <v>2196.1445783132522</v>
      </c>
      <c r="N44" s="9">
        <f t="shared" si="56"/>
        <v>122.008032128514</v>
      </c>
      <c r="O44" s="11">
        <f t="shared" si="50"/>
        <v>0</v>
      </c>
      <c r="P44" s="12">
        <f t="shared" si="51"/>
        <v>-11.32530120481934</v>
      </c>
      <c r="Q44" s="409">
        <f t="shared" si="52"/>
        <v>0.91506024096385497</v>
      </c>
      <c r="R44" s="470"/>
      <c r="S44" s="24">
        <v>0.55624999999999991</v>
      </c>
      <c r="T44" s="24">
        <v>0.61388888888888882</v>
      </c>
      <c r="U44" s="407">
        <f t="shared" si="58"/>
        <v>56.999999999999957</v>
      </c>
      <c r="V44" s="416">
        <f t="shared" si="53"/>
        <v>83.000000000000028</v>
      </c>
      <c r="W44" s="14"/>
      <c r="X44" s="14"/>
      <c r="Y44" s="473"/>
      <c r="Z44" s="474"/>
      <c r="AA44" s="11">
        <f t="shared" si="2"/>
        <v>-203.85542168674783</v>
      </c>
      <c r="AB44" s="409">
        <f t="shared" si="57"/>
        <v>0.91506024096385508</v>
      </c>
      <c r="AC44" s="470"/>
    </row>
    <row r="45" spans="1:29">
      <c r="A45" s="486" t="s">
        <v>158</v>
      </c>
      <c r="B45" s="16" t="s">
        <v>154</v>
      </c>
      <c r="C45" s="466"/>
      <c r="D45" s="466"/>
      <c r="E45" s="408"/>
      <c r="F45" s="16"/>
      <c r="G45" s="9"/>
      <c r="H45" s="417"/>
      <c r="I45" s="17">
        <v>18.857142857142858</v>
      </c>
      <c r="J45" s="18">
        <v>2400</v>
      </c>
      <c r="K45" s="9">
        <f t="shared" si="54"/>
        <v>127.27272727272727</v>
      </c>
      <c r="L45" s="17">
        <v>18.857142857142858</v>
      </c>
      <c r="M45" s="10">
        <f>AVERAGE(M38:M44)</f>
        <v>2197.8793486502536</v>
      </c>
      <c r="N45" s="9">
        <f>M45/L45</f>
        <v>116.55420788296799</v>
      </c>
      <c r="O45" s="11">
        <f>L45-I45</f>
        <v>0</v>
      </c>
      <c r="P45" s="12">
        <f t="shared" si="51"/>
        <v>-10.71851938975928</v>
      </c>
      <c r="Q45" s="409">
        <f t="shared" si="52"/>
        <v>0.91578306193760561</v>
      </c>
      <c r="R45" s="470"/>
      <c r="S45" s="24"/>
      <c r="T45" s="24"/>
      <c r="U45" s="9"/>
      <c r="V45" s="416"/>
      <c r="W45" s="9"/>
      <c r="X45" s="9"/>
      <c r="Y45" s="456"/>
      <c r="Z45" s="456"/>
      <c r="AA45" s="11">
        <f t="shared" si="2"/>
        <v>-202.12065134974637</v>
      </c>
      <c r="AB45" s="409">
        <f t="shared" si="57"/>
        <v>0.91578306193760572</v>
      </c>
      <c r="AC45" s="470"/>
    </row>
    <row r="46" spans="1:29" ht="15.75" customHeight="1">
      <c r="A46" s="488" t="s">
        <v>162</v>
      </c>
      <c r="B46" s="26" t="s">
        <v>33</v>
      </c>
      <c r="C46" s="491" t="s">
        <v>34</v>
      </c>
      <c r="D46" s="492"/>
      <c r="E46" s="26">
        <v>27.17</v>
      </c>
      <c r="F46" s="417">
        <v>2800</v>
      </c>
      <c r="G46" s="407">
        <f t="shared" ref="G46:G53" si="59">E46*F46</f>
        <v>76076</v>
      </c>
      <c r="H46" s="76">
        <v>2</v>
      </c>
      <c r="I46" s="415">
        <v>10</v>
      </c>
      <c r="J46" s="18">
        <v>3000</v>
      </c>
      <c r="K46" s="9">
        <f t="shared" si="54"/>
        <v>300</v>
      </c>
      <c r="L46" s="415">
        <v>10</v>
      </c>
      <c r="M46" s="10">
        <f t="shared" ref="M46:M47" si="60">F46/V46*60</f>
        <v>2754.0983606557384</v>
      </c>
      <c r="N46" s="10">
        <f t="shared" ref="N46:N54" si="61">M46/L46</f>
        <v>275.40983606557381</v>
      </c>
      <c r="O46" s="11">
        <f t="shared" ref="O46:O54" si="62">L46-I46</f>
        <v>0</v>
      </c>
      <c r="P46" s="12">
        <f t="shared" si="51"/>
        <v>-24.590163934426187</v>
      </c>
      <c r="Q46" s="409">
        <f t="shared" si="52"/>
        <v>0.91803278688524603</v>
      </c>
      <c r="R46" s="493">
        <f>Q54</f>
        <v>0.91808312811027382</v>
      </c>
      <c r="S46" s="24">
        <v>0.20833333333333334</v>
      </c>
      <c r="T46" s="24">
        <v>0.25069444444444444</v>
      </c>
      <c r="U46" s="15"/>
      <c r="V46" s="416">
        <f t="shared" ref="V46:V53" si="63">(T46-S46)*24*60</f>
        <v>60.999999999999986</v>
      </c>
      <c r="W46" s="407"/>
      <c r="X46" s="407"/>
      <c r="Y46" s="473"/>
      <c r="Z46" s="474"/>
      <c r="AA46" s="11">
        <f t="shared" si="2"/>
        <v>-245.90163934426164</v>
      </c>
      <c r="AB46" s="409">
        <f t="shared" si="57"/>
        <v>0.91803278688524614</v>
      </c>
      <c r="AC46" s="493">
        <f>AB54</f>
        <v>0.91808312811027382</v>
      </c>
    </row>
    <row r="47" spans="1:29" ht="15.75" customHeight="1">
      <c r="A47" s="489" t="s">
        <v>9</v>
      </c>
      <c r="B47" s="26" t="s">
        <v>33</v>
      </c>
      <c r="C47" s="491" t="s">
        <v>35</v>
      </c>
      <c r="D47" s="492"/>
      <c r="E47" s="26">
        <v>21.13</v>
      </c>
      <c r="F47" s="417">
        <v>3000</v>
      </c>
      <c r="G47" s="407">
        <f t="shared" si="59"/>
        <v>63390</v>
      </c>
      <c r="H47" s="76">
        <v>2</v>
      </c>
      <c r="I47" s="415">
        <v>10</v>
      </c>
      <c r="J47" s="18">
        <v>3000</v>
      </c>
      <c r="K47" s="9">
        <f t="shared" si="54"/>
        <v>300</v>
      </c>
      <c r="L47" s="415">
        <v>10</v>
      </c>
      <c r="M47" s="10">
        <f t="shared" si="60"/>
        <v>2769.2307692307686</v>
      </c>
      <c r="N47" s="10">
        <f t="shared" si="61"/>
        <v>276.92307692307685</v>
      </c>
      <c r="O47" s="11">
        <f t="shared" si="62"/>
        <v>0</v>
      </c>
      <c r="P47" s="12">
        <f t="shared" si="51"/>
        <v>-23.076923076923151</v>
      </c>
      <c r="Q47" s="409">
        <f t="shared" si="52"/>
        <v>0.9230769230769228</v>
      </c>
      <c r="R47" s="494"/>
      <c r="S47" s="24">
        <v>0.25486111111111109</v>
      </c>
      <c r="T47" s="24">
        <v>0.3</v>
      </c>
      <c r="U47" s="407">
        <f>(S47-T46)*24*60</f>
        <v>5.9999999999999787</v>
      </c>
      <c r="V47" s="416">
        <f t="shared" si="63"/>
        <v>65.000000000000014</v>
      </c>
      <c r="W47" s="14"/>
      <c r="X47" s="14"/>
      <c r="Y47" s="473"/>
      <c r="Z47" s="474"/>
      <c r="AA47" s="11">
        <f t="shared" si="2"/>
        <v>-230.7692307692314</v>
      </c>
      <c r="AB47" s="409">
        <f t="shared" si="57"/>
        <v>0.92307692307692291</v>
      </c>
      <c r="AC47" s="494"/>
    </row>
    <row r="48" spans="1:29" ht="15.75" customHeight="1">
      <c r="A48" s="489" t="s">
        <v>9</v>
      </c>
      <c r="B48" s="26" t="s">
        <v>33</v>
      </c>
      <c r="C48" s="491" t="s">
        <v>43</v>
      </c>
      <c r="D48" s="492"/>
      <c r="E48" s="26">
        <v>35.119999999999997</v>
      </c>
      <c r="F48" s="417">
        <v>4525</v>
      </c>
      <c r="G48" s="407">
        <f t="shared" si="59"/>
        <v>158918</v>
      </c>
      <c r="H48" s="76" t="s">
        <v>57</v>
      </c>
      <c r="I48" s="415">
        <v>10</v>
      </c>
      <c r="J48" s="18">
        <v>3000</v>
      </c>
      <c r="K48" s="9">
        <f t="shared" si="54"/>
        <v>300</v>
      </c>
      <c r="L48" s="415">
        <v>10</v>
      </c>
      <c r="M48" s="10">
        <f>F48/V48*60</f>
        <v>2742.4242424242434</v>
      </c>
      <c r="N48" s="10">
        <f t="shared" si="61"/>
        <v>274.24242424242436</v>
      </c>
      <c r="O48" s="11">
        <f t="shared" si="62"/>
        <v>0</v>
      </c>
      <c r="P48" s="12">
        <f t="shared" si="51"/>
        <v>-25.757575757575637</v>
      </c>
      <c r="Q48" s="409">
        <f t="shared" si="52"/>
        <v>0.91414141414141459</v>
      </c>
      <c r="R48" s="494"/>
      <c r="S48" s="24">
        <v>0.30486111111111108</v>
      </c>
      <c r="T48" s="24">
        <v>0.37361111111111106</v>
      </c>
      <c r="U48" s="407">
        <f t="shared" ref="U48:U53" si="64">(S48-T47)*24*60</f>
        <v>6.9999999999999751</v>
      </c>
      <c r="V48" s="416">
        <f t="shared" si="63"/>
        <v>98.999999999999972</v>
      </c>
      <c r="W48" s="14"/>
      <c r="X48" s="14"/>
      <c r="Y48" s="473"/>
      <c r="Z48" s="474"/>
      <c r="AA48" s="11">
        <f t="shared" si="2"/>
        <v>-257.5757575757566</v>
      </c>
      <c r="AB48" s="409">
        <f t="shared" si="57"/>
        <v>0.91414141414141448</v>
      </c>
      <c r="AC48" s="494"/>
    </row>
    <row r="49" spans="1:29" ht="15.75" customHeight="1">
      <c r="A49" s="489" t="s">
        <v>9</v>
      </c>
      <c r="B49" s="26" t="s">
        <v>33</v>
      </c>
      <c r="C49" s="491" t="s">
        <v>67</v>
      </c>
      <c r="D49" s="492"/>
      <c r="E49" s="26">
        <v>40.18</v>
      </c>
      <c r="F49" s="417">
        <v>2281</v>
      </c>
      <c r="G49" s="407">
        <f t="shared" si="59"/>
        <v>91650.58</v>
      </c>
      <c r="H49" s="76" t="s">
        <v>57</v>
      </c>
      <c r="I49" s="415">
        <v>10</v>
      </c>
      <c r="J49" s="18">
        <v>3000</v>
      </c>
      <c r="K49" s="9">
        <f t="shared" si="54"/>
        <v>300</v>
      </c>
      <c r="L49" s="415">
        <v>10</v>
      </c>
      <c r="M49" s="10">
        <f t="shared" ref="M49:M53" si="65">F49/V49*60</f>
        <v>2737.2000000000007</v>
      </c>
      <c r="N49" s="10">
        <f t="shared" si="61"/>
        <v>273.72000000000008</v>
      </c>
      <c r="O49" s="11">
        <f t="shared" si="62"/>
        <v>0</v>
      </c>
      <c r="P49" s="12">
        <f t="shared" si="51"/>
        <v>-26.279999999999916</v>
      </c>
      <c r="Q49" s="409">
        <f t="shared" si="52"/>
        <v>0.91240000000000032</v>
      </c>
      <c r="R49" s="494"/>
      <c r="S49" s="24">
        <v>0.37708333333333327</v>
      </c>
      <c r="T49" s="24">
        <v>0.41180555555555548</v>
      </c>
      <c r="U49" s="407">
        <f t="shared" si="64"/>
        <v>4.9999999999999822</v>
      </c>
      <c r="V49" s="416">
        <f t="shared" si="63"/>
        <v>49.999999999999986</v>
      </c>
      <c r="W49" s="14"/>
      <c r="X49" s="14"/>
      <c r="Y49" s="473"/>
      <c r="Z49" s="474"/>
      <c r="AA49" s="11">
        <f t="shared" si="2"/>
        <v>-262.79999999999927</v>
      </c>
      <c r="AB49" s="409">
        <f t="shared" si="57"/>
        <v>0.91240000000000021</v>
      </c>
      <c r="AC49" s="494"/>
    </row>
    <row r="50" spans="1:29" ht="15.75" customHeight="1">
      <c r="A50" s="489" t="s">
        <v>9</v>
      </c>
      <c r="B50" s="26" t="s">
        <v>33</v>
      </c>
      <c r="C50" s="491" t="s">
        <v>73</v>
      </c>
      <c r="D50" s="492"/>
      <c r="E50" s="26">
        <v>28.5</v>
      </c>
      <c r="F50" s="417">
        <v>1392</v>
      </c>
      <c r="G50" s="407">
        <f t="shared" si="59"/>
        <v>39672</v>
      </c>
      <c r="H50" s="76" t="s">
        <v>57</v>
      </c>
      <c r="I50" s="415">
        <v>10</v>
      </c>
      <c r="J50" s="18">
        <v>3000</v>
      </c>
      <c r="K50" s="9">
        <f t="shared" si="54"/>
        <v>300</v>
      </c>
      <c r="L50" s="415">
        <v>10</v>
      </c>
      <c r="M50" s="10">
        <f t="shared" si="65"/>
        <v>2784.0000000000023</v>
      </c>
      <c r="N50" s="10">
        <f t="shared" si="61"/>
        <v>278.4000000000002</v>
      </c>
      <c r="O50" s="11">
        <f t="shared" si="62"/>
        <v>0</v>
      </c>
      <c r="P50" s="12">
        <f t="shared" si="51"/>
        <v>-21.599999999999795</v>
      </c>
      <c r="Q50" s="409">
        <f>N50/K50</f>
        <v>0.92800000000000071</v>
      </c>
      <c r="R50" s="494"/>
      <c r="S50" s="24">
        <v>0.41666666666666657</v>
      </c>
      <c r="T50" s="24">
        <v>0.43749999999999989</v>
      </c>
      <c r="U50" s="407">
        <f t="shared" si="64"/>
        <v>6.9999999999999751</v>
      </c>
      <c r="V50" s="416">
        <f t="shared" si="63"/>
        <v>29.999999999999972</v>
      </c>
      <c r="W50" s="14"/>
      <c r="X50" s="14"/>
      <c r="Y50" s="473"/>
      <c r="Z50" s="474"/>
      <c r="AA50" s="11">
        <f t="shared" si="2"/>
        <v>-215.99999999999773</v>
      </c>
      <c r="AB50" s="409">
        <f t="shared" si="57"/>
        <v>0.92800000000000071</v>
      </c>
      <c r="AC50" s="494"/>
    </row>
    <row r="51" spans="1:29" ht="15.75" customHeight="1">
      <c r="A51" s="489" t="s">
        <v>9</v>
      </c>
      <c r="B51" s="26" t="s">
        <v>33</v>
      </c>
      <c r="C51" s="491" t="s">
        <v>511</v>
      </c>
      <c r="D51" s="492"/>
      <c r="E51" s="26">
        <v>35.869999999999997</v>
      </c>
      <c r="F51" s="417">
        <v>3384</v>
      </c>
      <c r="G51" s="407">
        <f t="shared" si="59"/>
        <v>121384.07999999999</v>
      </c>
      <c r="H51" s="76" t="s">
        <v>57</v>
      </c>
      <c r="I51" s="415">
        <v>10</v>
      </c>
      <c r="J51" s="18">
        <v>3000</v>
      </c>
      <c r="K51" s="9">
        <f t="shared" si="54"/>
        <v>300</v>
      </c>
      <c r="L51" s="415">
        <v>10</v>
      </c>
      <c r="M51" s="10">
        <f t="shared" si="65"/>
        <v>2743.7837837837847</v>
      </c>
      <c r="N51" s="10">
        <f t="shared" si="61"/>
        <v>274.37837837837844</v>
      </c>
      <c r="O51" s="11">
        <f t="shared" si="62"/>
        <v>0</v>
      </c>
      <c r="P51" s="12">
        <f t="shared" si="51"/>
        <v>-25.621621621621557</v>
      </c>
      <c r="Q51" s="409">
        <f t="shared" ref="Q51:Q54" si="66">N51/K51</f>
        <v>0.9145945945945948</v>
      </c>
      <c r="R51" s="494"/>
      <c r="S51" s="24">
        <v>0.44166666666666654</v>
      </c>
      <c r="T51" s="24">
        <v>0.49305555555555541</v>
      </c>
      <c r="U51" s="407">
        <f t="shared" si="64"/>
        <v>5.9999999999999787</v>
      </c>
      <c r="V51" s="416">
        <f t="shared" si="63"/>
        <v>73.999999999999972</v>
      </c>
      <c r="W51" s="14"/>
      <c r="X51" s="14"/>
      <c r="Y51" s="473"/>
      <c r="Z51" s="474"/>
      <c r="AA51" s="11">
        <f t="shared" si="2"/>
        <v>-256.21621621621534</v>
      </c>
      <c r="AB51" s="409">
        <f t="shared" si="57"/>
        <v>0.91459459459459491</v>
      </c>
      <c r="AC51" s="494"/>
    </row>
    <row r="52" spans="1:29" ht="15.75" customHeight="1">
      <c r="A52" s="489" t="s">
        <v>9</v>
      </c>
      <c r="B52" s="26" t="s">
        <v>33</v>
      </c>
      <c r="C52" s="491" t="s">
        <v>34</v>
      </c>
      <c r="D52" s="492"/>
      <c r="E52" s="26">
        <v>27.17</v>
      </c>
      <c r="F52" s="417">
        <v>3116</v>
      </c>
      <c r="G52" s="407">
        <f t="shared" si="59"/>
        <v>84661.72</v>
      </c>
      <c r="H52" s="76" t="s">
        <v>57</v>
      </c>
      <c r="I52" s="415">
        <v>10</v>
      </c>
      <c r="J52" s="18">
        <v>3000</v>
      </c>
      <c r="K52" s="9">
        <f t="shared" si="54"/>
        <v>300</v>
      </c>
      <c r="L52" s="415">
        <v>10</v>
      </c>
      <c r="M52" s="10">
        <f t="shared" si="65"/>
        <v>2749.4117647058856</v>
      </c>
      <c r="N52" s="10">
        <f t="shared" si="61"/>
        <v>274.94117647058857</v>
      </c>
      <c r="O52" s="11">
        <f t="shared" si="62"/>
        <v>0</v>
      </c>
      <c r="P52" s="12">
        <f t="shared" si="51"/>
        <v>-25.058823529411427</v>
      </c>
      <c r="Q52" s="409">
        <f t="shared" si="66"/>
        <v>0.91647058823529526</v>
      </c>
      <c r="R52" s="494"/>
      <c r="S52" s="24">
        <v>0.53472222222222199</v>
      </c>
      <c r="T52" s="24">
        <v>0.58194444444444415</v>
      </c>
      <c r="U52" s="407">
        <f t="shared" si="64"/>
        <v>59.999999999999865</v>
      </c>
      <c r="V52" s="416">
        <f t="shared" si="63"/>
        <v>67.999999999999915</v>
      </c>
      <c r="W52" s="14"/>
      <c r="X52" s="14"/>
      <c r="Y52" s="473"/>
      <c r="Z52" s="474"/>
      <c r="AA52" s="11">
        <f t="shared" si="2"/>
        <v>-250.58823529411438</v>
      </c>
      <c r="AB52" s="409">
        <f t="shared" si="57"/>
        <v>0.91647058823529526</v>
      </c>
      <c r="AC52" s="494"/>
    </row>
    <row r="53" spans="1:29" ht="15.75" customHeight="1">
      <c r="A53" s="489" t="s">
        <v>9</v>
      </c>
      <c r="B53" s="26" t="s">
        <v>33</v>
      </c>
      <c r="C53" s="491" t="s">
        <v>35</v>
      </c>
      <c r="D53" s="492"/>
      <c r="E53" s="26">
        <v>21.13</v>
      </c>
      <c r="F53" s="417">
        <v>1790</v>
      </c>
      <c r="G53" s="407">
        <f t="shared" si="59"/>
        <v>37822.699999999997</v>
      </c>
      <c r="H53" s="76" t="s">
        <v>57</v>
      </c>
      <c r="I53" s="415">
        <v>10</v>
      </c>
      <c r="J53" s="18">
        <v>3000</v>
      </c>
      <c r="K53" s="9">
        <f t="shared" si="54"/>
        <v>300</v>
      </c>
      <c r="L53" s="415">
        <v>10</v>
      </c>
      <c r="M53" s="10">
        <f t="shared" si="65"/>
        <v>2753.846153846152</v>
      </c>
      <c r="N53" s="10">
        <f t="shared" si="61"/>
        <v>275.38461538461519</v>
      </c>
      <c r="O53" s="11">
        <f t="shared" si="62"/>
        <v>0</v>
      </c>
      <c r="P53" s="12">
        <f t="shared" si="51"/>
        <v>-24.615384615384812</v>
      </c>
      <c r="Q53" s="409">
        <f t="shared" si="66"/>
        <v>0.91794871794871724</v>
      </c>
      <c r="R53" s="494"/>
      <c r="S53" s="24">
        <v>0.58749999999999969</v>
      </c>
      <c r="T53" s="24">
        <v>0.61458333333333304</v>
      </c>
      <c r="U53" s="407">
        <f t="shared" si="64"/>
        <v>7.9999999999999716</v>
      </c>
      <c r="V53" s="416">
        <f t="shared" si="63"/>
        <v>39.000000000000021</v>
      </c>
      <c r="W53" s="14"/>
      <c r="X53" s="14"/>
      <c r="Y53" s="473"/>
      <c r="Z53" s="474"/>
      <c r="AA53" s="11">
        <f t="shared" si="2"/>
        <v>-246.15384615384801</v>
      </c>
      <c r="AB53" s="409">
        <f t="shared" si="57"/>
        <v>0.91794871794871735</v>
      </c>
      <c r="AC53" s="494"/>
    </row>
    <row r="54" spans="1:29" ht="15.75" customHeight="1">
      <c r="A54" s="490" t="s">
        <v>9</v>
      </c>
      <c r="B54" s="26" t="s">
        <v>1676</v>
      </c>
      <c r="C54" s="497"/>
      <c r="D54" s="498"/>
      <c r="E54" s="414"/>
      <c r="F54" s="417"/>
      <c r="G54" s="407"/>
      <c r="H54" s="417"/>
      <c r="I54" s="17">
        <v>10</v>
      </c>
      <c r="J54" s="18">
        <v>3000</v>
      </c>
      <c r="K54" s="9">
        <f>J54/I54</f>
        <v>300</v>
      </c>
      <c r="L54" s="17">
        <v>10</v>
      </c>
      <c r="M54" s="10">
        <f>AVERAGE(M46:M53)</f>
        <v>2754.2493843308216</v>
      </c>
      <c r="N54" s="9">
        <f t="shared" si="61"/>
        <v>275.42493843308216</v>
      </c>
      <c r="O54" s="11">
        <f t="shared" si="62"/>
        <v>0</v>
      </c>
      <c r="P54" s="12">
        <f t="shared" si="51"/>
        <v>-24.575061566917839</v>
      </c>
      <c r="Q54" s="409">
        <f t="shared" si="66"/>
        <v>0.91808312811027382</v>
      </c>
      <c r="R54" s="495"/>
      <c r="S54" s="24"/>
      <c r="T54" s="24"/>
      <c r="U54" s="407"/>
      <c r="V54" s="416"/>
      <c r="W54" s="14"/>
      <c r="X54" s="14"/>
      <c r="Y54" s="473"/>
      <c r="Z54" s="474"/>
      <c r="AA54" s="11">
        <f t="shared" si="2"/>
        <v>-245.75061566917839</v>
      </c>
      <c r="AB54" s="409">
        <f t="shared" si="57"/>
        <v>0.91808312811027382</v>
      </c>
      <c r="AC54" s="495"/>
    </row>
    <row r="55" spans="1:29" ht="15.75" customHeight="1">
      <c r="A55" s="461" t="s">
        <v>125</v>
      </c>
      <c r="B55" s="26" t="s">
        <v>15</v>
      </c>
      <c r="C55" s="487" t="s">
        <v>20</v>
      </c>
      <c r="D55" s="487"/>
      <c r="E55" s="26">
        <v>46</v>
      </c>
      <c r="F55" s="27">
        <v>2890</v>
      </c>
      <c r="G55" s="407">
        <f t="shared" ref="G55:G58" si="67">E55*F55</f>
        <v>132940</v>
      </c>
      <c r="H55" s="76" t="s">
        <v>57</v>
      </c>
      <c r="I55" s="415">
        <v>17</v>
      </c>
      <c r="J55" s="18">
        <v>1500</v>
      </c>
      <c r="K55" s="9">
        <f t="shared" ref="K55:K58" si="68">J55/I55</f>
        <v>88.235294117647058</v>
      </c>
      <c r="L55" s="415">
        <v>17</v>
      </c>
      <c r="M55" s="10">
        <f t="shared" ref="M55:M58" si="69">F55/V55*60</f>
        <v>1376.1904761904757</v>
      </c>
      <c r="N55" s="10">
        <f>M55/L55</f>
        <v>80.952380952380921</v>
      </c>
      <c r="O55" s="11">
        <f>L55-I55</f>
        <v>0</v>
      </c>
      <c r="P55" s="12">
        <f>N55-K55</f>
        <v>-7.2829131652661374</v>
      </c>
      <c r="Q55" s="409">
        <f>N55/K55</f>
        <v>0.91746031746031709</v>
      </c>
      <c r="R55" s="470">
        <f>Q59</f>
        <v>0.91504535147392296</v>
      </c>
      <c r="S55" s="24">
        <v>0.29166666666666669</v>
      </c>
      <c r="T55" s="24">
        <v>0.37916666666666671</v>
      </c>
      <c r="U55" s="15"/>
      <c r="V55" s="416">
        <f t="shared" ref="V55:V58" si="70">(T55-S55)*24*60</f>
        <v>126.00000000000003</v>
      </c>
      <c r="W55" s="15"/>
      <c r="X55" s="15"/>
      <c r="Y55" s="456"/>
      <c r="Z55" s="456"/>
      <c r="AA55" s="11">
        <f t="shared" si="2"/>
        <v>-123.80952380952431</v>
      </c>
      <c r="AB55" s="409">
        <f t="shared" si="57"/>
        <v>0.91746031746031709</v>
      </c>
      <c r="AC55" s="470">
        <f>AB59</f>
        <v>0.91504535147392285</v>
      </c>
    </row>
    <row r="56" spans="1:29" ht="15.75" customHeight="1">
      <c r="A56" s="461" t="s">
        <v>10</v>
      </c>
      <c r="B56" s="26" t="s">
        <v>15</v>
      </c>
      <c r="C56" s="487" t="s">
        <v>75</v>
      </c>
      <c r="D56" s="487"/>
      <c r="E56" s="26">
        <v>46</v>
      </c>
      <c r="F56" s="27">
        <v>3349</v>
      </c>
      <c r="G56" s="407">
        <f t="shared" si="67"/>
        <v>154054</v>
      </c>
      <c r="H56" s="76" t="s">
        <v>57</v>
      </c>
      <c r="I56" s="415">
        <v>18</v>
      </c>
      <c r="J56" s="18">
        <v>1500</v>
      </c>
      <c r="K56" s="9">
        <f t="shared" si="68"/>
        <v>83.333333333333329</v>
      </c>
      <c r="L56" s="415">
        <v>18</v>
      </c>
      <c r="M56" s="10">
        <f t="shared" si="69"/>
        <v>1366.9387755102039</v>
      </c>
      <c r="N56" s="10">
        <f t="shared" ref="N56:N58" si="71">M56/L56</f>
        <v>75.941043083900212</v>
      </c>
      <c r="O56" s="11">
        <f t="shared" ref="O56:O58" si="72">L56-I56</f>
        <v>0</v>
      </c>
      <c r="P56" s="12">
        <f t="shared" ref="P56:P58" si="73">N56-K56</f>
        <v>-7.3922902494331169</v>
      </c>
      <c r="Q56" s="409">
        <f t="shared" ref="Q56:Q58" si="74">N56/K56</f>
        <v>0.91129251700680258</v>
      </c>
      <c r="R56" s="470"/>
      <c r="S56" s="24">
        <v>0.38263888888888892</v>
      </c>
      <c r="T56" s="24">
        <v>0.48472222222222228</v>
      </c>
      <c r="U56" s="407">
        <f t="shared" ref="U56:U58" si="75">(S56-T55)*24*60</f>
        <v>4.9999999999999822</v>
      </c>
      <c r="V56" s="416">
        <f t="shared" si="70"/>
        <v>147.00000000000003</v>
      </c>
      <c r="W56" s="14"/>
      <c r="X56" s="14"/>
      <c r="Y56" s="456"/>
      <c r="Z56" s="456"/>
      <c r="AA56" s="11">
        <f t="shared" si="2"/>
        <v>-133.06122448979613</v>
      </c>
      <c r="AB56" s="409">
        <f t="shared" si="57"/>
        <v>0.91129251700680258</v>
      </c>
      <c r="AC56" s="470"/>
    </row>
    <row r="57" spans="1:29" ht="15.75" customHeight="1">
      <c r="A57" s="461" t="s">
        <v>10</v>
      </c>
      <c r="B57" s="26" t="s">
        <v>13</v>
      </c>
      <c r="C57" s="491" t="s">
        <v>65</v>
      </c>
      <c r="D57" s="492"/>
      <c r="E57" s="26">
        <v>55.56</v>
      </c>
      <c r="F57" s="27">
        <v>1725</v>
      </c>
      <c r="G57" s="407">
        <f t="shared" si="67"/>
        <v>95841</v>
      </c>
      <c r="H57" s="76" t="s">
        <v>57</v>
      </c>
      <c r="I57" s="415">
        <v>17</v>
      </c>
      <c r="J57" s="18">
        <v>1500</v>
      </c>
      <c r="K57" s="9">
        <f t="shared" si="68"/>
        <v>88.235294117647058</v>
      </c>
      <c r="L57" s="415">
        <v>17</v>
      </c>
      <c r="M57" s="10">
        <f t="shared" si="69"/>
        <v>1379.9999999999989</v>
      </c>
      <c r="N57" s="10">
        <f t="shared" si="71"/>
        <v>81.176470588235233</v>
      </c>
      <c r="O57" s="11">
        <f t="shared" si="72"/>
        <v>0</v>
      </c>
      <c r="P57" s="12">
        <f t="shared" si="73"/>
        <v>-7.0588235294118249</v>
      </c>
      <c r="Q57" s="409">
        <f t="shared" si="74"/>
        <v>0.91999999999999926</v>
      </c>
      <c r="R57" s="470"/>
      <c r="S57" s="24">
        <v>0.70833333333333337</v>
      </c>
      <c r="T57" s="24">
        <v>0.76041666666666674</v>
      </c>
      <c r="U57" s="407">
        <f t="shared" si="75"/>
        <v>322</v>
      </c>
      <c r="V57" s="416">
        <f t="shared" si="70"/>
        <v>75.000000000000057</v>
      </c>
      <c r="W57" s="14"/>
      <c r="X57" s="14"/>
      <c r="Y57" s="412"/>
      <c r="Z57" s="413"/>
      <c r="AA57" s="11">
        <f t="shared" si="2"/>
        <v>-120.00000000000114</v>
      </c>
      <c r="AB57" s="409">
        <f t="shared" si="57"/>
        <v>0.91999999999999926</v>
      </c>
      <c r="AC57" s="470"/>
    </row>
    <row r="58" spans="1:29" ht="15.75" customHeight="1">
      <c r="A58" s="461" t="s">
        <v>10</v>
      </c>
      <c r="B58" s="26" t="s">
        <v>13</v>
      </c>
      <c r="C58" s="410" t="s">
        <v>64</v>
      </c>
      <c r="D58" s="411"/>
      <c r="E58" s="26">
        <v>55.32</v>
      </c>
      <c r="F58" s="27">
        <v>1276</v>
      </c>
      <c r="G58" s="407">
        <f t="shared" si="67"/>
        <v>70588.320000000007</v>
      </c>
      <c r="H58" s="76" t="s">
        <v>57</v>
      </c>
      <c r="I58" s="415">
        <v>15</v>
      </c>
      <c r="J58" s="18">
        <v>1500</v>
      </c>
      <c r="K58" s="9">
        <f t="shared" si="68"/>
        <v>100</v>
      </c>
      <c r="L58" s="415">
        <v>15</v>
      </c>
      <c r="M58" s="10">
        <f t="shared" si="69"/>
        <v>1367.1428571428582</v>
      </c>
      <c r="N58" s="10">
        <f t="shared" si="71"/>
        <v>91.14285714285721</v>
      </c>
      <c r="O58" s="11">
        <f t="shared" si="72"/>
        <v>0</v>
      </c>
      <c r="P58" s="12">
        <f t="shared" si="73"/>
        <v>-8.8571428571427901</v>
      </c>
      <c r="Q58" s="409">
        <f t="shared" si="74"/>
        <v>0.91142857142857214</v>
      </c>
      <c r="R58" s="470"/>
      <c r="S58" s="24">
        <v>0.76527777777777783</v>
      </c>
      <c r="T58" s="24">
        <v>0.8041666666666667</v>
      </c>
      <c r="U58" s="407">
        <f t="shared" si="75"/>
        <v>6.9999999999999751</v>
      </c>
      <c r="V58" s="416">
        <f t="shared" si="70"/>
        <v>55.999999999999957</v>
      </c>
      <c r="W58" s="14"/>
      <c r="X58" s="14"/>
      <c r="Y58" s="412"/>
      <c r="Z58" s="413"/>
      <c r="AA58" s="11">
        <f t="shared" si="2"/>
        <v>-132.85714285714175</v>
      </c>
      <c r="AB58" s="409">
        <f t="shared" si="57"/>
        <v>0.91142857142857214</v>
      </c>
      <c r="AC58" s="470"/>
    </row>
    <row r="59" spans="1:29">
      <c r="A59" s="496" t="s">
        <v>10</v>
      </c>
      <c r="B59" s="26" t="s">
        <v>154</v>
      </c>
      <c r="C59" s="466"/>
      <c r="D59" s="466"/>
      <c r="E59" s="408"/>
      <c r="F59" s="16"/>
      <c r="G59" s="9"/>
      <c r="H59" s="417"/>
      <c r="I59" s="17">
        <v>16.75</v>
      </c>
      <c r="J59" s="18">
        <v>1500</v>
      </c>
      <c r="K59" s="9">
        <f>J59/I59</f>
        <v>89.552238805970148</v>
      </c>
      <c r="L59" s="17">
        <v>16.75</v>
      </c>
      <c r="M59" s="10">
        <f>AVERAGE(M55:M58)</f>
        <v>1372.5680272108843</v>
      </c>
      <c r="N59" s="9">
        <f>M59/L59</f>
        <v>81.944359833485635</v>
      </c>
      <c r="O59" s="11">
        <f>L59-I59</f>
        <v>0</v>
      </c>
      <c r="P59" s="12">
        <f>N59-K59</f>
        <v>-7.6078789724845137</v>
      </c>
      <c r="Q59" s="409">
        <f>N59/K59</f>
        <v>0.91504535147392296</v>
      </c>
      <c r="R59" s="470"/>
      <c r="S59" s="25"/>
      <c r="T59" s="24"/>
      <c r="U59" s="9"/>
      <c r="V59" s="416"/>
      <c r="W59" s="9"/>
      <c r="X59" s="9"/>
      <c r="Y59" s="456"/>
      <c r="Z59" s="456"/>
      <c r="AA59" s="11">
        <f t="shared" si="2"/>
        <v>-127.43197278911566</v>
      </c>
      <c r="AB59" s="409">
        <f t="shared" si="57"/>
        <v>0.91504535147392285</v>
      </c>
      <c r="AC59" s="470"/>
    </row>
    <row r="60" spans="1:29" ht="15.75" customHeight="1">
      <c r="A60" s="499" t="s">
        <v>163</v>
      </c>
      <c r="B60" s="417" t="s">
        <v>33</v>
      </c>
      <c r="C60" s="487" t="s">
        <v>36</v>
      </c>
      <c r="D60" s="487"/>
      <c r="E60" s="26">
        <v>26.78</v>
      </c>
      <c r="F60" s="27">
        <v>2518</v>
      </c>
      <c r="G60" s="407">
        <f t="shared" ref="G60:G65" si="76">E60*F60</f>
        <v>67432.040000000008</v>
      </c>
      <c r="H60" s="76" t="s">
        <v>57</v>
      </c>
      <c r="I60" s="415">
        <v>10</v>
      </c>
      <c r="J60" s="18">
        <v>3000</v>
      </c>
      <c r="K60" s="9">
        <f t="shared" ref="K60:K65" si="77">J60/I60</f>
        <v>300</v>
      </c>
      <c r="L60" s="17">
        <v>10</v>
      </c>
      <c r="M60" s="10">
        <f t="shared" ref="M60:M65" si="78">F60/V60*60</f>
        <v>2746.9090909090905</v>
      </c>
      <c r="N60" s="9">
        <f>M60/L60</f>
        <v>274.69090909090903</v>
      </c>
      <c r="O60" s="11">
        <f t="shared" ref="O60:O65" si="79">L60-I60</f>
        <v>0</v>
      </c>
      <c r="P60" s="12">
        <f t="shared" ref="P60:P65" si="80">N60-K60</f>
        <v>-25.309090909090969</v>
      </c>
      <c r="Q60" s="409">
        <f>N60/K60</f>
        <v>0.91563636363636347</v>
      </c>
      <c r="R60" s="470">
        <f>Q66</f>
        <v>0.91974343638379841</v>
      </c>
      <c r="S60" s="24">
        <v>0.20833333333333334</v>
      </c>
      <c r="T60" s="24">
        <v>0.24652777777777779</v>
      </c>
      <c r="U60" s="407"/>
      <c r="V60" s="416">
        <f t="shared" ref="V60:V65" si="81">(T60-S60)*24*60</f>
        <v>55.000000000000007</v>
      </c>
      <c r="W60" s="15"/>
      <c r="X60" s="15"/>
      <c r="Y60" s="456"/>
      <c r="Z60" s="456"/>
      <c r="AA60" s="11">
        <f t="shared" si="2"/>
        <v>-253.09090909090946</v>
      </c>
      <c r="AB60" s="409">
        <f t="shared" si="57"/>
        <v>0.91563636363636347</v>
      </c>
      <c r="AC60" s="470">
        <f>AB66</f>
        <v>0.91974343638379852</v>
      </c>
    </row>
    <row r="61" spans="1:29" ht="15.75" customHeight="1">
      <c r="A61" s="499" t="s">
        <v>11</v>
      </c>
      <c r="B61" s="417" t="s">
        <v>33</v>
      </c>
      <c r="C61" s="487" t="s">
        <v>42</v>
      </c>
      <c r="D61" s="487"/>
      <c r="E61" s="26">
        <v>35.369999999999997</v>
      </c>
      <c r="F61" s="27">
        <v>1559</v>
      </c>
      <c r="G61" s="407">
        <f t="shared" si="76"/>
        <v>55141.829999999994</v>
      </c>
      <c r="H61" s="76" t="s">
        <v>57</v>
      </c>
      <c r="I61" s="415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2751.176470588232</v>
      </c>
      <c r="N61" s="9">
        <f t="shared" ref="N61:N65" si="82">M61/L61</f>
        <v>275.1176470588232</v>
      </c>
      <c r="O61" s="11">
        <f t="shared" si="79"/>
        <v>0</v>
      </c>
      <c r="P61" s="12">
        <f t="shared" si="80"/>
        <v>-24.882352941176805</v>
      </c>
      <c r="Q61" s="409">
        <f t="shared" ref="Q61:Q65" si="83">N61/K61</f>
        <v>0.9170588235294107</v>
      </c>
      <c r="R61" s="470"/>
      <c r="S61" s="24">
        <v>0.25208333333333333</v>
      </c>
      <c r="T61" s="24">
        <v>0.27569444444444446</v>
      </c>
      <c r="U61" s="407">
        <f>(S61-T60)*24*60</f>
        <v>7.9999999999999716</v>
      </c>
      <c r="V61" s="416">
        <f t="shared" si="81"/>
        <v>34.000000000000043</v>
      </c>
      <c r="W61" s="407"/>
      <c r="X61" s="407"/>
      <c r="Y61" s="456"/>
      <c r="Z61" s="456"/>
      <c r="AA61" s="11">
        <f t="shared" si="2"/>
        <v>-248.82352941176805</v>
      </c>
      <c r="AB61" s="409">
        <f t="shared" si="57"/>
        <v>0.9170588235294107</v>
      </c>
      <c r="AC61" s="470"/>
    </row>
    <row r="62" spans="1:29" ht="15.75" customHeight="1">
      <c r="A62" s="499" t="s">
        <v>11</v>
      </c>
      <c r="B62" s="417" t="s">
        <v>33</v>
      </c>
      <c r="C62" s="487" t="s">
        <v>41</v>
      </c>
      <c r="D62" s="487"/>
      <c r="E62" s="26">
        <v>34.35</v>
      </c>
      <c r="F62" s="27">
        <v>1351</v>
      </c>
      <c r="G62" s="407">
        <f t="shared" si="76"/>
        <v>46406.85</v>
      </c>
      <c r="H62" s="76" t="s">
        <v>57</v>
      </c>
      <c r="I62" s="415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2795.1724137931055</v>
      </c>
      <c r="N62" s="9">
        <f t="shared" si="82"/>
        <v>279.51724137931058</v>
      </c>
      <c r="O62" s="11">
        <f t="shared" si="79"/>
        <v>0</v>
      </c>
      <c r="P62" s="12">
        <f t="shared" si="80"/>
        <v>-20.482758620689424</v>
      </c>
      <c r="Q62" s="409">
        <f t="shared" si="83"/>
        <v>0.93172413793103526</v>
      </c>
      <c r="R62" s="470"/>
      <c r="S62" s="24">
        <v>0.28125</v>
      </c>
      <c r="T62" s="24">
        <v>0.30138888888888887</v>
      </c>
      <c r="U62" s="407">
        <f t="shared" ref="U62:U65" si="84">(S62-T61)*24*60</f>
        <v>7.9999999999999716</v>
      </c>
      <c r="V62" s="416">
        <f t="shared" si="81"/>
        <v>28.999999999999979</v>
      </c>
      <c r="W62" s="407"/>
      <c r="X62" s="407"/>
      <c r="Y62" s="456"/>
      <c r="Z62" s="456"/>
      <c r="AA62" s="11">
        <f t="shared" si="2"/>
        <v>-204.82758620689447</v>
      </c>
      <c r="AB62" s="409">
        <f t="shared" si="57"/>
        <v>0.93172413793103515</v>
      </c>
      <c r="AC62" s="470"/>
    </row>
    <row r="63" spans="1:29" ht="15.75" customHeight="1">
      <c r="A63" s="499" t="s">
        <v>11</v>
      </c>
      <c r="B63" s="417" t="s">
        <v>15</v>
      </c>
      <c r="C63" s="487" t="s">
        <v>39</v>
      </c>
      <c r="D63" s="487"/>
      <c r="E63" s="26">
        <v>26.97</v>
      </c>
      <c r="F63" s="27">
        <v>3077</v>
      </c>
      <c r="G63" s="407">
        <f t="shared" si="76"/>
        <v>82986.69</v>
      </c>
      <c r="H63" s="76" t="s">
        <v>57</v>
      </c>
      <c r="I63" s="415">
        <v>8</v>
      </c>
      <c r="J63" s="18">
        <v>1440</v>
      </c>
      <c r="K63" s="9">
        <f t="shared" si="77"/>
        <v>180</v>
      </c>
      <c r="L63" s="17">
        <v>8</v>
      </c>
      <c r="M63" s="10">
        <f t="shared" si="78"/>
        <v>1318.7142857142858</v>
      </c>
      <c r="N63" s="9">
        <f t="shared" si="82"/>
        <v>164.83928571428572</v>
      </c>
      <c r="O63" s="11">
        <f t="shared" si="79"/>
        <v>0</v>
      </c>
      <c r="P63" s="12">
        <f t="shared" si="80"/>
        <v>-15.160714285714278</v>
      </c>
      <c r="Q63" s="409">
        <f t="shared" si="83"/>
        <v>0.9157738095238096</v>
      </c>
      <c r="R63" s="470"/>
      <c r="S63" s="24">
        <v>0.30624999999999997</v>
      </c>
      <c r="T63" s="24">
        <v>0.40347222222222218</v>
      </c>
      <c r="U63" s="407">
        <f t="shared" si="84"/>
        <v>6.9999999999999751</v>
      </c>
      <c r="V63" s="416">
        <f t="shared" si="81"/>
        <v>139.99999999999997</v>
      </c>
      <c r="W63" s="407"/>
      <c r="X63" s="407"/>
      <c r="Y63" s="456"/>
      <c r="Z63" s="456"/>
      <c r="AA63" s="11">
        <f t="shared" si="2"/>
        <v>-121.28571428571422</v>
      </c>
      <c r="AB63" s="409">
        <f t="shared" si="57"/>
        <v>0.9157738095238096</v>
      </c>
      <c r="AC63" s="470"/>
    </row>
    <row r="64" spans="1:29">
      <c r="A64" s="500" t="s">
        <v>11</v>
      </c>
      <c r="B64" s="417" t="s">
        <v>33</v>
      </c>
      <c r="C64" s="487" t="s">
        <v>40</v>
      </c>
      <c r="D64" s="487"/>
      <c r="E64" s="26">
        <v>35.119999999999997</v>
      </c>
      <c r="F64" s="27">
        <v>1169</v>
      </c>
      <c r="G64" s="407">
        <f t="shared" si="76"/>
        <v>41055.279999999999</v>
      </c>
      <c r="H64" s="76" t="s">
        <v>57</v>
      </c>
      <c r="I64" s="415">
        <v>13</v>
      </c>
      <c r="J64" s="18">
        <v>2000</v>
      </c>
      <c r="K64" s="9">
        <f t="shared" si="77"/>
        <v>153.84615384615384</v>
      </c>
      <c r="L64" s="17">
        <v>13</v>
      </c>
      <c r="M64" s="10">
        <f t="shared" si="78"/>
        <v>1845.789473684209</v>
      </c>
      <c r="N64" s="9">
        <f t="shared" si="82"/>
        <v>141.98380566801609</v>
      </c>
      <c r="O64" s="11">
        <f t="shared" si="79"/>
        <v>0</v>
      </c>
      <c r="P64" s="12">
        <f t="shared" si="80"/>
        <v>-11.862348178137751</v>
      </c>
      <c r="Q64" s="409">
        <f t="shared" si="83"/>
        <v>0.92289473684210466</v>
      </c>
      <c r="R64" s="470"/>
      <c r="S64" s="24">
        <v>0.40833333333333327</v>
      </c>
      <c r="T64" s="24">
        <v>0.43472222222222218</v>
      </c>
      <c r="U64" s="407">
        <f t="shared" si="84"/>
        <v>6.9999999999999751</v>
      </c>
      <c r="V64" s="416">
        <f t="shared" si="81"/>
        <v>38.000000000000028</v>
      </c>
      <c r="W64" s="14"/>
      <c r="X64" s="14"/>
      <c r="Y64" s="456"/>
      <c r="Z64" s="456"/>
      <c r="AA64" s="11">
        <f t="shared" si="2"/>
        <v>-154.21052631579096</v>
      </c>
      <c r="AB64" s="409">
        <f t="shared" si="57"/>
        <v>0.92289473684210455</v>
      </c>
      <c r="AC64" s="470"/>
    </row>
    <row r="65" spans="1:29" ht="15" customHeight="1">
      <c r="A65" s="500" t="s">
        <v>11</v>
      </c>
      <c r="B65" s="417" t="s">
        <v>33</v>
      </c>
      <c r="C65" s="491" t="s">
        <v>1194</v>
      </c>
      <c r="D65" s="492"/>
      <c r="E65" s="26">
        <v>35.869999999999997</v>
      </c>
      <c r="F65" s="27">
        <v>3566</v>
      </c>
      <c r="G65" s="407">
        <f t="shared" si="76"/>
        <v>127912.41999999998</v>
      </c>
      <c r="H65" s="76" t="s">
        <v>57</v>
      </c>
      <c r="I65" s="415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2743.0769230769247</v>
      </c>
      <c r="N65" s="9">
        <f t="shared" si="82"/>
        <v>274.30769230769249</v>
      </c>
      <c r="O65" s="11">
        <f t="shared" si="79"/>
        <v>0</v>
      </c>
      <c r="P65" s="12">
        <f t="shared" si="80"/>
        <v>-25.692307692307509</v>
      </c>
      <c r="Q65" s="409">
        <f t="shared" si="83"/>
        <v>0.91435897435897495</v>
      </c>
      <c r="R65" s="470"/>
      <c r="S65" s="24">
        <v>0.43888888888888883</v>
      </c>
      <c r="T65" s="24">
        <v>0.49305555555555547</v>
      </c>
      <c r="U65" s="407">
        <f t="shared" si="84"/>
        <v>5.9999999999999787</v>
      </c>
      <c r="V65" s="416">
        <f t="shared" si="81"/>
        <v>77.999999999999957</v>
      </c>
      <c r="W65" s="407"/>
      <c r="X65" s="407"/>
      <c r="Y65" s="473"/>
      <c r="Z65" s="474"/>
      <c r="AA65" s="11">
        <f t="shared" si="2"/>
        <v>-256.92307692307531</v>
      </c>
      <c r="AB65" s="409">
        <f t="shared" si="57"/>
        <v>0.91435897435897484</v>
      </c>
      <c r="AC65" s="470"/>
    </row>
    <row r="66" spans="1:29">
      <c r="A66" s="500" t="s">
        <v>11</v>
      </c>
      <c r="B66" s="26" t="s">
        <v>154</v>
      </c>
      <c r="C66" s="466"/>
      <c r="D66" s="466"/>
      <c r="E66" s="408"/>
      <c r="F66" s="16"/>
      <c r="G66" s="9"/>
      <c r="H66" s="417"/>
      <c r="I66" s="17">
        <v>10.166666666666666</v>
      </c>
      <c r="J66" s="18">
        <v>2573.3333333333335</v>
      </c>
      <c r="K66" s="9">
        <f>J66/I66</f>
        <v>253.11475409836069</v>
      </c>
      <c r="L66" s="17">
        <v>10.166666666666666</v>
      </c>
      <c r="M66" s="10">
        <f>AVERAGE(M60:M65)</f>
        <v>2366.8064429609749</v>
      </c>
      <c r="N66" s="9">
        <f>M66/L66</f>
        <v>232.80063373386639</v>
      </c>
      <c r="O66" s="11">
        <f>L66-I66</f>
        <v>0</v>
      </c>
      <c r="P66" s="12">
        <f>N66-K66</f>
        <v>-20.3141203644943</v>
      </c>
      <c r="Q66" s="409">
        <f>N66/K66</f>
        <v>0.91974343638379841</v>
      </c>
      <c r="R66" s="470"/>
      <c r="S66" s="24"/>
      <c r="T66" s="24"/>
      <c r="U66" s="9"/>
      <c r="V66" s="416"/>
      <c r="W66" s="9"/>
      <c r="X66" s="9"/>
      <c r="Y66" s="456"/>
      <c r="Z66" s="456"/>
      <c r="AA66" s="11">
        <f t="shared" si="2"/>
        <v>-206.52689037235859</v>
      </c>
      <c r="AB66" s="409">
        <f t="shared" si="57"/>
        <v>0.91974343638379852</v>
      </c>
      <c r="AC66" s="470"/>
    </row>
    <row r="67" spans="1:29" ht="15.75" customHeight="1">
      <c r="A67" s="467" t="s">
        <v>1677</v>
      </c>
      <c r="B67" s="417" t="s">
        <v>24</v>
      </c>
      <c r="C67" s="487" t="s">
        <v>83</v>
      </c>
      <c r="D67" s="487"/>
      <c r="E67" s="26">
        <v>32.03</v>
      </c>
      <c r="F67" s="417">
        <v>1178</v>
      </c>
      <c r="G67" s="407">
        <f t="shared" ref="G67:G72" si="85">E67*F67</f>
        <v>37731.340000000004</v>
      </c>
      <c r="H67" s="76" t="s">
        <v>57</v>
      </c>
      <c r="I67" s="415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2208.7499999999995</v>
      </c>
      <c r="N67" s="9">
        <f t="shared" ref="N67:N72" si="87">M67/L67</f>
        <v>116.24999999999997</v>
      </c>
      <c r="O67" s="11">
        <f t="shared" ref="O67:O72" si="88">L67-I67</f>
        <v>0</v>
      </c>
      <c r="P67" s="12">
        <f t="shared" ref="P67:P72" si="89">N67-K67</f>
        <v>-10.065789473684234</v>
      </c>
      <c r="Q67" s="409">
        <f>N67/K67</f>
        <v>0.92031249999999987</v>
      </c>
      <c r="R67" s="470">
        <f>Q73</f>
        <v>0.91794715865136811</v>
      </c>
      <c r="S67" s="24">
        <v>0.125</v>
      </c>
      <c r="T67" s="24">
        <v>0.14722222222222223</v>
      </c>
      <c r="U67" s="15"/>
      <c r="V67" s="416">
        <f t="shared" ref="V67:V72" si="90">(T67-S67)*24*60</f>
        <v>32.000000000000007</v>
      </c>
      <c r="W67" s="14"/>
      <c r="X67" s="14"/>
      <c r="Y67" s="456"/>
      <c r="Z67" s="456"/>
      <c r="AA67" s="11">
        <f t="shared" si="2"/>
        <v>-191.25000000000045</v>
      </c>
      <c r="AB67" s="409">
        <f>M67/J67</f>
        <v>0.92031249999999976</v>
      </c>
      <c r="AC67" s="470">
        <f>AB73</f>
        <v>0.91794715865136822</v>
      </c>
    </row>
    <row r="68" spans="1:29" ht="15.75" customHeight="1">
      <c r="A68" s="467" t="s">
        <v>12</v>
      </c>
      <c r="B68" s="417" t="s">
        <v>24</v>
      </c>
      <c r="C68" s="487" t="s">
        <v>56</v>
      </c>
      <c r="D68" s="487"/>
      <c r="E68" s="26">
        <v>20.2</v>
      </c>
      <c r="F68" s="417">
        <v>2363</v>
      </c>
      <c r="G68" s="407">
        <f t="shared" si="85"/>
        <v>47732.6</v>
      </c>
      <c r="H68" s="76" t="s">
        <v>57</v>
      </c>
      <c r="I68" s="415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2" si="91">F68/V68*60</f>
        <v>2215.3124999999995</v>
      </c>
      <c r="N68" s="9">
        <f t="shared" si="87"/>
        <v>116.59539473684208</v>
      </c>
      <c r="O68" s="11">
        <f t="shared" si="88"/>
        <v>0</v>
      </c>
      <c r="P68" s="12">
        <f t="shared" si="89"/>
        <v>-9.720394736842124</v>
      </c>
      <c r="Q68" s="409">
        <f t="shared" ref="Q68:Q73" si="92">N68/K68</f>
        <v>0.92304687499999982</v>
      </c>
      <c r="R68" s="470"/>
      <c r="S68" s="24">
        <v>0.16736111111111113</v>
      </c>
      <c r="T68" s="24">
        <v>0.21180555555555558</v>
      </c>
      <c r="U68" s="407">
        <f>(S68-T67)*24*60</f>
        <v>29.000000000000018</v>
      </c>
      <c r="V68" s="416">
        <f t="shared" si="90"/>
        <v>64.000000000000014</v>
      </c>
      <c r="W68" s="14"/>
      <c r="X68" s="14"/>
      <c r="Y68" s="456"/>
      <c r="Z68" s="456"/>
      <c r="AA68" s="11">
        <f t="shared" si="2"/>
        <v>-184.68750000000045</v>
      </c>
      <c r="AB68" s="409">
        <f t="shared" ref="AB68:AB73" si="93">M68/J68</f>
        <v>0.92304687499999982</v>
      </c>
      <c r="AC68" s="470"/>
    </row>
    <row r="69" spans="1:29" ht="15.75" customHeight="1">
      <c r="A69" s="467" t="s">
        <v>12</v>
      </c>
      <c r="B69" s="417" t="s">
        <v>24</v>
      </c>
      <c r="C69" s="487" t="s">
        <v>45</v>
      </c>
      <c r="D69" s="487"/>
      <c r="E69" s="26">
        <v>19.02</v>
      </c>
      <c r="F69" s="417">
        <v>6000</v>
      </c>
      <c r="G69" s="407">
        <f t="shared" si="85"/>
        <v>114120</v>
      </c>
      <c r="H69" s="76">
        <v>2</v>
      </c>
      <c r="I69" s="415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2195.1219512195125</v>
      </c>
      <c r="N69" s="9">
        <f t="shared" si="87"/>
        <v>146.34146341463418</v>
      </c>
      <c r="O69" s="11">
        <f t="shared" si="88"/>
        <v>0</v>
      </c>
      <c r="P69" s="12">
        <f t="shared" si="89"/>
        <v>-13.658536585365823</v>
      </c>
      <c r="Q69" s="409">
        <f t="shared" si="92"/>
        <v>0.91463414634146356</v>
      </c>
      <c r="R69" s="470"/>
      <c r="S69" s="24">
        <v>0.21527777777777779</v>
      </c>
      <c r="T69" s="24">
        <v>0.32916666666666666</v>
      </c>
      <c r="U69" s="407">
        <f t="shared" ref="U69:U72" si="94">(S69-T68)*24*60</f>
        <v>4.9999999999999822</v>
      </c>
      <c r="V69" s="416">
        <f t="shared" si="90"/>
        <v>163.99999999999997</v>
      </c>
      <c r="W69" s="14"/>
      <c r="X69" s="14"/>
      <c r="Y69" s="456"/>
      <c r="Z69" s="456"/>
      <c r="AA69" s="11">
        <f t="shared" ref="AA69:AA85" si="95">M69-J69</f>
        <v>-204.87804878048746</v>
      </c>
      <c r="AB69" s="409">
        <f t="shared" si="93"/>
        <v>0.91463414634146356</v>
      </c>
      <c r="AC69" s="470"/>
    </row>
    <row r="70" spans="1:29" ht="15.75" customHeight="1">
      <c r="A70" s="467" t="s">
        <v>12</v>
      </c>
      <c r="B70" s="417" t="s">
        <v>24</v>
      </c>
      <c r="C70" s="487" t="s">
        <v>46</v>
      </c>
      <c r="D70" s="487"/>
      <c r="E70" s="26">
        <v>25</v>
      </c>
      <c r="F70" s="417">
        <v>3747</v>
      </c>
      <c r="G70" s="407">
        <f t="shared" si="85"/>
        <v>93675</v>
      </c>
      <c r="H70" s="76" t="s">
        <v>57</v>
      </c>
      <c r="I70" s="415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2204.1176470588225</v>
      </c>
      <c r="N70" s="9">
        <f t="shared" si="87"/>
        <v>146.94117647058818</v>
      </c>
      <c r="O70" s="11">
        <f t="shared" si="88"/>
        <v>0</v>
      </c>
      <c r="P70" s="12">
        <f t="shared" si="89"/>
        <v>-13.058823529411825</v>
      </c>
      <c r="Q70" s="409">
        <f t="shared" si="92"/>
        <v>0.91838235294117609</v>
      </c>
      <c r="R70" s="470"/>
      <c r="S70" s="24">
        <v>0.3347222222222222</v>
      </c>
      <c r="T70" s="24">
        <v>0.40555555555555556</v>
      </c>
      <c r="U70" s="407">
        <f t="shared" si="94"/>
        <v>7.9999999999999716</v>
      </c>
      <c r="V70" s="416">
        <f t="shared" si="90"/>
        <v>102.00000000000004</v>
      </c>
      <c r="W70" s="14"/>
      <c r="X70" s="14"/>
      <c r="Y70" s="456"/>
      <c r="Z70" s="456"/>
      <c r="AA70" s="11">
        <f t="shared" si="95"/>
        <v>-195.88235294117749</v>
      </c>
      <c r="AB70" s="409">
        <f t="shared" si="93"/>
        <v>0.91838235294117609</v>
      </c>
      <c r="AC70" s="470"/>
    </row>
    <row r="71" spans="1:29" ht="15.75" customHeight="1">
      <c r="A71" s="467" t="s">
        <v>12</v>
      </c>
      <c r="B71" s="417" t="s">
        <v>24</v>
      </c>
      <c r="C71" s="487" t="s">
        <v>510</v>
      </c>
      <c r="D71" s="487"/>
      <c r="E71" s="26">
        <v>28.51</v>
      </c>
      <c r="F71" s="417">
        <v>4370</v>
      </c>
      <c r="G71" s="407">
        <f t="shared" si="85"/>
        <v>124588.70000000001</v>
      </c>
      <c r="H71" s="76" t="s">
        <v>57</v>
      </c>
      <c r="I71" s="415">
        <v>19</v>
      </c>
      <c r="J71" s="18">
        <v>2400</v>
      </c>
      <c r="K71" s="9">
        <f t="shared" ref="K71:K73" si="96">J71/I71</f>
        <v>126.31578947368421</v>
      </c>
      <c r="L71" s="17">
        <v>19</v>
      </c>
      <c r="M71" s="10">
        <f t="shared" si="91"/>
        <v>2185.0000000000009</v>
      </c>
      <c r="N71" s="9">
        <f t="shared" si="87"/>
        <v>115.00000000000004</v>
      </c>
      <c r="O71" s="11">
        <f t="shared" si="88"/>
        <v>0</v>
      </c>
      <c r="P71" s="12">
        <f t="shared" si="89"/>
        <v>-11.315789473684163</v>
      </c>
      <c r="Q71" s="409">
        <f t="shared" si="92"/>
        <v>0.9104166666666671</v>
      </c>
      <c r="R71" s="470"/>
      <c r="S71" s="24">
        <v>0.41041666666666665</v>
      </c>
      <c r="T71" s="24">
        <v>0.49374999999999997</v>
      </c>
      <c r="U71" s="407">
        <f t="shared" si="94"/>
        <v>6.9999999999999751</v>
      </c>
      <c r="V71" s="416">
        <f t="shared" si="90"/>
        <v>119.99999999999997</v>
      </c>
      <c r="W71" s="14"/>
      <c r="X71" s="14"/>
      <c r="Y71" s="456"/>
      <c r="Z71" s="456"/>
      <c r="AA71" s="11">
        <f t="shared" si="95"/>
        <v>-214.99999999999909</v>
      </c>
      <c r="AB71" s="409">
        <f t="shared" si="93"/>
        <v>0.9104166666666671</v>
      </c>
      <c r="AC71" s="470"/>
    </row>
    <row r="72" spans="1:29" ht="15.75" customHeight="1">
      <c r="A72" s="467" t="s">
        <v>12</v>
      </c>
      <c r="B72" s="417" t="s">
        <v>24</v>
      </c>
      <c r="C72" s="487" t="s">
        <v>45</v>
      </c>
      <c r="D72" s="487"/>
      <c r="E72" s="26">
        <v>19.02</v>
      </c>
      <c r="F72" s="417">
        <v>2689</v>
      </c>
      <c r="G72" s="407">
        <f t="shared" si="85"/>
        <v>51144.78</v>
      </c>
      <c r="H72" s="76" t="s">
        <v>57</v>
      </c>
      <c r="I72" s="415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2210.1369863013679</v>
      </c>
      <c r="N72" s="9">
        <f t="shared" si="87"/>
        <v>147.34246575342453</v>
      </c>
      <c r="O72" s="11">
        <f t="shared" si="88"/>
        <v>0</v>
      </c>
      <c r="P72" s="12">
        <f t="shared" si="89"/>
        <v>-12.657534246575466</v>
      </c>
      <c r="Q72" s="409">
        <f t="shared" si="92"/>
        <v>0.92089041095890334</v>
      </c>
      <c r="R72" s="470"/>
      <c r="S72" s="24">
        <v>0.5347222222222221</v>
      </c>
      <c r="T72" s="24">
        <v>0.58541666666666659</v>
      </c>
      <c r="U72" s="407">
        <f t="shared" si="94"/>
        <v>58.999999999999872</v>
      </c>
      <c r="V72" s="416">
        <f t="shared" si="90"/>
        <v>73.000000000000057</v>
      </c>
      <c r="W72" s="14"/>
      <c r="X72" s="14"/>
      <c r="Y72" s="456"/>
      <c r="Z72" s="456"/>
      <c r="AA72" s="11">
        <f t="shared" si="95"/>
        <v>-189.86301369863213</v>
      </c>
      <c r="AB72" s="409">
        <f t="shared" si="93"/>
        <v>0.92089041095890323</v>
      </c>
      <c r="AC72" s="470"/>
    </row>
    <row r="73" spans="1:29" ht="16.5" customHeight="1">
      <c r="A73" s="501" t="s">
        <v>12</v>
      </c>
      <c r="B73" s="26" t="s">
        <v>1672</v>
      </c>
      <c r="C73" s="466"/>
      <c r="D73" s="466"/>
      <c r="E73" s="408"/>
      <c r="F73" s="16"/>
      <c r="G73" s="9"/>
      <c r="H73" s="417"/>
      <c r="I73" s="17">
        <v>17</v>
      </c>
      <c r="J73" s="18">
        <v>2400</v>
      </c>
      <c r="K73" s="9">
        <f t="shared" si="96"/>
        <v>141.1764705882353</v>
      </c>
      <c r="L73" s="17">
        <v>17</v>
      </c>
      <c r="M73" s="10">
        <f>AVERAGE(M67:M72)</f>
        <v>2203.0731807632837</v>
      </c>
      <c r="N73" s="9">
        <f>M73/L73</f>
        <v>129.59254004489904</v>
      </c>
      <c r="O73" s="11">
        <f>L73-I73</f>
        <v>0</v>
      </c>
      <c r="P73" s="12">
        <f>N73-K73</f>
        <v>-11.583930543336265</v>
      </c>
      <c r="Q73" s="409">
        <f t="shared" si="92"/>
        <v>0.91794715865136811</v>
      </c>
      <c r="R73" s="470"/>
      <c r="S73" s="24"/>
      <c r="T73" s="24"/>
      <c r="U73" s="9"/>
      <c r="V73" s="416"/>
      <c r="W73" s="9"/>
      <c r="X73" s="9"/>
      <c r="Y73" s="456"/>
      <c r="Z73" s="456"/>
      <c r="AA73" s="11">
        <f t="shared" si="95"/>
        <v>-196.92681923671626</v>
      </c>
      <c r="AB73" s="409">
        <f t="shared" si="93"/>
        <v>0.91794715865136822</v>
      </c>
      <c r="AC73" s="470"/>
    </row>
    <row r="74" spans="1:29">
      <c r="D74" s="19"/>
      <c r="E74" s="19"/>
    </row>
  </sheetData>
  <mergeCells count="196">
    <mergeCell ref="Y70:Z70"/>
    <mergeCell ref="C71:D71"/>
    <mergeCell ref="Y71:Z71"/>
    <mergeCell ref="C72:D72"/>
    <mergeCell ref="Y72:Z72"/>
    <mergeCell ref="C73:D73"/>
    <mergeCell ref="Y73:Z73"/>
    <mergeCell ref="A67:A73"/>
    <mergeCell ref="C67:D67"/>
    <mergeCell ref="R67:R73"/>
    <mergeCell ref="Y67:Z67"/>
    <mergeCell ref="AC67:AC73"/>
    <mergeCell ref="C68:D68"/>
    <mergeCell ref="Y68:Z68"/>
    <mergeCell ref="C69:D69"/>
    <mergeCell ref="Y69:Z69"/>
    <mergeCell ref="C70:D70"/>
    <mergeCell ref="Y63:Z63"/>
    <mergeCell ref="C64:D64"/>
    <mergeCell ref="Y64:Z64"/>
    <mergeCell ref="C65:D65"/>
    <mergeCell ref="Y65:Z65"/>
    <mergeCell ref="C66:D66"/>
    <mergeCell ref="Y66:Z66"/>
    <mergeCell ref="A60:A66"/>
    <mergeCell ref="C60:D60"/>
    <mergeCell ref="R60:R66"/>
    <mergeCell ref="Y60:Z60"/>
    <mergeCell ref="AC60:AC66"/>
    <mergeCell ref="C61:D61"/>
    <mergeCell ref="Y61:Z61"/>
    <mergeCell ref="C62:D62"/>
    <mergeCell ref="Y62:Z62"/>
    <mergeCell ref="C63:D63"/>
    <mergeCell ref="AC55:AC59"/>
    <mergeCell ref="C56:D56"/>
    <mergeCell ref="Y56:Z56"/>
    <mergeCell ref="C57:D57"/>
    <mergeCell ref="C59:D59"/>
    <mergeCell ref="Y59:Z59"/>
    <mergeCell ref="Y52:Z52"/>
    <mergeCell ref="C53:D53"/>
    <mergeCell ref="Y53:Z53"/>
    <mergeCell ref="C54:D54"/>
    <mergeCell ref="Y54:Z54"/>
    <mergeCell ref="A55:A59"/>
    <mergeCell ref="C55:D55"/>
    <mergeCell ref="R55:R59"/>
    <mergeCell ref="Y55:Z55"/>
    <mergeCell ref="AC46:AC54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C44:D44"/>
    <mergeCell ref="Y44:Z44"/>
    <mergeCell ref="C45:D45"/>
    <mergeCell ref="Y45:Z45"/>
    <mergeCell ref="A46:A54"/>
    <mergeCell ref="C46:D46"/>
    <mergeCell ref="R46:R54"/>
    <mergeCell ref="Y46:Z46"/>
    <mergeCell ref="Y51:Z51"/>
    <mergeCell ref="C52:D52"/>
    <mergeCell ref="C41:D41"/>
    <mergeCell ref="Y41:Z41"/>
    <mergeCell ref="C42:D42"/>
    <mergeCell ref="Y42:Z42"/>
    <mergeCell ref="C43:D43"/>
    <mergeCell ref="Y43:Z43"/>
    <mergeCell ref="Y37:Z37"/>
    <mergeCell ref="A38:A45"/>
    <mergeCell ref="C38:D38"/>
    <mergeCell ref="R38:R45"/>
    <mergeCell ref="Y38:Z38"/>
    <mergeCell ref="AC38:AC45"/>
    <mergeCell ref="C39:D39"/>
    <mergeCell ref="Y39:Z39"/>
    <mergeCell ref="C40:D40"/>
    <mergeCell ref="Y40:Z40"/>
    <mergeCell ref="AC31:AC37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C29:D29"/>
    <mergeCell ref="Y29:Z29"/>
    <mergeCell ref="C30:D30"/>
    <mergeCell ref="Y30:Z30"/>
    <mergeCell ref="A31:A37"/>
    <mergeCell ref="C31:D31"/>
    <mergeCell ref="R31:R37"/>
    <mergeCell ref="Y31:Z31"/>
    <mergeCell ref="Y36:Z36"/>
    <mergeCell ref="C37:D37"/>
    <mergeCell ref="C26:D26"/>
    <mergeCell ref="Y26:Z26"/>
    <mergeCell ref="C27:D27"/>
    <mergeCell ref="Y27:Z27"/>
    <mergeCell ref="C28:D28"/>
    <mergeCell ref="Y28:Z28"/>
    <mergeCell ref="AC20:AC30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Y17:Z17"/>
    <mergeCell ref="C18:D18"/>
    <mergeCell ref="Y18:Z18"/>
    <mergeCell ref="C19:D19"/>
    <mergeCell ref="Y19:Z19"/>
    <mergeCell ref="A20:A30"/>
    <mergeCell ref="C20:D20"/>
    <mergeCell ref="R20:R30"/>
    <mergeCell ref="Y20:Z20"/>
    <mergeCell ref="Y25:Z25"/>
    <mergeCell ref="A14:A19"/>
    <mergeCell ref="C14:D14"/>
    <mergeCell ref="R14:R19"/>
    <mergeCell ref="Y14:Z1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Y1:Z2"/>
    <mergeCell ref="AA1:AC2"/>
  </mergeCells>
  <phoneticPr fontId="3" type="noConversion"/>
  <conditionalFormatting sqref="O63:O73 O5:O9 O13:O15 O54:O60 O19:O51">
    <cfRule type="cellIs" dxfId="60" priority="53" operator="greaterThan">
      <formula>0</formula>
    </cfRule>
  </conditionalFormatting>
  <conditionalFormatting sqref="P5:P7 P63:P65 AA63:AA65 P67:P72 P31:P36 P60 P9 P13:P15 P20:P29 P55:P58 P38:P51 AA5:AA60 AA67:AA73">
    <cfRule type="cellIs" dxfId="59" priority="57" operator="lessThan">
      <formula>0</formula>
    </cfRule>
  </conditionalFormatting>
  <conditionalFormatting sqref="AB63:AB65 Q63:Q73 Q5:Q9 Q13:Q15 Q54:Q60 Q19:Q51 AB5:AB60 AB67:AB73">
    <cfRule type="cellIs" dxfId="58" priority="54" operator="greaterThan">
      <formula>1</formula>
    </cfRule>
    <cfRule type="cellIs" dxfId="57" priority="55" operator="lessThan">
      <formula>0.8</formula>
    </cfRule>
  </conditionalFormatting>
  <conditionalFormatting sqref="AC14:AC15 R14:R15 AC63 R19:R25 AC19:AC25 R63:R73 AC5:AC9 R5:R9 R30:R51 AC30:AC51 AC54:AC60 R54:R60">
    <cfRule type="cellIs" dxfId="56" priority="59" operator="lessThan">
      <formula>0.8</formula>
    </cfRule>
  </conditionalFormatting>
  <conditionalFormatting sqref="AC46">
    <cfRule type="cellIs" dxfId="55" priority="61" operator="lessThan">
      <formula>0.8</formula>
    </cfRule>
  </conditionalFormatting>
  <conditionalFormatting sqref="AC20:AC25">
    <cfRule type="cellIs" dxfId="54" priority="58" operator="lessThan">
      <formula>0.8</formula>
    </cfRule>
  </conditionalFormatting>
  <conditionalFormatting sqref="AC31">
    <cfRule type="cellIs" dxfId="53" priority="60" operator="lessThan">
      <formula>0.8</formula>
    </cfRule>
  </conditionalFormatting>
  <conditionalFormatting sqref="AC38:AC44">
    <cfRule type="cellIs" dxfId="52" priority="56" operator="lessThan">
      <formula>0.8</formula>
    </cfRule>
  </conditionalFormatting>
  <conditionalFormatting sqref="AA66">
    <cfRule type="cellIs" dxfId="51" priority="52" operator="lessThan">
      <formula>0</formula>
    </cfRule>
  </conditionalFormatting>
  <conditionalFormatting sqref="AB66">
    <cfRule type="cellIs" dxfId="50" priority="50" operator="greaterThan">
      <formula>1</formula>
    </cfRule>
    <cfRule type="cellIs" dxfId="49" priority="51" operator="lessThan">
      <formula>0.8</formula>
    </cfRule>
  </conditionalFormatting>
  <conditionalFormatting sqref="O16:O17">
    <cfRule type="cellIs" dxfId="48" priority="45" operator="greaterThan">
      <formula>0</formula>
    </cfRule>
  </conditionalFormatting>
  <conditionalFormatting sqref="P16:P17">
    <cfRule type="cellIs" dxfId="47" priority="48" operator="lessThan">
      <formula>0</formula>
    </cfRule>
  </conditionalFormatting>
  <conditionalFormatting sqref="Q16:Q17">
    <cfRule type="cellIs" dxfId="46" priority="46" operator="greaterThan">
      <formula>1</formula>
    </cfRule>
    <cfRule type="cellIs" dxfId="45" priority="47" operator="lessThan">
      <formula>0.8</formula>
    </cfRule>
  </conditionalFormatting>
  <conditionalFormatting sqref="R16:R17 AC16:AC17">
    <cfRule type="cellIs" dxfId="44" priority="49" operator="lessThan">
      <formula>0.8</formula>
    </cfRule>
  </conditionalFormatting>
  <conditionalFormatting sqref="O10:O12">
    <cfRule type="cellIs" dxfId="43" priority="41" operator="greaterThan">
      <formula>0</formula>
    </cfRule>
  </conditionalFormatting>
  <conditionalFormatting sqref="P10:P12">
    <cfRule type="cellIs" dxfId="42" priority="44" operator="lessThan">
      <formula>0</formula>
    </cfRule>
  </conditionalFormatting>
  <conditionalFormatting sqref="Q10:Q12">
    <cfRule type="cellIs" dxfId="41" priority="42" operator="greaterThan">
      <formula>1</formula>
    </cfRule>
    <cfRule type="cellIs" dxfId="40" priority="43" operator="lessThan">
      <formula>0.8</formula>
    </cfRule>
  </conditionalFormatting>
  <conditionalFormatting sqref="AC27 R27">
    <cfRule type="cellIs" dxfId="39" priority="40" operator="lessThan">
      <formula>0.8</formula>
    </cfRule>
  </conditionalFormatting>
  <conditionalFormatting sqref="O62">
    <cfRule type="cellIs" dxfId="38" priority="35" operator="greaterThan">
      <formula>0</formula>
    </cfRule>
  </conditionalFormatting>
  <conditionalFormatting sqref="P62 AA62">
    <cfRule type="cellIs" dxfId="37" priority="38" operator="lessThan">
      <formula>0</formula>
    </cfRule>
  </conditionalFormatting>
  <conditionalFormatting sqref="Q62 AB62">
    <cfRule type="cellIs" dxfId="36" priority="36" operator="greaterThan">
      <formula>1</formula>
    </cfRule>
    <cfRule type="cellIs" dxfId="35" priority="37" operator="lessThan">
      <formula>0.8</formula>
    </cfRule>
  </conditionalFormatting>
  <conditionalFormatting sqref="R62 AC62">
    <cfRule type="cellIs" dxfId="34" priority="39" operator="lessThan">
      <formula>0.8</formula>
    </cfRule>
  </conditionalFormatting>
  <conditionalFormatting sqref="O18">
    <cfRule type="cellIs" dxfId="33" priority="30" operator="greaterThan">
      <formula>0</formula>
    </cfRule>
  </conditionalFormatting>
  <conditionalFormatting sqref="P18">
    <cfRule type="cellIs" dxfId="32" priority="33" operator="lessThan">
      <formula>0</formula>
    </cfRule>
  </conditionalFormatting>
  <conditionalFormatting sqref="Q18">
    <cfRule type="cellIs" dxfId="31" priority="31" operator="greaterThan">
      <formula>1</formula>
    </cfRule>
    <cfRule type="cellIs" dxfId="30" priority="32" operator="lessThan">
      <formula>0.8</formula>
    </cfRule>
  </conditionalFormatting>
  <conditionalFormatting sqref="R18 AC18">
    <cfRule type="cellIs" dxfId="29" priority="34" operator="lessThan">
      <formula>0.8</formula>
    </cfRule>
  </conditionalFormatting>
  <conditionalFormatting sqref="O52">
    <cfRule type="cellIs" dxfId="28" priority="24" operator="greaterThan">
      <formula>0</formula>
    </cfRule>
  </conditionalFormatting>
  <conditionalFormatting sqref="P52">
    <cfRule type="cellIs" dxfId="27" priority="28" operator="lessThan">
      <formula>0</formula>
    </cfRule>
  </conditionalFormatting>
  <conditionalFormatting sqref="Q52">
    <cfRule type="cellIs" dxfId="26" priority="25" operator="greaterThan">
      <formula>1</formula>
    </cfRule>
    <cfRule type="cellIs" dxfId="25" priority="26" operator="lessThan">
      <formula>0.8</formula>
    </cfRule>
  </conditionalFormatting>
  <conditionalFormatting sqref="R52 AC52">
    <cfRule type="cellIs" dxfId="24" priority="29" operator="lessThan">
      <formula>0.8</formula>
    </cfRule>
  </conditionalFormatting>
  <conditionalFormatting sqref="AC52">
    <cfRule type="cellIs" dxfId="23" priority="27" operator="lessThan">
      <formula>0.8</formula>
    </cfRule>
  </conditionalFormatting>
  <conditionalFormatting sqref="O53">
    <cfRule type="cellIs" dxfId="22" priority="18" operator="greaterThan">
      <formula>0</formula>
    </cfRule>
  </conditionalFormatting>
  <conditionalFormatting sqref="P53">
    <cfRule type="cellIs" dxfId="21" priority="22" operator="lessThan">
      <formula>0</formula>
    </cfRule>
  </conditionalFormatting>
  <conditionalFormatting sqref="Q53">
    <cfRule type="cellIs" dxfId="20" priority="19" operator="greaterThan">
      <formula>1</formula>
    </cfRule>
    <cfRule type="cellIs" dxfId="19" priority="20" operator="lessThan">
      <formula>0.8</formula>
    </cfRule>
  </conditionalFormatting>
  <conditionalFormatting sqref="R53 AC53">
    <cfRule type="cellIs" dxfId="18" priority="23" operator="lessThan">
      <formula>0.8</formula>
    </cfRule>
  </conditionalFormatting>
  <conditionalFormatting sqref="AC53">
    <cfRule type="cellIs" dxfId="17" priority="21" operator="lessThan">
      <formula>0.8</formula>
    </cfRule>
  </conditionalFormatting>
  <conditionalFormatting sqref="AC28 R28">
    <cfRule type="cellIs" dxfId="16" priority="17" operator="lessThan">
      <formula>0.8</formula>
    </cfRule>
  </conditionalFormatting>
  <conditionalFormatting sqref="R26 AC26">
    <cfRule type="cellIs" dxfId="15" priority="16" operator="lessThan">
      <formula>0.8</formula>
    </cfRule>
  </conditionalFormatting>
  <conditionalFormatting sqref="AC26">
    <cfRule type="cellIs" dxfId="14" priority="15" operator="lessThan">
      <formula>0.8</formula>
    </cfRule>
  </conditionalFormatting>
  <conditionalFormatting sqref="O61">
    <cfRule type="cellIs" dxfId="13" priority="10" operator="greaterThan">
      <formula>0</formula>
    </cfRule>
  </conditionalFormatting>
  <conditionalFormatting sqref="P61 AA61">
    <cfRule type="cellIs" dxfId="12" priority="13" operator="lessThan">
      <formula>0</formula>
    </cfRule>
  </conditionalFormatting>
  <conditionalFormatting sqref="Q61 AB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R61 AC61">
    <cfRule type="cellIs" dxfId="9" priority="14" operator="lessThan">
      <formula>0.8</formula>
    </cfRule>
  </conditionalFormatting>
  <conditionalFormatting sqref="P8">
    <cfRule type="cellIs" dxfId="8" priority="9" operator="lessThan">
      <formula>0</formula>
    </cfRule>
  </conditionalFormatting>
  <conditionalFormatting sqref="P19">
    <cfRule type="cellIs" dxfId="7" priority="8" operator="lessThan">
      <formula>0</formula>
    </cfRule>
  </conditionalFormatting>
  <conditionalFormatting sqref="P30">
    <cfRule type="cellIs" dxfId="6" priority="7" operator="lessThan">
      <formula>0</formula>
    </cfRule>
  </conditionalFormatting>
  <conditionalFormatting sqref="P37">
    <cfRule type="cellIs" dxfId="5" priority="6" operator="lessThan">
      <formula>0</formula>
    </cfRule>
  </conditionalFormatting>
  <conditionalFormatting sqref="P54">
    <cfRule type="cellIs" dxfId="4" priority="5" operator="lessThan">
      <formula>0</formula>
    </cfRule>
  </conditionalFormatting>
  <conditionalFormatting sqref="P59">
    <cfRule type="cellIs" dxfId="3" priority="4" operator="lessThan">
      <formula>0</formula>
    </cfRule>
  </conditionalFormatting>
  <conditionalFormatting sqref="P66">
    <cfRule type="cellIs" dxfId="2" priority="3" operator="lessThan">
      <formula>0</formula>
    </cfRule>
  </conditionalFormatting>
  <conditionalFormatting sqref="P73">
    <cfRule type="cellIs" dxfId="1" priority="2" operator="lessThan">
      <formula>0</formula>
    </cfRule>
  </conditionalFormatting>
  <conditionalFormatting sqref="AC29 R29">
    <cfRule type="cellIs" dxfId="0" priority="1" operator="lessThan">
      <formula>0.8</formula>
    </cfRule>
  </conditionalFormatting>
  <dataValidations count="1">
    <dataValidation type="list" allowBlank="1" showInputMessage="1" showErrorMessage="1" sqref="Z8 Z64:Z65 Y5:Z7 Y8:Y65 Z10:Z60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7" zoomScale="70" zoomScaleNormal="70" workbookViewId="0">
      <selection activeCell="H15" sqref="H15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92" t="s">
        <v>166</v>
      </c>
      <c r="C3" s="421" t="str">
        <f>TEXT('0730 4度C'!A2,"yyyy.mm.ddaaaa")</f>
        <v>2025.07.30星期三</v>
      </c>
      <c r="D3" s="421"/>
      <c r="E3" s="392" t="s">
        <v>1583</v>
      </c>
      <c r="F3" s="422">
        <f>'0730 4度C'!D1</f>
        <v>164943</v>
      </c>
      <c r="G3" s="422"/>
      <c r="H3" s="392" t="s">
        <v>1584</v>
      </c>
      <c r="I3" s="423">
        <f>'0730 4度C'!F1</f>
        <v>5659460.7200000007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169</v>
      </c>
      <c r="D4" s="424"/>
      <c r="E4" s="425" t="s">
        <v>92</v>
      </c>
      <c r="F4" s="425"/>
      <c r="G4" s="425" t="s">
        <v>1585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249</v>
      </c>
      <c r="D5" s="424"/>
      <c r="E5" s="424" t="s">
        <v>130</v>
      </c>
      <c r="F5" s="424"/>
      <c r="G5" s="426" t="s">
        <v>94</v>
      </c>
      <c r="H5" s="426"/>
      <c r="I5" s="427" t="s">
        <v>389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142.12751286589699</v>
      </c>
      <c r="F6" s="424">
        <f>AVERAGE(D27:O27,D13:J13)</f>
        <v>145.01728753788862</v>
      </c>
      <c r="G6" s="429">
        <f>AVERAGE(D13:J13)</f>
        <v>145.01728753788862</v>
      </c>
      <c r="H6" s="429"/>
      <c r="I6" s="429">
        <f>AVERAGE(K13:M13)</f>
        <v>135.3847052979165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130.47377831537761</v>
      </c>
      <c r="F7" s="434">
        <f>AVERAGE(D28:O28,D14:J14)</f>
        <v>133.19488404995209</v>
      </c>
      <c r="G7" s="435">
        <f>AVERAGE(D14:J14)</f>
        <v>133.19488404995209</v>
      </c>
      <c r="H7" s="435"/>
      <c r="I7" s="435">
        <f>AVERAGE(K14:M14)</f>
        <v>124.12453160137063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0.91764768401961627</v>
      </c>
      <c r="F8" s="432">
        <f>AVERAGE(D15:J15,D29:O29)</f>
        <v>0.91800080860296462</v>
      </c>
      <c r="G8" s="437">
        <f>AVERAGE(D15:J15)</f>
        <v>0.91800080860296462</v>
      </c>
      <c r="H8" s="437"/>
      <c r="I8" s="437">
        <f>AVERAGE(K15:M15)</f>
        <v>0.9168237266584699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274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253</v>
      </c>
      <c r="I12" s="42" t="s">
        <v>101</v>
      </c>
      <c r="J12" s="43" t="s">
        <v>133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187</v>
      </c>
      <c r="D13" s="45">
        <f>SUMIFS('0730 4度C'!$K:$K,'0730 4度C'!$A:$A,"燴飯線",'0730 4度C'!$B:$B,"平均")</f>
        <v>105.88235294117646</v>
      </c>
      <c r="E13" s="46">
        <f>SUMIFS('0730 4度C'!$K:$K,'0730 4度C'!$A:$A,"沙拉線一線",'0730 4度C'!$B:$B,"平均")</f>
        <v>81.081081081081081</v>
      </c>
      <c r="F13" s="47">
        <f>SUMIFS('0730 4度C'!$K:$K,'0730 4度C'!$A:$A,"沙拉線二線",'0730 4度C'!$B:$B,"平均")</f>
        <v>81.298969072164951</v>
      </c>
      <c r="G13" s="47">
        <f>SUMIFS('0730 4度C'!$K:$K,'0730 4度C'!$A:$A,"沙拉線三線",'0730 4度C'!$B:$B,"平均")</f>
        <v>104.19161676646706</v>
      </c>
      <c r="H13" s="47">
        <f>SUMIFS('0730 4度C'!$K:$K,'0730 4度C'!$A:$A,"自動包裝線",'0730 4度C'!$B:$B,"平均")</f>
        <v>300</v>
      </c>
      <c r="I13" s="47">
        <f>SUMIFS('0730 4度C'!$K:$K,'0730 4度C'!$A:$A,"涼麵一線",'0730 4度C'!$B:$B,"平均")</f>
        <v>89.552238805970148</v>
      </c>
      <c r="J13" s="48">
        <f>SUMIFS('0730 4度C'!$K:$K,'0730 4度C'!$A:$A,"三明治四線",'0730 4度C'!$B:$B,"平均")</f>
        <v>253.11475409836069</v>
      </c>
      <c r="K13" s="49">
        <f>SUMIFS('0730 4度C'!$K:$K,'0730 4度C'!$A:$A,"三明治一線",'0730 4度C'!$B:$B,"平均")</f>
        <v>137.70491803278691</v>
      </c>
      <c r="L13" s="50">
        <f>SUMIFS('0730 4度C'!$K:$K,'0730 4度C'!$A:$A,"三明治二線",'0730 4度C'!$B:$B,"平均")</f>
        <v>127.27272727272727</v>
      </c>
      <c r="M13" s="48">
        <f>SUMIFS('0730 4度C'!$K:$K,'0730 4度C'!$A:$A,"自動包裝二線",'0730 4度C'!$B:$B,"平均")</f>
        <v>141.1764705882353</v>
      </c>
    </row>
    <row r="14" spans="2:17" ht="39.6" customHeight="1">
      <c r="B14" s="447"/>
      <c r="C14" s="51" t="s">
        <v>256</v>
      </c>
      <c r="D14" s="52">
        <f>SUMIFS('0730 4度C'!$N:$N,'0730 4度C'!$A:$A,"燴飯線",'0730 4度C'!$B:$B,"平均")</f>
        <v>97.059131786685867</v>
      </c>
      <c r="E14" s="53">
        <f>SUMIFS('0730 4度C'!$N:$N,'0730 4度C'!$A:$A,"沙拉線一線",'0730 4度C'!$B:$B,"平均")</f>
        <v>74.194345493224546</v>
      </c>
      <c r="F14" s="53">
        <f>SUMIFS('0730 4度C'!$N:$N,'0730 4度C'!$A:$A,"沙拉線二線",'0730 4度C'!$B:$B,"平均")</f>
        <v>74.381192473750446</v>
      </c>
      <c r="G14" s="53">
        <f>SUMIFS('0730 4度C'!$N:$N,'0730 4度C'!$A:$A,"沙拉線三線",'0730 4度C'!$B:$B,"平均")</f>
        <v>96.202348287325478</v>
      </c>
      <c r="H14" s="53">
        <f>SUMIFS('0730 4度C'!$N:$N,'0730 4度C'!$A:$A,"自動包裝線",'0730 4度C'!$B:$B,"平均")</f>
        <v>275.3740902361626</v>
      </c>
      <c r="I14" s="53">
        <f>SUMIFS('0730 4度C'!$N:$N,'0730 4度C'!$A:$A,"涼麵一線",'0730 4度C'!$B:$B,"平均")</f>
        <v>82.183692808775575</v>
      </c>
      <c r="J14" s="54">
        <f>SUMIFS('0730 4度C'!$N:$N,'0730 4度C'!$A:$A,"三明治四線",'0730 4度C'!$B:$B,"平均")</f>
        <v>232.96938726374003</v>
      </c>
      <c r="K14" s="55">
        <f>SUMIFS('0730 4度C'!$N:$N,'0730 4度C'!$A:$A,"三明治一線",'0730 4度C'!$B:$B,"平均")</f>
        <v>126.13685946306678</v>
      </c>
      <c r="L14" s="56">
        <f>SUMIFS('0730 4度C'!$N:$N,'0730 4度C'!$A:$A,"三明治二線",'0730 4度C'!$B:$B,"平均")</f>
        <v>116.69595873141323</v>
      </c>
      <c r="M14" s="54">
        <f>SUMIFS('0730 4度C'!$N:$N,'0730 4度C'!$A:$A,"自動包裝二線",'0730 4度C'!$B:$B,"平均")</f>
        <v>129.54077660963188</v>
      </c>
    </row>
    <row r="15" spans="2:17" ht="40.15" customHeight="1">
      <c r="B15" s="447"/>
      <c r="C15" s="57" t="s">
        <v>189</v>
      </c>
      <c r="D15" s="58">
        <f>D14/D13</f>
        <v>0.91666957798536663</v>
      </c>
      <c r="E15" s="59">
        <f t="shared" ref="E15:M15" si="0">E14/E13</f>
        <v>0.91506359441643603</v>
      </c>
      <c r="F15" s="59">
        <f t="shared" si="0"/>
        <v>0.91490941795001179</v>
      </c>
      <c r="G15" s="59">
        <f t="shared" si="0"/>
        <v>0.92332138873467562</v>
      </c>
      <c r="H15" s="59">
        <f>H14/H13</f>
        <v>0.91791363412054205</v>
      </c>
      <c r="I15" s="59">
        <f>I14/I13</f>
        <v>0.91771790303132728</v>
      </c>
      <c r="J15" s="60">
        <f>J14/J13</f>
        <v>0.92041014398239251</v>
      </c>
      <c r="K15" s="58">
        <f>K14/K13</f>
        <v>0.91599386038655628</v>
      </c>
      <c r="L15" s="59">
        <f>L14/L13</f>
        <v>0.91689681860396111</v>
      </c>
      <c r="M15" s="60">
        <f t="shared" si="0"/>
        <v>0.91758050098489241</v>
      </c>
    </row>
    <row r="16" spans="2:17" ht="17.25" customHeight="1">
      <c r="B16" s="430" t="s">
        <v>136</v>
      </c>
      <c r="C16" s="391" t="s">
        <v>103</v>
      </c>
      <c r="D16" s="61">
        <f>VLOOKUP("燴飯線",'0730 4度C'!$A:$T,19,0)</f>
        <v>0.70833333333333337</v>
      </c>
      <c r="E16" s="24">
        <f>VLOOKUP("沙拉線一線",'0730 4度C'!$A:$T,19,0)</f>
        <v>0.12916666666666668</v>
      </c>
      <c r="F16" s="24">
        <f>VLOOKUP("沙拉線二線",'0730 4度C'!$A:$T,19,0)</f>
        <v>0.25</v>
      </c>
      <c r="G16" s="24">
        <f>VLOOKUP("沙拉線三線",'0730 4度C'!$A:$T,19,0)</f>
        <v>0.16666666666666666</v>
      </c>
      <c r="H16" s="24">
        <f>VLOOKUP("自動包裝線",'0730 4度C'!$A:$T,19,0)</f>
        <v>0.20833333333333334</v>
      </c>
      <c r="I16" s="24">
        <f>VLOOKUP("涼麵一線",'0730 4度C'!$A:$T,19,0)</f>
        <v>0.29166666666666669</v>
      </c>
      <c r="J16" s="62">
        <f>VLOOKUP("三明治四線",'0730 4度C'!$A:$T,19,0)</f>
        <v>0.20833333333333334</v>
      </c>
      <c r="K16" s="63">
        <f>VLOOKUP("三明治一線",'0730 4度C'!$A:$T,19,0)</f>
        <v>0.125</v>
      </c>
      <c r="L16" s="64">
        <f>VLOOKUP("三明治二線",'0730 4度C'!$A:$T,19,0)</f>
        <v>8.3333333333333329E-2</v>
      </c>
      <c r="M16" s="65">
        <f>VLOOKUP("自動包裝二線",'0730 4度C'!$A:$T,19,0)</f>
        <v>0.125</v>
      </c>
    </row>
    <row r="17" spans="2:13" ht="17.25" customHeight="1">
      <c r="B17" s="431"/>
      <c r="C17" s="391" t="s">
        <v>340</v>
      </c>
      <c r="D17" s="63">
        <f>LOOKUP(2,1/(('0730 4度C'!$A:$A="燴飯線")*('0730 4度C'!$T:$T&lt;&gt;"")),'0730 4度C'!$T:$T)</f>
        <v>0.84236111111111123</v>
      </c>
      <c r="E17" s="24">
        <f>LOOKUP(2,1/(('0730 4度C'!$A:$A="沙拉線一線")*('0730 4度C'!$T:$T&lt;&gt;"")),'0730 4度C'!$T:$T)</f>
        <v>0.63541666666666652</v>
      </c>
      <c r="F17" s="24">
        <f>LOOKUP(2,1/(('0730 4度C'!$A:$A="沙拉線二線")*('0730 4度C'!$T:$T&lt;&gt;"")),'0730 4度C'!$T:$T)</f>
        <v>0.93611111111111101</v>
      </c>
      <c r="G17" s="24">
        <f>LOOKUP(2,1/(('0730 4度C'!$A:$A="沙拉線三線")*('0730 4度C'!$T:$T&lt;&gt;"")),'0730 4度C'!$T:$T)</f>
        <v>0.9375</v>
      </c>
      <c r="H17" s="24">
        <f>LOOKUP(2,1/(('0730 4度C'!$A:$A="自動包裝線")*('0730 4度C'!$T:$T&lt;&gt;"")),'0730 4度C'!$T:$T)</f>
        <v>0.625</v>
      </c>
      <c r="I17" s="24">
        <f>LOOKUP(2,1/(('0730 4度C'!$A:$A="涼麵一線")*('0730 4度C'!$T:$T&lt;&gt;"")),'0730 4度C'!$T:$T)</f>
        <v>0.81736111111111109</v>
      </c>
      <c r="J17" s="62">
        <f>LOOKUP(2,1/(('0730 4度C'!$A:$A="三明治四線")*('0730 4度C'!$T:$T&lt;&gt;"")),'0730 4度C'!$T:$T)</f>
        <v>0.49791666666666656</v>
      </c>
      <c r="K17" s="61">
        <f>LOOKUP(2,1/(('0730 4度C'!$A:$A="三明治一線")*('0730 4度C'!$T:$T&lt;&gt;"")),'0730 4度C'!$T:$T)</f>
        <v>0.65416666666666656</v>
      </c>
      <c r="L17" s="24">
        <f>LOOKUP(2,1/(('0730 4度C'!$A:$A="三明治二線")*('0730 4度C'!$T:$T&lt;&gt;"")),'0730 4度C'!$T:$T)</f>
        <v>0.60902777777777761</v>
      </c>
      <c r="M17" s="62">
        <f>LOOKUP(2,1/(('0730 4度C'!$A:$A="自動包裝二線")*('0730 4度C'!$T:$T&lt;&gt;"")),'0730 4度C'!$T:$T)</f>
        <v>0.62083333333333335</v>
      </c>
    </row>
    <row r="18" spans="2:13" ht="17.25" customHeight="1">
      <c r="B18" s="431" t="s">
        <v>1586</v>
      </c>
      <c r="C18" s="446"/>
      <c r="D18" s="66">
        <f>SUMIFS('0730 4度C'!$I:$I,'0730 4度C'!$A:$A,"燴飯線",'0730 4度C'!$B:$B,"平均")</f>
        <v>17</v>
      </c>
      <c r="E18" s="67">
        <f>SUMIFS('0730 4度C'!$I:$I,'0730 4度C'!$A:$A,"沙拉線一線",'0730 4度C'!$B:$B,"平均")</f>
        <v>18.5</v>
      </c>
      <c r="F18" s="67">
        <f>SUMIFS('0730 4度C'!$I:$I,'0730 4度C'!$A:$A,"沙拉線二線",'0730 4度C'!$B:$B,"平均")</f>
        <v>19.399999999999999</v>
      </c>
      <c r="G18" s="67">
        <f>SUMIFS('0730 4度C'!$I:$I,'0730 4度C'!$A:$A,"沙拉線三線",'0730 4度C'!$B:$B,"平均")</f>
        <v>16.7</v>
      </c>
      <c r="H18" s="67">
        <f>SUMIFS('0730 4度C'!$I:$I,'0730 4度C'!$A:$A,"自動包裝線",'0730 4度C'!$B:$B,"平均")</f>
        <v>10</v>
      </c>
      <c r="I18" s="67">
        <f>SUMIFS('0730 4度C'!$I:$I,'0730 4度C'!$A:$A,"涼麵一線",'0730 4度C'!$B:$B,"平均")</f>
        <v>16.75</v>
      </c>
      <c r="J18" s="68">
        <f>SUMIFS('0730 4度C'!$I:$I,'0730 4度C'!$A:$A,"三明治四線",'0730 4度C'!$B:$B,"平均")</f>
        <v>10.166666666666666</v>
      </c>
      <c r="K18" s="66">
        <f>SUMIFS('0730 4度C'!$I:$I,'0730 4度C'!$A:$A,"三明治一線",'0730 4度C'!$B:$B,"平均")</f>
        <v>17.428571428571427</v>
      </c>
      <c r="L18" s="67">
        <f>SUMIFS('0730 4度C'!$I:$I,'0730 4度C'!$A:$A,"三明治二線",'0730 4度C'!$B:$B,"平均")</f>
        <v>18.857142857142858</v>
      </c>
      <c r="M18" s="68">
        <f>SUMIFS('0730 4度C'!$I:$I,'0730 4度C'!$A:$A,"自動包裝二線",'0730 4度C'!$B:$B,"平均")</f>
        <v>17</v>
      </c>
    </row>
    <row r="19" spans="2:13" ht="17.25" customHeight="1">
      <c r="B19" s="448" t="s">
        <v>1587</v>
      </c>
      <c r="C19" s="449"/>
      <c r="D19" s="69" t="s">
        <v>50</v>
      </c>
      <c r="E19" s="70" t="s">
        <v>51</v>
      </c>
      <c r="F19" s="70" t="s">
        <v>1588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1589</v>
      </c>
      <c r="L19" s="70" t="s">
        <v>105</v>
      </c>
      <c r="M19" s="71" t="s">
        <v>1589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1590</v>
      </c>
      <c r="C21" s="451"/>
      <c r="D21" s="72"/>
      <c r="E21" s="73" t="s">
        <v>344</v>
      </c>
      <c r="F21" s="452" t="s">
        <v>1591</v>
      </c>
      <c r="G21" s="453"/>
      <c r="H21" s="73" t="s">
        <v>202</v>
      </c>
      <c r="I21" s="73" t="s">
        <v>108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1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5"/>
  <sheetViews>
    <sheetView zoomScale="80" zoomScaleNormal="80" workbookViewId="0">
      <pane ySplit="4" topLeftCell="A56" activePane="bottomLeft" state="frozen"/>
      <selection activeCell="C3" sqref="C3:D3"/>
      <selection pane="bottomLeft" activeCell="L74" sqref="L7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1592</v>
      </c>
      <c r="B1" s="1"/>
      <c r="C1" s="2" t="s">
        <v>1593</v>
      </c>
      <c r="D1" s="3">
        <f>SUM(F5:F74)</f>
        <v>164943</v>
      </c>
      <c r="E1" s="393" t="s">
        <v>206</v>
      </c>
      <c r="F1" s="1">
        <f>SUM(G5:G74)</f>
        <v>5659460.7200000007</v>
      </c>
      <c r="G1" s="1" t="s">
        <v>1594</v>
      </c>
      <c r="H1" s="4">
        <f>L8+L13+L55+L60+L19+L67+L38+L46+L30+L74</f>
        <v>161.80238095238096</v>
      </c>
      <c r="I1" s="454" t="s">
        <v>208</v>
      </c>
      <c r="J1" s="454"/>
      <c r="K1" s="454"/>
      <c r="L1" s="454" t="s">
        <v>113</v>
      </c>
      <c r="M1" s="454"/>
      <c r="N1" s="454"/>
      <c r="O1" s="454" t="s">
        <v>1595</v>
      </c>
      <c r="P1" s="454"/>
      <c r="Q1" s="454"/>
      <c r="R1" s="454"/>
      <c r="S1" s="454" t="s">
        <v>1596</v>
      </c>
      <c r="T1" s="454"/>
      <c r="U1" s="454"/>
      <c r="V1" s="454"/>
      <c r="W1" s="454"/>
      <c r="X1" s="454"/>
      <c r="Y1" s="454" t="s">
        <v>301</v>
      </c>
      <c r="Z1" s="454"/>
      <c r="AA1" s="454" t="s">
        <v>1597</v>
      </c>
      <c r="AB1" s="455"/>
      <c r="AC1" s="455"/>
    </row>
    <row r="2" spans="1:29" ht="26.25" customHeight="1">
      <c r="A2" s="22">
        <v>45868</v>
      </c>
      <c r="B2" s="23" t="s">
        <v>214</v>
      </c>
      <c r="C2" s="2" t="s">
        <v>1598</v>
      </c>
      <c r="D2" s="6">
        <f>AVERAGE(N8,N13,N55,N60,N19,N67,N30,N38,N46,N74)</f>
        <v>130.47377831537761</v>
      </c>
      <c r="E2" s="7" t="s">
        <v>0</v>
      </c>
      <c r="F2" s="8">
        <f>F1/D1</f>
        <v>34.311615042772353</v>
      </c>
      <c r="G2" s="1" t="s">
        <v>146</v>
      </c>
      <c r="H2" s="404">
        <f>COUNT(H5:H74)</f>
        <v>9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1599</v>
      </c>
      <c r="B3" s="456" t="s">
        <v>116</v>
      </c>
      <c r="C3" s="456" t="s">
        <v>1600</v>
      </c>
      <c r="D3" s="456"/>
      <c r="E3" s="457" t="s">
        <v>1601</v>
      </c>
      <c r="F3" s="456" t="s">
        <v>118</v>
      </c>
      <c r="G3" s="457" t="s">
        <v>222</v>
      </c>
      <c r="H3" s="463" t="s">
        <v>1602</v>
      </c>
      <c r="I3" s="464" t="s">
        <v>313</v>
      </c>
      <c r="J3" s="465" t="s">
        <v>1603</v>
      </c>
      <c r="K3" s="459" t="s">
        <v>1598</v>
      </c>
      <c r="L3" s="464" t="s">
        <v>1604</v>
      </c>
      <c r="M3" s="465" t="s">
        <v>1603</v>
      </c>
      <c r="N3" s="459" t="s">
        <v>1598</v>
      </c>
      <c r="O3" s="464" t="s">
        <v>313</v>
      </c>
      <c r="P3" s="459" t="s">
        <v>1598</v>
      </c>
      <c r="Q3" s="460" t="s">
        <v>1605</v>
      </c>
      <c r="R3" s="461" t="s">
        <v>1606</v>
      </c>
      <c r="S3" s="462" t="s">
        <v>1</v>
      </c>
      <c r="T3" s="462"/>
      <c r="U3" s="463" t="s">
        <v>2</v>
      </c>
      <c r="V3" s="463" t="s">
        <v>1607</v>
      </c>
      <c r="W3" s="456" t="s">
        <v>1608</v>
      </c>
      <c r="X3" s="456"/>
      <c r="Y3" s="475" t="s">
        <v>1609</v>
      </c>
      <c r="Z3" s="476"/>
      <c r="AA3" s="465" t="s">
        <v>1610</v>
      </c>
      <c r="AB3" s="460" t="s">
        <v>1611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403" t="s">
        <v>3</v>
      </c>
      <c r="T4" s="403" t="s">
        <v>4</v>
      </c>
      <c r="U4" s="463"/>
      <c r="V4" s="463"/>
      <c r="W4" s="393" t="s">
        <v>1612</v>
      </c>
      <c r="X4" s="393" t="s">
        <v>1613</v>
      </c>
      <c r="Y4" s="476"/>
      <c r="Z4" s="476"/>
      <c r="AA4" s="465"/>
      <c r="AB4" s="460"/>
      <c r="AC4" s="461"/>
    </row>
    <row r="5" spans="1:29">
      <c r="A5" s="471" t="s">
        <v>234</v>
      </c>
      <c r="B5" s="26" t="s">
        <v>13</v>
      </c>
      <c r="C5" s="472" t="s">
        <v>58</v>
      </c>
      <c r="D5" s="472"/>
      <c r="E5" s="26">
        <v>46.93</v>
      </c>
      <c r="F5" s="403">
        <v>907</v>
      </c>
      <c r="G5" s="393">
        <f>E5*F5</f>
        <v>42565.51</v>
      </c>
      <c r="H5" s="76" t="s">
        <v>57</v>
      </c>
      <c r="I5" s="401">
        <v>17</v>
      </c>
      <c r="J5" s="18">
        <v>1800</v>
      </c>
      <c r="K5" s="9">
        <f>J5/I5</f>
        <v>105.88235294117646</v>
      </c>
      <c r="L5" s="401">
        <v>17</v>
      </c>
      <c r="M5" s="10">
        <f>F5/V5*60</f>
        <v>1649.090909090907</v>
      </c>
      <c r="N5" s="9">
        <f>M5/L5</f>
        <v>97.005347593582769</v>
      </c>
      <c r="O5" s="11">
        <f t="shared" ref="O5:O7" si="0">L5-I5</f>
        <v>0</v>
      </c>
      <c r="P5" s="12">
        <f t="shared" ref="P5:P7" si="1">N5-K5</f>
        <v>-8.8770053475936948</v>
      </c>
      <c r="Q5" s="395">
        <f>N5/K5</f>
        <v>0.91616161616161507</v>
      </c>
      <c r="R5" s="470">
        <f>Q8</f>
        <v>0.91666957798536663</v>
      </c>
      <c r="S5" s="24">
        <v>0.70833333333333337</v>
      </c>
      <c r="T5" s="24">
        <v>0.73125000000000007</v>
      </c>
      <c r="U5" s="393"/>
      <c r="V5" s="402">
        <f>(T5-S5)*24*60</f>
        <v>33.000000000000043</v>
      </c>
      <c r="W5" s="13"/>
      <c r="X5" s="13"/>
      <c r="Y5" s="456"/>
      <c r="Z5" s="456"/>
      <c r="AA5" s="11">
        <f t="shared" ref="AA5:AA68" si="2">M5-J5</f>
        <v>-150.90909090909304</v>
      </c>
      <c r="AB5" s="395">
        <f t="shared" ref="AB5:AB7" si="3">M5/J5</f>
        <v>0.91616161616161496</v>
      </c>
      <c r="AC5" s="470">
        <f>AB8</f>
        <v>0.91666957798536652</v>
      </c>
    </row>
    <row r="6" spans="1:29">
      <c r="A6" s="464" t="s">
        <v>1614</v>
      </c>
      <c r="B6" s="26" t="s">
        <v>13</v>
      </c>
      <c r="C6" s="472" t="s">
        <v>60</v>
      </c>
      <c r="D6" s="472"/>
      <c r="E6" s="26">
        <v>50.49</v>
      </c>
      <c r="F6" s="403">
        <v>1927</v>
      </c>
      <c r="G6" s="393">
        <f t="shared" ref="G6:G7" si="4">E6*F6</f>
        <v>97294.23000000001</v>
      </c>
      <c r="H6" s="76" t="s">
        <v>57</v>
      </c>
      <c r="I6" s="401">
        <v>16</v>
      </c>
      <c r="J6" s="18">
        <v>1800</v>
      </c>
      <c r="K6" s="9">
        <f t="shared" ref="K6:K7" si="5">J6/I6</f>
        <v>112.5</v>
      </c>
      <c r="L6" s="401">
        <v>16</v>
      </c>
      <c r="M6" s="10">
        <f>F6/V6*60</f>
        <v>1651.714285714284</v>
      </c>
      <c r="N6" s="9">
        <f t="shared" ref="N6:N7" si="6">M6/L6</f>
        <v>103.23214285714275</v>
      </c>
      <c r="O6" s="11">
        <f t="shared" si="0"/>
        <v>0</v>
      </c>
      <c r="P6" s="12">
        <f t="shared" si="1"/>
        <v>-9.2678571428572525</v>
      </c>
      <c r="Q6" s="395">
        <f t="shared" ref="Q6:Q7" si="7">N6/K6</f>
        <v>0.91761904761904667</v>
      </c>
      <c r="R6" s="470"/>
      <c r="S6" s="24">
        <v>0.73541666666666672</v>
      </c>
      <c r="T6" s="24">
        <v>0.78402777777777788</v>
      </c>
      <c r="U6" s="393">
        <f>(S6-T5)*24*60</f>
        <v>5.9999999999999787</v>
      </c>
      <c r="V6" s="402">
        <f>(T6-S6)*24*60</f>
        <v>70.000000000000071</v>
      </c>
      <c r="W6" s="14"/>
      <c r="X6" s="14"/>
      <c r="Y6" s="456"/>
      <c r="Z6" s="456"/>
      <c r="AA6" s="11">
        <f t="shared" si="2"/>
        <v>-148.28571428571604</v>
      </c>
      <c r="AB6" s="395">
        <f t="shared" si="3"/>
        <v>0.91761904761904667</v>
      </c>
      <c r="AC6" s="470"/>
    </row>
    <row r="7" spans="1:29">
      <c r="A7" s="464" t="s">
        <v>1615</v>
      </c>
      <c r="B7" s="26" t="s">
        <v>13</v>
      </c>
      <c r="C7" s="468" t="s">
        <v>448</v>
      </c>
      <c r="D7" s="469"/>
      <c r="E7" s="26">
        <v>50.67</v>
      </c>
      <c r="F7" s="403">
        <v>2089</v>
      </c>
      <c r="G7" s="393">
        <f t="shared" si="4"/>
        <v>105849.63</v>
      </c>
      <c r="H7" s="76" t="s">
        <v>57</v>
      </c>
      <c r="I7" s="401">
        <v>18</v>
      </c>
      <c r="J7" s="18">
        <v>1800</v>
      </c>
      <c r="K7" s="9">
        <f t="shared" si="5"/>
        <v>100</v>
      </c>
      <c r="L7" s="401">
        <v>18</v>
      </c>
      <c r="M7" s="10">
        <f t="shared" ref="M7" si="8">F7/V7*60</f>
        <v>1649.2105263157882</v>
      </c>
      <c r="N7" s="9">
        <f t="shared" si="6"/>
        <v>91.622807017543792</v>
      </c>
      <c r="O7" s="11">
        <f t="shared" si="0"/>
        <v>0</v>
      </c>
      <c r="P7" s="12">
        <f t="shared" si="1"/>
        <v>-8.3771929824562079</v>
      </c>
      <c r="Q7" s="395">
        <f t="shared" si="7"/>
        <v>0.91622807017543795</v>
      </c>
      <c r="R7" s="470"/>
      <c r="S7" s="24">
        <v>0.78958333333333341</v>
      </c>
      <c r="T7" s="24">
        <v>0.84236111111111123</v>
      </c>
      <c r="U7" s="393">
        <f t="shared" ref="U7" si="9">(S7-T6)*24*60</f>
        <v>7.9999999999999716</v>
      </c>
      <c r="V7" s="402">
        <f t="shared" ref="V7" si="10">(T7-S7)*24*60</f>
        <v>76.000000000000057</v>
      </c>
      <c r="W7" s="14"/>
      <c r="X7" s="14"/>
      <c r="Y7" s="473"/>
      <c r="Z7" s="474"/>
      <c r="AA7" s="11">
        <f t="shared" si="2"/>
        <v>-150.78947368421177</v>
      </c>
      <c r="AB7" s="395">
        <f t="shared" si="3"/>
        <v>0.91622807017543795</v>
      </c>
      <c r="AC7" s="470"/>
    </row>
    <row r="8" spans="1:29">
      <c r="A8" s="464" t="s">
        <v>1616</v>
      </c>
      <c r="B8" s="26" t="s">
        <v>155</v>
      </c>
      <c r="C8" s="466"/>
      <c r="D8" s="466"/>
      <c r="E8" s="394"/>
      <c r="F8" s="16"/>
      <c r="G8" s="9"/>
      <c r="H8" s="40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1650.0052403736597</v>
      </c>
      <c r="N8" s="9">
        <f>M8/L8</f>
        <v>97.059131786685867</v>
      </c>
      <c r="O8" s="11">
        <f>L8-I8</f>
        <v>0</v>
      </c>
      <c r="P8" s="12">
        <f>N8-K8</f>
        <v>-8.8232211544905965</v>
      </c>
      <c r="Q8" s="395">
        <f>N8/K8</f>
        <v>0.91666957798536663</v>
      </c>
      <c r="R8" s="470"/>
      <c r="S8" s="24"/>
      <c r="T8" s="24"/>
      <c r="U8" s="393"/>
      <c r="V8" s="402"/>
      <c r="W8" s="9"/>
      <c r="X8" s="9"/>
      <c r="Y8" s="456"/>
      <c r="Z8" s="456"/>
      <c r="AA8" s="11">
        <f t="shared" si="2"/>
        <v>-149.99475962634028</v>
      </c>
      <c r="AB8" s="395">
        <f>M8/J8</f>
        <v>0.91666957798536652</v>
      </c>
      <c r="AC8" s="470"/>
    </row>
    <row r="9" spans="1:29" ht="15.75" customHeight="1">
      <c r="A9" s="467" t="s">
        <v>1617</v>
      </c>
      <c r="B9" s="26" t="s">
        <v>15</v>
      </c>
      <c r="C9" s="468" t="s">
        <v>16</v>
      </c>
      <c r="D9" s="469"/>
      <c r="E9" s="26">
        <v>39.619999999999997</v>
      </c>
      <c r="F9" s="403">
        <v>4421</v>
      </c>
      <c r="G9" s="393">
        <f t="shared" ref="G9:G12" si="11">E9*F9</f>
        <v>175160.02</v>
      </c>
      <c r="H9" s="76" t="s">
        <v>57</v>
      </c>
      <c r="I9" s="401">
        <v>19</v>
      </c>
      <c r="J9" s="18">
        <v>1500</v>
      </c>
      <c r="K9" s="9">
        <f t="shared" ref="K9:K12" si="12">J9/I9</f>
        <v>78.94736842105263</v>
      </c>
      <c r="L9" s="401">
        <v>19</v>
      </c>
      <c r="M9" s="10">
        <f t="shared" ref="M9:M12" si="13">F9/V9*60</f>
        <v>1367.319587628866</v>
      </c>
      <c r="N9" s="9">
        <f t="shared" ref="N9:N12" si="14">M9/L9</f>
        <v>71.964188822571899</v>
      </c>
      <c r="O9" s="11">
        <f t="shared" ref="O9:O12" si="15">L9-I9</f>
        <v>0</v>
      </c>
      <c r="P9" s="12">
        <f>N9-K9</f>
        <v>-6.9831795984807314</v>
      </c>
      <c r="Q9" s="395">
        <f>N9/K9</f>
        <v>0.91154639175257735</v>
      </c>
      <c r="R9" s="470">
        <f>Q13</f>
        <v>0.91506359441643603</v>
      </c>
      <c r="S9" s="24">
        <v>0.12916666666666668</v>
      </c>
      <c r="T9" s="24">
        <v>0.2638888888888889</v>
      </c>
      <c r="U9" s="393"/>
      <c r="V9" s="402">
        <f t="shared" ref="V9:V12" si="16">(T9-S9)*24*60</f>
        <v>194</v>
      </c>
      <c r="W9" s="9"/>
      <c r="X9" s="9"/>
      <c r="Y9" s="456"/>
      <c r="Z9" s="456"/>
      <c r="AA9" s="11">
        <f t="shared" si="2"/>
        <v>-132.68041237113403</v>
      </c>
      <c r="AB9" s="395">
        <f>M9/J9</f>
        <v>0.91154639175257735</v>
      </c>
      <c r="AC9" s="470">
        <f>AB13</f>
        <v>0.91506359441643614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403">
        <v>2600</v>
      </c>
      <c r="G10" s="393">
        <f t="shared" si="11"/>
        <v>103479.99999999999</v>
      </c>
      <c r="H10" s="76">
        <v>2</v>
      </c>
      <c r="I10" s="401">
        <v>18</v>
      </c>
      <c r="J10" s="18">
        <v>1500</v>
      </c>
      <c r="K10" s="9">
        <f t="shared" si="12"/>
        <v>83.333333333333329</v>
      </c>
      <c r="L10" s="401">
        <v>18</v>
      </c>
      <c r="M10" s="10">
        <f t="shared" si="13"/>
        <v>1380.5309734513273</v>
      </c>
      <c r="N10" s="9">
        <f t="shared" si="14"/>
        <v>76.696165191740405</v>
      </c>
      <c r="O10" s="11">
        <f t="shared" si="15"/>
        <v>0</v>
      </c>
      <c r="P10" s="12">
        <f t="shared" ref="P10:P12" si="17">N10-K10</f>
        <v>-6.6371681415929231</v>
      </c>
      <c r="Q10" s="395">
        <f t="shared" ref="Q10:Q12" si="18">N10/K10</f>
        <v>0.92035398230088494</v>
      </c>
      <c r="R10" s="470"/>
      <c r="S10" s="24">
        <v>0.28888888888888886</v>
      </c>
      <c r="T10" s="24">
        <v>0.36736111111111108</v>
      </c>
      <c r="U10" s="393">
        <f>(S10-T9)*24*60</f>
        <v>35.99999999999995</v>
      </c>
      <c r="V10" s="402">
        <f t="shared" si="16"/>
        <v>113</v>
      </c>
      <c r="W10" s="14"/>
      <c r="X10" s="14"/>
      <c r="Y10" s="456"/>
      <c r="Z10" s="456"/>
      <c r="AA10" s="11">
        <f t="shared" si="2"/>
        <v>-119.46902654867267</v>
      </c>
      <c r="AB10" s="395">
        <f t="shared" ref="AB10:AB30" si="19">M10/J10</f>
        <v>0.92035398230088483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403">
        <v>3771</v>
      </c>
      <c r="G11" s="393">
        <f t="shared" si="11"/>
        <v>148162.59</v>
      </c>
      <c r="H11" s="76" t="s">
        <v>57</v>
      </c>
      <c r="I11" s="401">
        <v>19</v>
      </c>
      <c r="J11" s="18">
        <v>1500</v>
      </c>
      <c r="K11" s="9">
        <f t="shared" si="12"/>
        <v>78.94736842105263</v>
      </c>
      <c r="L11" s="401">
        <v>19</v>
      </c>
      <c r="M11" s="10">
        <f t="shared" si="13"/>
        <v>1371.2727272727275</v>
      </c>
      <c r="N11" s="9">
        <f t="shared" si="14"/>
        <v>72.172248803827756</v>
      </c>
      <c r="O11" s="11">
        <f t="shared" si="15"/>
        <v>0</v>
      </c>
      <c r="P11" s="12">
        <f t="shared" si="17"/>
        <v>-6.775119617224874</v>
      </c>
      <c r="Q11" s="395">
        <f t="shared" si="18"/>
        <v>0.91418181818181821</v>
      </c>
      <c r="R11" s="470"/>
      <c r="S11" s="24">
        <v>0.37569444444444439</v>
      </c>
      <c r="T11" s="24">
        <v>0.4902777777777777</v>
      </c>
      <c r="U11" s="393">
        <f t="shared" ref="U11:U12" si="20">(S11-T10)*24*60</f>
        <v>11.999999999999957</v>
      </c>
      <c r="V11" s="402">
        <f t="shared" si="16"/>
        <v>164.99999999999997</v>
      </c>
      <c r="W11" s="14"/>
      <c r="X11" s="14"/>
      <c r="Y11" s="456"/>
      <c r="Z11" s="456"/>
      <c r="AA11" s="11">
        <f t="shared" si="2"/>
        <v>-128.72727272727252</v>
      </c>
      <c r="AB11" s="395">
        <f t="shared" si="19"/>
        <v>0.91418181818181832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403">
        <v>3451</v>
      </c>
      <c r="G12" s="393">
        <f t="shared" si="11"/>
        <v>137349.79999999999</v>
      </c>
      <c r="H12" s="76" t="s">
        <v>57</v>
      </c>
      <c r="I12" s="401">
        <v>18</v>
      </c>
      <c r="J12" s="18">
        <v>1500</v>
      </c>
      <c r="K12" s="9">
        <f t="shared" si="12"/>
        <v>83.333333333333329</v>
      </c>
      <c r="L12" s="401">
        <v>18</v>
      </c>
      <c r="M12" s="10">
        <f t="shared" si="13"/>
        <v>1371.2582781456958</v>
      </c>
      <c r="N12" s="9">
        <f t="shared" si="14"/>
        <v>76.181015452538659</v>
      </c>
      <c r="O12" s="11">
        <f t="shared" si="15"/>
        <v>0</v>
      </c>
      <c r="P12" s="12">
        <f t="shared" si="17"/>
        <v>-7.1523178807946692</v>
      </c>
      <c r="Q12" s="395">
        <f t="shared" si="18"/>
        <v>0.91417218543046397</v>
      </c>
      <c r="R12" s="470"/>
      <c r="S12" s="24">
        <v>0.53055555555555545</v>
      </c>
      <c r="T12" s="24">
        <v>0.63541666666666652</v>
      </c>
      <c r="U12" s="393">
        <f t="shared" si="20"/>
        <v>57.999999999999957</v>
      </c>
      <c r="V12" s="402">
        <f t="shared" si="16"/>
        <v>150.99999999999994</v>
      </c>
      <c r="W12" s="14"/>
      <c r="X12" s="14"/>
      <c r="Y12" s="456"/>
      <c r="Z12" s="456"/>
      <c r="AA12" s="11">
        <f t="shared" si="2"/>
        <v>-128.74172185430416</v>
      </c>
      <c r="AB12" s="395">
        <f t="shared" si="19"/>
        <v>0.91417218543046386</v>
      </c>
      <c r="AC12" s="470"/>
    </row>
    <row r="13" spans="1:29" ht="16.5" customHeight="1">
      <c r="A13" s="467" t="s">
        <v>5</v>
      </c>
      <c r="B13" s="26" t="s">
        <v>1618</v>
      </c>
      <c r="C13" s="466"/>
      <c r="D13" s="466"/>
      <c r="E13" s="394"/>
      <c r="F13" s="18"/>
      <c r="G13" s="10"/>
      <c r="H13" s="403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1372.5953916246542</v>
      </c>
      <c r="N13" s="9">
        <f>M13/L13</f>
        <v>74.194345493224546</v>
      </c>
      <c r="O13" s="11">
        <f>L13-I13</f>
        <v>0</v>
      </c>
      <c r="P13" s="12">
        <f>N13-K13</f>
        <v>-6.8867355878565348</v>
      </c>
      <c r="Q13" s="395">
        <f>N13/K13</f>
        <v>0.91506359441643603</v>
      </c>
      <c r="R13" s="470"/>
      <c r="S13" s="24"/>
      <c r="T13" s="24"/>
      <c r="U13" s="9"/>
      <c r="V13" s="402"/>
      <c r="W13" s="9"/>
      <c r="X13" s="9"/>
      <c r="Y13" s="456"/>
      <c r="Z13" s="456"/>
      <c r="AA13" s="11">
        <f t="shared" si="2"/>
        <v>-127.40460837534579</v>
      </c>
      <c r="AB13" s="395">
        <f t="shared" si="19"/>
        <v>0.91506359441643614</v>
      </c>
      <c r="AC13" s="470"/>
    </row>
    <row r="14" spans="1:29" ht="16.5" customHeight="1">
      <c r="A14" s="480" t="s">
        <v>1619</v>
      </c>
      <c r="B14" s="403" t="s">
        <v>18</v>
      </c>
      <c r="C14" s="477" t="s">
        <v>19</v>
      </c>
      <c r="D14" s="477"/>
      <c r="E14" s="26">
        <v>41</v>
      </c>
      <c r="F14" s="403">
        <v>1883</v>
      </c>
      <c r="G14" s="393">
        <f t="shared" ref="G14:G18" si="21">E14*F14</f>
        <v>77203</v>
      </c>
      <c r="H14" s="76" t="s">
        <v>57</v>
      </c>
      <c r="I14" s="401">
        <v>26</v>
      </c>
      <c r="J14" s="18">
        <v>1286</v>
      </c>
      <c r="K14" s="9">
        <f>J14/I14</f>
        <v>49.46153846153846</v>
      </c>
      <c r="L14" s="401">
        <v>26</v>
      </c>
      <c r="M14" s="10">
        <f>F14/V14*60</f>
        <v>1176.8750000000005</v>
      </c>
      <c r="N14" s="9">
        <f t="shared" ref="N14:N29" si="22">M14/L14</f>
        <v>45.264423076923094</v>
      </c>
      <c r="O14" s="11">
        <f t="shared" ref="O14" si="23">L14-I14</f>
        <v>0</v>
      </c>
      <c r="P14" s="12">
        <f t="shared" ref="P14" si="24">N14-K14</f>
        <v>-4.1971153846153655</v>
      </c>
      <c r="Q14" s="395">
        <f>N14/K14</f>
        <v>0.91514385692068467</v>
      </c>
      <c r="R14" s="470">
        <f>Q19</f>
        <v>0.91490941795001179</v>
      </c>
      <c r="S14" s="24">
        <v>0.25</v>
      </c>
      <c r="T14" s="24">
        <v>0.31666666666666665</v>
      </c>
      <c r="U14" s="393"/>
      <c r="V14" s="402">
        <f>(T14-S14)*24*60</f>
        <v>95.999999999999972</v>
      </c>
      <c r="W14" s="15"/>
      <c r="X14" s="15"/>
      <c r="Y14" s="456"/>
      <c r="Z14" s="456"/>
      <c r="AA14" s="11">
        <f t="shared" si="2"/>
        <v>-109.12499999999955</v>
      </c>
      <c r="AB14" s="395">
        <f t="shared" si="19"/>
        <v>0.91514385692068467</v>
      </c>
      <c r="AC14" s="470">
        <f>AB19</f>
        <v>0.91490941795001168</v>
      </c>
    </row>
    <row r="15" spans="1:29" ht="16.5" customHeight="1">
      <c r="A15" s="481" t="s">
        <v>6</v>
      </c>
      <c r="B15" s="403" t="s">
        <v>15</v>
      </c>
      <c r="C15" s="477" t="s">
        <v>54</v>
      </c>
      <c r="D15" s="477"/>
      <c r="E15" s="26">
        <v>39.29</v>
      </c>
      <c r="F15" s="403">
        <v>3241</v>
      </c>
      <c r="G15" s="393">
        <f t="shared" si="21"/>
        <v>127338.89</v>
      </c>
      <c r="H15" s="76" t="s">
        <v>57</v>
      </c>
      <c r="I15" s="401">
        <v>18</v>
      </c>
      <c r="J15" s="18">
        <v>1500</v>
      </c>
      <c r="K15" s="9">
        <f>J15/I15</f>
        <v>83.333333333333329</v>
      </c>
      <c r="L15" s="401">
        <v>18</v>
      </c>
      <c r="M15" s="10">
        <f>F15/V15*60</f>
        <v>1369.4366197183101</v>
      </c>
      <c r="N15" s="9">
        <f t="shared" si="22"/>
        <v>76.079812206572782</v>
      </c>
      <c r="O15" s="11">
        <f>L15-I15</f>
        <v>0</v>
      </c>
      <c r="P15" s="12">
        <f>N15-K15</f>
        <v>-7.2535211267605462</v>
      </c>
      <c r="Q15" s="395">
        <f>N15/K15</f>
        <v>0.9129577464788734</v>
      </c>
      <c r="R15" s="470"/>
      <c r="S15" s="24">
        <v>0.3256944444444444</v>
      </c>
      <c r="T15" s="24">
        <v>0.42430555555555549</v>
      </c>
      <c r="U15" s="393">
        <f>(S15-T14)*24*60</f>
        <v>12.999999999999954</v>
      </c>
      <c r="V15" s="402">
        <f>(T15-S15)*24*60</f>
        <v>141.99999999999997</v>
      </c>
      <c r="W15" s="14"/>
      <c r="X15" s="14"/>
      <c r="Y15" s="456"/>
      <c r="Z15" s="456"/>
      <c r="AA15" s="11">
        <f t="shared" si="2"/>
        <v>-130.56338028168989</v>
      </c>
      <c r="AB15" s="395">
        <f t="shared" si="19"/>
        <v>0.9129577464788734</v>
      </c>
      <c r="AC15" s="470"/>
    </row>
    <row r="16" spans="1:29" ht="16.5" customHeight="1">
      <c r="A16" s="481" t="s">
        <v>6</v>
      </c>
      <c r="B16" s="403" t="s">
        <v>13</v>
      </c>
      <c r="C16" s="477" t="s">
        <v>63</v>
      </c>
      <c r="D16" s="477"/>
      <c r="E16" s="26">
        <v>50.98</v>
      </c>
      <c r="F16" s="403">
        <v>2704</v>
      </c>
      <c r="G16" s="393">
        <f t="shared" si="21"/>
        <v>137849.91999999998</v>
      </c>
      <c r="H16" s="76" t="s">
        <v>57</v>
      </c>
      <c r="I16" s="401">
        <v>17</v>
      </c>
      <c r="J16" s="18">
        <v>1800</v>
      </c>
      <c r="K16" s="9">
        <f t="shared" ref="K16:K18" si="25">J16/I16</f>
        <v>105.88235294117646</v>
      </c>
      <c r="L16" s="401">
        <v>17</v>
      </c>
      <c r="M16" s="10">
        <f t="shared" ref="M16:M18" si="26">F16/V16*60</f>
        <v>1655.5102040816332</v>
      </c>
      <c r="N16" s="9">
        <f t="shared" si="22"/>
        <v>97.382953181272541</v>
      </c>
      <c r="O16" s="11">
        <f t="shared" ref="O16:O18" si="27">L16-I16</f>
        <v>0</v>
      </c>
      <c r="P16" s="12">
        <f t="shared" ref="P16:P18" si="28">N16-K16</f>
        <v>-8.4993997599039233</v>
      </c>
      <c r="Q16" s="395">
        <f t="shared" ref="Q16:Q29" si="29">N16/K16</f>
        <v>0.91972789115646292</v>
      </c>
      <c r="R16" s="470"/>
      <c r="S16" s="24">
        <v>0.70833333333333337</v>
      </c>
      <c r="T16" s="24">
        <v>0.77638888888888891</v>
      </c>
      <c r="U16" s="393">
        <f t="shared" ref="U16:U18" si="30">(S16-T15)*24*60</f>
        <v>409.00000000000017</v>
      </c>
      <c r="V16" s="402">
        <f t="shared" ref="V16:V18" si="31">(T16-S16)*24*60</f>
        <v>97.999999999999972</v>
      </c>
      <c r="W16" s="14"/>
      <c r="X16" s="14"/>
      <c r="Y16" s="456"/>
      <c r="Z16" s="456"/>
      <c r="AA16" s="11">
        <f t="shared" si="2"/>
        <v>-144.48979591836678</v>
      </c>
      <c r="AB16" s="395">
        <f t="shared" si="19"/>
        <v>0.91972789115646292</v>
      </c>
      <c r="AC16" s="470"/>
    </row>
    <row r="17" spans="1:29" ht="16.5" customHeight="1">
      <c r="A17" s="481" t="s">
        <v>6</v>
      </c>
      <c r="B17" s="403" t="s">
        <v>13</v>
      </c>
      <c r="C17" s="477" t="s">
        <v>66</v>
      </c>
      <c r="D17" s="477"/>
      <c r="E17" s="26">
        <v>57.73</v>
      </c>
      <c r="F17" s="403">
        <v>1480</v>
      </c>
      <c r="G17" s="393">
        <f t="shared" si="21"/>
        <v>85440.4</v>
      </c>
      <c r="H17" s="76" t="s">
        <v>57</v>
      </c>
      <c r="I17" s="401">
        <v>16</v>
      </c>
      <c r="J17" s="18">
        <v>1500</v>
      </c>
      <c r="K17" s="9">
        <f t="shared" si="25"/>
        <v>93.75</v>
      </c>
      <c r="L17" s="401">
        <v>16</v>
      </c>
      <c r="M17" s="10">
        <f t="shared" si="26"/>
        <v>1366.1538461538478</v>
      </c>
      <c r="N17" s="9">
        <f t="shared" si="22"/>
        <v>85.384615384615486</v>
      </c>
      <c r="O17" s="11">
        <f t="shared" si="27"/>
        <v>0</v>
      </c>
      <c r="P17" s="12">
        <f t="shared" si="28"/>
        <v>-8.3653846153845137</v>
      </c>
      <c r="Q17" s="395">
        <f t="shared" si="29"/>
        <v>0.91076923076923189</v>
      </c>
      <c r="R17" s="470"/>
      <c r="S17" s="24">
        <v>0.78194444444444444</v>
      </c>
      <c r="T17" s="24">
        <v>0.82708333333333328</v>
      </c>
      <c r="U17" s="393">
        <f t="shared" si="30"/>
        <v>7.9999999999999716</v>
      </c>
      <c r="V17" s="402">
        <f t="shared" si="31"/>
        <v>64.999999999999929</v>
      </c>
      <c r="W17" s="14"/>
      <c r="X17" s="14"/>
      <c r="Y17" s="456"/>
      <c r="Z17" s="456"/>
      <c r="AA17" s="11">
        <f t="shared" si="2"/>
        <v>-133.84615384615222</v>
      </c>
      <c r="AB17" s="395">
        <f t="shared" si="19"/>
        <v>0.91076923076923189</v>
      </c>
      <c r="AC17" s="470"/>
    </row>
    <row r="18" spans="1:29" ht="16.5" customHeight="1">
      <c r="A18" s="481" t="s">
        <v>6</v>
      </c>
      <c r="B18" s="403" t="s">
        <v>13</v>
      </c>
      <c r="C18" s="477" t="s">
        <v>1523</v>
      </c>
      <c r="D18" s="477"/>
      <c r="E18" s="26">
        <v>51.62</v>
      </c>
      <c r="F18" s="403">
        <v>2745</v>
      </c>
      <c r="G18" s="393">
        <f t="shared" si="21"/>
        <v>141696.9</v>
      </c>
      <c r="H18" s="76" t="s">
        <v>57</v>
      </c>
      <c r="I18" s="401">
        <v>20</v>
      </c>
      <c r="J18" s="18">
        <v>1800</v>
      </c>
      <c r="K18" s="9">
        <f t="shared" si="25"/>
        <v>90</v>
      </c>
      <c r="L18" s="401">
        <v>20</v>
      </c>
      <c r="M18" s="10">
        <f t="shared" si="26"/>
        <v>1647.0000000000005</v>
      </c>
      <c r="N18" s="9">
        <f t="shared" si="22"/>
        <v>82.350000000000023</v>
      </c>
      <c r="O18" s="11">
        <f t="shared" si="27"/>
        <v>0</v>
      </c>
      <c r="P18" s="12">
        <f t="shared" si="28"/>
        <v>-7.6499999999999773</v>
      </c>
      <c r="Q18" s="395">
        <f t="shared" si="29"/>
        <v>0.91500000000000026</v>
      </c>
      <c r="R18" s="470"/>
      <c r="S18" s="24">
        <v>0.86666666666666659</v>
      </c>
      <c r="T18" s="24">
        <v>0.93611111111111101</v>
      </c>
      <c r="U18" s="393">
        <f t="shared" si="30"/>
        <v>56.999999999999957</v>
      </c>
      <c r="V18" s="402">
        <f t="shared" si="31"/>
        <v>99.999999999999972</v>
      </c>
      <c r="W18" s="14"/>
      <c r="X18" s="14"/>
      <c r="Y18" s="456"/>
      <c r="Z18" s="456"/>
      <c r="AA18" s="11">
        <f t="shared" si="2"/>
        <v>-152.99999999999955</v>
      </c>
      <c r="AB18" s="395">
        <f t="shared" si="19"/>
        <v>0.91500000000000026</v>
      </c>
      <c r="AC18" s="470"/>
    </row>
    <row r="19" spans="1:29" ht="16.5" customHeight="1">
      <c r="A19" s="481" t="s">
        <v>6</v>
      </c>
      <c r="B19" s="26" t="s">
        <v>236</v>
      </c>
      <c r="C19" s="466"/>
      <c r="D19" s="466"/>
      <c r="E19" s="394"/>
      <c r="F19" s="16"/>
      <c r="G19" s="9"/>
      <c r="H19" s="403"/>
      <c r="I19" s="17">
        <f>AVERAGE(I14:I18)</f>
        <v>19.399999999999999</v>
      </c>
      <c r="J19" s="18">
        <v>1577.2</v>
      </c>
      <c r="K19" s="9">
        <f>J19/I19</f>
        <v>81.298969072164951</v>
      </c>
      <c r="L19" s="17">
        <f>AVERAGE(L14:L18)</f>
        <v>19.399999999999999</v>
      </c>
      <c r="M19" s="10">
        <f>AVERAGE(M14:M18)</f>
        <v>1442.9951339907584</v>
      </c>
      <c r="N19" s="9">
        <f t="shared" si="22"/>
        <v>74.381192473750446</v>
      </c>
      <c r="O19" s="11">
        <f>L19-I19</f>
        <v>0</v>
      </c>
      <c r="P19" s="12">
        <f>N19-K19</f>
        <v>-6.9177765984145054</v>
      </c>
      <c r="Q19" s="395">
        <f t="shared" si="29"/>
        <v>0.91490941795001179</v>
      </c>
      <c r="R19" s="470"/>
      <c r="S19" s="24"/>
      <c r="T19" s="24"/>
      <c r="U19" s="393"/>
      <c r="V19" s="402"/>
      <c r="W19" s="9"/>
      <c r="X19" s="9"/>
      <c r="Y19" s="456"/>
      <c r="Z19" s="456"/>
      <c r="AA19" s="11">
        <f t="shared" si="2"/>
        <v>-134.20486600924164</v>
      </c>
      <c r="AB19" s="395">
        <f t="shared" si="19"/>
        <v>0.91490941795001168</v>
      </c>
      <c r="AC19" s="470"/>
    </row>
    <row r="20" spans="1:29" ht="15.75" customHeight="1">
      <c r="A20" s="478" t="s">
        <v>240</v>
      </c>
      <c r="B20" s="26" t="s">
        <v>21</v>
      </c>
      <c r="C20" s="477" t="s">
        <v>22</v>
      </c>
      <c r="D20" s="477"/>
      <c r="E20" s="26">
        <v>43.14</v>
      </c>
      <c r="F20" s="403">
        <v>1275</v>
      </c>
      <c r="G20" s="393">
        <f t="shared" ref="G20:G29" si="32">E20*F20</f>
        <v>55003.5</v>
      </c>
      <c r="H20" s="76" t="s">
        <v>57</v>
      </c>
      <c r="I20" s="401">
        <v>17</v>
      </c>
      <c r="J20" s="18">
        <v>1200</v>
      </c>
      <c r="K20" s="9">
        <f t="shared" ref="K20:K30" si="33">J20/I20</f>
        <v>70.588235294117652</v>
      </c>
      <c r="L20" s="401">
        <v>17</v>
      </c>
      <c r="M20" s="10">
        <f t="shared" ref="M20:M29" si="34">F20/V20*60</f>
        <v>1108.695652173913</v>
      </c>
      <c r="N20" s="9">
        <f t="shared" si="22"/>
        <v>65.217391304347828</v>
      </c>
      <c r="O20" s="11">
        <f t="shared" ref="O20:O29" si="35">L20-I20</f>
        <v>0</v>
      </c>
      <c r="P20" s="12">
        <f t="shared" ref="P20:P29" si="36">N20-K20</f>
        <v>-5.3708439897698241</v>
      </c>
      <c r="Q20" s="395">
        <f t="shared" si="29"/>
        <v>0.92391304347826086</v>
      </c>
      <c r="R20" s="470">
        <f>Q30</f>
        <v>0.92332138873467562</v>
      </c>
      <c r="S20" s="24">
        <v>0.16666666666666666</v>
      </c>
      <c r="T20" s="24">
        <v>0.21458333333333332</v>
      </c>
      <c r="U20" s="393"/>
      <c r="V20" s="402">
        <f>(T20-S20)*24*60</f>
        <v>69</v>
      </c>
      <c r="W20" s="15"/>
      <c r="X20" s="15"/>
      <c r="Y20" s="456"/>
      <c r="Z20" s="456"/>
      <c r="AA20" s="11">
        <f t="shared" si="2"/>
        <v>-91.304347826086996</v>
      </c>
      <c r="AB20" s="395">
        <f t="shared" si="19"/>
        <v>0.92391304347826086</v>
      </c>
      <c r="AC20" s="470">
        <f>AB30</f>
        <v>0.92332138873467551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403">
        <v>3086</v>
      </c>
      <c r="G21" s="393">
        <f t="shared" si="32"/>
        <v>178154.78</v>
      </c>
      <c r="H21" s="76" t="s">
        <v>57</v>
      </c>
      <c r="I21" s="401">
        <v>16</v>
      </c>
      <c r="J21" s="18">
        <v>1800</v>
      </c>
      <c r="K21" s="9">
        <f t="shared" si="33"/>
        <v>112.5</v>
      </c>
      <c r="L21" s="401">
        <v>16</v>
      </c>
      <c r="M21" s="10">
        <f t="shared" si="34"/>
        <v>1653.2142857142856</v>
      </c>
      <c r="N21" s="9">
        <f t="shared" si="22"/>
        <v>103.32589285714285</v>
      </c>
      <c r="O21" s="11">
        <f t="shared" si="35"/>
        <v>0</v>
      </c>
      <c r="P21" s="12">
        <f t="shared" si="36"/>
        <v>-9.174107142857153</v>
      </c>
      <c r="Q21" s="395">
        <f t="shared" si="29"/>
        <v>0.91845238095238091</v>
      </c>
      <c r="R21" s="470"/>
      <c r="S21" s="24">
        <v>0.23472222222222222</v>
      </c>
      <c r="T21" s="24">
        <v>0.3125</v>
      </c>
      <c r="U21" s="393">
        <f>(S21-T20)*24*60</f>
        <v>29.000000000000018</v>
      </c>
      <c r="V21" s="402">
        <f t="shared" ref="V21:V29" si="37">(T21-S21)*24*60</f>
        <v>112</v>
      </c>
      <c r="W21" s="14"/>
      <c r="X21" s="393"/>
      <c r="Y21" s="456"/>
      <c r="Z21" s="456"/>
      <c r="AA21" s="11">
        <f t="shared" si="2"/>
        <v>-146.78571428571445</v>
      </c>
      <c r="AB21" s="395">
        <f t="shared" si="19"/>
        <v>0.91845238095238091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403">
        <v>1878</v>
      </c>
      <c r="G22" s="393">
        <f t="shared" si="32"/>
        <v>100811.04</v>
      </c>
      <c r="H22" s="76" t="s">
        <v>57</v>
      </c>
      <c r="I22" s="401">
        <v>17</v>
      </c>
      <c r="J22" s="18">
        <v>1800</v>
      </c>
      <c r="K22" s="9">
        <f t="shared" si="33"/>
        <v>105.88235294117646</v>
      </c>
      <c r="L22" s="401">
        <v>17</v>
      </c>
      <c r="M22" s="10">
        <f t="shared" si="34"/>
        <v>1657.0588235294117</v>
      </c>
      <c r="N22" s="9">
        <f t="shared" si="22"/>
        <v>97.474048442906565</v>
      </c>
      <c r="O22" s="11">
        <f t="shared" si="35"/>
        <v>0</v>
      </c>
      <c r="P22" s="12">
        <f t="shared" si="36"/>
        <v>-8.4083044982698993</v>
      </c>
      <c r="Q22" s="395">
        <f t="shared" si="29"/>
        <v>0.9205882352941176</v>
      </c>
      <c r="R22" s="470"/>
      <c r="S22" s="24">
        <v>0.31597222222222221</v>
      </c>
      <c r="T22" s="24">
        <v>0.36319444444444443</v>
      </c>
      <c r="U22" s="393">
        <f t="shared" ref="U22:U29" si="38">(S22-T21)*24*60</f>
        <v>4.9999999999999822</v>
      </c>
      <c r="V22" s="402">
        <f t="shared" si="37"/>
        <v>68</v>
      </c>
      <c r="W22" s="14"/>
      <c r="X22" s="393"/>
      <c r="Y22" s="456"/>
      <c r="Z22" s="456"/>
      <c r="AA22" s="11">
        <f t="shared" si="2"/>
        <v>-142.94117647058829</v>
      </c>
      <c r="AB22" s="395">
        <f t="shared" si="19"/>
        <v>0.9205882352941176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403">
        <v>1018</v>
      </c>
      <c r="G23" s="393">
        <f t="shared" si="32"/>
        <v>51582.060000000005</v>
      </c>
      <c r="H23" s="76" t="s">
        <v>57</v>
      </c>
      <c r="I23" s="401">
        <v>16</v>
      </c>
      <c r="J23" s="18">
        <v>1800</v>
      </c>
      <c r="K23" s="9">
        <f t="shared" si="33"/>
        <v>112.5</v>
      </c>
      <c r="L23" s="401">
        <v>16</v>
      </c>
      <c r="M23" s="10">
        <f t="shared" si="34"/>
        <v>1650.8108108108095</v>
      </c>
      <c r="N23" s="9">
        <f t="shared" si="22"/>
        <v>103.17567567567559</v>
      </c>
      <c r="O23" s="11">
        <f t="shared" si="35"/>
        <v>0</v>
      </c>
      <c r="P23" s="12">
        <f t="shared" si="36"/>
        <v>-9.3243243243244081</v>
      </c>
      <c r="Q23" s="395">
        <f t="shared" si="29"/>
        <v>0.91711711711711641</v>
      </c>
      <c r="R23" s="470"/>
      <c r="S23" s="24">
        <v>0.36874999999999997</v>
      </c>
      <c r="T23" s="24">
        <v>0.39444444444444443</v>
      </c>
      <c r="U23" s="393">
        <f t="shared" si="38"/>
        <v>7.9999999999999716</v>
      </c>
      <c r="V23" s="402">
        <f t="shared" si="37"/>
        <v>37.000000000000028</v>
      </c>
      <c r="W23" s="14"/>
      <c r="X23" s="393"/>
      <c r="Y23" s="456"/>
      <c r="Z23" s="456"/>
      <c r="AA23" s="11">
        <f t="shared" si="2"/>
        <v>-149.18918918919053</v>
      </c>
      <c r="AB23" s="395">
        <f t="shared" si="19"/>
        <v>0.91711711711711641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403">
        <v>3088</v>
      </c>
      <c r="G24" s="393">
        <f t="shared" si="32"/>
        <v>179628.96</v>
      </c>
      <c r="H24" s="76" t="s">
        <v>57</v>
      </c>
      <c r="I24" s="401">
        <v>18</v>
      </c>
      <c r="J24" s="18">
        <v>1800</v>
      </c>
      <c r="K24" s="9">
        <f t="shared" si="33"/>
        <v>100</v>
      </c>
      <c r="L24" s="401">
        <v>18</v>
      </c>
      <c r="M24" s="10">
        <f t="shared" si="34"/>
        <v>1654.2857142857144</v>
      </c>
      <c r="N24" s="9">
        <f t="shared" si="22"/>
        <v>91.904761904761912</v>
      </c>
      <c r="O24" s="11">
        <f t="shared" si="35"/>
        <v>0</v>
      </c>
      <c r="P24" s="12">
        <f t="shared" si="36"/>
        <v>-8.0952380952380878</v>
      </c>
      <c r="Q24" s="395">
        <f t="shared" si="29"/>
        <v>0.91904761904761911</v>
      </c>
      <c r="R24" s="470"/>
      <c r="S24" s="24">
        <v>0.39861111111111108</v>
      </c>
      <c r="T24" s="24">
        <v>0.47638888888888886</v>
      </c>
      <c r="U24" s="393">
        <f t="shared" si="38"/>
        <v>5.9999999999999787</v>
      </c>
      <c r="V24" s="402">
        <f t="shared" si="37"/>
        <v>112</v>
      </c>
      <c r="W24" s="14"/>
      <c r="X24" s="393"/>
      <c r="Y24" s="456"/>
      <c r="Z24" s="456"/>
      <c r="AA24" s="11">
        <f t="shared" si="2"/>
        <v>-145.71428571428555</v>
      </c>
      <c r="AB24" s="395">
        <f t="shared" si="19"/>
        <v>0.91904761904761911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403">
        <v>1000</v>
      </c>
      <c r="G25" s="393">
        <f t="shared" si="32"/>
        <v>50920</v>
      </c>
      <c r="H25" s="76">
        <v>2</v>
      </c>
      <c r="I25" s="401">
        <v>16</v>
      </c>
      <c r="J25" s="18">
        <v>1800</v>
      </c>
      <c r="K25" s="9">
        <f t="shared" si="33"/>
        <v>112.5</v>
      </c>
      <c r="L25" s="401">
        <v>16</v>
      </c>
      <c r="M25" s="10">
        <f t="shared" si="34"/>
        <v>1666.6666666666654</v>
      </c>
      <c r="N25" s="9">
        <f t="shared" si="22"/>
        <v>104.16666666666659</v>
      </c>
      <c r="O25" s="11">
        <f t="shared" si="35"/>
        <v>0</v>
      </c>
      <c r="P25" s="12">
        <f t="shared" si="36"/>
        <v>-8.3333333333334139</v>
      </c>
      <c r="Q25" s="395">
        <f t="shared" si="29"/>
        <v>0.92592592592592526</v>
      </c>
      <c r="R25" s="470"/>
      <c r="S25" s="24">
        <v>0.70833333333333337</v>
      </c>
      <c r="T25" s="24">
        <v>0.73333333333333339</v>
      </c>
      <c r="U25" s="393">
        <f t="shared" si="38"/>
        <v>334.00000000000011</v>
      </c>
      <c r="V25" s="402">
        <f t="shared" si="37"/>
        <v>36.000000000000028</v>
      </c>
      <c r="W25" s="14"/>
      <c r="X25" s="15"/>
      <c r="Y25" s="456"/>
      <c r="Z25" s="456"/>
      <c r="AA25" s="11">
        <f t="shared" si="2"/>
        <v>-133.33333333333462</v>
      </c>
      <c r="AB25" s="395">
        <f t="shared" si="19"/>
        <v>0.92592592592592526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403">
        <v>544</v>
      </c>
      <c r="G26" s="393">
        <f t="shared" si="32"/>
        <v>28978.880000000001</v>
      </c>
      <c r="H26" s="76" t="s">
        <v>57</v>
      </c>
      <c r="I26" s="401">
        <v>15</v>
      </c>
      <c r="J26" s="18">
        <v>1800</v>
      </c>
      <c r="K26" s="9">
        <f t="shared" si="33"/>
        <v>120</v>
      </c>
      <c r="L26" s="401">
        <v>15</v>
      </c>
      <c r="M26" s="10">
        <f t="shared" si="34"/>
        <v>1717.8947368421113</v>
      </c>
      <c r="N26" s="9">
        <f t="shared" si="22"/>
        <v>114.52631578947408</v>
      </c>
      <c r="O26" s="11">
        <f t="shared" si="35"/>
        <v>0</v>
      </c>
      <c r="P26" s="12">
        <f t="shared" si="36"/>
        <v>-5.4736842105259171</v>
      </c>
      <c r="Q26" s="395">
        <f t="shared" si="29"/>
        <v>0.954385964912284</v>
      </c>
      <c r="R26" s="470"/>
      <c r="S26" s="24">
        <v>0.73750000000000004</v>
      </c>
      <c r="T26" s="24">
        <v>0.75069444444444444</v>
      </c>
      <c r="U26" s="393">
        <f t="shared" si="38"/>
        <v>5.9999999999999787</v>
      </c>
      <c r="V26" s="402">
        <f t="shared" si="37"/>
        <v>18.999999999999932</v>
      </c>
      <c r="W26" s="14"/>
      <c r="X26" s="15"/>
      <c r="Y26" s="473"/>
      <c r="Z26" s="474"/>
      <c r="AA26" s="11">
        <f t="shared" si="2"/>
        <v>-82.105263157888658</v>
      </c>
      <c r="AB26" s="395">
        <f t="shared" si="19"/>
        <v>0.95438596491228411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49.91</v>
      </c>
      <c r="F27" s="403">
        <v>1052</v>
      </c>
      <c r="G27" s="393">
        <f t="shared" si="32"/>
        <v>52505.32</v>
      </c>
      <c r="H27" s="76" t="s">
        <v>57</v>
      </c>
      <c r="I27" s="401">
        <v>16</v>
      </c>
      <c r="J27" s="18">
        <v>1800</v>
      </c>
      <c r="K27" s="9">
        <f t="shared" si="33"/>
        <v>112.5</v>
      </c>
      <c r="L27" s="401">
        <v>16</v>
      </c>
      <c r="M27" s="10">
        <f t="shared" si="34"/>
        <v>1661.0526315789461</v>
      </c>
      <c r="N27" s="9">
        <f t="shared" si="22"/>
        <v>103.81578947368413</v>
      </c>
      <c r="O27" s="11">
        <f t="shared" si="35"/>
        <v>0</v>
      </c>
      <c r="P27" s="12">
        <f t="shared" si="36"/>
        <v>-8.6842105263158658</v>
      </c>
      <c r="Q27" s="395">
        <f t="shared" si="29"/>
        <v>0.92280701754385897</v>
      </c>
      <c r="R27" s="470"/>
      <c r="S27" s="24">
        <v>0.75416666666666665</v>
      </c>
      <c r="T27" s="24">
        <v>0.78055555555555556</v>
      </c>
      <c r="U27" s="393">
        <f t="shared" si="38"/>
        <v>4.9999999999999822</v>
      </c>
      <c r="V27" s="402">
        <f t="shared" si="37"/>
        <v>38.000000000000028</v>
      </c>
      <c r="W27" s="14"/>
      <c r="X27" s="14"/>
      <c r="Y27" s="473"/>
      <c r="Z27" s="474"/>
      <c r="AA27" s="11">
        <f t="shared" si="2"/>
        <v>-138.94736842105385</v>
      </c>
      <c r="AB27" s="395">
        <f t="shared" si="19"/>
        <v>0.92280701754385897</v>
      </c>
      <c r="AC27" s="470"/>
    </row>
    <row r="28" spans="1:29" ht="15.75" customHeight="1">
      <c r="A28" s="479" t="s">
        <v>7</v>
      </c>
      <c r="B28" s="26" t="s">
        <v>13</v>
      </c>
      <c r="C28" s="482" t="s">
        <v>1523</v>
      </c>
      <c r="D28" s="483"/>
      <c r="E28" s="26">
        <v>51.62</v>
      </c>
      <c r="F28" s="403">
        <v>2500</v>
      </c>
      <c r="G28" s="393">
        <f t="shared" si="32"/>
        <v>129050</v>
      </c>
      <c r="H28" s="76">
        <v>2</v>
      </c>
      <c r="I28" s="401">
        <v>20</v>
      </c>
      <c r="J28" s="18">
        <v>1800</v>
      </c>
      <c r="K28" s="9">
        <f t="shared" si="33"/>
        <v>90</v>
      </c>
      <c r="L28" s="401">
        <v>20</v>
      </c>
      <c r="M28" s="10">
        <f t="shared" si="34"/>
        <v>1648.3516483516482</v>
      </c>
      <c r="N28" s="9">
        <f t="shared" si="22"/>
        <v>82.417582417582409</v>
      </c>
      <c r="O28" s="11">
        <f t="shared" si="35"/>
        <v>0</v>
      </c>
      <c r="P28" s="12">
        <f t="shared" si="36"/>
        <v>-7.582417582417591</v>
      </c>
      <c r="Q28" s="395">
        <f t="shared" si="29"/>
        <v>0.91575091575091561</v>
      </c>
      <c r="R28" s="470"/>
      <c r="S28" s="24">
        <v>0.78611111111111109</v>
      </c>
      <c r="T28" s="24">
        <v>0.84930555555555554</v>
      </c>
      <c r="U28" s="393">
        <f t="shared" si="38"/>
        <v>7.9999999999999716</v>
      </c>
      <c r="V28" s="402">
        <f t="shared" si="37"/>
        <v>91</v>
      </c>
      <c r="W28" s="14"/>
      <c r="X28" s="14"/>
      <c r="Y28" s="473"/>
      <c r="Z28" s="474"/>
      <c r="AA28" s="11">
        <f t="shared" si="2"/>
        <v>-151.64835164835176</v>
      </c>
      <c r="AB28" s="395">
        <f t="shared" si="19"/>
        <v>0.91575091575091572</v>
      </c>
      <c r="AC28" s="470"/>
    </row>
    <row r="29" spans="1:29" ht="15.75" customHeight="1">
      <c r="A29" s="479" t="s">
        <v>7</v>
      </c>
      <c r="B29" s="26" t="s">
        <v>13</v>
      </c>
      <c r="C29" s="482" t="s">
        <v>59</v>
      </c>
      <c r="D29" s="483"/>
      <c r="E29" s="26">
        <v>50.92</v>
      </c>
      <c r="F29" s="403">
        <v>1840</v>
      </c>
      <c r="G29" s="393">
        <f t="shared" si="32"/>
        <v>93692.800000000003</v>
      </c>
      <c r="H29" s="76" t="s">
        <v>57</v>
      </c>
      <c r="I29" s="401">
        <v>16</v>
      </c>
      <c r="J29" s="18">
        <v>1800</v>
      </c>
      <c r="K29" s="9">
        <f t="shared" si="33"/>
        <v>112.5</v>
      </c>
      <c r="L29" s="401">
        <v>16</v>
      </c>
      <c r="M29" s="10">
        <f t="shared" si="34"/>
        <v>1647.7611940298486</v>
      </c>
      <c r="N29" s="9">
        <f t="shared" si="22"/>
        <v>102.98507462686554</v>
      </c>
      <c r="O29" s="11">
        <f t="shared" si="35"/>
        <v>0</v>
      </c>
      <c r="P29" s="12">
        <f t="shared" si="36"/>
        <v>-9.5149253731344601</v>
      </c>
      <c r="Q29" s="395">
        <f t="shared" si="29"/>
        <v>0.91542288557213813</v>
      </c>
      <c r="R29" s="470"/>
      <c r="S29" s="24">
        <v>0.89097222222222217</v>
      </c>
      <c r="T29" s="24">
        <v>0.9375</v>
      </c>
      <c r="U29" s="393">
        <f t="shared" si="38"/>
        <v>59.999999999999943</v>
      </c>
      <c r="V29" s="402">
        <f t="shared" si="37"/>
        <v>67.000000000000085</v>
      </c>
      <c r="W29" s="14"/>
      <c r="X29" s="14"/>
      <c r="Y29" s="473"/>
      <c r="Z29" s="474"/>
      <c r="AA29" s="11">
        <f t="shared" si="2"/>
        <v>-152.23880597015136</v>
      </c>
      <c r="AB29" s="395">
        <f t="shared" si="19"/>
        <v>0.91542288557213813</v>
      </c>
      <c r="AC29" s="470"/>
    </row>
    <row r="30" spans="1:29" ht="15.75" customHeight="1">
      <c r="A30" s="479" t="s">
        <v>7</v>
      </c>
      <c r="B30" s="26" t="s">
        <v>236</v>
      </c>
      <c r="C30" s="466"/>
      <c r="D30" s="466"/>
      <c r="E30" s="394"/>
      <c r="F30" s="403"/>
      <c r="G30" s="393"/>
      <c r="H30" s="403"/>
      <c r="I30" s="17">
        <v>16.7</v>
      </c>
      <c r="J30" s="18">
        <v>1740</v>
      </c>
      <c r="K30" s="9">
        <f t="shared" si="33"/>
        <v>104.19161676646706</v>
      </c>
      <c r="L30" s="17">
        <v>16.7</v>
      </c>
      <c r="M30" s="10">
        <f>AVERAGE(M20:M29)</f>
        <v>1606.5792163983353</v>
      </c>
      <c r="N30" s="9">
        <f>M30/L30</f>
        <v>96.202348287325478</v>
      </c>
      <c r="O30" s="11">
        <f>L30-I30</f>
        <v>0</v>
      </c>
      <c r="P30" s="12">
        <f>N30-K30</f>
        <v>-7.989268479141586</v>
      </c>
      <c r="Q30" s="395">
        <f>N30/K30</f>
        <v>0.92332138873467562</v>
      </c>
      <c r="R30" s="470"/>
      <c r="S30" s="24"/>
      <c r="T30" s="24"/>
      <c r="U30" s="9"/>
      <c r="V30" s="402"/>
      <c r="W30" s="9"/>
      <c r="X30" s="9"/>
      <c r="Y30" s="456"/>
      <c r="Z30" s="456"/>
      <c r="AA30" s="11">
        <f t="shared" si="2"/>
        <v>-133.42078360166465</v>
      </c>
      <c r="AB30" s="395">
        <f t="shared" si="19"/>
        <v>0.92332138873467551</v>
      </c>
      <c r="AC30" s="470"/>
    </row>
    <row r="31" spans="1:29" ht="15.75" customHeight="1">
      <c r="A31" s="484" t="s">
        <v>1620</v>
      </c>
      <c r="B31" s="26" t="s">
        <v>24</v>
      </c>
      <c r="C31" s="477" t="s">
        <v>26</v>
      </c>
      <c r="D31" s="477"/>
      <c r="E31" s="26">
        <v>26.2</v>
      </c>
      <c r="F31" s="403">
        <v>3963</v>
      </c>
      <c r="G31" s="393">
        <f t="shared" ref="G31:G37" si="39">E31*F31</f>
        <v>103830.59999999999</v>
      </c>
      <c r="H31" s="76" t="s">
        <v>57</v>
      </c>
      <c r="I31" s="401">
        <v>20</v>
      </c>
      <c r="J31" s="18">
        <v>2400</v>
      </c>
      <c r="K31" s="9">
        <f>J31/I31</f>
        <v>120</v>
      </c>
      <c r="L31" s="401">
        <v>20</v>
      </c>
      <c r="M31" s="10">
        <f t="shared" ref="M31:M37" si="40">F31/V31*60</f>
        <v>2201.6666666666665</v>
      </c>
      <c r="N31" s="9">
        <f t="shared" ref="N31:N37" si="41">M31/L31</f>
        <v>110.08333333333333</v>
      </c>
      <c r="O31" s="11">
        <f t="shared" ref="O31:O37" si="42">L31-I31</f>
        <v>0</v>
      </c>
      <c r="P31" s="12">
        <f t="shared" ref="P31:P37" si="43">N31-K31</f>
        <v>-9.9166666666666714</v>
      </c>
      <c r="Q31" s="395">
        <f t="shared" ref="Q31:Q37" si="44">N31/K31</f>
        <v>0.91736111111111107</v>
      </c>
      <c r="R31" s="470">
        <f>Q38</f>
        <v>0.91599386038655628</v>
      </c>
      <c r="S31" s="24">
        <v>0.125</v>
      </c>
      <c r="T31" s="24">
        <v>0.2</v>
      </c>
      <c r="U31" s="393"/>
      <c r="V31" s="402">
        <f t="shared" ref="V31:V37" si="45">(T31-S31)*24*60</f>
        <v>108.00000000000001</v>
      </c>
      <c r="W31" s="14"/>
      <c r="X31" s="14"/>
      <c r="Y31" s="456"/>
      <c r="Z31" s="456"/>
      <c r="AA31" s="11">
        <f t="shared" si="2"/>
        <v>-198.33333333333348</v>
      </c>
      <c r="AB31" s="395">
        <f>M31/J31</f>
        <v>0.91736111111111107</v>
      </c>
      <c r="AC31" s="470">
        <f>AB38</f>
        <v>0.91599386038655628</v>
      </c>
    </row>
    <row r="32" spans="1:29" ht="15.75" customHeight="1">
      <c r="A32" s="484" t="s">
        <v>8</v>
      </c>
      <c r="B32" s="26" t="s">
        <v>24</v>
      </c>
      <c r="C32" s="477" t="s">
        <v>25</v>
      </c>
      <c r="D32" s="477"/>
      <c r="E32" s="26">
        <v>20.52</v>
      </c>
      <c r="F32" s="403">
        <v>4214</v>
      </c>
      <c r="G32" s="393">
        <f t="shared" si="39"/>
        <v>86471.28</v>
      </c>
      <c r="H32" s="76" t="s">
        <v>57</v>
      </c>
      <c r="I32" s="401">
        <v>18</v>
      </c>
      <c r="J32" s="18">
        <v>2400</v>
      </c>
      <c r="K32" s="9">
        <f t="shared" ref="K32:K38" si="46">J32/I32</f>
        <v>133.33333333333334</v>
      </c>
      <c r="L32" s="401">
        <v>18</v>
      </c>
      <c r="M32" s="10">
        <f t="shared" si="40"/>
        <v>2198.6086956521735</v>
      </c>
      <c r="N32" s="9">
        <f t="shared" si="41"/>
        <v>122.14492753623186</v>
      </c>
      <c r="O32" s="11">
        <f t="shared" si="42"/>
        <v>0</v>
      </c>
      <c r="P32" s="12">
        <f t="shared" si="43"/>
        <v>-11.188405797101481</v>
      </c>
      <c r="Q32" s="395">
        <f t="shared" si="44"/>
        <v>0.91608695652173888</v>
      </c>
      <c r="R32" s="470"/>
      <c r="S32" s="24">
        <v>0.22013888888888891</v>
      </c>
      <c r="T32" s="24">
        <v>0.30000000000000004</v>
      </c>
      <c r="U32" s="393">
        <f>(S32-T31)*24*60</f>
        <v>29.000000000000018</v>
      </c>
      <c r="V32" s="402">
        <f t="shared" si="45"/>
        <v>115.00000000000003</v>
      </c>
      <c r="W32" s="14"/>
      <c r="X32" s="14"/>
      <c r="Y32" s="456"/>
      <c r="Z32" s="456"/>
      <c r="AA32" s="11">
        <f t="shared" si="2"/>
        <v>-201.39130434782646</v>
      </c>
      <c r="AB32" s="395">
        <f t="shared" ref="AB32:AB37" si="47">M32/J32</f>
        <v>0.91608695652173899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403">
        <v>3500</v>
      </c>
      <c r="G33" s="393">
        <f t="shared" si="39"/>
        <v>109515</v>
      </c>
      <c r="H33" s="76">
        <v>2</v>
      </c>
      <c r="I33" s="401">
        <v>16</v>
      </c>
      <c r="J33" s="18">
        <v>2400</v>
      </c>
      <c r="K33" s="9">
        <f t="shared" si="46"/>
        <v>150</v>
      </c>
      <c r="L33" s="401">
        <v>16</v>
      </c>
      <c r="M33" s="10">
        <f t="shared" si="40"/>
        <v>2187.5000000000005</v>
      </c>
      <c r="N33" s="9">
        <f t="shared" si="41"/>
        <v>136.71875000000003</v>
      </c>
      <c r="O33" s="11">
        <f t="shared" si="42"/>
        <v>0</v>
      </c>
      <c r="P33" s="12">
        <f t="shared" si="43"/>
        <v>-13.281249999999972</v>
      </c>
      <c r="Q33" s="395">
        <f t="shared" si="44"/>
        <v>0.91145833333333348</v>
      </c>
      <c r="R33" s="470"/>
      <c r="S33" s="24">
        <v>0.3041666666666667</v>
      </c>
      <c r="T33" s="24">
        <v>0.37083333333333335</v>
      </c>
      <c r="U33" s="393">
        <f t="shared" ref="U33:U37" si="48">(S33-T32)*24*60</f>
        <v>5.9999999999999787</v>
      </c>
      <c r="V33" s="402">
        <f t="shared" si="45"/>
        <v>95.999999999999972</v>
      </c>
      <c r="W33" s="14"/>
      <c r="X33" s="14"/>
      <c r="Y33" s="456"/>
      <c r="Z33" s="456"/>
      <c r="AA33" s="11">
        <f t="shared" si="2"/>
        <v>-212.49999999999955</v>
      </c>
      <c r="AB33" s="395">
        <f t="shared" si="47"/>
        <v>0.91145833333333348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403">
        <v>3200</v>
      </c>
      <c r="G34" s="393">
        <f t="shared" si="39"/>
        <v>77600</v>
      </c>
      <c r="H34" s="76">
        <v>2</v>
      </c>
      <c r="I34" s="401">
        <v>18</v>
      </c>
      <c r="J34" s="18">
        <v>2400</v>
      </c>
      <c r="K34" s="9">
        <f t="shared" si="46"/>
        <v>133.33333333333334</v>
      </c>
      <c r="L34" s="401">
        <v>18</v>
      </c>
      <c r="M34" s="10">
        <f t="shared" si="40"/>
        <v>2206.8965517241372</v>
      </c>
      <c r="N34" s="9">
        <f t="shared" si="41"/>
        <v>122.60536398467428</v>
      </c>
      <c r="O34" s="11">
        <f t="shared" si="42"/>
        <v>0</v>
      </c>
      <c r="P34" s="12">
        <f t="shared" si="43"/>
        <v>-10.727969348659059</v>
      </c>
      <c r="Q34" s="395">
        <f t="shared" si="44"/>
        <v>0.91954022988505701</v>
      </c>
      <c r="R34" s="470"/>
      <c r="S34" s="24">
        <v>0.37569444444444444</v>
      </c>
      <c r="T34" s="24">
        <v>0.43611111111111112</v>
      </c>
      <c r="U34" s="393">
        <f t="shared" si="48"/>
        <v>6.9999999999999751</v>
      </c>
      <c r="V34" s="402">
        <f t="shared" si="45"/>
        <v>87.000000000000014</v>
      </c>
      <c r="W34" s="14"/>
      <c r="X34" s="14"/>
      <c r="Y34" s="456"/>
      <c r="Z34" s="456"/>
      <c r="AA34" s="11">
        <f t="shared" si="2"/>
        <v>-193.10344827586277</v>
      </c>
      <c r="AB34" s="395">
        <f t="shared" si="47"/>
        <v>0.91954022988505713</v>
      </c>
      <c r="AC34" s="470"/>
    </row>
    <row r="35" spans="1:29" ht="15.75" customHeight="1">
      <c r="A35" s="484" t="s">
        <v>8</v>
      </c>
      <c r="B35" s="26" t="s">
        <v>24</v>
      </c>
      <c r="C35" s="477" t="s">
        <v>69</v>
      </c>
      <c r="D35" s="477"/>
      <c r="E35" s="26">
        <v>22.35</v>
      </c>
      <c r="F35" s="403">
        <v>2256</v>
      </c>
      <c r="G35" s="393">
        <f t="shared" si="39"/>
        <v>50421.600000000006</v>
      </c>
      <c r="H35" s="76" t="s">
        <v>57</v>
      </c>
      <c r="I35" s="401">
        <v>16</v>
      </c>
      <c r="J35" s="18">
        <v>2400</v>
      </c>
      <c r="K35" s="9">
        <f t="shared" si="46"/>
        <v>150</v>
      </c>
      <c r="L35" s="401">
        <v>16</v>
      </c>
      <c r="M35" s="10">
        <f t="shared" si="40"/>
        <v>2219.0163934426223</v>
      </c>
      <c r="N35" s="9">
        <f t="shared" si="41"/>
        <v>138.68852459016389</v>
      </c>
      <c r="O35" s="11">
        <f t="shared" si="42"/>
        <v>0</v>
      </c>
      <c r="P35" s="12">
        <f t="shared" si="43"/>
        <v>-11.311475409836106</v>
      </c>
      <c r="Q35" s="395">
        <f t="shared" si="44"/>
        <v>0.92459016393442595</v>
      </c>
      <c r="R35" s="470"/>
      <c r="S35" s="24">
        <v>0.44097222222222221</v>
      </c>
      <c r="T35" s="24">
        <v>0.48333333333333334</v>
      </c>
      <c r="U35" s="393">
        <f t="shared" si="48"/>
        <v>6.9999999999999751</v>
      </c>
      <c r="V35" s="402">
        <f t="shared" si="45"/>
        <v>61.000000000000021</v>
      </c>
      <c r="W35" s="14"/>
      <c r="X35" s="14"/>
      <c r="Y35" s="456"/>
      <c r="Z35" s="456"/>
      <c r="AA35" s="11">
        <f t="shared" si="2"/>
        <v>-180.9836065573777</v>
      </c>
      <c r="AB35" s="395">
        <f t="shared" si="47"/>
        <v>0.92459016393442595</v>
      </c>
      <c r="AC35" s="470"/>
    </row>
    <row r="36" spans="1:29" ht="15.75" customHeight="1">
      <c r="A36" s="484" t="s">
        <v>8</v>
      </c>
      <c r="B36" s="26" t="s">
        <v>24</v>
      </c>
      <c r="C36" s="477" t="s">
        <v>513</v>
      </c>
      <c r="D36" s="477"/>
      <c r="E36" s="26">
        <v>31.29</v>
      </c>
      <c r="F36" s="403">
        <v>4739</v>
      </c>
      <c r="G36" s="393">
        <f t="shared" si="39"/>
        <v>148283.31</v>
      </c>
      <c r="H36" s="76" t="s">
        <v>57</v>
      </c>
      <c r="I36" s="401">
        <v>16</v>
      </c>
      <c r="J36" s="18">
        <v>2400</v>
      </c>
      <c r="K36" s="9">
        <f t="shared" si="46"/>
        <v>150</v>
      </c>
      <c r="L36" s="401">
        <v>16</v>
      </c>
      <c r="M36" s="10">
        <f t="shared" si="40"/>
        <v>2187.2307692307686</v>
      </c>
      <c r="N36" s="9">
        <f t="shared" si="41"/>
        <v>136.70192307692304</v>
      </c>
      <c r="O36" s="11">
        <f t="shared" si="42"/>
        <v>0</v>
      </c>
      <c r="P36" s="12">
        <f t="shared" si="43"/>
        <v>-13.298076923076962</v>
      </c>
      <c r="Q36" s="395">
        <f t="shared" si="44"/>
        <v>0.91134615384615358</v>
      </c>
      <c r="R36" s="470"/>
      <c r="S36" s="24">
        <v>0.52222222222222214</v>
      </c>
      <c r="T36" s="24">
        <v>0.61249999999999993</v>
      </c>
      <c r="U36" s="393">
        <f t="shared" si="48"/>
        <v>55.999999999999879</v>
      </c>
      <c r="V36" s="402">
        <f t="shared" si="45"/>
        <v>130.00000000000003</v>
      </c>
      <c r="W36" s="14"/>
      <c r="X36" s="14"/>
      <c r="Y36" s="456"/>
      <c r="Z36" s="456"/>
      <c r="AA36" s="11">
        <f t="shared" si="2"/>
        <v>-212.7692307692314</v>
      </c>
      <c r="AB36" s="395">
        <f t="shared" si="47"/>
        <v>0.91134615384615358</v>
      </c>
      <c r="AC36" s="470"/>
    </row>
    <row r="37" spans="1:29" ht="15.75" customHeight="1">
      <c r="A37" s="484" t="s">
        <v>8</v>
      </c>
      <c r="B37" s="26" t="s">
        <v>24</v>
      </c>
      <c r="C37" s="477" t="s">
        <v>84</v>
      </c>
      <c r="D37" s="477"/>
      <c r="E37" s="26">
        <v>24.25</v>
      </c>
      <c r="F37" s="403">
        <v>1969</v>
      </c>
      <c r="G37" s="393">
        <f t="shared" si="39"/>
        <v>47748.25</v>
      </c>
      <c r="H37" s="76" t="s">
        <v>57</v>
      </c>
      <c r="I37" s="401">
        <v>18</v>
      </c>
      <c r="J37" s="18">
        <v>2400</v>
      </c>
      <c r="K37" s="9">
        <f t="shared" si="46"/>
        <v>133.33333333333334</v>
      </c>
      <c r="L37" s="401">
        <v>18</v>
      </c>
      <c r="M37" s="10">
        <f t="shared" si="40"/>
        <v>2187.7777777777792</v>
      </c>
      <c r="N37" s="9">
        <f t="shared" si="41"/>
        <v>121.54320987654329</v>
      </c>
      <c r="O37" s="11">
        <f t="shared" si="42"/>
        <v>0</v>
      </c>
      <c r="P37" s="12">
        <f t="shared" si="43"/>
        <v>-11.790123456790056</v>
      </c>
      <c r="Q37" s="395">
        <f t="shared" si="44"/>
        <v>0.91157407407407454</v>
      </c>
      <c r="R37" s="470"/>
      <c r="S37" s="24">
        <v>0.61666666666666659</v>
      </c>
      <c r="T37" s="24">
        <v>0.65416666666666656</v>
      </c>
      <c r="U37" s="393">
        <f t="shared" si="48"/>
        <v>5.9999999999999787</v>
      </c>
      <c r="V37" s="402">
        <f t="shared" si="45"/>
        <v>53.999999999999972</v>
      </c>
      <c r="W37" s="14"/>
      <c r="X37" s="14"/>
      <c r="Y37" s="456"/>
      <c r="Z37" s="456"/>
      <c r="AA37" s="11">
        <f t="shared" si="2"/>
        <v>-212.22222222222081</v>
      </c>
      <c r="AB37" s="395">
        <f t="shared" si="47"/>
        <v>0.91157407407407465</v>
      </c>
      <c r="AC37" s="470"/>
    </row>
    <row r="38" spans="1:29" ht="15.75" customHeight="1">
      <c r="A38" s="484" t="s">
        <v>8</v>
      </c>
      <c r="B38" s="26" t="s">
        <v>236</v>
      </c>
      <c r="C38" s="466"/>
      <c r="D38" s="466"/>
      <c r="E38" s="394"/>
      <c r="F38" s="403"/>
      <c r="G38" s="393"/>
      <c r="H38" s="403"/>
      <c r="I38" s="17">
        <v>17.428571428571427</v>
      </c>
      <c r="J38" s="18">
        <v>2400</v>
      </c>
      <c r="K38" s="9">
        <f t="shared" si="46"/>
        <v>137.70491803278691</v>
      </c>
      <c r="L38" s="17">
        <v>17.428571428571427</v>
      </c>
      <c r="M38" s="10">
        <f>AVERAGE(M31:M37)</f>
        <v>2198.3852649277351</v>
      </c>
      <c r="N38" s="9">
        <f>M38/L38</f>
        <v>126.13685946306678</v>
      </c>
      <c r="O38" s="11">
        <f>L38-I38</f>
        <v>0</v>
      </c>
      <c r="P38" s="12">
        <f>N38-K38</f>
        <v>-11.568058569720122</v>
      </c>
      <c r="Q38" s="395">
        <f>N38/K38</f>
        <v>0.91599386038655628</v>
      </c>
      <c r="R38" s="470"/>
      <c r="S38" s="24"/>
      <c r="T38" s="24"/>
      <c r="U38" s="393"/>
      <c r="V38" s="402"/>
      <c r="W38" s="393"/>
      <c r="X38" s="393"/>
      <c r="Y38" s="456"/>
      <c r="Z38" s="456"/>
      <c r="AA38" s="11">
        <f t="shared" si="2"/>
        <v>-201.61473507226492</v>
      </c>
      <c r="AB38" s="395">
        <f>M38/J38</f>
        <v>0.91599386038655628</v>
      </c>
      <c r="AC38" s="470"/>
    </row>
    <row r="39" spans="1:29" ht="15.75" customHeight="1">
      <c r="A39" s="485" t="s">
        <v>1621</v>
      </c>
      <c r="B39" s="26" t="s">
        <v>24</v>
      </c>
      <c r="C39" s="487" t="s">
        <v>29</v>
      </c>
      <c r="D39" s="487"/>
      <c r="E39" s="26">
        <v>26.2</v>
      </c>
      <c r="F39" s="403">
        <v>2500</v>
      </c>
      <c r="G39" s="393">
        <f t="shared" ref="G39:G45" si="49">E39*F39</f>
        <v>65500</v>
      </c>
      <c r="H39" s="76">
        <v>2</v>
      </c>
      <c r="I39" s="401">
        <v>18</v>
      </c>
      <c r="J39" s="18">
        <v>2400</v>
      </c>
      <c r="K39" s="9">
        <f>J39/I39</f>
        <v>133.33333333333334</v>
      </c>
      <c r="L39" s="401">
        <v>18</v>
      </c>
      <c r="M39" s="10">
        <f>F39/V39*60</f>
        <v>2205.8823529411775</v>
      </c>
      <c r="N39" s="9">
        <f>M39/L39</f>
        <v>122.54901960784319</v>
      </c>
      <c r="O39" s="11">
        <f t="shared" ref="O39:O45" si="50">L39-I39</f>
        <v>0</v>
      </c>
      <c r="P39" s="12">
        <f t="shared" ref="P39:P55" si="51">N39-K39</f>
        <v>-10.784313725490151</v>
      </c>
      <c r="Q39" s="395">
        <f t="shared" ref="Q39:Q50" si="52">N39/K39</f>
        <v>0.91911764705882393</v>
      </c>
      <c r="R39" s="470">
        <f>Q46</f>
        <v>0.91689681860396111</v>
      </c>
      <c r="S39" s="24">
        <v>8.3333333333333329E-2</v>
      </c>
      <c r="T39" s="24">
        <v>0.13055555555555554</v>
      </c>
      <c r="U39" s="393"/>
      <c r="V39" s="402">
        <f t="shared" ref="V39:V45" si="53">(T39-S39)*24*60</f>
        <v>67.999999999999972</v>
      </c>
      <c r="W39" s="15"/>
      <c r="X39" s="15"/>
      <c r="Y39" s="456"/>
      <c r="Z39" s="456"/>
      <c r="AA39" s="11">
        <f t="shared" si="2"/>
        <v>-194.11764705882251</v>
      </c>
      <c r="AB39" s="395">
        <f>M39/J39</f>
        <v>0.91911764705882393</v>
      </c>
      <c r="AC39" s="470">
        <f>AB46</f>
        <v>0.91689681860396111</v>
      </c>
    </row>
    <row r="40" spans="1:29" ht="15.75" customHeight="1">
      <c r="A40" s="485" t="s">
        <v>242</v>
      </c>
      <c r="B40" s="26" t="s">
        <v>24</v>
      </c>
      <c r="C40" s="487" t="s">
        <v>31</v>
      </c>
      <c r="D40" s="487"/>
      <c r="E40" s="26">
        <v>24.45</v>
      </c>
      <c r="F40" s="403">
        <v>2261</v>
      </c>
      <c r="G40" s="393">
        <f t="shared" si="49"/>
        <v>55281.45</v>
      </c>
      <c r="H40" s="76" t="s">
        <v>57</v>
      </c>
      <c r="I40" s="401">
        <v>20</v>
      </c>
      <c r="J40" s="18">
        <v>2400</v>
      </c>
      <c r="K40" s="9">
        <f t="shared" ref="K40:K54" si="54">J40/I40</f>
        <v>120</v>
      </c>
      <c r="L40" s="401">
        <v>20</v>
      </c>
      <c r="M40" s="10">
        <f t="shared" ref="M40:M45" si="55">F40/V40*60</f>
        <v>2223.9344262295085</v>
      </c>
      <c r="N40" s="9">
        <f t="shared" ref="N40:N45" si="56">M40/L40</f>
        <v>111.19672131147543</v>
      </c>
      <c r="O40" s="11">
        <f t="shared" si="50"/>
        <v>0</v>
      </c>
      <c r="P40" s="12">
        <f t="shared" si="51"/>
        <v>-8.8032786885245713</v>
      </c>
      <c r="Q40" s="395">
        <f t="shared" si="52"/>
        <v>0.92663934426229522</v>
      </c>
      <c r="R40" s="470"/>
      <c r="S40" s="24">
        <v>0.15138888888888888</v>
      </c>
      <c r="T40" s="24">
        <v>0.19374999999999998</v>
      </c>
      <c r="U40" s="393">
        <f>(S40-T39)*24*60</f>
        <v>30.000000000000014</v>
      </c>
      <c r="V40" s="402">
        <f t="shared" si="53"/>
        <v>60.999999999999986</v>
      </c>
      <c r="W40" s="393"/>
      <c r="X40" s="393"/>
      <c r="Y40" s="456"/>
      <c r="Z40" s="456"/>
      <c r="AA40" s="11">
        <f t="shared" si="2"/>
        <v>-176.06557377049148</v>
      </c>
      <c r="AB40" s="395">
        <f t="shared" ref="AB40:AB67" si="57">M40/J40</f>
        <v>0.92663934426229522</v>
      </c>
      <c r="AC40" s="470"/>
    </row>
    <row r="41" spans="1:29">
      <c r="A41" s="486" t="s">
        <v>242</v>
      </c>
      <c r="B41" s="26" t="s">
        <v>24</v>
      </c>
      <c r="C41" s="487" t="s">
        <v>32</v>
      </c>
      <c r="D41" s="487"/>
      <c r="E41" s="26">
        <v>26.2</v>
      </c>
      <c r="F41" s="403">
        <v>3111</v>
      </c>
      <c r="G41" s="393">
        <f t="shared" si="49"/>
        <v>81508.2</v>
      </c>
      <c r="H41" s="76" t="s">
        <v>57</v>
      </c>
      <c r="I41" s="401">
        <v>20</v>
      </c>
      <c r="J41" s="18">
        <v>2400</v>
      </c>
      <c r="K41" s="9">
        <f t="shared" si="54"/>
        <v>120</v>
      </c>
      <c r="L41" s="401">
        <v>20</v>
      </c>
      <c r="M41" s="10">
        <f t="shared" si="55"/>
        <v>2195.9999999999995</v>
      </c>
      <c r="N41" s="9">
        <f t="shared" si="56"/>
        <v>109.79999999999998</v>
      </c>
      <c r="O41" s="11">
        <f t="shared" si="50"/>
        <v>0</v>
      </c>
      <c r="P41" s="12">
        <f t="shared" si="51"/>
        <v>-10.200000000000017</v>
      </c>
      <c r="Q41" s="395">
        <f t="shared" si="52"/>
        <v>0.91499999999999981</v>
      </c>
      <c r="R41" s="470"/>
      <c r="S41" s="24">
        <v>0.19722222222222219</v>
      </c>
      <c r="T41" s="24">
        <v>0.25624999999999998</v>
      </c>
      <c r="U41" s="393">
        <f t="shared" ref="U41:U45" si="58">(S41-T40)*24*60</f>
        <v>4.9999999999999822</v>
      </c>
      <c r="V41" s="402">
        <f t="shared" si="53"/>
        <v>85.000000000000014</v>
      </c>
      <c r="W41" s="393"/>
      <c r="X41" s="393"/>
      <c r="Y41" s="456"/>
      <c r="Z41" s="456"/>
      <c r="AA41" s="11">
        <f t="shared" si="2"/>
        <v>-204.00000000000045</v>
      </c>
      <c r="AB41" s="395">
        <f t="shared" si="57"/>
        <v>0.91499999999999981</v>
      </c>
      <c r="AC41" s="470"/>
    </row>
    <row r="42" spans="1:29">
      <c r="A42" s="486" t="s">
        <v>242</v>
      </c>
      <c r="B42" s="26" t="s">
        <v>24</v>
      </c>
      <c r="C42" s="487" t="s">
        <v>30</v>
      </c>
      <c r="D42" s="487"/>
      <c r="E42" s="26">
        <v>26.39</v>
      </c>
      <c r="F42" s="403">
        <v>5036</v>
      </c>
      <c r="G42" s="393">
        <f t="shared" si="49"/>
        <v>132900.04</v>
      </c>
      <c r="H42" s="76" t="s">
        <v>57</v>
      </c>
      <c r="I42" s="401">
        <v>19</v>
      </c>
      <c r="J42" s="18">
        <v>2400</v>
      </c>
      <c r="K42" s="9">
        <f t="shared" si="54"/>
        <v>126.31578947368421</v>
      </c>
      <c r="L42" s="401">
        <v>19</v>
      </c>
      <c r="M42" s="10">
        <f t="shared" si="55"/>
        <v>2189.5652173913045</v>
      </c>
      <c r="N42" s="9">
        <f t="shared" si="56"/>
        <v>115.24027459954235</v>
      </c>
      <c r="O42" s="11">
        <f t="shared" si="50"/>
        <v>0</v>
      </c>
      <c r="P42" s="12">
        <f t="shared" si="51"/>
        <v>-11.075514874141859</v>
      </c>
      <c r="Q42" s="395">
        <f t="shared" si="52"/>
        <v>0.91231884057971024</v>
      </c>
      <c r="R42" s="470"/>
      <c r="S42" s="24">
        <v>0.26180555555555551</v>
      </c>
      <c r="T42" s="24">
        <v>0.35763888888888884</v>
      </c>
      <c r="U42" s="393">
        <f t="shared" si="58"/>
        <v>7.9999999999999716</v>
      </c>
      <c r="V42" s="402">
        <f t="shared" si="53"/>
        <v>138</v>
      </c>
      <c r="W42" s="14"/>
      <c r="X42" s="14"/>
      <c r="Y42" s="456"/>
      <c r="Z42" s="456"/>
      <c r="AA42" s="11">
        <f t="shared" si="2"/>
        <v>-210.43478260869551</v>
      </c>
      <c r="AB42" s="395">
        <f t="shared" si="57"/>
        <v>0.91231884057971024</v>
      </c>
      <c r="AC42" s="470"/>
    </row>
    <row r="43" spans="1:29">
      <c r="A43" s="486" t="s">
        <v>1621</v>
      </c>
      <c r="B43" s="26" t="s">
        <v>24</v>
      </c>
      <c r="C43" s="487" t="s">
        <v>27</v>
      </c>
      <c r="D43" s="487"/>
      <c r="E43" s="26">
        <v>20.52</v>
      </c>
      <c r="F43" s="403">
        <v>3067</v>
      </c>
      <c r="G43" s="393">
        <f t="shared" si="49"/>
        <v>62934.84</v>
      </c>
      <c r="H43" s="76" t="s">
        <v>57</v>
      </c>
      <c r="I43" s="401">
        <v>18</v>
      </c>
      <c r="J43" s="18">
        <v>2400</v>
      </c>
      <c r="K43" s="9">
        <f t="shared" si="54"/>
        <v>133.33333333333334</v>
      </c>
      <c r="L43" s="401">
        <v>18</v>
      </c>
      <c r="M43" s="10">
        <f t="shared" si="55"/>
        <v>2190.7142857142853</v>
      </c>
      <c r="N43" s="9">
        <f t="shared" si="56"/>
        <v>121.70634920634919</v>
      </c>
      <c r="O43" s="11">
        <f t="shared" si="50"/>
        <v>0</v>
      </c>
      <c r="P43" s="12">
        <f t="shared" si="51"/>
        <v>-11.626984126984155</v>
      </c>
      <c r="Q43" s="395">
        <f t="shared" si="52"/>
        <v>0.9127976190476188</v>
      </c>
      <c r="R43" s="470"/>
      <c r="S43" s="24">
        <v>0.36249999999999993</v>
      </c>
      <c r="T43" s="24">
        <v>0.42083333333333328</v>
      </c>
      <c r="U43" s="393">
        <f t="shared" si="58"/>
        <v>6.9999999999999751</v>
      </c>
      <c r="V43" s="402">
        <f t="shared" si="53"/>
        <v>84.000000000000028</v>
      </c>
      <c r="W43" s="14"/>
      <c r="X43" s="14"/>
      <c r="Y43" s="456"/>
      <c r="Z43" s="456"/>
      <c r="AA43" s="11">
        <f t="shared" si="2"/>
        <v>-209.28571428571468</v>
      </c>
      <c r="AB43" s="395">
        <f t="shared" si="57"/>
        <v>0.91279761904761891</v>
      </c>
      <c r="AC43" s="470"/>
    </row>
    <row r="44" spans="1:29">
      <c r="A44" s="486" t="s">
        <v>242</v>
      </c>
      <c r="B44" s="26" t="s">
        <v>24</v>
      </c>
      <c r="C44" s="487" t="s">
        <v>55</v>
      </c>
      <c r="D44" s="487"/>
      <c r="E44" s="26">
        <v>26.2</v>
      </c>
      <c r="F44" s="403">
        <v>4052</v>
      </c>
      <c r="G44" s="393">
        <f t="shared" si="49"/>
        <v>106162.4</v>
      </c>
      <c r="H44" s="76" t="s">
        <v>57</v>
      </c>
      <c r="I44" s="401">
        <v>19</v>
      </c>
      <c r="J44" s="18">
        <v>2400</v>
      </c>
      <c r="K44" s="9">
        <f t="shared" si="54"/>
        <v>126.31578947368421</v>
      </c>
      <c r="L44" s="401">
        <v>19</v>
      </c>
      <c r="M44" s="10">
        <f t="shared" si="55"/>
        <v>2190.2702702702718</v>
      </c>
      <c r="N44" s="9">
        <f t="shared" si="56"/>
        <v>115.27738264580378</v>
      </c>
      <c r="O44" s="11">
        <f t="shared" si="50"/>
        <v>0</v>
      </c>
      <c r="P44" s="12">
        <f t="shared" si="51"/>
        <v>-11.038406827880422</v>
      </c>
      <c r="Q44" s="395">
        <f t="shared" si="52"/>
        <v>0.91261261261261328</v>
      </c>
      <c r="R44" s="470"/>
      <c r="S44" s="24">
        <v>0.42499999999999993</v>
      </c>
      <c r="T44" s="24">
        <v>0.50208333333333321</v>
      </c>
      <c r="U44" s="393">
        <f t="shared" si="58"/>
        <v>5.9999999999999787</v>
      </c>
      <c r="V44" s="402">
        <f t="shared" si="53"/>
        <v>110.99999999999993</v>
      </c>
      <c r="W44" s="14"/>
      <c r="X44" s="14"/>
      <c r="Y44" s="456"/>
      <c r="Z44" s="456"/>
      <c r="AA44" s="11">
        <f t="shared" si="2"/>
        <v>-209.72972972972821</v>
      </c>
      <c r="AB44" s="395">
        <f t="shared" si="57"/>
        <v>0.91261261261261328</v>
      </c>
      <c r="AC44" s="470"/>
    </row>
    <row r="45" spans="1:29">
      <c r="A45" s="486" t="s">
        <v>242</v>
      </c>
      <c r="B45" s="26" t="s">
        <v>24</v>
      </c>
      <c r="C45" s="487" t="s">
        <v>29</v>
      </c>
      <c r="D45" s="487"/>
      <c r="E45" s="26">
        <v>26.2</v>
      </c>
      <c r="F45" s="403">
        <v>3532</v>
      </c>
      <c r="G45" s="393">
        <f t="shared" si="49"/>
        <v>92538.4</v>
      </c>
      <c r="H45" s="76" t="s">
        <v>57</v>
      </c>
      <c r="I45" s="401">
        <v>18</v>
      </c>
      <c r="J45" s="18">
        <v>2400</v>
      </c>
      <c r="K45" s="9">
        <f t="shared" si="54"/>
        <v>133.33333333333334</v>
      </c>
      <c r="L45" s="401">
        <v>18</v>
      </c>
      <c r="M45" s="10">
        <f t="shared" si="55"/>
        <v>2207.5000000000009</v>
      </c>
      <c r="N45" s="9">
        <f t="shared" si="56"/>
        <v>122.63888888888894</v>
      </c>
      <c r="O45" s="11">
        <f t="shared" si="50"/>
        <v>0</v>
      </c>
      <c r="P45" s="12">
        <f t="shared" si="51"/>
        <v>-10.6944444444444</v>
      </c>
      <c r="Q45" s="395">
        <f t="shared" si="52"/>
        <v>0.91979166666666701</v>
      </c>
      <c r="R45" s="470"/>
      <c r="S45" s="24">
        <v>0.54236111111111096</v>
      </c>
      <c r="T45" s="24">
        <v>0.60902777777777761</v>
      </c>
      <c r="U45" s="393">
        <f t="shared" si="58"/>
        <v>57.999999999999957</v>
      </c>
      <c r="V45" s="402">
        <f t="shared" si="53"/>
        <v>95.999999999999972</v>
      </c>
      <c r="W45" s="14"/>
      <c r="X45" s="14"/>
      <c r="Y45" s="473"/>
      <c r="Z45" s="474"/>
      <c r="AA45" s="11">
        <f t="shared" si="2"/>
        <v>-192.49999999999909</v>
      </c>
      <c r="AB45" s="395">
        <f t="shared" si="57"/>
        <v>0.91979166666666701</v>
      </c>
      <c r="AC45" s="470"/>
    </row>
    <row r="46" spans="1:29">
      <c r="A46" s="486" t="s">
        <v>242</v>
      </c>
      <c r="B46" s="16" t="s">
        <v>236</v>
      </c>
      <c r="C46" s="466"/>
      <c r="D46" s="466"/>
      <c r="E46" s="394"/>
      <c r="F46" s="16"/>
      <c r="G46" s="9"/>
      <c r="H46" s="403"/>
      <c r="I46" s="17">
        <v>18.857142857142858</v>
      </c>
      <c r="J46" s="18">
        <v>2400</v>
      </c>
      <c r="K46" s="9">
        <f t="shared" si="54"/>
        <v>127.27272727272727</v>
      </c>
      <c r="L46" s="17">
        <v>18.857142857142858</v>
      </c>
      <c r="M46" s="10">
        <f>AVERAGE(M39:M45)</f>
        <v>2200.5523646495067</v>
      </c>
      <c r="N46" s="9">
        <f>M46/L46</f>
        <v>116.69595873141323</v>
      </c>
      <c r="O46" s="11">
        <f>L46-I46</f>
        <v>0</v>
      </c>
      <c r="P46" s="12">
        <f t="shared" si="51"/>
        <v>-10.576768541314038</v>
      </c>
      <c r="Q46" s="395">
        <f t="shared" si="52"/>
        <v>0.91689681860396111</v>
      </c>
      <c r="R46" s="470"/>
      <c r="S46" s="24"/>
      <c r="T46" s="24"/>
      <c r="U46" s="9"/>
      <c r="V46" s="402"/>
      <c r="W46" s="9"/>
      <c r="X46" s="9"/>
      <c r="Y46" s="456"/>
      <c r="Z46" s="456"/>
      <c r="AA46" s="11">
        <f t="shared" si="2"/>
        <v>-199.44763535049333</v>
      </c>
      <c r="AB46" s="395">
        <f t="shared" si="57"/>
        <v>0.91689681860396111</v>
      </c>
      <c r="AC46" s="470"/>
    </row>
    <row r="47" spans="1:29" ht="15.75" customHeight="1">
      <c r="A47" s="488" t="s">
        <v>162</v>
      </c>
      <c r="B47" s="26" t="s">
        <v>33</v>
      </c>
      <c r="C47" s="491" t="s">
        <v>34</v>
      </c>
      <c r="D47" s="492"/>
      <c r="E47" s="26">
        <v>27.17</v>
      </c>
      <c r="F47" s="403">
        <v>2800</v>
      </c>
      <c r="G47" s="393">
        <f t="shared" ref="G47:G54" si="59">E47*F47</f>
        <v>76076</v>
      </c>
      <c r="H47" s="76">
        <v>2</v>
      </c>
      <c r="I47" s="401">
        <v>10</v>
      </c>
      <c r="J47" s="18">
        <v>3000</v>
      </c>
      <c r="K47" s="9">
        <f t="shared" si="54"/>
        <v>300</v>
      </c>
      <c r="L47" s="401">
        <v>10</v>
      </c>
      <c r="M47" s="10">
        <f t="shared" ref="M47:M48" si="60">F47/V47*60</f>
        <v>2754.0983606557384</v>
      </c>
      <c r="N47" s="10">
        <f t="shared" ref="N47:N55" si="61">M47/L47</f>
        <v>275.40983606557381</v>
      </c>
      <c r="O47" s="11">
        <f t="shared" ref="O47:O55" si="62">L47-I47</f>
        <v>0</v>
      </c>
      <c r="P47" s="12">
        <f t="shared" si="51"/>
        <v>-24.590163934426187</v>
      </c>
      <c r="Q47" s="395">
        <f t="shared" si="52"/>
        <v>0.91803278688524603</v>
      </c>
      <c r="R47" s="493">
        <f>Q55</f>
        <v>0.91791363412054205</v>
      </c>
      <c r="S47" s="24">
        <v>0.20833333333333334</v>
      </c>
      <c r="T47" s="24">
        <v>0.25069444444444444</v>
      </c>
      <c r="U47" s="15"/>
      <c r="V47" s="402">
        <f t="shared" ref="V47:V54" si="63">(T47-S47)*24*60</f>
        <v>60.999999999999986</v>
      </c>
      <c r="W47" s="393"/>
      <c r="X47" s="393"/>
      <c r="Y47" s="473"/>
      <c r="Z47" s="474"/>
      <c r="AA47" s="11">
        <f t="shared" si="2"/>
        <v>-245.90163934426164</v>
      </c>
      <c r="AB47" s="395">
        <f t="shared" si="57"/>
        <v>0.91803278688524614</v>
      </c>
      <c r="AC47" s="493">
        <f>AB55</f>
        <v>0.91791363412054205</v>
      </c>
    </row>
    <row r="48" spans="1:29" ht="15.75" customHeight="1">
      <c r="A48" s="489" t="s">
        <v>9</v>
      </c>
      <c r="B48" s="26" t="s">
        <v>33</v>
      </c>
      <c r="C48" s="491" t="s">
        <v>35</v>
      </c>
      <c r="D48" s="492"/>
      <c r="E48" s="26">
        <v>21.13</v>
      </c>
      <c r="F48" s="403">
        <v>3000</v>
      </c>
      <c r="G48" s="393">
        <f t="shared" si="59"/>
        <v>63390</v>
      </c>
      <c r="H48" s="76">
        <v>2</v>
      </c>
      <c r="I48" s="401">
        <v>10</v>
      </c>
      <c r="J48" s="18">
        <v>3000</v>
      </c>
      <c r="K48" s="9">
        <f t="shared" si="54"/>
        <v>300</v>
      </c>
      <c r="L48" s="401">
        <v>10</v>
      </c>
      <c r="M48" s="10">
        <f t="shared" si="60"/>
        <v>2769.2307692307686</v>
      </c>
      <c r="N48" s="10">
        <f t="shared" si="61"/>
        <v>276.92307692307685</v>
      </c>
      <c r="O48" s="11">
        <f t="shared" si="62"/>
        <v>0</v>
      </c>
      <c r="P48" s="12">
        <f t="shared" si="51"/>
        <v>-23.076923076923151</v>
      </c>
      <c r="Q48" s="395">
        <f t="shared" si="52"/>
        <v>0.9230769230769228</v>
      </c>
      <c r="R48" s="494"/>
      <c r="S48" s="24">
        <v>0.25416666666666665</v>
      </c>
      <c r="T48" s="24">
        <v>0.29930555555555555</v>
      </c>
      <c r="U48" s="393">
        <f>(S48-T47)*24*60</f>
        <v>4.9999999999999822</v>
      </c>
      <c r="V48" s="402">
        <f t="shared" si="63"/>
        <v>65.000000000000014</v>
      </c>
      <c r="W48" s="14"/>
      <c r="X48" s="14"/>
      <c r="Y48" s="473"/>
      <c r="Z48" s="474"/>
      <c r="AA48" s="11">
        <f t="shared" si="2"/>
        <v>-230.7692307692314</v>
      </c>
      <c r="AB48" s="395">
        <f t="shared" si="57"/>
        <v>0.92307692307692291</v>
      </c>
      <c r="AC48" s="494"/>
    </row>
    <row r="49" spans="1:29" ht="15.75" customHeight="1">
      <c r="A49" s="489" t="s">
        <v>9</v>
      </c>
      <c r="B49" s="26" t="s">
        <v>33</v>
      </c>
      <c r="C49" s="491" t="s">
        <v>43</v>
      </c>
      <c r="D49" s="492"/>
      <c r="E49" s="26">
        <v>35.119999999999997</v>
      </c>
      <c r="F49" s="403">
        <v>4690</v>
      </c>
      <c r="G49" s="393">
        <f t="shared" si="59"/>
        <v>164712.79999999999</v>
      </c>
      <c r="H49" s="76" t="s">
        <v>57</v>
      </c>
      <c r="I49" s="401">
        <v>10</v>
      </c>
      <c r="J49" s="18">
        <v>3000</v>
      </c>
      <c r="K49" s="9">
        <f t="shared" si="54"/>
        <v>300</v>
      </c>
      <c r="L49" s="401">
        <v>10</v>
      </c>
      <c r="M49" s="10">
        <f>F49/V49*60</f>
        <v>2732.0388349514556</v>
      </c>
      <c r="N49" s="10">
        <f t="shared" si="61"/>
        <v>273.20388349514553</v>
      </c>
      <c r="O49" s="11">
        <f t="shared" si="62"/>
        <v>0</v>
      </c>
      <c r="P49" s="12">
        <f t="shared" si="51"/>
        <v>-26.796116504854467</v>
      </c>
      <c r="Q49" s="395">
        <f t="shared" si="52"/>
        <v>0.91067961165048505</v>
      </c>
      <c r="R49" s="494"/>
      <c r="S49" s="24">
        <v>0.3034722222222222</v>
      </c>
      <c r="T49" s="24">
        <v>0.375</v>
      </c>
      <c r="U49" s="393">
        <f t="shared" ref="U49:U54" si="64">(S49-T48)*24*60</f>
        <v>5.9999999999999787</v>
      </c>
      <c r="V49" s="402">
        <f t="shared" si="63"/>
        <v>103.00000000000003</v>
      </c>
      <c r="W49" s="14"/>
      <c r="X49" s="14"/>
      <c r="Y49" s="473"/>
      <c r="Z49" s="474"/>
      <c r="AA49" s="11">
        <f t="shared" si="2"/>
        <v>-267.96116504854444</v>
      </c>
      <c r="AB49" s="395">
        <f t="shared" si="57"/>
        <v>0.91067961165048517</v>
      </c>
      <c r="AC49" s="494"/>
    </row>
    <row r="50" spans="1:29" ht="15.75" customHeight="1">
      <c r="A50" s="489" t="s">
        <v>9</v>
      </c>
      <c r="B50" s="26" t="s">
        <v>33</v>
      </c>
      <c r="C50" s="491" t="s">
        <v>67</v>
      </c>
      <c r="D50" s="492"/>
      <c r="E50" s="26">
        <v>40.18</v>
      </c>
      <c r="F50" s="403">
        <v>2270</v>
      </c>
      <c r="G50" s="393">
        <f t="shared" si="59"/>
        <v>91208.6</v>
      </c>
      <c r="H50" s="76" t="s">
        <v>57</v>
      </c>
      <c r="I50" s="401">
        <v>10</v>
      </c>
      <c r="J50" s="18">
        <v>3000</v>
      </c>
      <c r="K50" s="9">
        <f t="shared" si="54"/>
        <v>300</v>
      </c>
      <c r="L50" s="401">
        <v>10</v>
      </c>
      <c r="M50" s="10">
        <f t="shared" ref="M50:M54" si="65">F50/V50*60</f>
        <v>2779.5918367346944</v>
      </c>
      <c r="N50" s="10">
        <f t="shared" si="61"/>
        <v>277.95918367346945</v>
      </c>
      <c r="O50" s="11">
        <f t="shared" si="62"/>
        <v>0</v>
      </c>
      <c r="P50" s="12">
        <f t="shared" si="51"/>
        <v>-22.040816326530546</v>
      </c>
      <c r="Q50" s="395">
        <f t="shared" si="52"/>
        <v>0.92653061224489819</v>
      </c>
      <c r="R50" s="494"/>
      <c r="S50" s="24">
        <v>0.37847222222222221</v>
      </c>
      <c r="T50" s="24">
        <v>0.41249999999999998</v>
      </c>
      <c r="U50" s="393">
        <f t="shared" si="64"/>
        <v>4.9999999999999822</v>
      </c>
      <c r="V50" s="402">
        <f t="shared" si="63"/>
        <v>48.999999999999986</v>
      </c>
      <c r="W50" s="14"/>
      <c r="X50" s="14"/>
      <c r="Y50" s="473"/>
      <c r="Z50" s="474"/>
      <c r="AA50" s="11">
        <f t="shared" si="2"/>
        <v>-220.40816326530557</v>
      </c>
      <c r="AB50" s="395">
        <f t="shared" si="57"/>
        <v>0.92653061224489819</v>
      </c>
      <c r="AC50" s="494"/>
    </row>
    <row r="51" spans="1:29" ht="15.75" customHeight="1">
      <c r="A51" s="489" t="s">
        <v>9</v>
      </c>
      <c r="B51" s="26" t="s">
        <v>33</v>
      </c>
      <c r="C51" s="491" t="s">
        <v>73</v>
      </c>
      <c r="D51" s="492"/>
      <c r="E51" s="26">
        <v>28.5</v>
      </c>
      <c r="F51" s="403">
        <v>1550</v>
      </c>
      <c r="G51" s="393">
        <f t="shared" si="59"/>
        <v>44175</v>
      </c>
      <c r="H51" s="76" t="s">
        <v>57</v>
      </c>
      <c r="I51" s="401">
        <v>10</v>
      </c>
      <c r="J51" s="18">
        <v>3000</v>
      </c>
      <c r="K51" s="9">
        <f t="shared" si="54"/>
        <v>300</v>
      </c>
      <c r="L51" s="401">
        <v>10</v>
      </c>
      <c r="M51" s="10">
        <f t="shared" si="65"/>
        <v>2735.2941176470554</v>
      </c>
      <c r="N51" s="10">
        <f t="shared" si="61"/>
        <v>273.52941176470551</v>
      </c>
      <c r="O51" s="11">
        <f t="shared" si="62"/>
        <v>0</v>
      </c>
      <c r="P51" s="12">
        <f t="shared" si="51"/>
        <v>-26.470588235294485</v>
      </c>
      <c r="Q51" s="395">
        <f>N51/K51</f>
        <v>0.9117647058823517</v>
      </c>
      <c r="R51" s="494"/>
      <c r="S51" s="24">
        <v>0.41736111111111107</v>
      </c>
      <c r="T51" s="24">
        <v>0.44097222222222221</v>
      </c>
      <c r="U51" s="393">
        <f t="shared" si="64"/>
        <v>6.9999999999999751</v>
      </c>
      <c r="V51" s="402">
        <f t="shared" si="63"/>
        <v>34.000000000000043</v>
      </c>
      <c r="W51" s="14"/>
      <c r="X51" s="14"/>
      <c r="Y51" s="473"/>
      <c r="Z51" s="474"/>
      <c r="AA51" s="11">
        <f t="shared" si="2"/>
        <v>-264.70588235294463</v>
      </c>
      <c r="AB51" s="395">
        <f t="shared" si="57"/>
        <v>0.91176470588235181</v>
      </c>
      <c r="AC51" s="494"/>
    </row>
    <row r="52" spans="1:29" ht="15.75" customHeight="1">
      <c r="A52" s="489" t="s">
        <v>9</v>
      </c>
      <c r="B52" s="26" t="s">
        <v>33</v>
      </c>
      <c r="C52" s="491" t="s">
        <v>511</v>
      </c>
      <c r="D52" s="492"/>
      <c r="E52" s="26">
        <v>35.869999999999997</v>
      </c>
      <c r="F52" s="403">
        <v>3581</v>
      </c>
      <c r="G52" s="393">
        <f t="shared" si="59"/>
        <v>128450.46999999999</v>
      </c>
      <c r="H52" s="76" t="s">
        <v>57</v>
      </c>
      <c r="I52" s="401">
        <v>10</v>
      </c>
      <c r="J52" s="18">
        <v>3000</v>
      </c>
      <c r="K52" s="9">
        <f t="shared" si="54"/>
        <v>300</v>
      </c>
      <c r="L52" s="401">
        <v>10</v>
      </c>
      <c r="M52" s="10">
        <f t="shared" si="65"/>
        <v>2754.6153846153834</v>
      </c>
      <c r="N52" s="10">
        <f t="shared" si="61"/>
        <v>275.46153846153834</v>
      </c>
      <c r="O52" s="11">
        <f t="shared" si="62"/>
        <v>0</v>
      </c>
      <c r="P52" s="12">
        <f t="shared" si="51"/>
        <v>-24.538461538461661</v>
      </c>
      <c r="Q52" s="395">
        <f t="shared" ref="Q52:Q55" si="66">N52/K52</f>
        <v>0.91820512820512779</v>
      </c>
      <c r="R52" s="494"/>
      <c r="S52" s="24">
        <v>0.4458333333333333</v>
      </c>
      <c r="T52" s="24">
        <v>0.5</v>
      </c>
      <c r="U52" s="393">
        <f t="shared" si="64"/>
        <v>6.9999999999999751</v>
      </c>
      <c r="V52" s="402">
        <f t="shared" si="63"/>
        <v>78.000000000000043</v>
      </c>
      <c r="W52" s="14"/>
      <c r="X52" s="14"/>
      <c r="Y52" s="473"/>
      <c r="Z52" s="474"/>
      <c r="AA52" s="11">
        <f t="shared" si="2"/>
        <v>-245.38461538461661</v>
      </c>
      <c r="AB52" s="395">
        <f t="shared" si="57"/>
        <v>0.91820512820512779</v>
      </c>
      <c r="AC52" s="494"/>
    </row>
    <row r="53" spans="1:29" ht="15.75" customHeight="1">
      <c r="A53" s="489" t="s">
        <v>9</v>
      </c>
      <c r="B53" s="26" t="s">
        <v>33</v>
      </c>
      <c r="C53" s="491" t="s">
        <v>34</v>
      </c>
      <c r="D53" s="492"/>
      <c r="E53" s="26">
        <v>27.17</v>
      </c>
      <c r="F53" s="403">
        <v>3375</v>
      </c>
      <c r="G53" s="393">
        <f t="shared" si="59"/>
        <v>91698.75</v>
      </c>
      <c r="H53" s="76" t="s">
        <v>57</v>
      </c>
      <c r="I53" s="401">
        <v>10</v>
      </c>
      <c r="J53" s="18">
        <v>3000</v>
      </c>
      <c r="K53" s="9">
        <f t="shared" si="54"/>
        <v>300</v>
      </c>
      <c r="L53" s="401">
        <v>10</v>
      </c>
      <c r="M53" s="10">
        <f t="shared" si="65"/>
        <v>2736.486486486484</v>
      </c>
      <c r="N53" s="10">
        <f t="shared" si="61"/>
        <v>273.64864864864842</v>
      </c>
      <c r="O53" s="11">
        <f t="shared" si="62"/>
        <v>0</v>
      </c>
      <c r="P53" s="12">
        <f t="shared" si="51"/>
        <v>-26.351351351351582</v>
      </c>
      <c r="Q53" s="395">
        <f t="shared" si="66"/>
        <v>0.91216216216216139</v>
      </c>
      <c r="R53" s="494"/>
      <c r="S53" s="24">
        <v>0.54097222222222219</v>
      </c>
      <c r="T53" s="24">
        <v>0.59236111111111112</v>
      </c>
      <c r="U53" s="393">
        <f t="shared" si="64"/>
        <v>58.99999999999995</v>
      </c>
      <c r="V53" s="402">
        <f t="shared" si="63"/>
        <v>74.000000000000057</v>
      </c>
      <c r="W53" s="14"/>
      <c r="X53" s="14"/>
      <c r="Y53" s="473"/>
      <c r="Z53" s="474"/>
      <c r="AA53" s="11">
        <f t="shared" si="2"/>
        <v>-263.51351351351605</v>
      </c>
      <c r="AB53" s="395">
        <f t="shared" si="57"/>
        <v>0.91216216216216128</v>
      </c>
      <c r="AC53" s="494"/>
    </row>
    <row r="54" spans="1:29" ht="15.75" customHeight="1">
      <c r="A54" s="489" t="s">
        <v>9</v>
      </c>
      <c r="B54" s="26" t="s">
        <v>33</v>
      </c>
      <c r="C54" s="491" t="s">
        <v>35</v>
      </c>
      <c r="D54" s="492"/>
      <c r="E54" s="26">
        <v>21.13</v>
      </c>
      <c r="F54" s="403">
        <v>1938</v>
      </c>
      <c r="G54" s="393">
        <f t="shared" si="59"/>
        <v>40949.939999999995</v>
      </c>
      <c r="H54" s="76" t="s">
        <v>57</v>
      </c>
      <c r="I54" s="401">
        <v>10</v>
      </c>
      <c r="J54" s="18">
        <v>3000</v>
      </c>
      <c r="K54" s="9">
        <f t="shared" si="54"/>
        <v>300</v>
      </c>
      <c r="L54" s="401">
        <v>10</v>
      </c>
      <c r="M54" s="10">
        <f t="shared" si="65"/>
        <v>2768.5714285714275</v>
      </c>
      <c r="N54" s="10">
        <f t="shared" si="61"/>
        <v>276.85714285714278</v>
      </c>
      <c r="O54" s="11">
        <f t="shared" si="62"/>
        <v>0</v>
      </c>
      <c r="P54" s="12">
        <f t="shared" si="51"/>
        <v>-23.142857142857224</v>
      </c>
      <c r="Q54" s="395">
        <f t="shared" si="66"/>
        <v>0.9228571428571426</v>
      </c>
      <c r="R54" s="494"/>
      <c r="S54" s="24">
        <v>0.59583333333333333</v>
      </c>
      <c r="T54" s="24">
        <v>0.625</v>
      </c>
      <c r="U54" s="393">
        <f t="shared" si="64"/>
        <v>4.9999999999999822</v>
      </c>
      <c r="V54" s="402">
        <f t="shared" si="63"/>
        <v>42.000000000000014</v>
      </c>
      <c r="W54" s="14"/>
      <c r="X54" s="14"/>
      <c r="Y54" s="473"/>
      <c r="Z54" s="474"/>
      <c r="AA54" s="11">
        <f t="shared" si="2"/>
        <v>-231.42857142857247</v>
      </c>
      <c r="AB54" s="395">
        <f t="shared" si="57"/>
        <v>0.92285714285714249</v>
      </c>
      <c r="AC54" s="494"/>
    </row>
    <row r="55" spans="1:29" ht="15.75" customHeight="1">
      <c r="A55" s="490" t="s">
        <v>9</v>
      </c>
      <c r="B55" s="26" t="s">
        <v>236</v>
      </c>
      <c r="C55" s="497"/>
      <c r="D55" s="498"/>
      <c r="E55" s="400"/>
      <c r="F55" s="403"/>
      <c r="G55" s="393"/>
      <c r="H55" s="403"/>
      <c r="I55" s="17">
        <v>10</v>
      </c>
      <c r="J55" s="18">
        <v>3000</v>
      </c>
      <c r="K55" s="9">
        <f>J55/I55</f>
        <v>300</v>
      </c>
      <c r="L55" s="17">
        <v>10</v>
      </c>
      <c r="M55" s="10">
        <f>AVERAGE(M47:M54)</f>
        <v>2753.740902361626</v>
      </c>
      <c r="N55" s="9">
        <f t="shared" si="61"/>
        <v>275.3740902361626</v>
      </c>
      <c r="O55" s="11">
        <f t="shared" si="62"/>
        <v>0</v>
      </c>
      <c r="P55" s="12">
        <f t="shared" si="51"/>
        <v>-24.625909763837399</v>
      </c>
      <c r="Q55" s="395">
        <f t="shared" si="66"/>
        <v>0.91791363412054205</v>
      </c>
      <c r="R55" s="495"/>
      <c r="S55" s="24"/>
      <c r="T55" s="24"/>
      <c r="U55" s="393"/>
      <c r="V55" s="402"/>
      <c r="W55" s="14"/>
      <c r="X55" s="14"/>
      <c r="Y55" s="473"/>
      <c r="Z55" s="474"/>
      <c r="AA55" s="11">
        <f t="shared" si="2"/>
        <v>-246.25909763837399</v>
      </c>
      <c r="AB55" s="395">
        <f t="shared" si="57"/>
        <v>0.91791363412054205</v>
      </c>
      <c r="AC55" s="495"/>
    </row>
    <row r="56" spans="1:29" ht="15.75" customHeight="1">
      <c r="A56" s="461" t="s">
        <v>125</v>
      </c>
      <c r="B56" s="26" t="s">
        <v>15</v>
      </c>
      <c r="C56" s="487" t="s">
        <v>20</v>
      </c>
      <c r="D56" s="487"/>
      <c r="E56" s="26">
        <v>46</v>
      </c>
      <c r="F56" s="27">
        <v>3043</v>
      </c>
      <c r="G56" s="393">
        <f t="shared" ref="G56:G59" si="67">E56*F56</f>
        <v>139978</v>
      </c>
      <c r="H56" s="76" t="s">
        <v>57</v>
      </c>
      <c r="I56" s="401">
        <v>17</v>
      </c>
      <c r="J56" s="18">
        <v>1500</v>
      </c>
      <c r="K56" s="9">
        <f t="shared" ref="K56:K59" si="68">J56/I56</f>
        <v>88.235294117647058</v>
      </c>
      <c r="L56" s="401">
        <v>17</v>
      </c>
      <c r="M56" s="10">
        <f t="shared" ref="M56:M59" si="69">F56/V56*60</f>
        <v>1372.781954887218</v>
      </c>
      <c r="N56" s="10">
        <f>M56/L56</f>
        <v>80.751879699248121</v>
      </c>
      <c r="O56" s="11">
        <f>L56-I56</f>
        <v>0</v>
      </c>
      <c r="P56" s="12">
        <f>N56-K56</f>
        <v>-7.4834144183989366</v>
      </c>
      <c r="Q56" s="395">
        <f>N56/K56</f>
        <v>0.91518796992481211</v>
      </c>
      <c r="R56" s="470">
        <f>Q60</f>
        <v>0.91771790303132728</v>
      </c>
      <c r="S56" s="24">
        <v>0.29166666666666669</v>
      </c>
      <c r="T56" s="24">
        <v>0.3840277777777778</v>
      </c>
      <c r="U56" s="15"/>
      <c r="V56" s="402">
        <f t="shared" ref="V56:V59" si="70">(T56-S56)*24*60</f>
        <v>133</v>
      </c>
      <c r="W56" s="15"/>
      <c r="X56" s="15"/>
      <c r="Y56" s="456"/>
      <c r="Z56" s="456"/>
      <c r="AA56" s="11">
        <f t="shared" si="2"/>
        <v>-127.21804511278197</v>
      </c>
      <c r="AB56" s="395">
        <f t="shared" si="57"/>
        <v>0.91518796992481199</v>
      </c>
      <c r="AC56" s="470">
        <f>AB60</f>
        <v>0.91771790303132728</v>
      </c>
    </row>
    <row r="57" spans="1:29" ht="15.75" customHeight="1">
      <c r="A57" s="461" t="s">
        <v>10</v>
      </c>
      <c r="B57" s="26" t="s">
        <v>15</v>
      </c>
      <c r="C57" s="487" t="s">
        <v>75</v>
      </c>
      <c r="D57" s="487"/>
      <c r="E57" s="26">
        <v>46</v>
      </c>
      <c r="F57" s="27">
        <v>3537</v>
      </c>
      <c r="G57" s="393">
        <f t="shared" si="67"/>
        <v>162702</v>
      </c>
      <c r="H57" s="76" t="s">
        <v>57</v>
      </c>
      <c r="I57" s="401">
        <v>18</v>
      </c>
      <c r="J57" s="18">
        <v>1500</v>
      </c>
      <c r="K57" s="9">
        <f t="shared" si="68"/>
        <v>83.333333333333329</v>
      </c>
      <c r="L57" s="401">
        <v>18</v>
      </c>
      <c r="M57" s="10">
        <f t="shared" si="69"/>
        <v>1378.0519480519481</v>
      </c>
      <c r="N57" s="10">
        <f t="shared" ref="N57:N59" si="71">M57/L57</f>
        <v>76.558441558441558</v>
      </c>
      <c r="O57" s="11">
        <f t="shared" ref="O57:O59" si="72">L57-I57</f>
        <v>0</v>
      </c>
      <c r="P57" s="12">
        <f t="shared" ref="P57:P59" si="73">N57-K57</f>
        <v>-6.7748917748917705</v>
      </c>
      <c r="Q57" s="395">
        <f t="shared" ref="Q57:Q59" si="74">N57/K57</f>
        <v>0.9187012987012988</v>
      </c>
      <c r="R57" s="470"/>
      <c r="S57" s="24">
        <v>0.38750000000000001</v>
      </c>
      <c r="T57" s="24">
        <v>0.49444444444444446</v>
      </c>
      <c r="U57" s="393">
        <f t="shared" ref="U57:U59" si="75">(S57-T56)*24*60</f>
        <v>4.9999999999999822</v>
      </c>
      <c r="V57" s="402">
        <f t="shared" si="70"/>
        <v>154</v>
      </c>
      <c r="W57" s="14"/>
      <c r="X57" s="14"/>
      <c r="Y57" s="456"/>
      <c r="Z57" s="456"/>
      <c r="AA57" s="11">
        <f t="shared" si="2"/>
        <v>-121.9480519480519</v>
      </c>
      <c r="AB57" s="395">
        <f t="shared" si="57"/>
        <v>0.91870129870129869</v>
      </c>
      <c r="AC57" s="470"/>
    </row>
    <row r="58" spans="1:29" ht="15.75" customHeight="1">
      <c r="A58" s="461" t="s">
        <v>10</v>
      </c>
      <c r="B58" s="26" t="s">
        <v>13</v>
      </c>
      <c r="C58" s="491" t="s">
        <v>65</v>
      </c>
      <c r="D58" s="492"/>
      <c r="E58" s="26">
        <v>55.56</v>
      </c>
      <c r="F58" s="27">
        <v>2053</v>
      </c>
      <c r="G58" s="393">
        <f t="shared" si="67"/>
        <v>114064.68000000001</v>
      </c>
      <c r="H58" s="76" t="s">
        <v>57</v>
      </c>
      <c r="I58" s="401">
        <v>17</v>
      </c>
      <c r="J58" s="18">
        <v>1500</v>
      </c>
      <c r="K58" s="9">
        <f t="shared" si="68"/>
        <v>88.235294117647058</v>
      </c>
      <c r="L58" s="401">
        <v>17</v>
      </c>
      <c r="M58" s="10">
        <f t="shared" si="69"/>
        <v>1384.0449438202247</v>
      </c>
      <c r="N58" s="10">
        <f t="shared" si="71"/>
        <v>81.41440846001322</v>
      </c>
      <c r="O58" s="11">
        <f t="shared" si="72"/>
        <v>0</v>
      </c>
      <c r="P58" s="12">
        <f t="shared" si="73"/>
        <v>-6.8208856576338377</v>
      </c>
      <c r="Q58" s="395">
        <f t="shared" si="74"/>
        <v>0.92269662921348317</v>
      </c>
      <c r="R58" s="470"/>
      <c r="S58" s="24">
        <v>0.70833333333333337</v>
      </c>
      <c r="T58" s="24">
        <v>0.77013888888888893</v>
      </c>
      <c r="U58" s="393">
        <f t="shared" si="75"/>
        <v>308</v>
      </c>
      <c r="V58" s="402">
        <f t="shared" si="70"/>
        <v>89</v>
      </c>
      <c r="W58" s="14"/>
      <c r="X58" s="14"/>
      <c r="Y58" s="398"/>
      <c r="Z58" s="399"/>
      <c r="AA58" s="11">
        <f t="shared" si="2"/>
        <v>-115.95505617977528</v>
      </c>
      <c r="AB58" s="395">
        <f t="shared" si="57"/>
        <v>0.92269662921348317</v>
      </c>
      <c r="AC58" s="470"/>
    </row>
    <row r="59" spans="1:29" ht="15.75" customHeight="1">
      <c r="A59" s="461" t="s">
        <v>10</v>
      </c>
      <c r="B59" s="26" t="s">
        <v>13</v>
      </c>
      <c r="C59" s="396" t="s">
        <v>64</v>
      </c>
      <c r="D59" s="397"/>
      <c r="E59" s="26">
        <v>55.32</v>
      </c>
      <c r="F59" s="27">
        <v>1440</v>
      </c>
      <c r="G59" s="393">
        <f t="shared" si="67"/>
        <v>79660.800000000003</v>
      </c>
      <c r="H59" s="76" t="s">
        <v>57</v>
      </c>
      <c r="I59" s="401">
        <v>15</v>
      </c>
      <c r="J59" s="18">
        <v>1500</v>
      </c>
      <c r="K59" s="9">
        <f t="shared" si="68"/>
        <v>100</v>
      </c>
      <c r="L59" s="401">
        <v>15</v>
      </c>
      <c r="M59" s="10">
        <f t="shared" si="69"/>
        <v>1371.4285714285727</v>
      </c>
      <c r="N59" s="10">
        <f t="shared" si="71"/>
        <v>91.428571428571516</v>
      </c>
      <c r="O59" s="11">
        <f t="shared" si="72"/>
        <v>0</v>
      </c>
      <c r="P59" s="12">
        <f t="shared" si="73"/>
        <v>-8.5714285714284841</v>
      </c>
      <c r="Q59" s="395">
        <f t="shared" si="74"/>
        <v>0.91428571428571515</v>
      </c>
      <c r="R59" s="470"/>
      <c r="S59" s="24">
        <v>0.77361111111111114</v>
      </c>
      <c r="T59" s="24">
        <v>0.81736111111111109</v>
      </c>
      <c r="U59" s="393">
        <f t="shared" si="75"/>
        <v>4.9999999999999822</v>
      </c>
      <c r="V59" s="402">
        <f t="shared" si="70"/>
        <v>62.999999999999936</v>
      </c>
      <c r="W59" s="14"/>
      <c r="X59" s="14"/>
      <c r="Y59" s="398"/>
      <c r="Z59" s="399"/>
      <c r="AA59" s="11">
        <f t="shared" si="2"/>
        <v>-128.5714285714273</v>
      </c>
      <c r="AB59" s="395">
        <f t="shared" si="57"/>
        <v>0.91428571428571515</v>
      </c>
      <c r="AC59" s="470"/>
    </row>
    <row r="60" spans="1:29">
      <c r="A60" s="496" t="s">
        <v>10</v>
      </c>
      <c r="B60" s="26" t="s">
        <v>236</v>
      </c>
      <c r="C60" s="466"/>
      <c r="D60" s="466"/>
      <c r="E60" s="394"/>
      <c r="F60" s="16"/>
      <c r="G60" s="9"/>
      <c r="H60" s="403"/>
      <c r="I60" s="17">
        <v>16.75</v>
      </c>
      <c r="J60" s="18">
        <v>1500</v>
      </c>
      <c r="K60" s="9">
        <f>J60/I60</f>
        <v>89.552238805970148</v>
      </c>
      <c r="L60" s="17">
        <v>16.75</v>
      </c>
      <c r="M60" s="10">
        <f>AVERAGE(M56:M59)</f>
        <v>1376.5768545469909</v>
      </c>
      <c r="N60" s="9">
        <f>M60/L60</f>
        <v>82.183692808775575</v>
      </c>
      <c r="O60" s="11">
        <f>L60-I60</f>
        <v>0</v>
      </c>
      <c r="P60" s="12">
        <f>N60-K60</f>
        <v>-7.3685459971945733</v>
      </c>
      <c r="Q60" s="395">
        <f>N60/K60</f>
        <v>0.91771790303132728</v>
      </c>
      <c r="R60" s="470"/>
      <c r="S60" s="25"/>
      <c r="T60" s="24"/>
      <c r="U60" s="9"/>
      <c r="V60" s="402"/>
      <c r="W60" s="9"/>
      <c r="X60" s="9"/>
      <c r="Y60" s="456"/>
      <c r="Z60" s="456"/>
      <c r="AA60" s="11">
        <f t="shared" si="2"/>
        <v>-123.42314545300906</v>
      </c>
      <c r="AB60" s="395">
        <f t="shared" si="57"/>
        <v>0.91771790303132728</v>
      </c>
      <c r="AC60" s="470"/>
    </row>
    <row r="61" spans="1:29" ht="15.75" customHeight="1">
      <c r="A61" s="499" t="s">
        <v>246</v>
      </c>
      <c r="B61" s="403" t="s">
        <v>33</v>
      </c>
      <c r="C61" s="487" t="s">
        <v>36</v>
      </c>
      <c r="D61" s="487"/>
      <c r="E61" s="26">
        <v>26.78</v>
      </c>
      <c r="F61" s="27">
        <v>2655</v>
      </c>
      <c r="G61" s="393">
        <f t="shared" ref="G61:G66" si="76">E61*F61</f>
        <v>71100.900000000009</v>
      </c>
      <c r="H61" s="76" t="s">
        <v>57</v>
      </c>
      <c r="I61" s="401">
        <v>10</v>
      </c>
      <c r="J61" s="18">
        <v>3000</v>
      </c>
      <c r="K61" s="9">
        <f t="shared" ref="K61:K66" si="77">J61/I61</f>
        <v>300</v>
      </c>
      <c r="L61" s="17">
        <v>10</v>
      </c>
      <c r="M61" s="10">
        <f t="shared" ref="M61:M66" si="78">F61/V61*60</f>
        <v>2746.5517241379312</v>
      </c>
      <c r="N61" s="9">
        <f>M61/L61</f>
        <v>274.65517241379314</v>
      </c>
      <c r="O61" s="11">
        <f t="shared" ref="O61:O66" si="79">L61-I61</f>
        <v>0</v>
      </c>
      <c r="P61" s="12">
        <f t="shared" ref="P61:P66" si="80">N61-K61</f>
        <v>-25.344827586206861</v>
      </c>
      <c r="Q61" s="395">
        <f>N61/K61</f>
        <v>0.91551724137931045</v>
      </c>
      <c r="R61" s="470">
        <f>Q67</f>
        <v>0.92041014398239251</v>
      </c>
      <c r="S61" s="24">
        <v>0.20833333333333334</v>
      </c>
      <c r="T61" s="24">
        <v>0.24861111111111112</v>
      </c>
      <c r="U61" s="393"/>
      <c r="V61" s="402">
        <f t="shared" ref="V61:V66" si="81">(T61-S61)*24*60</f>
        <v>57.999999999999993</v>
      </c>
      <c r="W61" s="15"/>
      <c r="X61" s="15"/>
      <c r="Y61" s="456"/>
      <c r="Z61" s="456"/>
      <c r="AA61" s="11">
        <f t="shared" si="2"/>
        <v>-253.44827586206884</v>
      </c>
      <c r="AB61" s="395">
        <f t="shared" si="57"/>
        <v>0.91551724137931034</v>
      </c>
      <c r="AC61" s="470">
        <f>AB67</f>
        <v>0.92041014398239251</v>
      </c>
    </row>
    <row r="62" spans="1:29" ht="15.75" customHeight="1">
      <c r="A62" s="499" t="s">
        <v>11</v>
      </c>
      <c r="B62" s="403" t="s">
        <v>33</v>
      </c>
      <c r="C62" s="487" t="s">
        <v>42</v>
      </c>
      <c r="D62" s="487"/>
      <c r="E62" s="26">
        <v>35.369999999999997</v>
      </c>
      <c r="F62" s="27">
        <v>1686</v>
      </c>
      <c r="G62" s="393">
        <f t="shared" si="76"/>
        <v>59633.819999999992</v>
      </c>
      <c r="H62" s="76" t="s">
        <v>57</v>
      </c>
      <c r="I62" s="401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2734.0540540540519</v>
      </c>
      <c r="N62" s="9">
        <f t="shared" ref="N62:N66" si="82">M62/L62</f>
        <v>273.40540540540519</v>
      </c>
      <c r="O62" s="11">
        <f t="shared" si="79"/>
        <v>0</v>
      </c>
      <c r="P62" s="12">
        <f t="shared" si="80"/>
        <v>-26.59459459459481</v>
      </c>
      <c r="Q62" s="395">
        <f t="shared" ref="Q62:Q66" si="83">N62/K62</f>
        <v>0.91135135135135059</v>
      </c>
      <c r="R62" s="470"/>
      <c r="S62" s="24">
        <v>0.25416666666666665</v>
      </c>
      <c r="T62" s="24">
        <v>0.27986111111111112</v>
      </c>
      <c r="U62" s="393">
        <f>(S62-T61)*24*60</f>
        <v>7.9999999999999716</v>
      </c>
      <c r="V62" s="402">
        <f t="shared" si="81"/>
        <v>37.000000000000028</v>
      </c>
      <c r="W62" s="393"/>
      <c r="X62" s="393"/>
      <c r="Y62" s="456"/>
      <c r="Z62" s="456"/>
      <c r="AA62" s="11">
        <f t="shared" si="2"/>
        <v>-265.9459459459481</v>
      </c>
      <c r="AB62" s="395">
        <f t="shared" si="57"/>
        <v>0.91135135135135059</v>
      </c>
      <c r="AC62" s="470"/>
    </row>
    <row r="63" spans="1:29" ht="15.75" customHeight="1">
      <c r="A63" s="499" t="s">
        <v>11</v>
      </c>
      <c r="B63" s="403" t="s">
        <v>33</v>
      </c>
      <c r="C63" s="487" t="s">
        <v>41</v>
      </c>
      <c r="D63" s="487"/>
      <c r="E63" s="26">
        <v>34.35</v>
      </c>
      <c r="F63" s="27">
        <v>1456</v>
      </c>
      <c r="G63" s="393">
        <f t="shared" si="76"/>
        <v>50013.599999999999</v>
      </c>
      <c r="H63" s="76" t="s">
        <v>57</v>
      </c>
      <c r="I63" s="401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2818.0645161290349</v>
      </c>
      <c r="N63" s="9">
        <f t="shared" si="82"/>
        <v>281.80645161290352</v>
      </c>
      <c r="O63" s="11">
        <f t="shared" si="79"/>
        <v>0</v>
      </c>
      <c r="P63" s="12">
        <f t="shared" si="80"/>
        <v>-18.193548387096484</v>
      </c>
      <c r="Q63" s="395">
        <f t="shared" si="83"/>
        <v>0.9393548387096784</v>
      </c>
      <c r="R63" s="470"/>
      <c r="S63" s="24">
        <v>0.28472222222222221</v>
      </c>
      <c r="T63" s="24">
        <v>0.30624999999999997</v>
      </c>
      <c r="U63" s="393">
        <f t="shared" ref="U63:U66" si="84">(S63-T62)*24*60</f>
        <v>6.9999999999999751</v>
      </c>
      <c r="V63" s="402">
        <f t="shared" si="81"/>
        <v>30.999999999999972</v>
      </c>
      <c r="W63" s="393"/>
      <c r="X63" s="393"/>
      <c r="Y63" s="456"/>
      <c r="Z63" s="456"/>
      <c r="AA63" s="11">
        <f t="shared" si="2"/>
        <v>-181.93548387096507</v>
      </c>
      <c r="AB63" s="395">
        <f t="shared" si="57"/>
        <v>0.93935483870967829</v>
      </c>
      <c r="AC63" s="470"/>
    </row>
    <row r="64" spans="1:29" ht="15.75" customHeight="1">
      <c r="A64" s="499" t="s">
        <v>11</v>
      </c>
      <c r="B64" s="403" t="s">
        <v>15</v>
      </c>
      <c r="C64" s="487" t="s">
        <v>39</v>
      </c>
      <c r="D64" s="487"/>
      <c r="E64" s="26">
        <v>26.97</v>
      </c>
      <c r="F64" s="27">
        <v>3153</v>
      </c>
      <c r="G64" s="393">
        <f t="shared" si="76"/>
        <v>85036.41</v>
      </c>
      <c r="H64" s="76" t="s">
        <v>57</v>
      </c>
      <c r="I64" s="401">
        <v>8</v>
      </c>
      <c r="J64" s="18">
        <v>1440</v>
      </c>
      <c r="K64" s="9">
        <f t="shared" si="77"/>
        <v>180</v>
      </c>
      <c r="L64" s="17">
        <v>8</v>
      </c>
      <c r="M64" s="10">
        <f t="shared" si="78"/>
        <v>1313.7500000000005</v>
      </c>
      <c r="N64" s="9">
        <f t="shared" si="82"/>
        <v>164.21875000000006</v>
      </c>
      <c r="O64" s="11">
        <f t="shared" si="79"/>
        <v>0</v>
      </c>
      <c r="P64" s="12">
        <f t="shared" si="80"/>
        <v>-15.781249999999943</v>
      </c>
      <c r="Q64" s="395">
        <f t="shared" si="83"/>
        <v>0.91232638888888917</v>
      </c>
      <c r="R64" s="470"/>
      <c r="S64" s="24">
        <v>0.31111111111111106</v>
      </c>
      <c r="T64" s="24">
        <v>0.41111111111111104</v>
      </c>
      <c r="U64" s="393">
        <f t="shared" si="84"/>
        <v>6.9999999999999751</v>
      </c>
      <c r="V64" s="402">
        <f t="shared" si="81"/>
        <v>143.99999999999997</v>
      </c>
      <c r="W64" s="393"/>
      <c r="X64" s="393"/>
      <c r="Y64" s="456"/>
      <c r="Z64" s="456"/>
      <c r="AA64" s="11">
        <f t="shared" si="2"/>
        <v>-126.24999999999955</v>
      </c>
      <c r="AB64" s="395">
        <f t="shared" si="57"/>
        <v>0.91232638888888917</v>
      </c>
      <c r="AC64" s="470"/>
    </row>
    <row r="65" spans="1:29">
      <c r="A65" s="500" t="s">
        <v>11</v>
      </c>
      <c r="B65" s="403" t="s">
        <v>33</v>
      </c>
      <c r="C65" s="487" t="s">
        <v>40</v>
      </c>
      <c r="D65" s="487"/>
      <c r="E65" s="26">
        <v>35.119999999999997</v>
      </c>
      <c r="F65" s="27">
        <v>1228</v>
      </c>
      <c r="G65" s="393">
        <f t="shared" si="76"/>
        <v>43127.359999999993</v>
      </c>
      <c r="H65" s="76" t="s">
        <v>57</v>
      </c>
      <c r="I65" s="401">
        <v>13</v>
      </c>
      <c r="J65" s="18">
        <v>2000</v>
      </c>
      <c r="K65" s="9">
        <f t="shared" si="77"/>
        <v>153.84615384615384</v>
      </c>
      <c r="L65" s="17">
        <v>13</v>
      </c>
      <c r="M65" s="10">
        <f t="shared" si="78"/>
        <v>1841.9999999999993</v>
      </c>
      <c r="N65" s="9">
        <f t="shared" si="82"/>
        <v>141.69230769230765</v>
      </c>
      <c r="O65" s="11">
        <f t="shared" si="79"/>
        <v>0</v>
      </c>
      <c r="P65" s="12">
        <f t="shared" si="80"/>
        <v>-12.153846153846189</v>
      </c>
      <c r="Q65" s="395">
        <f t="shared" si="83"/>
        <v>0.92099999999999982</v>
      </c>
      <c r="R65" s="470"/>
      <c r="S65" s="24">
        <v>0.41597222222222213</v>
      </c>
      <c r="T65" s="24">
        <v>0.44374999999999992</v>
      </c>
      <c r="U65" s="393">
        <f t="shared" si="84"/>
        <v>6.9999999999999751</v>
      </c>
      <c r="V65" s="402">
        <f t="shared" si="81"/>
        <v>40.000000000000014</v>
      </c>
      <c r="W65" s="14"/>
      <c r="X65" s="14"/>
      <c r="Y65" s="456"/>
      <c r="Z65" s="456"/>
      <c r="AA65" s="11">
        <f t="shared" si="2"/>
        <v>-158.00000000000068</v>
      </c>
      <c r="AB65" s="395">
        <f t="shared" si="57"/>
        <v>0.92099999999999971</v>
      </c>
      <c r="AC65" s="470"/>
    </row>
    <row r="66" spans="1:29" ht="15" customHeight="1">
      <c r="A66" s="500" t="s">
        <v>11</v>
      </c>
      <c r="B66" s="403" t="s">
        <v>33</v>
      </c>
      <c r="C66" s="491" t="s">
        <v>1194</v>
      </c>
      <c r="D66" s="492"/>
      <c r="E66" s="26">
        <v>35.869999999999997</v>
      </c>
      <c r="F66" s="27">
        <v>3354</v>
      </c>
      <c r="G66" s="393">
        <f t="shared" si="76"/>
        <v>120307.98</v>
      </c>
      <c r="H66" s="76" t="s">
        <v>57</v>
      </c>
      <c r="I66" s="401">
        <v>10</v>
      </c>
      <c r="J66" s="18">
        <v>3000</v>
      </c>
      <c r="K66" s="9">
        <f t="shared" si="77"/>
        <v>300</v>
      </c>
      <c r="L66" s="17">
        <v>10</v>
      </c>
      <c r="M66" s="10">
        <f t="shared" si="78"/>
        <v>2756.7123287671238</v>
      </c>
      <c r="N66" s="9">
        <f t="shared" si="82"/>
        <v>275.67123287671239</v>
      </c>
      <c r="O66" s="11">
        <f t="shared" si="79"/>
        <v>0</v>
      </c>
      <c r="P66" s="12">
        <f t="shared" si="80"/>
        <v>-24.328767123287605</v>
      </c>
      <c r="Q66" s="395">
        <f t="shared" si="83"/>
        <v>0.91890410958904134</v>
      </c>
      <c r="R66" s="470"/>
      <c r="S66" s="24">
        <v>0.44722222222222213</v>
      </c>
      <c r="T66" s="24">
        <v>0.49791666666666656</v>
      </c>
      <c r="U66" s="393">
        <f t="shared" si="84"/>
        <v>4.9999999999999822</v>
      </c>
      <c r="V66" s="402">
        <f t="shared" si="81"/>
        <v>72.999999999999986</v>
      </c>
      <c r="W66" s="393"/>
      <c r="X66" s="393"/>
      <c r="Y66" s="473"/>
      <c r="Z66" s="474"/>
      <c r="AA66" s="11">
        <f t="shared" si="2"/>
        <v>-243.28767123287616</v>
      </c>
      <c r="AB66" s="395">
        <f t="shared" si="57"/>
        <v>0.91890410958904123</v>
      </c>
      <c r="AC66" s="470"/>
    </row>
    <row r="67" spans="1:29">
      <c r="A67" s="500" t="s">
        <v>11</v>
      </c>
      <c r="B67" s="26" t="s">
        <v>236</v>
      </c>
      <c r="C67" s="466"/>
      <c r="D67" s="466"/>
      <c r="E67" s="394"/>
      <c r="F67" s="16"/>
      <c r="G67" s="9"/>
      <c r="H67" s="403"/>
      <c r="I67" s="17">
        <v>10.166666666666666</v>
      </c>
      <c r="J67" s="18">
        <v>2573.3333333333335</v>
      </c>
      <c r="K67" s="9">
        <f>J67/I67</f>
        <v>253.11475409836069</v>
      </c>
      <c r="L67" s="17">
        <v>10.166666666666666</v>
      </c>
      <c r="M67" s="10">
        <f>AVERAGE(M61:M66)</f>
        <v>2368.5221038480236</v>
      </c>
      <c r="N67" s="9">
        <f>M67/L67</f>
        <v>232.96938726374003</v>
      </c>
      <c r="O67" s="11">
        <f>L67-I67</f>
        <v>0</v>
      </c>
      <c r="P67" s="12">
        <f>N67-K67</f>
        <v>-20.14536683462066</v>
      </c>
      <c r="Q67" s="395">
        <f>N67/K67</f>
        <v>0.92041014398239251</v>
      </c>
      <c r="R67" s="470"/>
      <c r="S67" s="24"/>
      <c r="T67" s="24"/>
      <c r="U67" s="9"/>
      <c r="V67" s="402"/>
      <c r="W67" s="9"/>
      <c r="X67" s="9"/>
      <c r="Y67" s="456"/>
      <c r="Z67" s="456"/>
      <c r="AA67" s="11">
        <f t="shared" si="2"/>
        <v>-204.81122948530992</v>
      </c>
      <c r="AB67" s="395">
        <f t="shared" si="57"/>
        <v>0.92041014398239251</v>
      </c>
      <c r="AC67" s="470"/>
    </row>
    <row r="68" spans="1:29" ht="15.75" customHeight="1">
      <c r="A68" s="467" t="s">
        <v>164</v>
      </c>
      <c r="B68" s="403" t="s">
        <v>24</v>
      </c>
      <c r="C68" s="487" t="s">
        <v>83</v>
      </c>
      <c r="D68" s="487"/>
      <c r="E68" s="26">
        <v>32.03</v>
      </c>
      <c r="F68" s="403">
        <v>1230</v>
      </c>
      <c r="G68" s="393">
        <f t="shared" ref="G68:G73" si="85">E68*F68</f>
        <v>39396.9</v>
      </c>
      <c r="H68" s="76" t="s">
        <v>57</v>
      </c>
      <c r="I68" s="401">
        <v>19</v>
      </c>
      <c r="J68" s="18">
        <v>2400</v>
      </c>
      <c r="K68" s="9">
        <f t="shared" ref="K68:K70" si="86">J68/I68</f>
        <v>126.31578947368421</v>
      </c>
      <c r="L68" s="17">
        <v>19</v>
      </c>
      <c r="M68" s="10">
        <f>F68/V68*60</f>
        <v>2236.3636363636365</v>
      </c>
      <c r="N68" s="9">
        <f t="shared" ref="N68:N73" si="87">M68/L68</f>
        <v>117.70334928229666</v>
      </c>
      <c r="O68" s="11">
        <f t="shared" ref="O68:O73" si="88">L68-I68</f>
        <v>0</v>
      </c>
      <c r="P68" s="12">
        <f t="shared" ref="P68:P73" si="89">N68-K68</f>
        <v>-8.6124401913875488</v>
      </c>
      <c r="Q68" s="395">
        <f>N68/K68</f>
        <v>0.93181818181818188</v>
      </c>
      <c r="R68" s="470">
        <f>Q74</f>
        <v>0.91758050098489241</v>
      </c>
      <c r="S68" s="24">
        <v>0.125</v>
      </c>
      <c r="T68" s="24">
        <v>0.14791666666666667</v>
      </c>
      <c r="U68" s="15"/>
      <c r="V68" s="402">
        <f t="shared" ref="V68:V73" si="90">(T68-S68)*24*60</f>
        <v>33</v>
      </c>
      <c r="W68" s="14"/>
      <c r="X68" s="14"/>
      <c r="Y68" s="456"/>
      <c r="Z68" s="456"/>
      <c r="AA68" s="11">
        <f t="shared" si="2"/>
        <v>-163.63636363636351</v>
      </c>
      <c r="AB68" s="395">
        <f>M68/J68</f>
        <v>0.93181818181818188</v>
      </c>
      <c r="AC68" s="470">
        <f>AB74</f>
        <v>0.91758050098489241</v>
      </c>
    </row>
    <row r="69" spans="1:29" ht="15.75" customHeight="1">
      <c r="A69" s="467" t="s">
        <v>12</v>
      </c>
      <c r="B69" s="403" t="s">
        <v>24</v>
      </c>
      <c r="C69" s="487" t="s">
        <v>56</v>
      </c>
      <c r="D69" s="487"/>
      <c r="E69" s="26">
        <v>20.2</v>
      </c>
      <c r="F69" s="403">
        <v>2703</v>
      </c>
      <c r="G69" s="393">
        <f t="shared" si="85"/>
        <v>54600.6</v>
      </c>
      <c r="H69" s="76" t="s">
        <v>57</v>
      </c>
      <c r="I69" s="401">
        <v>19</v>
      </c>
      <c r="J69" s="18">
        <v>2400</v>
      </c>
      <c r="K69" s="9">
        <f t="shared" si="86"/>
        <v>126.31578947368421</v>
      </c>
      <c r="L69" s="17">
        <v>19</v>
      </c>
      <c r="M69" s="10">
        <f t="shared" ref="M69:M73" si="91">F69/V69*60</f>
        <v>2191.6216216216212</v>
      </c>
      <c r="N69" s="9">
        <f t="shared" si="87"/>
        <v>115.34850640113795</v>
      </c>
      <c r="O69" s="11">
        <f t="shared" si="88"/>
        <v>0</v>
      </c>
      <c r="P69" s="12">
        <f t="shared" si="89"/>
        <v>-10.967283072546252</v>
      </c>
      <c r="Q69" s="395">
        <f t="shared" ref="Q69:Q74" si="92">N69/K69</f>
        <v>0.91317567567567548</v>
      </c>
      <c r="R69" s="470"/>
      <c r="S69" s="24">
        <v>0.16875000000000001</v>
      </c>
      <c r="T69" s="24">
        <v>0.22013888888888891</v>
      </c>
      <c r="U69" s="393">
        <f>(S69-T68)*24*60</f>
        <v>30.000000000000014</v>
      </c>
      <c r="V69" s="402">
        <f t="shared" si="90"/>
        <v>74.000000000000014</v>
      </c>
      <c r="W69" s="14"/>
      <c r="X69" s="14"/>
      <c r="Y69" s="456"/>
      <c r="Z69" s="456"/>
      <c r="AA69" s="11">
        <f t="shared" ref="AA69:AA74" si="93">M69-J69</f>
        <v>-208.37837837837878</v>
      </c>
      <c r="AB69" s="395">
        <f t="shared" ref="AB69:AB74" si="94">M69/J69</f>
        <v>0.91317567567567548</v>
      </c>
      <c r="AC69" s="470"/>
    </row>
    <row r="70" spans="1:29" ht="15.75" customHeight="1">
      <c r="A70" s="467" t="s">
        <v>12</v>
      </c>
      <c r="B70" s="403" t="s">
        <v>24</v>
      </c>
      <c r="C70" s="487" t="s">
        <v>45</v>
      </c>
      <c r="D70" s="487"/>
      <c r="E70" s="26">
        <v>19.02</v>
      </c>
      <c r="F70" s="403">
        <v>4000</v>
      </c>
      <c r="G70" s="393">
        <f t="shared" si="85"/>
        <v>76080</v>
      </c>
      <c r="H70" s="76">
        <v>2</v>
      </c>
      <c r="I70" s="401">
        <v>15</v>
      </c>
      <c r="J70" s="18">
        <v>2400</v>
      </c>
      <c r="K70" s="9">
        <f t="shared" si="86"/>
        <v>160</v>
      </c>
      <c r="L70" s="17">
        <v>15</v>
      </c>
      <c r="M70" s="10">
        <f t="shared" si="91"/>
        <v>2201.8348623853208</v>
      </c>
      <c r="N70" s="9">
        <f t="shared" si="87"/>
        <v>146.78899082568805</v>
      </c>
      <c r="O70" s="11">
        <f t="shared" si="88"/>
        <v>0</v>
      </c>
      <c r="P70" s="12">
        <f t="shared" si="89"/>
        <v>-13.211009174311954</v>
      </c>
      <c r="Q70" s="395">
        <f t="shared" si="92"/>
        <v>0.91743119266055029</v>
      </c>
      <c r="R70" s="470"/>
      <c r="S70" s="24">
        <v>0.22569444444444448</v>
      </c>
      <c r="T70" s="24">
        <v>0.30138888888888893</v>
      </c>
      <c r="U70" s="393">
        <f t="shared" ref="U70:U73" si="95">(S70-T69)*24*60</f>
        <v>8.0000000000000107</v>
      </c>
      <c r="V70" s="402">
        <f t="shared" si="90"/>
        <v>109.00000000000001</v>
      </c>
      <c r="W70" s="14"/>
      <c r="X70" s="14"/>
      <c r="Y70" s="456"/>
      <c r="Z70" s="456"/>
      <c r="AA70" s="11">
        <f t="shared" si="93"/>
        <v>-198.16513761467922</v>
      </c>
      <c r="AB70" s="395">
        <f t="shared" si="94"/>
        <v>0.91743119266055029</v>
      </c>
      <c r="AC70" s="470"/>
    </row>
    <row r="71" spans="1:29" ht="15.75" customHeight="1">
      <c r="A71" s="467" t="s">
        <v>12</v>
      </c>
      <c r="B71" s="403" t="s">
        <v>24</v>
      </c>
      <c r="C71" s="487" t="s">
        <v>46</v>
      </c>
      <c r="D71" s="487"/>
      <c r="E71" s="26">
        <v>25</v>
      </c>
      <c r="F71" s="403">
        <v>4200</v>
      </c>
      <c r="G71" s="393">
        <f t="shared" si="85"/>
        <v>105000</v>
      </c>
      <c r="H71" s="76" t="s">
        <v>57</v>
      </c>
      <c r="I71" s="401">
        <v>15</v>
      </c>
      <c r="J71" s="18">
        <v>2400</v>
      </c>
      <c r="K71" s="9">
        <f>J71/I71</f>
        <v>160</v>
      </c>
      <c r="L71" s="17">
        <v>15</v>
      </c>
      <c r="M71" s="10">
        <f t="shared" si="91"/>
        <v>2191.3043478260875</v>
      </c>
      <c r="N71" s="9">
        <f t="shared" si="87"/>
        <v>146.08695652173915</v>
      </c>
      <c r="O71" s="11">
        <f t="shared" si="88"/>
        <v>0</v>
      </c>
      <c r="P71" s="12">
        <f t="shared" si="89"/>
        <v>-13.913043478260846</v>
      </c>
      <c r="Q71" s="395">
        <f t="shared" si="92"/>
        <v>0.91304347826086973</v>
      </c>
      <c r="R71" s="470"/>
      <c r="S71" s="24">
        <v>0.30625000000000002</v>
      </c>
      <c r="T71" s="24">
        <v>0.38611111111111113</v>
      </c>
      <c r="U71" s="393">
        <f t="shared" si="95"/>
        <v>6.9999999999999751</v>
      </c>
      <c r="V71" s="402">
        <f t="shared" si="90"/>
        <v>114.99999999999999</v>
      </c>
      <c r="W71" s="14"/>
      <c r="X71" s="14"/>
      <c r="Y71" s="456"/>
      <c r="Z71" s="456"/>
      <c r="AA71" s="11">
        <f t="shared" si="93"/>
        <v>-208.69565217391255</v>
      </c>
      <c r="AB71" s="395">
        <f t="shared" si="94"/>
        <v>0.91304347826086973</v>
      </c>
      <c r="AC71" s="470"/>
    </row>
    <row r="72" spans="1:29" ht="15.75" customHeight="1">
      <c r="A72" s="467" t="s">
        <v>12</v>
      </c>
      <c r="B72" s="403" t="s">
        <v>24</v>
      </c>
      <c r="C72" s="487" t="s">
        <v>510</v>
      </c>
      <c r="D72" s="487"/>
      <c r="E72" s="26">
        <v>28.51</v>
      </c>
      <c r="F72" s="403">
        <v>4801</v>
      </c>
      <c r="G72" s="393">
        <f t="shared" si="85"/>
        <v>136876.51</v>
      </c>
      <c r="H72" s="76" t="s">
        <v>57</v>
      </c>
      <c r="I72" s="401">
        <v>19</v>
      </c>
      <c r="J72" s="18">
        <v>2400</v>
      </c>
      <c r="K72" s="9">
        <f t="shared" ref="K72:K74" si="96">J72/I72</f>
        <v>126.31578947368421</v>
      </c>
      <c r="L72" s="17">
        <v>19</v>
      </c>
      <c r="M72" s="10">
        <f t="shared" si="91"/>
        <v>2198.9312977099235</v>
      </c>
      <c r="N72" s="9">
        <f t="shared" si="87"/>
        <v>115.73322619525914</v>
      </c>
      <c r="O72" s="11">
        <f t="shared" si="88"/>
        <v>0</v>
      </c>
      <c r="P72" s="12">
        <f t="shared" si="89"/>
        <v>-10.58256327842507</v>
      </c>
      <c r="Q72" s="395">
        <f t="shared" si="92"/>
        <v>0.91622137404580151</v>
      </c>
      <c r="R72" s="470"/>
      <c r="S72" s="24">
        <v>0.39027777777777778</v>
      </c>
      <c r="T72" s="24">
        <v>0.48125000000000001</v>
      </c>
      <c r="U72" s="393">
        <f t="shared" si="95"/>
        <v>5.9999999999999787</v>
      </c>
      <c r="V72" s="402">
        <f t="shared" si="90"/>
        <v>131</v>
      </c>
      <c r="W72" s="14"/>
      <c r="X72" s="14"/>
      <c r="Y72" s="456"/>
      <c r="Z72" s="456"/>
      <c r="AA72" s="11">
        <f t="shared" si="93"/>
        <v>-201.06870229007654</v>
      </c>
      <c r="AB72" s="395">
        <f t="shared" si="94"/>
        <v>0.9162213740458014</v>
      </c>
      <c r="AC72" s="470"/>
    </row>
    <row r="73" spans="1:29" ht="15.75" customHeight="1">
      <c r="A73" s="467" t="s">
        <v>12</v>
      </c>
      <c r="B73" s="403" t="s">
        <v>24</v>
      </c>
      <c r="C73" s="487" t="s">
        <v>45</v>
      </c>
      <c r="D73" s="487"/>
      <c r="E73" s="26">
        <v>19.02</v>
      </c>
      <c r="F73" s="403">
        <v>5300</v>
      </c>
      <c r="G73" s="393">
        <f t="shared" si="85"/>
        <v>100806</v>
      </c>
      <c r="H73" s="76" t="s">
        <v>57</v>
      </c>
      <c r="I73" s="401">
        <v>15</v>
      </c>
      <c r="J73" s="18">
        <v>2400</v>
      </c>
      <c r="K73" s="9">
        <f t="shared" si="96"/>
        <v>160</v>
      </c>
      <c r="L73" s="17">
        <v>15</v>
      </c>
      <c r="M73" s="10">
        <f t="shared" si="91"/>
        <v>2193.1034482758623</v>
      </c>
      <c r="N73" s="9">
        <f t="shared" si="87"/>
        <v>146.20689655172416</v>
      </c>
      <c r="O73" s="11">
        <f t="shared" si="88"/>
        <v>0</v>
      </c>
      <c r="P73" s="12">
        <f t="shared" si="89"/>
        <v>-13.793103448275843</v>
      </c>
      <c r="Q73" s="395">
        <f t="shared" si="92"/>
        <v>0.91379310344827602</v>
      </c>
      <c r="R73" s="470"/>
      <c r="S73" s="24">
        <v>0.52013888888888893</v>
      </c>
      <c r="T73" s="24">
        <v>0.62083333333333335</v>
      </c>
      <c r="U73" s="393">
        <f t="shared" si="95"/>
        <v>56.000000000000043</v>
      </c>
      <c r="V73" s="402">
        <f t="shared" si="90"/>
        <v>144.99999999999997</v>
      </c>
      <c r="W73" s="14"/>
      <c r="X73" s="14"/>
      <c r="Y73" s="456"/>
      <c r="Z73" s="456"/>
      <c r="AA73" s="11">
        <f t="shared" si="93"/>
        <v>-206.89655172413768</v>
      </c>
      <c r="AB73" s="395">
        <f t="shared" si="94"/>
        <v>0.91379310344827591</v>
      </c>
      <c r="AC73" s="470"/>
    </row>
    <row r="74" spans="1:29" ht="16.5" customHeight="1">
      <c r="A74" s="501" t="s">
        <v>12</v>
      </c>
      <c r="B74" s="26" t="s">
        <v>236</v>
      </c>
      <c r="C74" s="466"/>
      <c r="D74" s="466"/>
      <c r="E74" s="394"/>
      <c r="F74" s="16"/>
      <c r="G74" s="9"/>
      <c r="H74" s="403"/>
      <c r="I74" s="17">
        <f>AVERAGE(I68:I73)</f>
        <v>17</v>
      </c>
      <c r="J74" s="18">
        <v>2400</v>
      </c>
      <c r="K74" s="9">
        <f t="shared" si="96"/>
        <v>141.1764705882353</v>
      </c>
      <c r="L74" s="17">
        <f>AVERAGE(L68:L73)</f>
        <v>17</v>
      </c>
      <c r="M74" s="10">
        <f>AVERAGE(M68:M73)</f>
        <v>2202.1932023637419</v>
      </c>
      <c r="N74" s="9">
        <f>M74/L74</f>
        <v>129.54077660963188</v>
      </c>
      <c r="O74" s="11">
        <f>L74-I74</f>
        <v>0</v>
      </c>
      <c r="P74" s="12">
        <f>N74-K74</f>
        <v>-11.635693978603427</v>
      </c>
      <c r="Q74" s="395">
        <f t="shared" si="92"/>
        <v>0.91758050098489241</v>
      </c>
      <c r="R74" s="470"/>
      <c r="S74" s="24"/>
      <c r="T74" s="24"/>
      <c r="U74" s="9"/>
      <c r="V74" s="402"/>
      <c r="W74" s="9"/>
      <c r="X74" s="9"/>
      <c r="Y74" s="456"/>
      <c r="Z74" s="456"/>
      <c r="AA74" s="11">
        <f t="shared" si="93"/>
        <v>-197.80679763625812</v>
      </c>
      <c r="AB74" s="395">
        <f t="shared" si="94"/>
        <v>0.91758050098489241</v>
      </c>
      <c r="AC74" s="470"/>
    </row>
    <row r="75" spans="1:29">
      <c r="D75" s="19"/>
      <c r="E75" s="19"/>
    </row>
  </sheetData>
  <mergeCells count="198">
    <mergeCell ref="A68:A74"/>
    <mergeCell ref="C68:D68"/>
    <mergeCell ref="R68:R74"/>
    <mergeCell ref="Y68:Z68"/>
    <mergeCell ref="AC68:AC74"/>
    <mergeCell ref="C69:D69"/>
    <mergeCell ref="Y69:Z69"/>
    <mergeCell ref="C70:D70"/>
    <mergeCell ref="Y70:Z70"/>
    <mergeCell ref="C71:D71"/>
    <mergeCell ref="Y64:Z64"/>
    <mergeCell ref="C65:D65"/>
    <mergeCell ref="Y65:Z65"/>
    <mergeCell ref="C66:D66"/>
    <mergeCell ref="Y66:Z66"/>
    <mergeCell ref="C67:D67"/>
    <mergeCell ref="Y67:Z67"/>
    <mergeCell ref="Y71:Z71"/>
    <mergeCell ref="C72:D72"/>
    <mergeCell ref="Y72:Z72"/>
    <mergeCell ref="C73:D73"/>
    <mergeCell ref="Y73:Z73"/>
    <mergeCell ref="C74:D74"/>
    <mergeCell ref="Y74:Z74"/>
    <mergeCell ref="A61:A67"/>
    <mergeCell ref="C61:D61"/>
    <mergeCell ref="R61:R67"/>
    <mergeCell ref="Y61:Z61"/>
    <mergeCell ref="AC61:AC67"/>
    <mergeCell ref="C62:D62"/>
    <mergeCell ref="Y62:Z62"/>
    <mergeCell ref="C63:D63"/>
    <mergeCell ref="Y63:Z63"/>
    <mergeCell ref="C64:D64"/>
    <mergeCell ref="AC56:AC60"/>
    <mergeCell ref="C57:D57"/>
    <mergeCell ref="Y57:Z57"/>
    <mergeCell ref="C58:D58"/>
    <mergeCell ref="C60:D60"/>
    <mergeCell ref="Y60:Z60"/>
    <mergeCell ref="Y54:Z54"/>
    <mergeCell ref="C55:D55"/>
    <mergeCell ref="Y55:Z55"/>
    <mergeCell ref="AC47:AC55"/>
    <mergeCell ref="C48:D48"/>
    <mergeCell ref="Y48:Z48"/>
    <mergeCell ref="C49:D49"/>
    <mergeCell ref="Y49:Z49"/>
    <mergeCell ref="C50:D50"/>
    <mergeCell ref="Y50:Z50"/>
    <mergeCell ref="C51:D51"/>
    <mergeCell ref="Y51:Z51"/>
    <mergeCell ref="C52:D52"/>
    <mergeCell ref="A47:A55"/>
    <mergeCell ref="C47:D47"/>
    <mergeCell ref="R47:R55"/>
    <mergeCell ref="Y47:Z47"/>
    <mergeCell ref="Y52:Z52"/>
    <mergeCell ref="C53:D53"/>
    <mergeCell ref="Y53:Z53"/>
    <mergeCell ref="C54:D54"/>
    <mergeCell ref="A56:A60"/>
    <mergeCell ref="C56:D56"/>
    <mergeCell ref="R56:R60"/>
    <mergeCell ref="Y56:Z56"/>
    <mergeCell ref="A39:A46"/>
    <mergeCell ref="C39:D39"/>
    <mergeCell ref="R39:R46"/>
    <mergeCell ref="Y39:Z39"/>
    <mergeCell ref="Y44:Z44"/>
    <mergeCell ref="C45:D45"/>
    <mergeCell ref="Y45:Z45"/>
    <mergeCell ref="AC39:AC46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46:D46"/>
    <mergeCell ref="Y46:Z46"/>
    <mergeCell ref="A31:A38"/>
    <mergeCell ref="C31:D31"/>
    <mergeCell ref="R31:R38"/>
    <mergeCell ref="Y31:Z31"/>
    <mergeCell ref="Y36:Z36"/>
    <mergeCell ref="C37:D37"/>
    <mergeCell ref="AC31:AC38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37:Z37"/>
    <mergeCell ref="C38:D38"/>
    <mergeCell ref="Y38:Z38"/>
    <mergeCell ref="AC20:AC30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C30:D30"/>
    <mergeCell ref="Y30:Z30"/>
    <mergeCell ref="A20:A30"/>
    <mergeCell ref="C20:D20"/>
    <mergeCell ref="R20:R30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4 O5:O9 O13:O15 O55:O61 O19:O52">
    <cfRule type="cellIs" dxfId="2138" priority="53" operator="greaterThan">
      <formula>0</formula>
    </cfRule>
  </conditionalFormatting>
  <conditionalFormatting sqref="P5:P7 P64:P66 AA64:AA66 P68:P73 P31:P37 P61 P9 P13:P15 P20:P29 P56:P59 P39:P52 AA5:AA61 AA68:AA74">
    <cfRule type="cellIs" dxfId="2137" priority="57" operator="lessThan">
      <formula>0</formula>
    </cfRule>
  </conditionalFormatting>
  <conditionalFormatting sqref="AB64:AB66 Q64:Q74 Q5:Q9 Q13:Q15 Q55:Q61 Q19:Q52 AB5:AB61 AB68:AB74">
    <cfRule type="cellIs" dxfId="2136" priority="54" operator="greaterThan">
      <formula>1</formula>
    </cfRule>
    <cfRule type="cellIs" dxfId="2135" priority="55" operator="lessThan">
      <formula>0.8</formula>
    </cfRule>
  </conditionalFormatting>
  <conditionalFormatting sqref="AC14:AC15 R14:R15 AC64 R19:R25 AC19:AC25 R64:R74 AC5:AC9 R5:R9 R30:R52 AC30:AC52 AC55:AC61 R55:R61">
    <cfRule type="cellIs" dxfId="2134" priority="59" operator="lessThan">
      <formula>0.8</formula>
    </cfRule>
  </conditionalFormatting>
  <conditionalFormatting sqref="AC47">
    <cfRule type="cellIs" dxfId="2133" priority="61" operator="lessThan">
      <formula>0.8</formula>
    </cfRule>
  </conditionalFormatting>
  <conditionalFormatting sqref="AC20:AC25">
    <cfRule type="cellIs" dxfId="2132" priority="58" operator="lessThan">
      <formula>0.8</formula>
    </cfRule>
  </conditionalFormatting>
  <conditionalFormatting sqref="AC31">
    <cfRule type="cellIs" dxfId="2131" priority="60" operator="lessThan">
      <formula>0.8</formula>
    </cfRule>
  </conditionalFormatting>
  <conditionalFormatting sqref="AC39:AC45">
    <cfRule type="cellIs" dxfId="2130" priority="56" operator="lessThan">
      <formula>0.8</formula>
    </cfRule>
  </conditionalFormatting>
  <conditionalFormatting sqref="AA67">
    <cfRule type="cellIs" dxfId="2129" priority="52" operator="lessThan">
      <formula>0</formula>
    </cfRule>
  </conditionalFormatting>
  <conditionalFormatting sqref="AB67">
    <cfRule type="cellIs" dxfId="2128" priority="50" operator="greaterThan">
      <formula>1</formula>
    </cfRule>
    <cfRule type="cellIs" dxfId="2127" priority="51" operator="lessThan">
      <formula>0.8</formula>
    </cfRule>
  </conditionalFormatting>
  <conditionalFormatting sqref="O16:O17">
    <cfRule type="cellIs" dxfId="2126" priority="45" operator="greaterThan">
      <formula>0</formula>
    </cfRule>
  </conditionalFormatting>
  <conditionalFormatting sqref="P16:P17">
    <cfRule type="cellIs" dxfId="2125" priority="48" operator="lessThan">
      <formula>0</formula>
    </cfRule>
  </conditionalFormatting>
  <conditionalFormatting sqref="Q16:Q17">
    <cfRule type="cellIs" dxfId="2124" priority="46" operator="greaterThan">
      <formula>1</formula>
    </cfRule>
    <cfRule type="cellIs" dxfId="2123" priority="47" operator="lessThan">
      <formula>0.8</formula>
    </cfRule>
  </conditionalFormatting>
  <conditionalFormatting sqref="R16:R17 AC16:AC17">
    <cfRule type="cellIs" dxfId="2122" priority="49" operator="lessThan">
      <formula>0.8</formula>
    </cfRule>
  </conditionalFormatting>
  <conditionalFormatting sqref="O10:O12">
    <cfRule type="cellIs" dxfId="2121" priority="41" operator="greaterThan">
      <formula>0</formula>
    </cfRule>
  </conditionalFormatting>
  <conditionalFormatting sqref="P10:P12">
    <cfRule type="cellIs" dxfId="2120" priority="44" operator="lessThan">
      <formula>0</formula>
    </cfRule>
  </conditionalFormatting>
  <conditionalFormatting sqref="Q10:Q12">
    <cfRule type="cellIs" dxfId="2119" priority="42" operator="greaterThan">
      <formula>1</formula>
    </cfRule>
    <cfRule type="cellIs" dxfId="2118" priority="43" operator="lessThan">
      <formula>0.8</formula>
    </cfRule>
  </conditionalFormatting>
  <conditionalFormatting sqref="AC27 R27">
    <cfRule type="cellIs" dxfId="2117" priority="40" operator="lessThan">
      <formula>0.8</formula>
    </cfRule>
  </conditionalFormatting>
  <conditionalFormatting sqref="O63">
    <cfRule type="cellIs" dxfId="2116" priority="35" operator="greaterThan">
      <formula>0</formula>
    </cfRule>
  </conditionalFormatting>
  <conditionalFormatting sqref="P63 AA63">
    <cfRule type="cellIs" dxfId="2115" priority="38" operator="lessThan">
      <formula>0</formula>
    </cfRule>
  </conditionalFormatting>
  <conditionalFormatting sqref="Q63 AB63">
    <cfRule type="cellIs" dxfId="2114" priority="36" operator="greaterThan">
      <formula>1</formula>
    </cfRule>
    <cfRule type="cellIs" dxfId="2113" priority="37" operator="lessThan">
      <formula>0.8</formula>
    </cfRule>
  </conditionalFormatting>
  <conditionalFormatting sqref="R63 AC63">
    <cfRule type="cellIs" dxfId="2112" priority="39" operator="lessThan">
      <formula>0.8</formula>
    </cfRule>
  </conditionalFormatting>
  <conditionalFormatting sqref="O18">
    <cfRule type="cellIs" dxfId="2111" priority="30" operator="greaterThan">
      <formula>0</formula>
    </cfRule>
  </conditionalFormatting>
  <conditionalFormatting sqref="P18">
    <cfRule type="cellIs" dxfId="2110" priority="33" operator="lessThan">
      <formula>0</formula>
    </cfRule>
  </conditionalFormatting>
  <conditionalFormatting sqref="Q18">
    <cfRule type="cellIs" dxfId="2109" priority="31" operator="greaterThan">
      <formula>1</formula>
    </cfRule>
    <cfRule type="cellIs" dxfId="2108" priority="32" operator="lessThan">
      <formula>0.8</formula>
    </cfRule>
  </conditionalFormatting>
  <conditionalFormatting sqref="R18 AC18">
    <cfRule type="cellIs" dxfId="2107" priority="34" operator="lessThan">
      <formula>0.8</formula>
    </cfRule>
  </conditionalFormatting>
  <conditionalFormatting sqref="O53">
    <cfRule type="cellIs" dxfId="2106" priority="24" operator="greaterThan">
      <formula>0</formula>
    </cfRule>
  </conditionalFormatting>
  <conditionalFormatting sqref="P53">
    <cfRule type="cellIs" dxfId="2105" priority="28" operator="lessThan">
      <formula>0</formula>
    </cfRule>
  </conditionalFormatting>
  <conditionalFormatting sqref="Q53">
    <cfRule type="cellIs" dxfId="2104" priority="25" operator="greaterThan">
      <formula>1</formula>
    </cfRule>
    <cfRule type="cellIs" dxfId="2103" priority="26" operator="lessThan">
      <formula>0.8</formula>
    </cfRule>
  </conditionalFormatting>
  <conditionalFormatting sqref="R53 AC53">
    <cfRule type="cellIs" dxfId="2102" priority="29" operator="lessThan">
      <formula>0.8</formula>
    </cfRule>
  </conditionalFormatting>
  <conditionalFormatting sqref="AC53">
    <cfRule type="cellIs" dxfId="2101" priority="27" operator="lessThan">
      <formula>0.8</formula>
    </cfRule>
  </conditionalFormatting>
  <conditionalFormatting sqref="O54">
    <cfRule type="cellIs" dxfId="2100" priority="18" operator="greaterThan">
      <formula>0</formula>
    </cfRule>
  </conditionalFormatting>
  <conditionalFormatting sqref="P54">
    <cfRule type="cellIs" dxfId="2099" priority="22" operator="lessThan">
      <formula>0</formula>
    </cfRule>
  </conditionalFormatting>
  <conditionalFormatting sqref="Q54">
    <cfRule type="cellIs" dxfId="2098" priority="19" operator="greaterThan">
      <formula>1</formula>
    </cfRule>
    <cfRule type="cellIs" dxfId="2097" priority="20" operator="lessThan">
      <formula>0.8</formula>
    </cfRule>
  </conditionalFormatting>
  <conditionalFormatting sqref="R54 AC54">
    <cfRule type="cellIs" dxfId="2096" priority="23" operator="lessThan">
      <formula>0.8</formula>
    </cfRule>
  </conditionalFormatting>
  <conditionalFormatting sqref="AC54">
    <cfRule type="cellIs" dxfId="2095" priority="21" operator="lessThan">
      <formula>0.8</formula>
    </cfRule>
  </conditionalFormatting>
  <conditionalFormatting sqref="AC28 R28">
    <cfRule type="cellIs" dxfId="2094" priority="17" operator="lessThan">
      <formula>0.8</formula>
    </cfRule>
  </conditionalFormatting>
  <conditionalFormatting sqref="R26 AC26">
    <cfRule type="cellIs" dxfId="2093" priority="16" operator="lessThan">
      <formula>0.8</formula>
    </cfRule>
  </conditionalFormatting>
  <conditionalFormatting sqref="AC26">
    <cfRule type="cellIs" dxfId="2092" priority="15" operator="lessThan">
      <formula>0.8</formula>
    </cfRule>
  </conditionalFormatting>
  <conditionalFormatting sqref="O62">
    <cfRule type="cellIs" dxfId="2091" priority="10" operator="greaterThan">
      <formula>0</formula>
    </cfRule>
  </conditionalFormatting>
  <conditionalFormatting sqref="P62 AA62">
    <cfRule type="cellIs" dxfId="2090" priority="13" operator="lessThan">
      <formula>0</formula>
    </cfRule>
  </conditionalFormatting>
  <conditionalFormatting sqref="Q62 AB62">
    <cfRule type="cellIs" dxfId="2089" priority="11" operator="greaterThan">
      <formula>1</formula>
    </cfRule>
    <cfRule type="cellIs" dxfId="2088" priority="12" operator="lessThan">
      <formula>0.8</formula>
    </cfRule>
  </conditionalFormatting>
  <conditionalFormatting sqref="R62 AC62">
    <cfRule type="cellIs" dxfId="2087" priority="14" operator="lessThan">
      <formula>0.8</formula>
    </cfRule>
  </conditionalFormatting>
  <conditionalFormatting sqref="P8">
    <cfRule type="cellIs" dxfId="2086" priority="9" operator="lessThan">
      <formula>0</formula>
    </cfRule>
  </conditionalFormatting>
  <conditionalFormatting sqref="P19">
    <cfRule type="cellIs" dxfId="2085" priority="8" operator="lessThan">
      <formula>0</formula>
    </cfRule>
  </conditionalFormatting>
  <conditionalFormatting sqref="P30">
    <cfRule type="cellIs" dxfId="2084" priority="7" operator="lessThan">
      <formula>0</formula>
    </cfRule>
  </conditionalFormatting>
  <conditionalFormatting sqref="P38">
    <cfRule type="cellIs" dxfId="2083" priority="6" operator="lessThan">
      <formula>0</formula>
    </cfRule>
  </conditionalFormatting>
  <conditionalFormatting sqref="P55">
    <cfRule type="cellIs" dxfId="2082" priority="5" operator="lessThan">
      <formula>0</formula>
    </cfRule>
  </conditionalFormatting>
  <conditionalFormatting sqref="P60">
    <cfRule type="cellIs" dxfId="2081" priority="4" operator="lessThan">
      <formula>0</formula>
    </cfRule>
  </conditionalFormatting>
  <conditionalFormatting sqref="P67">
    <cfRule type="cellIs" dxfId="2080" priority="3" operator="lessThan">
      <formula>0</formula>
    </cfRule>
  </conditionalFormatting>
  <conditionalFormatting sqref="P74">
    <cfRule type="cellIs" dxfId="2079" priority="2" operator="lessThan">
      <formula>0</formula>
    </cfRule>
  </conditionalFormatting>
  <conditionalFormatting sqref="AC29 R29">
    <cfRule type="cellIs" dxfId="2078" priority="1" operator="lessThan">
      <formula>0.8</formula>
    </cfRule>
  </conditionalFormatting>
  <dataValidations count="1">
    <dataValidation type="list" allowBlank="1" showInputMessage="1" showErrorMessage="1" sqref="Z8 Z65:Z66 Y5:Z7 Y8:Y66 Z10:Z61 Y67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D14" sqref="D14:M14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1530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77" t="s">
        <v>509</v>
      </c>
      <c r="C3" s="421" t="str">
        <f>TEXT('0729 4度C'!A2,"yyyy.mm.ddaaaa")</f>
        <v>2025.07.29星期二</v>
      </c>
      <c r="D3" s="421"/>
      <c r="E3" s="377" t="s">
        <v>1531</v>
      </c>
      <c r="F3" s="422">
        <f>'0729 4度C'!D1</f>
        <v>169100</v>
      </c>
      <c r="G3" s="422"/>
      <c r="H3" s="377" t="s">
        <v>1532</v>
      </c>
      <c r="I3" s="423">
        <f>'0729 4度C'!F1</f>
        <v>5815237.6900000013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1533</v>
      </c>
      <c r="D4" s="424"/>
      <c r="E4" s="425" t="s">
        <v>1534</v>
      </c>
      <c r="F4" s="425"/>
      <c r="G4" s="425" t="s">
        <v>129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173</v>
      </c>
      <c r="D5" s="424"/>
      <c r="E5" s="424" t="s">
        <v>990</v>
      </c>
      <c r="F5" s="424"/>
      <c r="G5" s="426" t="s">
        <v>94</v>
      </c>
      <c r="H5" s="426"/>
      <c r="I5" s="427" t="s">
        <v>1535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142.11547192670372</v>
      </c>
      <c r="F6" s="424">
        <f>AVERAGE(D27:O27,D13:J13)</f>
        <v>145.01728753788862</v>
      </c>
      <c r="G6" s="429">
        <f>AVERAGE(D13:J13)</f>
        <v>145.01728753788862</v>
      </c>
      <c r="H6" s="429"/>
      <c r="I6" s="429">
        <f>AVERAGE(K13:M13)</f>
        <v>135.34456883393895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130.48172474581744</v>
      </c>
      <c r="F7" s="434">
        <f>AVERAGE(D28:O28,D14:J14)</f>
        <v>133.20031977946527</v>
      </c>
      <c r="G7" s="435">
        <f>AVERAGE(D14:J14)</f>
        <v>133.20031977946527</v>
      </c>
      <c r="H7" s="435"/>
      <c r="I7" s="435">
        <f>AVERAGE(K14:M14)</f>
        <v>124.13833633397248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0.91723352412264236</v>
      </c>
      <c r="F8" s="432">
        <f>AVERAGE(D15:J15,D29:O29)</f>
        <v>0.91724313289805948</v>
      </c>
      <c r="G8" s="437">
        <f>AVERAGE(D15:J15)</f>
        <v>0.91724313289805948</v>
      </c>
      <c r="H8" s="437"/>
      <c r="I8" s="437">
        <f>AVERAGE(K15:M15)</f>
        <v>0.91721110364666958</v>
      </c>
      <c r="J8" s="437"/>
      <c r="K8" s="34" t="s">
        <v>1536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1537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1538</v>
      </c>
      <c r="E12" s="42" t="s">
        <v>86</v>
      </c>
      <c r="F12" s="42" t="s">
        <v>1539</v>
      </c>
      <c r="G12" s="42" t="s">
        <v>99</v>
      </c>
      <c r="H12" s="42" t="s">
        <v>253</v>
      </c>
      <c r="I12" s="42" t="s">
        <v>101</v>
      </c>
      <c r="J12" s="43" t="s">
        <v>1540</v>
      </c>
      <c r="K12" s="41" t="s">
        <v>456</v>
      </c>
      <c r="L12" s="42" t="s">
        <v>77</v>
      </c>
      <c r="M12" s="43" t="s">
        <v>135</v>
      </c>
    </row>
    <row r="13" spans="2:17" ht="40.15" customHeight="1">
      <c r="B13" s="447" t="s">
        <v>1541</v>
      </c>
      <c r="C13" s="44" t="s">
        <v>1542</v>
      </c>
      <c r="D13" s="45">
        <f>SUMIFS('0729 4度C'!$K:$K,'0729 4度C'!$A:$A,"燴飯線",'0729 4度C'!$B:$B,"平均")</f>
        <v>105.88235294117646</v>
      </c>
      <c r="E13" s="46">
        <f>SUMIFS('0729 4度C'!$K:$K,'0729 4度C'!$A:$A,"沙拉線一線",'0729 4度C'!$B:$B,"平均")</f>
        <v>81.081081081081081</v>
      </c>
      <c r="F13" s="47">
        <f>SUMIFS('0729 4度C'!$K:$K,'0729 4度C'!$A:$A,"沙拉線二線",'0729 4度C'!$B:$B,"平均")</f>
        <v>81.298969072164951</v>
      </c>
      <c r="G13" s="47">
        <f>SUMIFS('0729 4度C'!$K:$K,'0729 4度C'!$A:$A,"沙拉線三線",'0729 4度C'!$B:$B,"平均")</f>
        <v>104.19161676646706</v>
      </c>
      <c r="H13" s="47">
        <f>SUMIFS('0729 4度C'!$K:$K,'0729 4度C'!$A:$A,"自動包裝線",'0729 4度C'!$B:$B,"平均")</f>
        <v>300</v>
      </c>
      <c r="I13" s="47">
        <f>SUMIFS('0729 4度C'!$K:$K,'0729 4度C'!$A:$A,"涼麵一線",'0729 4度C'!$B:$B,"平均")</f>
        <v>89.552238805970148</v>
      </c>
      <c r="J13" s="48">
        <f>SUMIFS('0729 4度C'!$K:$K,'0729 4度C'!$A:$A,"三明治四線",'0729 4度C'!$B:$B,"平均")</f>
        <v>253.11475409836069</v>
      </c>
      <c r="K13" s="49">
        <f>SUMIFS('0729 4度C'!$K:$K,'0729 4度C'!$A:$A,"三明治一線",'0729 4度C'!$B:$B,"平均")</f>
        <v>137.70491803278691</v>
      </c>
      <c r="L13" s="50">
        <f>SUMIFS('0729 4度C'!$K:$K,'0729 4度C'!$A:$A,"三明治二線",'0729 4度C'!$B:$B,"平均")</f>
        <v>127.1523178807947</v>
      </c>
      <c r="M13" s="48">
        <f>SUMIFS('0729 4度C'!$K:$K,'0729 4度C'!$A:$A,"自動包裝二線",'0729 4度C'!$B:$B,"平均")</f>
        <v>141.1764705882353</v>
      </c>
    </row>
    <row r="14" spans="2:17" ht="39.6" customHeight="1">
      <c r="B14" s="447"/>
      <c r="C14" s="51" t="s">
        <v>1543</v>
      </c>
      <c r="D14" s="52">
        <f>SUMIFS('0729 4度C'!$N:$N,'0729 4度C'!$A:$A,"燴飯線",'0729 4度C'!$B:$B,"平均")</f>
        <v>96.595211889329477</v>
      </c>
      <c r="E14" s="53">
        <f>SUMIFS('0729 4度C'!$N:$N,'0729 4度C'!$A:$A,"沙拉線一線",'0729 4度C'!$B:$B,"平均")</f>
        <v>74.273801510006621</v>
      </c>
      <c r="F14" s="53">
        <f>SUMIFS('0729 4度C'!$N:$N,'0729 4度C'!$A:$A,"沙拉線二線",'0729 4度C'!$B:$B,"平均")</f>
        <v>74.323214194987344</v>
      </c>
      <c r="G14" s="53">
        <f>SUMIFS('0729 4度C'!$N:$N,'0729 4度C'!$A:$A,"沙拉線三線",'0729 4度C'!$B:$B,"平均")</f>
        <v>95.978780962887726</v>
      </c>
      <c r="H14" s="53">
        <f>SUMIFS('0729 4度C'!$N:$N,'0729 4度C'!$A:$A,"自動包裝線",'0729 4度C'!$B:$B,"平均")</f>
        <v>276.1407847839755</v>
      </c>
      <c r="I14" s="53">
        <f>SUMIFS('0729 4度C'!$N:$N,'0729 4度C'!$A:$A,"涼麵一線",'0729 4度C'!$B:$B,"平均")</f>
        <v>81.996393357366699</v>
      </c>
      <c r="J14" s="54">
        <f>SUMIFS('0729 4度C'!$N:$N,'0729 4度C'!$A:$A,"三明治四線",'0729 4度C'!$B:$B,"平均")</f>
        <v>233.09405175770357</v>
      </c>
      <c r="K14" s="55">
        <f>SUMIFS('0729 4度C'!$N:$N,'0729 4度C'!$A:$A,"三明治一線",'0729 4度C'!$B:$B,"平均")</f>
        <v>125.9724201222113</v>
      </c>
      <c r="L14" s="56">
        <f>SUMIFS('0729 4度C'!$N:$N,'0729 4度C'!$A:$A,"三明治二線",'0729 4度C'!$B:$B,"平均")</f>
        <v>116.73419369122645</v>
      </c>
      <c r="M14" s="54">
        <f>SUMIFS('0729 4度C'!$N:$N,'0729 4度C'!$A:$A,"自動包裝二線",'0729 4度C'!$B:$B,"平均")</f>
        <v>129.7083951884797</v>
      </c>
    </row>
    <row r="15" spans="2:17" ht="40.15" customHeight="1">
      <c r="B15" s="447"/>
      <c r="C15" s="57" t="s">
        <v>1544</v>
      </c>
      <c r="D15" s="58">
        <f>D14/D13</f>
        <v>0.9122881122881118</v>
      </c>
      <c r="E15" s="59">
        <f t="shared" ref="E15:M15" si="0">E14/E13</f>
        <v>0.91604355195674836</v>
      </c>
      <c r="F15" s="59">
        <f t="shared" si="0"/>
        <v>0.91419626894671213</v>
      </c>
      <c r="G15" s="59">
        <f t="shared" si="0"/>
        <v>0.92117565636794541</v>
      </c>
      <c r="H15" s="59">
        <f>H14/H13</f>
        <v>0.92046928261325167</v>
      </c>
      <c r="I15" s="59">
        <f>I14/I13</f>
        <v>0.91562639249059485</v>
      </c>
      <c r="J15" s="60">
        <f>J14/J13</f>
        <v>0.92090266562305156</v>
      </c>
      <c r="K15" s="58">
        <f>K14/K13</f>
        <v>0.91479971755415335</v>
      </c>
      <c r="L15" s="59">
        <f>L14/L13</f>
        <v>0.9180657941341247</v>
      </c>
      <c r="M15" s="60">
        <f t="shared" si="0"/>
        <v>0.91876779925173113</v>
      </c>
    </row>
    <row r="16" spans="2:17" ht="17.25" customHeight="1">
      <c r="B16" s="430" t="s">
        <v>190</v>
      </c>
      <c r="C16" s="378" t="s">
        <v>1545</v>
      </c>
      <c r="D16" s="61">
        <f>VLOOKUP("燴飯線",'0729 4度C'!$A:$T,19,0)</f>
        <v>0.70833333333333337</v>
      </c>
      <c r="E16" s="24">
        <f>VLOOKUP("沙拉線一線",'0729 4度C'!$A:$T,19,0)</f>
        <v>0.13055555555555556</v>
      </c>
      <c r="F16" s="24">
        <f>VLOOKUP("沙拉線二線",'0729 4度C'!$A:$T,19,0)</f>
        <v>0.25</v>
      </c>
      <c r="G16" s="24">
        <f>VLOOKUP("沙拉線三線",'0729 4度C'!$A:$T,19,0)</f>
        <v>0.16666666666666666</v>
      </c>
      <c r="H16" s="24">
        <f>VLOOKUP("自動包裝線",'0729 4度C'!$A:$T,19,0)</f>
        <v>0.20833333333333334</v>
      </c>
      <c r="I16" s="24">
        <f>VLOOKUP("涼麵一線",'0729 4度C'!$A:$T,19,0)</f>
        <v>0.29166666666666669</v>
      </c>
      <c r="J16" s="62">
        <f>VLOOKUP("三明治四線",'0729 4度C'!$A:$T,19,0)</f>
        <v>0.20833333333333334</v>
      </c>
      <c r="K16" s="63">
        <f>VLOOKUP("三明治一線",'0729 4度C'!$A:$T,19,0)</f>
        <v>0.125</v>
      </c>
      <c r="L16" s="64">
        <f>VLOOKUP("三明治二線",'0729 4度C'!$A:$T,19,0)</f>
        <v>8.3333333333333329E-2</v>
      </c>
      <c r="M16" s="65">
        <f>VLOOKUP("自動包裝二線",'0729 4度C'!$A:$T,19,0)</f>
        <v>0.125</v>
      </c>
    </row>
    <row r="17" spans="2:13" ht="17.25" customHeight="1">
      <c r="B17" s="431"/>
      <c r="C17" s="378" t="s">
        <v>1546</v>
      </c>
      <c r="D17" s="63">
        <f>LOOKUP(2,1/(('0729 4度C'!$A:$A="燴飯線")*('0729 4度C'!$T:$T&lt;&gt;"")),'0729 4度C'!$T:$T)</f>
        <v>0.85555555555555562</v>
      </c>
      <c r="E17" s="24">
        <f>LOOKUP(2,1/(('0729 4度C'!$A:$A="沙拉線一線")*('0729 4度C'!$T:$T&lt;&gt;"")),'0729 4度C'!$T:$T)</f>
        <v>0.63819444444444429</v>
      </c>
      <c r="F17" s="24">
        <f>LOOKUP(2,1/(('0729 4度C'!$A:$A="沙拉線二線")*('0729 4度C'!$T:$T&lt;&gt;"")),'0729 4度C'!$T:$T)</f>
        <v>0.9604166666666667</v>
      </c>
      <c r="G17" s="24">
        <f>LOOKUP(2,1/(('0729 4度C'!$A:$A="沙拉線三線")*('0729 4度C'!$T:$T&lt;&gt;"")),'0729 4度C'!$T:$T)</f>
        <v>0.94791666666666663</v>
      </c>
      <c r="H17" s="24">
        <f>LOOKUP(2,1/(('0729 4度C'!$A:$A="自動包裝線")*('0729 4度C'!$T:$T&lt;&gt;"")),'0729 4度C'!$T:$T)</f>
        <v>0.62152777777777768</v>
      </c>
      <c r="I17" s="24">
        <f>LOOKUP(2,1/(('0729 4度C'!$A:$A="涼麵一線")*('0729 4度C'!$T:$T&lt;&gt;"")),'0729 4度C'!$T:$T)</f>
        <v>0.82847222222222228</v>
      </c>
      <c r="J17" s="62">
        <f>LOOKUP(2,1/(('0729 4度C'!$A:$A="三明治四線")*('0729 4度C'!$T:$T&lt;&gt;"")),'0729 4度C'!$T:$T)</f>
        <v>0.47916666666666657</v>
      </c>
      <c r="K17" s="61">
        <f>LOOKUP(2,1/(('0729 4度C'!$A:$A="三明治一線")*('0729 4度C'!$T:$T&lt;&gt;"")),'0729 4度C'!$T:$T)</f>
        <v>0.67916666666666647</v>
      </c>
      <c r="L17" s="24">
        <f>LOOKUP(2,1/(('0729 4度C'!$A:$A="三明治二線")*('0729 4度C'!$T:$T&lt;&gt;"")),'0729 4度C'!$T:$T)</f>
        <v>0.63333333333333308</v>
      </c>
      <c r="M17" s="62">
        <f>LOOKUP(2,1/(('0729 4度C'!$A:$A="自動包裝二線")*('0729 4度C'!$T:$T&lt;&gt;"")),'0729 4度C'!$T:$T)</f>
        <v>0.64027777777777772</v>
      </c>
    </row>
    <row r="18" spans="2:13" ht="17.25" customHeight="1">
      <c r="B18" s="431" t="s">
        <v>1547</v>
      </c>
      <c r="C18" s="446"/>
      <c r="D18" s="66">
        <f>SUMIFS('0729 4度C'!$I:$I,'0729 4度C'!$A:$A,"燴飯線",'0729 4度C'!$B:$B,"平均")</f>
        <v>17</v>
      </c>
      <c r="E18" s="67">
        <f>SUMIFS('0729 4度C'!$I:$I,'0729 4度C'!$A:$A,"沙拉線一線",'0729 4度C'!$B:$B,"平均")</f>
        <v>18.5</v>
      </c>
      <c r="F18" s="67">
        <f>SUMIFS('0729 4度C'!$I:$I,'0729 4度C'!$A:$A,"沙拉線二線",'0729 4度C'!$B:$B,"平均")</f>
        <v>19.399999999999999</v>
      </c>
      <c r="G18" s="67">
        <f>SUMIFS('0729 4度C'!$I:$I,'0729 4度C'!$A:$A,"沙拉線三線",'0729 4度C'!$B:$B,"平均")</f>
        <v>16.7</v>
      </c>
      <c r="H18" s="67">
        <f>SUMIFS('0729 4度C'!$I:$I,'0729 4度C'!$A:$A,"自動包裝線",'0729 4度C'!$B:$B,"平均")</f>
        <v>10</v>
      </c>
      <c r="I18" s="67">
        <f>SUMIFS('0729 4度C'!$I:$I,'0729 4度C'!$A:$A,"涼麵一線",'0729 4度C'!$B:$B,"平均")</f>
        <v>16.75</v>
      </c>
      <c r="J18" s="68">
        <f>SUMIFS('0729 4度C'!$I:$I,'0729 4度C'!$A:$A,"三明治四線",'0729 4度C'!$B:$B,"平均")</f>
        <v>10.166666666666666</v>
      </c>
      <c r="K18" s="66">
        <f>SUMIFS('0729 4度C'!$I:$I,'0729 4度C'!$A:$A,"三明治一線",'0729 4度C'!$B:$B,"平均")</f>
        <v>17.428571428571427</v>
      </c>
      <c r="L18" s="67">
        <f>SUMIFS('0729 4度C'!$I:$I,'0729 4度C'!$A:$A,"三明治二線",'0729 4度C'!$B:$B,"平均")</f>
        <v>18.875</v>
      </c>
      <c r="M18" s="68">
        <f>SUMIFS('0729 4度C'!$I:$I,'0729 4度C'!$A:$A,"自動包裝二線",'0729 4度C'!$B:$B,"平均")</f>
        <v>17</v>
      </c>
    </row>
    <row r="19" spans="2:13" ht="17.25" customHeight="1">
      <c r="B19" s="448" t="s">
        <v>1548</v>
      </c>
      <c r="C19" s="449"/>
      <c r="D19" s="69" t="s">
        <v>50</v>
      </c>
      <c r="E19" s="70" t="s">
        <v>51</v>
      </c>
      <c r="F19" s="70" t="s">
        <v>1549</v>
      </c>
      <c r="G19" s="70" t="s">
        <v>1549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1550</v>
      </c>
      <c r="M19" s="71" t="s">
        <v>105</v>
      </c>
    </row>
    <row r="20" spans="2:13" ht="17.25" customHeight="1">
      <c r="B20" s="448" t="s">
        <v>1551</v>
      </c>
      <c r="C20" s="449"/>
      <c r="D20" s="69"/>
      <c r="E20" s="70"/>
      <c r="F20" s="70" t="s">
        <v>1552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1553</v>
      </c>
      <c r="C21" s="451"/>
      <c r="D21" s="72"/>
      <c r="E21" s="73" t="s">
        <v>1554</v>
      </c>
      <c r="F21" s="452" t="s">
        <v>201</v>
      </c>
      <c r="G21" s="453"/>
      <c r="H21" s="73" t="s">
        <v>546</v>
      </c>
      <c r="I21" s="73" t="s">
        <v>1555</v>
      </c>
      <c r="J21" s="74" t="s">
        <v>546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07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C3" sqref="C3:D3"/>
      <selection pane="bottomLeft" activeCell="L19" sqref="L19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1556</v>
      </c>
      <c r="B1" s="1"/>
      <c r="C1" s="2" t="s">
        <v>110</v>
      </c>
      <c r="D1" s="3">
        <f>SUM(F5:F75)</f>
        <v>169100</v>
      </c>
      <c r="E1" s="380" t="s">
        <v>467</v>
      </c>
      <c r="F1" s="1">
        <f>SUM(G5:G75)</f>
        <v>5815237.6900000013</v>
      </c>
      <c r="G1" s="1" t="s">
        <v>1557</v>
      </c>
      <c r="H1" s="4">
        <f>L8+L13+L56+L61+L19+L68+L38+L47+L30+L75</f>
        <v>161.8202380952381</v>
      </c>
      <c r="I1" s="454" t="s">
        <v>112</v>
      </c>
      <c r="J1" s="454"/>
      <c r="K1" s="454"/>
      <c r="L1" s="454" t="s">
        <v>1558</v>
      </c>
      <c r="M1" s="454"/>
      <c r="N1" s="454"/>
      <c r="O1" s="454" t="s">
        <v>71</v>
      </c>
      <c r="P1" s="454"/>
      <c r="Q1" s="454"/>
      <c r="R1" s="454"/>
      <c r="S1" s="454" t="s">
        <v>1559</v>
      </c>
      <c r="T1" s="454"/>
      <c r="U1" s="454"/>
      <c r="V1" s="454"/>
      <c r="W1" s="454"/>
      <c r="X1" s="454"/>
      <c r="Y1" s="454" t="s">
        <v>212</v>
      </c>
      <c r="Z1" s="454"/>
      <c r="AA1" s="454" t="s">
        <v>1560</v>
      </c>
      <c r="AB1" s="455"/>
      <c r="AC1" s="455"/>
    </row>
    <row r="2" spans="1:29" ht="26.25" customHeight="1">
      <c r="A2" s="22">
        <v>45867</v>
      </c>
      <c r="B2" s="23" t="s">
        <v>74</v>
      </c>
      <c r="C2" s="2" t="s">
        <v>1561</v>
      </c>
      <c r="D2" s="6">
        <f>AVERAGE(N8,N13,N56,N61,N19,N68,N30,N38,N47,N75)</f>
        <v>130.48172474581744</v>
      </c>
      <c r="E2" s="7" t="s">
        <v>0</v>
      </c>
      <c r="F2" s="8">
        <f>F1/D1</f>
        <v>34.389341750443535</v>
      </c>
      <c r="G2" s="1" t="s">
        <v>1562</v>
      </c>
      <c r="H2" s="379">
        <f>COUNT(H5:H75)</f>
        <v>10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1563</v>
      </c>
      <c r="B3" s="456" t="s">
        <v>1564</v>
      </c>
      <c r="C3" s="456" t="s">
        <v>1565</v>
      </c>
      <c r="D3" s="456"/>
      <c r="E3" s="457" t="s">
        <v>117</v>
      </c>
      <c r="F3" s="456" t="s">
        <v>481</v>
      </c>
      <c r="G3" s="457" t="s">
        <v>222</v>
      </c>
      <c r="H3" s="463" t="s">
        <v>1566</v>
      </c>
      <c r="I3" s="464" t="s">
        <v>1567</v>
      </c>
      <c r="J3" s="465" t="s">
        <v>1568</v>
      </c>
      <c r="K3" s="459" t="s">
        <v>1561</v>
      </c>
      <c r="L3" s="464" t="s">
        <v>1567</v>
      </c>
      <c r="M3" s="465" t="s">
        <v>1568</v>
      </c>
      <c r="N3" s="459" t="s">
        <v>585</v>
      </c>
      <c r="O3" s="464" t="s">
        <v>1567</v>
      </c>
      <c r="P3" s="459" t="s">
        <v>585</v>
      </c>
      <c r="Q3" s="460" t="s">
        <v>1569</v>
      </c>
      <c r="R3" s="461" t="s">
        <v>80</v>
      </c>
      <c r="S3" s="462" t="s">
        <v>1</v>
      </c>
      <c r="T3" s="462"/>
      <c r="U3" s="463" t="s">
        <v>2</v>
      </c>
      <c r="V3" s="463" t="s">
        <v>1570</v>
      </c>
      <c r="W3" s="456" t="s">
        <v>1571</v>
      </c>
      <c r="X3" s="456"/>
      <c r="Y3" s="475" t="s">
        <v>1572</v>
      </c>
      <c r="Z3" s="476"/>
      <c r="AA3" s="465" t="s">
        <v>1568</v>
      </c>
      <c r="AB3" s="460" t="s">
        <v>1569</v>
      </c>
      <c r="AC3" s="461" t="s">
        <v>1573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81" t="s">
        <v>3</v>
      </c>
      <c r="T4" s="381" t="s">
        <v>4</v>
      </c>
      <c r="U4" s="463"/>
      <c r="V4" s="463"/>
      <c r="W4" s="380" t="s">
        <v>431</v>
      </c>
      <c r="X4" s="380" t="s">
        <v>1574</v>
      </c>
      <c r="Y4" s="476"/>
      <c r="Z4" s="476"/>
      <c r="AA4" s="465"/>
      <c r="AB4" s="460"/>
      <c r="AC4" s="461"/>
    </row>
    <row r="5" spans="1:29">
      <c r="A5" s="471" t="s">
        <v>1575</v>
      </c>
      <c r="B5" s="26" t="s">
        <v>13</v>
      </c>
      <c r="C5" s="472" t="s">
        <v>58</v>
      </c>
      <c r="D5" s="472"/>
      <c r="E5" s="26">
        <v>46.93</v>
      </c>
      <c r="F5" s="381">
        <v>1012</v>
      </c>
      <c r="G5" s="380">
        <f>E5*F5</f>
        <v>47493.159999999996</v>
      </c>
      <c r="H5" s="76" t="s">
        <v>57</v>
      </c>
      <c r="I5" s="383">
        <v>17</v>
      </c>
      <c r="J5" s="18">
        <v>1800</v>
      </c>
      <c r="K5" s="9">
        <f>J5/I5</f>
        <v>105.88235294117646</v>
      </c>
      <c r="L5" s="383">
        <v>17</v>
      </c>
      <c r="M5" s="10">
        <f>F5/V5*60</f>
        <v>1641.0810810810797</v>
      </c>
      <c r="N5" s="9">
        <f>M5/L5</f>
        <v>96.534181240063504</v>
      </c>
      <c r="O5" s="11">
        <f t="shared" ref="O5:O7" si="0">L5-I5</f>
        <v>0</v>
      </c>
      <c r="P5" s="12">
        <f t="shared" ref="P5:P7" si="1">N5-K5</f>
        <v>-9.3481717011129604</v>
      </c>
      <c r="Q5" s="385">
        <f>N5/K5</f>
        <v>0.91171171171171095</v>
      </c>
      <c r="R5" s="470">
        <f>Q8</f>
        <v>0.9122881122881118</v>
      </c>
      <c r="S5" s="24">
        <v>0.70833333333333337</v>
      </c>
      <c r="T5" s="24">
        <v>0.73402777777777783</v>
      </c>
      <c r="U5" s="380"/>
      <c r="V5" s="382">
        <f>(T5-S5)*24*60</f>
        <v>37.000000000000028</v>
      </c>
      <c r="W5" s="13"/>
      <c r="X5" s="13"/>
      <c r="Y5" s="456"/>
      <c r="Z5" s="456"/>
      <c r="AA5" s="11">
        <f t="shared" ref="AA5:AA68" si="2">M5-J5</f>
        <v>-158.91891891892033</v>
      </c>
      <c r="AB5" s="385">
        <f t="shared" ref="AB5:AB7" si="3">M5/J5</f>
        <v>0.91171171171171095</v>
      </c>
      <c r="AC5" s="470">
        <f>AB8</f>
        <v>0.91228811228811169</v>
      </c>
    </row>
    <row r="6" spans="1:29">
      <c r="A6" s="464" t="s">
        <v>234</v>
      </c>
      <c r="B6" s="26" t="s">
        <v>13</v>
      </c>
      <c r="C6" s="472" t="s">
        <v>60</v>
      </c>
      <c r="D6" s="472"/>
      <c r="E6" s="26">
        <v>50.49</v>
      </c>
      <c r="F6" s="381">
        <v>2137</v>
      </c>
      <c r="G6" s="380">
        <f t="shared" ref="G6:G7" si="4">E6*F6</f>
        <v>107897.13</v>
      </c>
      <c r="H6" s="76" t="s">
        <v>57</v>
      </c>
      <c r="I6" s="383">
        <v>16</v>
      </c>
      <c r="J6" s="18">
        <v>1800</v>
      </c>
      <c r="K6" s="9">
        <f t="shared" ref="K6:K7" si="5">J6/I6</f>
        <v>112.5</v>
      </c>
      <c r="L6" s="383">
        <v>16</v>
      </c>
      <c r="M6" s="10">
        <f>F6/V6*60</f>
        <v>1643.8461538461529</v>
      </c>
      <c r="N6" s="9">
        <f t="shared" ref="N6:N7" si="6">M6/L6</f>
        <v>102.74038461538456</v>
      </c>
      <c r="O6" s="11">
        <f t="shared" si="0"/>
        <v>0</v>
      </c>
      <c r="P6" s="12">
        <f t="shared" si="1"/>
        <v>-9.7596153846154436</v>
      </c>
      <c r="Q6" s="385">
        <f t="shared" ref="Q6:Q7" si="7">N6/K6</f>
        <v>0.91324786324786267</v>
      </c>
      <c r="R6" s="470"/>
      <c r="S6" s="24">
        <v>0.73750000000000004</v>
      </c>
      <c r="T6" s="24">
        <v>0.79166666666666674</v>
      </c>
      <c r="U6" s="380">
        <f>(S6-T5)*24*60</f>
        <v>4.9999999999999822</v>
      </c>
      <c r="V6" s="382">
        <f>(T6-S6)*24*60</f>
        <v>78.000000000000043</v>
      </c>
      <c r="W6" s="14"/>
      <c r="X6" s="14"/>
      <c r="Y6" s="456"/>
      <c r="Z6" s="456"/>
      <c r="AA6" s="11">
        <f t="shared" si="2"/>
        <v>-156.1538461538471</v>
      </c>
      <c r="AB6" s="385">
        <f t="shared" si="3"/>
        <v>0.91324786324786267</v>
      </c>
      <c r="AC6" s="470"/>
    </row>
    <row r="7" spans="1:29">
      <c r="A7" s="464" t="s">
        <v>234</v>
      </c>
      <c r="B7" s="26" t="s">
        <v>13</v>
      </c>
      <c r="C7" s="468" t="s">
        <v>448</v>
      </c>
      <c r="D7" s="469"/>
      <c r="E7" s="26">
        <v>50.67</v>
      </c>
      <c r="F7" s="381">
        <v>2298</v>
      </c>
      <c r="G7" s="380">
        <f t="shared" si="4"/>
        <v>116439.66</v>
      </c>
      <c r="H7" s="76" t="s">
        <v>57</v>
      </c>
      <c r="I7" s="383">
        <v>18</v>
      </c>
      <c r="J7" s="18">
        <v>1800</v>
      </c>
      <c r="K7" s="9">
        <f t="shared" si="5"/>
        <v>100</v>
      </c>
      <c r="L7" s="383">
        <v>18</v>
      </c>
      <c r="M7" s="10">
        <f t="shared" ref="M7" si="8">F7/V7*60</f>
        <v>1641.4285714285709</v>
      </c>
      <c r="N7" s="9">
        <f t="shared" si="6"/>
        <v>91.190476190476161</v>
      </c>
      <c r="O7" s="11">
        <f t="shared" si="0"/>
        <v>0</v>
      </c>
      <c r="P7" s="12">
        <f t="shared" si="1"/>
        <v>-8.8095238095238386</v>
      </c>
      <c r="Q7" s="385">
        <f t="shared" si="7"/>
        <v>0.91190476190476166</v>
      </c>
      <c r="R7" s="470"/>
      <c r="S7" s="24">
        <v>0.79722222222222228</v>
      </c>
      <c r="T7" s="24">
        <v>0.85555555555555562</v>
      </c>
      <c r="U7" s="380">
        <f t="shared" ref="U7" si="9">(S7-T6)*24*60</f>
        <v>7.9999999999999716</v>
      </c>
      <c r="V7" s="382">
        <f t="shared" ref="V7" si="10">(T7-S7)*24*60</f>
        <v>84.000000000000028</v>
      </c>
      <c r="W7" s="14"/>
      <c r="X7" s="14"/>
      <c r="Y7" s="473"/>
      <c r="Z7" s="474"/>
      <c r="AA7" s="11">
        <f t="shared" si="2"/>
        <v>-158.57142857142912</v>
      </c>
      <c r="AB7" s="385">
        <f t="shared" si="3"/>
        <v>0.91190476190476155</v>
      </c>
      <c r="AC7" s="470"/>
    </row>
    <row r="8" spans="1:29">
      <c r="A8" s="464" t="s">
        <v>234</v>
      </c>
      <c r="B8" s="26" t="s">
        <v>236</v>
      </c>
      <c r="C8" s="466"/>
      <c r="D8" s="466"/>
      <c r="E8" s="384"/>
      <c r="F8" s="16"/>
      <c r="G8" s="9"/>
      <c r="H8" s="381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1642.1186021186011</v>
      </c>
      <c r="N8" s="9">
        <f>M8/L8</f>
        <v>96.595211889329477</v>
      </c>
      <c r="O8" s="11">
        <f>L8-I8</f>
        <v>0</v>
      </c>
      <c r="P8" s="12">
        <f>N8-K8</f>
        <v>-9.2871410518469872</v>
      </c>
      <c r="Q8" s="385">
        <f>N8/K8</f>
        <v>0.9122881122881118</v>
      </c>
      <c r="R8" s="470"/>
      <c r="S8" s="24"/>
      <c r="T8" s="24"/>
      <c r="U8" s="380"/>
      <c r="V8" s="382"/>
      <c r="W8" s="9"/>
      <c r="X8" s="9"/>
      <c r="Y8" s="456"/>
      <c r="Z8" s="456"/>
      <c r="AA8" s="11">
        <f t="shared" si="2"/>
        <v>-157.88139788139893</v>
      </c>
      <c r="AB8" s="385">
        <f>M8/J8</f>
        <v>0.91228811228811169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381">
        <v>4464</v>
      </c>
      <c r="G9" s="380">
        <f t="shared" ref="G9:G12" si="11">E9*F9</f>
        <v>176863.68</v>
      </c>
      <c r="H9" s="76" t="s">
        <v>57</v>
      </c>
      <c r="I9" s="383">
        <v>19</v>
      </c>
      <c r="J9" s="18">
        <v>1500</v>
      </c>
      <c r="K9" s="9">
        <f t="shared" ref="K9:K12" si="12">J9/I9</f>
        <v>78.94736842105263</v>
      </c>
      <c r="L9" s="383">
        <v>19</v>
      </c>
      <c r="M9" s="10">
        <f t="shared" ref="M9:M12" si="13">F9/V9*60</f>
        <v>1373.5384615384617</v>
      </c>
      <c r="N9" s="9">
        <f t="shared" ref="N9:N12" si="14">M9/L9</f>
        <v>72.291497975708509</v>
      </c>
      <c r="O9" s="11">
        <f t="shared" ref="O9:O12" si="15">L9-I9</f>
        <v>0</v>
      </c>
      <c r="P9" s="12">
        <f>N9-K9</f>
        <v>-6.6558704453441209</v>
      </c>
      <c r="Q9" s="385">
        <f>N9/K9</f>
        <v>0.91569230769230781</v>
      </c>
      <c r="R9" s="470">
        <f>Q13</f>
        <v>0.91604355195674836</v>
      </c>
      <c r="S9" s="24">
        <v>0.13055555555555556</v>
      </c>
      <c r="T9" s="24">
        <v>0.26597222222222222</v>
      </c>
      <c r="U9" s="380"/>
      <c r="V9" s="382">
        <f t="shared" ref="V9:V12" si="16">(T9-S9)*24*60</f>
        <v>195</v>
      </c>
      <c r="W9" s="9"/>
      <c r="X9" s="9"/>
      <c r="Y9" s="456"/>
      <c r="Z9" s="456"/>
      <c r="AA9" s="11">
        <f t="shared" si="2"/>
        <v>-126.46153846153834</v>
      </c>
      <c r="AB9" s="385">
        <f>M9/J9</f>
        <v>0.91569230769230781</v>
      </c>
      <c r="AC9" s="470">
        <f>AB13</f>
        <v>0.91604355195674836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81">
        <v>2600</v>
      </c>
      <c r="G10" s="380">
        <f t="shared" si="11"/>
        <v>103479.99999999999</v>
      </c>
      <c r="H10" s="76">
        <v>2</v>
      </c>
      <c r="I10" s="383">
        <v>18</v>
      </c>
      <c r="J10" s="18">
        <v>1500</v>
      </c>
      <c r="K10" s="9">
        <f t="shared" si="12"/>
        <v>83.333333333333329</v>
      </c>
      <c r="L10" s="383">
        <v>18</v>
      </c>
      <c r="M10" s="10">
        <f t="shared" si="13"/>
        <v>1380.5309734513273</v>
      </c>
      <c r="N10" s="9">
        <f t="shared" si="14"/>
        <v>76.696165191740405</v>
      </c>
      <c r="O10" s="11">
        <f t="shared" si="15"/>
        <v>0</v>
      </c>
      <c r="P10" s="12">
        <f t="shared" ref="P10:P12" si="17">N10-K10</f>
        <v>-6.6371681415929231</v>
      </c>
      <c r="Q10" s="385">
        <f t="shared" ref="Q10:Q12" si="18">N10/K10</f>
        <v>0.92035398230088494</v>
      </c>
      <c r="R10" s="470"/>
      <c r="S10" s="24">
        <v>0.28888888888888886</v>
      </c>
      <c r="T10" s="24">
        <v>0.36736111111111108</v>
      </c>
      <c r="U10" s="380">
        <f>(S10-T9)*24*60</f>
        <v>32.999999999999964</v>
      </c>
      <c r="V10" s="382">
        <f t="shared" si="16"/>
        <v>113</v>
      </c>
      <c r="W10" s="14"/>
      <c r="X10" s="14"/>
      <c r="Y10" s="456"/>
      <c r="Z10" s="456"/>
      <c r="AA10" s="11">
        <f t="shared" si="2"/>
        <v>-119.46902654867267</v>
      </c>
      <c r="AB10" s="385">
        <f t="shared" ref="AB10:AB30" si="19">M10/J10</f>
        <v>0.92035398230088483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81">
        <v>3835</v>
      </c>
      <c r="G11" s="380">
        <f t="shared" si="11"/>
        <v>150677.15</v>
      </c>
      <c r="H11" s="76" t="s">
        <v>57</v>
      </c>
      <c r="I11" s="383">
        <v>19</v>
      </c>
      <c r="J11" s="18">
        <v>1500</v>
      </c>
      <c r="K11" s="9">
        <f t="shared" si="12"/>
        <v>78.94736842105263</v>
      </c>
      <c r="L11" s="383">
        <v>19</v>
      </c>
      <c r="M11" s="10">
        <f t="shared" si="13"/>
        <v>1369.6428571428573</v>
      </c>
      <c r="N11" s="9">
        <f t="shared" si="14"/>
        <v>72.08646616541354</v>
      </c>
      <c r="O11" s="11">
        <f t="shared" si="15"/>
        <v>0</v>
      </c>
      <c r="P11" s="12">
        <f t="shared" si="17"/>
        <v>-6.8609022556390897</v>
      </c>
      <c r="Q11" s="385">
        <f t="shared" si="18"/>
        <v>0.91309523809523818</v>
      </c>
      <c r="R11" s="470"/>
      <c r="S11" s="24">
        <v>0.37499999999999994</v>
      </c>
      <c r="T11" s="24">
        <v>0.49166666666666659</v>
      </c>
      <c r="U11" s="380">
        <f t="shared" ref="U11:U12" si="20">(S11-T10)*24*60</f>
        <v>10.999999999999961</v>
      </c>
      <c r="V11" s="382">
        <f t="shared" si="16"/>
        <v>167.99999999999997</v>
      </c>
      <c r="W11" s="14"/>
      <c r="X11" s="14"/>
      <c r="Y11" s="456"/>
      <c r="Z11" s="456"/>
      <c r="AA11" s="11">
        <f t="shared" si="2"/>
        <v>-130.35714285714266</v>
      </c>
      <c r="AB11" s="385">
        <f t="shared" si="19"/>
        <v>0.91309523809523818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381">
        <v>3500</v>
      </c>
      <c r="G12" s="380">
        <f t="shared" si="11"/>
        <v>139300</v>
      </c>
      <c r="H12" s="76" t="s">
        <v>57</v>
      </c>
      <c r="I12" s="383">
        <v>18</v>
      </c>
      <c r="J12" s="18">
        <v>1500</v>
      </c>
      <c r="K12" s="9">
        <f t="shared" si="12"/>
        <v>83.333333333333329</v>
      </c>
      <c r="L12" s="383">
        <v>18</v>
      </c>
      <c r="M12" s="10">
        <f t="shared" si="13"/>
        <v>1372.5490196078435</v>
      </c>
      <c r="N12" s="9">
        <f t="shared" si="14"/>
        <v>76.252723311546859</v>
      </c>
      <c r="O12" s="11">
        <f t="shared" si="15"/>
        <v>0</v>
      </c>
      <c r="P12" s="12">
        <f t="shared" si="17"/>
        <v>-7.0806100217864696</v>
      </c>
      <c r="Q12" s="385">
        <f t="shared" si="18"/>
        <v>0.91503267973856239</v>
      </c>
      <c r="R12" s="470"/>
      <c r="S12" s="24">
        <v>0.53194444444444433</v>
      </c>
      <c r="T12" s="24">
        <v>0.63819444444444429</v>
      </c>
      <c r="U12" s="380">
        <f t="shared" si="20"/>
        <v>57.999999999999957</v>
      </c>
      <c r="V12" s="382">
        <f t="shared" si="16"/>
        <v>152.99999999999994</v>
      </c>
      <c r="W12" s="14"/>
      <c r="X12" s="14"/>
      <c r="Y12" s="456"/>
      <c r="Z12" s="456"/>
      <c r="AA12" s="11">
        <f t="shared" si="2"/>
        <v>-127.45098039215645</v>
      </c>
      <c r="AB12" s="385">
        <f t="shared" si="19"/>
        <v>0.91503267973856239</v>
      </c>
      <c r="AC12" s="470"/>
    </row>
    <row r="13" spans="1:29" ht="16.5" customHeight="1">
      <c r="A13" s="467" t="s">
        <v>5</v>
      </c>
      <c r="B13" s="26" t="s">
        <v>1576</v>
      </c>
      <c r="C13" s="466"/>
      <c r="D13" s="466"/>
      <c r="E13" s="384"/>
      <c r="F13" s="18"/>
      <c r="G13" s="10"/>
      <c r="H13" s="381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1374.0653279351225</v>
      </c>
      <c r="N13" s="9">
        <f>M13/L13</f>
        <v>74.273801510006621</v>
      </c>
      <c r="O13" s="11">
        <f>L13-I13</f>
        <v>0</v>
      </c>
      <c r="P13" s="12">
        <f>N13-K13</f>
        <v>-6.80727957107446</v>
      </c>
      <c r="Q13" s="385">
        <f>N13/K13</f>
        <v>0.91604355195674836</v>
      </c>
      <c r="R13" s="470"/>
      <c r="S13" s="24"/>
      <c r="T13" s="24"/>
      <c r="U13" s="9"/>
      <c r="V13" s="382"/>
      <c r="W13" s="9"/>
      <c r="X13" s="9"/>
      <c r="Y13" s="456"/>
      <c r="Z13" s="456"/>
      <c r="AA13" s="11">
        <f t="shared" si="2"/>
        <v>-125.93467206487753</v>
      </c>
      <c r="AB13" s="385">
        <f t="shared" si="19"/>
        <v>0.91604355195674836</v>
      </c>
      <c r="AC13" s="470"/>
    </row>
    <row r="14" spans="1:29" ht="16.5" customHeight="1">
      <c r="A14" s="480" t="s">
        <v>1577</v>
      </c>
      <c r="B14" s="381" t="s">
        <v>18</v>
      </c>
      <c r="C14" s="477" t="s">
        <v>19</v>
      </c>
      <c r="D14" s="477"/>
      <c r="E14" s="26">
        <v>41</v>
      </c>
      <c r="F14" s="381">
        <v>1841</v>
      </c>
      <c r="G14" s="380">
        <f t="shared" ref="G14:G18" si="21">E14*F14</f>
        <v>75481</v>
      </c>
      <c r="H14" s="76" t="s">
        <v>57</v>
      </c>
      <c r="I14" s="383">
        <v>26</v>
      </c>
      <c r="J14" s="18">
        <v>1286</v>
      </c>
      <c r="K14" s="9">
        <f>J14/I14</f>
        <v>49.46153846153846</v>
      </c>
      <c r="L14" s="383">
        <v>26</v>
      </c>
      <c r="M14" s="10">
        <f>F14/V14*60</f>
        <v>1175.1063829787236</v>
      </c>
      <c r="N14" s="9">
        <f t="shared" ref="N14:N29" si="22">M14/L14</f>
        <v>45.196399345335522</v>
      </c>
      <c r="O14" s="11">
        <f t="shared" ref="O14" si="23">L14-I14</f>
        <v>0</v>
      </c>
      <c r="P14" s="12">
        <f t="shared" ref="P14" si="24">N14-K14</f>
        <v>-4.2651391162029384</v>
      </c>
      <c r="Q14" s="385">
        <f>N14/K14</f>
        <v>0.91376857152311319</v>
      </c>
      <c r="R14" s="470">
        <f>Q19</f>
        <v>0.91419626894671213</v>
      </c>
      <c r="S14" s="24">
        <v>0.25</v>
      </c>
      <c r="T14" s="24">
        <v>0.31527777777777777</v>
      </c>
      <c r="U14" s="380"/>
      <c r="V14" s="382">
        <f>(T14-S14)*24*60</f>
        <v>93.999999999999986</v>
      </c>
      <c r="W14" s="15"/>
      <c r="X14" s="15"/>
      <c r="Y14" s="456"/>
      <c r="Z14" s="456"/>
      <c r="AA14" s="11">
        <f t="shared" si="2"/>
        <v>-110.89361702127644</v>
      </c>
      <c r="AB14" s="385">
        <f t="shared" si="19"/>
        <v>0.91376857152311319</v>
      </c>
      <c r="AC14" s="470">
        <f>AB19</f>
        <v>0.91419626894671202</v>
      </c>
    </row>
    <row r="15" spans="1:29" ht="16.5" customHeight="1">
      <c r="A15" s="481" t="s">
        <v>6</v>
      </c>
      <c r="B15" s="381" t="s">
        <v>15</v>
      </c>
      <c r="C15" s="477" t="s">
        <v>54</v>
      </c>
      <c r="D15" s="477"/>
      <c r="E15" s="26">
        <v>39.29</v>
      </c>
      <c r="F15" s="381">
        <v>3307</v>
      </c>
      <c r="G15" s="380">
        <f t="shared" si="21"/>
        <v>129932.03</v>
      </c>
      <c r="H15" s="76" t="s">
        <v>57</v>
      </c>
      <c r="I15" s="383">
        <v>18</v>
      </c>
      <c r="J15" s="18">
        <v>1500</v>
      </c>
      <c r="K15" s="9">
        <f>J15/I15</f>
        <v>83.333333333333329</v>
      </c>
      <c r="L15" s="383">
        <v>18</v>
      </c>
      <c r="M15" s="10">
        <f>F15/V15*60</f>
        <v>1368.4137931034486</v>
      </c>
      <c r="N15" s="9">
        <f t="shared" si="22"/>
        <v>76.022988505747151</v>
      </c>
      <c r="O15" s="11">
        <f>L15-I15</f>
        <v>0</v>
      </c>
      <c r="P15" s="12">
        <f>N15-K15</f>
        <v>-7.310344827586178</v>
      </c>
      <c r="Q15" s="385">
        <f>N15/K15</f>
        <v>0.91227586206896583</v>
      </c>
      <c r="R15" s="470"/>
      <c r="S15" s="24">
        <v>0.32638888888888884</v>
      </c>
      <c r="T15" s="24">
        <v>0.42708333333333326</v>
      </c>
      <c r="U15" s="380">
        <f>(S15-T14)*24*60</f>
        <v>15.999999999999943</v>
      </c>
      <c r="V15" s="382">
        <f>(T15-S15)*24*60</f>
        <v>144.99999999999997</v>
      </c>
      <c r="W15" s="14"/>
      <c r="X15" s="14"/>
      <c r="Y15" s="456"/>
      <c r="Z15" s="456"/>
      <c r="AA15" s="11">
        <f t="shared" si="2"/>
        <v>-131.5862068965514</v>
      </c>
      <c r="AB15" s="385">
        <f t="shared" si="19"/>
        <v>0.91227586206896571</v>
      </c>
      <c r="AC15" s="470"/>
    </row>
    <row r="16" spans="1:29" ht="16.5" customHeight="1">
      <c r="A16" s="481" t="s">
        <v>6</v>
      </c>
      <c r="B16" s="381" t="s">
        <v>13</v>
      </c>
      <c r="C16" s="477" t="s">
        <v>63</v>
      </c>
      <c r="D16" s="477"/>
      <c r="E16" s="26">
        <v>50.98</v>
      </c>
      <c r="F16" s="381">
        <v>2868</v>
      </c>
      <c r="G16" s="380">
        <f t="shared" si="21"/>
        <v>146210.63999999998</v>
      </c>
      <c r="H16" s="76" t="s">
        <v>57</v>
      </c>
      <c r="I16" s="383">
        <v>17</v>
      </c>
      <c r="J16" s="18">
        <v>1800</v>
      </c>
      <c r="K16" s="9">
        <f t="shared" ref="K16:K18" si="25">J16/I16</f>
        <v>105.88235294117646</v>
      </c>
      <c r="L16" s="383">
        <v>17</v>
      </c>
      <c r="M16" s="10">
        <f t="shared" ref="M16:M18" si="26">F16/V16*60</f>
        <v>1654.6153846153854</v>
      </c>
      <c r="N16" s="9">
        <f t="shared" si="22"/>
        <v>97.330316742081493</v>
      </c>
      <c r="O16" s="11">
        <f t="shared" ref="O16:O18" si="27">L16-I16</f>
        <v>0</v>
      </c>
      <c r="P16" s="12">
        <f t="shared" ref="P16:P18" si="28">N16-K16</f>
        <v>-8.5520361990949709</v>
      </c>
      <c r="Q16" s="385">
        <f t="shared" ref="Q16:Q29" si="29">N16/K16</f>
        <v>0.91923076923076974</v>
      </c>
      <c r="R16" s="470"/>
      <c r="S16" s="24">
        <v>0.70833333333333337</v>
      </c>
      <c r="T16" s="24">
        <v>0.78055555555555556</v>
      </c>
      <c r="U16" s="380">
        <f t="shared" ref="U16:U18" si="30">(S16-T15)*24*60</f>
        <v>405.00000000000017</v>
      </c>
      <c r="V16" s="382">
        <f t="shared" ref="V16:V18" si="31">(T16-S16)*24*60</f>
        <v>103.99999999999994</v>
      </c>
      <c r="W16" s="14"/>
      <c r="X16" s="14"/>
      <c r="Y16" s="456"/>
      <c r="Z16" s="456"/>
      <c r="AA16" s="11">
        <f t="shared" si="2"/>
        <v>-145.38461538461456</v>
      </c>
      <c r="AB16" s="385">
        <f t="shared" si="19"/>
        <v>0.91923076923076974</v>
      </c>
      <c r="AC16" s="470"/>
    </row>
    <row r="17" spans="1:29" ht="16.5" customHeight="1">
      <c r="A17" s="481" t="s">
        <v>6</v>
      </c>
      <c r="B17" s="381" t="s">
        <v>13</v>
      </c>
      <c r="C17" s="477" t="s">
        <v>66</v>
      </c>
      <c r="D17" s="477"/>
      <c r="E17" s="26">
        <v>57.73</v>
      </c>
      <c r="F17" s="381">
        <v>1685</v>
      </c>
      <c r="G17" s="380">
        <f t="shared" si="21"/>
        <v>97275.049999999988</v>
      </c>
      <c r="H17" s="76" t="s">
        <v>57</v>
      </c>
      <c r="I17" s="383">
        <v>16</v>
      </c>
      <c r="J17" s="18">
        <v>1500</v>
      </c>
      <c r="K17" s="9">
        <f t="shared" si="25"/>
        <v>93.75</v>
      </c>
      <c r="L17" s="383">
        <v>16</v>
      </c>
      <c r="M17" s="10">
        <f t="shared" si="26"/>
        <v>1366.2162162162151</v>
      </c>
      <c r="N17" s="9">
        <f t="shared" si="22"/>
        <v>85.388513513513445</v>
      </c>
      <c r="O17" s="11">
        <f t="shared" si="27"/>
        <v>0</v>
      </c>
      <c r="P17" s="12">
        <f t="shared" si="28"/>
        <v>-8.3614864864865552</v>
      </c>
      <c r="Q17" s="385">
        <f t="shared" si="29"/>
        <v>0.91081081081081006</v>
      </c>
      <c r="R17" s="470"/>
      <c r="S17" s="24">
        <v>0.78472222222222221</v>
      </c>
      <c r="T17" s="24">
        <v>0.83611111111111114</v>
      </c>
      <c r="U17" s="380">
        <f t="shared" si="30"/>
        <v>5.9999999999999787</v>
      </c>
      <c r="V17" s="382">
        <f t="shared" si="31"/>
        <v>74.000000000000057</v>
      </c>
      <c r="W17" s="14"/>
      <c r="X17" s="14"/>
      <c r="Y17" s="456"/>
      <c r="Z17" s="456"/>
      <c r="AA17" s="11">
        <f t="shared" si="2"/>
        <v>-133.78378378378488</v>
      </c>
      <c r="AB17" s="385">
        <f t="shared" si="19"/>
        <v>0.91081081081081006</v>
      </c>
      <c r="AC17" s="470"/>
    </row>
    <row r="18" spans="1:29" ht="16.5" customHeight="1">
      <c r="A18" s="481" t="s">
        <v>6</v>
      </c>
      <c r="B18" s="381" t="s">
        <v>13</v>
      </c>
      <c r="C18" s="477" t="s">
        <v>1523</v>
      </c>
      <c r="D18" s="477"/>
      <c r="E18" s="26">
        <v>51.62</v>
      </c>
      <c r="F18" s="381">
        <v>3290</v>
      </c>
      <c r="G18" s="380">
        <f t="shared" si="21"/>
        <v>169829.8</v>
      </c>
      <c r="H18" s="76" t="s">
        <v>57</v>
      </c>
      <c r="I18" s="383">
        <v>20</v>
      </c>
      <c r="J18" s="18">
        <v>1800</v>
      </c>
      <c r="K18" s="9">
        <f t="shared" si="25"/>
        <v>90</v>
      </c>
      <c r="L18" s="383">
        <v>20</v>
      </c>
      <c r="M18" s="10">
        <f t="shared" si="26"/>
        <v>1644.9999999999993</v>
      </c>
      <c r="N18" s="9">
        <f t="shared" si="22"/>
        <v>82.249999999999972</v>
      </c>
      <c r="O18" s="11">
        <f t="shared" si="27"/>
        <v>0</v>
      </c>
      <c r="P18" s="12">
        <f t="shared" si="28"/>
        <v>-7.7500000000000284</v>
      </c>
      <c r="Q18" s="385">
        <f t="shared" si="29"/>
        <v>0.91388888888888853</v>
      </c>
      <c r="R18" s="470"/>
      <c r="S18" s="24">
        <v>0.87708333333333333</v>
      </c>
      <c r="T18" s="24">
        <v>0.9604166666666667</v>
      </c>
      <c r="U18" s="380">
        <f t="shared" si="30"/>
        <v>58.99999999999995</v>
      </c>
      <c r="V18" s="382">
        <f t="shared" si="31"/>
        <v>120.00000000000006</v>
      </c>
      <c r="W18" s="14"/>
      <c r="X18" s="14"/>
      <c r="Y18" s="456"/>
      <c r="Z18" s="456"/>
      <c r="AA18" s="11">
        <f t="shared" si="2"/>
        <v>-155.00000000000068</v>
      </c>
      <c r="AB18" s="385">
        <f t="shared" si="19"/>
        <v>0.91388888888888853</v>
      </c>
      <c r="AC18" s="470"/>
    </row>
    <row r="19" spans="1:29" ht="16.5" customHeight="1">
      <c r="A19" s="481" t="s">
        <v>6</v>
      </c>
      <c r="B19" s="26" t="s">
        <v>236</v>
      </c>
      <c r="C19" s="466"/>
      <c r="D19" s="466"/>
      <c r="E19" s="384"/>
      <c r="F19" s="16"/>
      <c r="G19" s="9"/>
      <c r="H19" s="381"/>
      <c r="I19" s="17">
        <f>AVERAGE(I14:I18)</f>
        <v>19.399999999999999</v>
      </c>
      <c r="J19" s="18">
        <v>1577.2</v>
      </c>
      <c r="K19" s="9">
        <f>J19/I19</f>
        <v>81.298969072164951</v>
      </c>
      <c r="L19" s="17">
        <f>AVERAGE(L14:L18)</f>
        <v>19.399999999999999</v>
      </c>
      <c r="M19" s="10">
        <f>AVERAGE(M14:M18)</f>
        <v>1441.8703553827543</v>
      </c>
      <c r="N19" s="9">
        <f t="shared" si="22"/>
        <v>74.323214194987344</v>
      </c>
      <c r="O19" s="11">
        <f>L19-I19</f>
        <v>0</v>
      </c>
      <c r="P19" s="12">
        <f>N19-K19</f>
        <v>-6.9757548771776072</v>
      </c>
      <c r="Q19" s="385">
        <f t="shared" si="29"/>
        <v>0.91419626894671213</v>
      </c>
      <c r="R19" s="470"/>
      <c r="S19" s="24"/>
      <c r="T19" s="24"/>
      <c r="U19" s="380"/>
      <c r="V19" s="382"/>
      <c r="W19" s="9"/>
      <c r="X19" s="9"/>
      <c r="Y19" s="456"/>
      <c r="Z19" s="456"/>
      <c r="AA19" s="11">
        <f t="shared" si="2"/>
        <v>-135.32964461724578</v>
      </c>
      <c r="AB19" s="385">
        <f t="shared" si="19"/>
        <v>0.91419626894671202</v>
      </c>
      <c r="AC19" s="470"/>
    </row>
    <row r="20" spans="1:29" ht="15.75" customHeight="1">
      <c r="A20" s="478" t="s">
        <v>1578</v>
      </c>
      <c r="B20" s="26" t="s">
        <v>21</v>
      </c>
      <c r="C20" s="477" t="s">
        <v>22</v>
      </c>
      <c r="D20" s="477"/>
      <c r="E20" s="26">
        <v>43.14</v>
      </c>
      <c r="F20" s="381">
        <v>1143</v>
      </c>
      <c r="G20" s="380">
        <f t="shared" ref="G20:G29" si="32">E20*F20</f>
        <v>49309.020000000004</v>
      </c>
      <c r="H20" s="76" t="s">
        <v>57</v>
      </c>
      <c r="I20" s="383">
        <v>17</v>
      </c>
      <c r="J20" s="18">
        <v>1200</v>
      </c>
      <c r="K20" s="9">
        <f t="shared" ref="K20:K30" si="33">J20/I20</f>
        <v>70.588235294117652</v>
      </c>
      <c r="L20" s="383">
        <v>17</v>
      </c>
      <c r="M20" s="10">
        <f t="shared" ref="M20:M29" si="34">F20/V20*60</f>
        <v>1106.1290322580642</v>
      </c>
      <c r="N20" s="9">
        <f t="shared" si="22"/>
        <v>65.066413662239071</v>
      </c>
      <c r="O20" s="11">
        <f t="shared" ref="O20:O29" si="35">L20-I20</f>
        <v>0</v>
      </c>
      <c r="P20" s="12">
        <f t="shared" ref="P20:P29" si="36">N20-K20</f>
        <v>-5.5218216318785807</v>
      </c>
      <c r="Q20" s="385">
        <f t="shared" si="29"/>
        <v>0.92177419354838674</v>
      </c>
      <c r="R20" s="470">
        <f>Q30</f>
        <v>0.92117565636794541</v>
      </c>
      <c r="S20" s="24">
        <v>0.16666666666666666</v>
      </c>
      <c r="T20" s="24">
        <v>0.20972222222222223</v>
      </c>
      <c r="U20" s="380"/>
      <c r="V20" s="382">
        <f>(T20-S20)*24*60</f>
        <v>62.000000000000021</v>
      </c>
      <c r="W20" s="15"/>
      <c r="X20" s="15"/>
      <c r="Y20" s="456"/>
      <c r="Z20" s="456"/>
      <c r="AA20" s="11">
        <f t="shared" si="2"/>
        <v>-93.870967741935829</v>
      </c>
      <c r="AB20" s="385">
        <f t="shared" si="19"/>
        <v>0.92177419354838686</v>
      </c>
      <c r="AC20" s="470">
        <f>AB30</f>
        <v>0.92117565636794541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381">
        <v>3216</v>
      </c>
      <c r="G21" s="380">
        <f t="shared" si="32"/>
        <v>185659.68</v>
      </c>
      <c r="H21" s="76" t="s">
        <v>57</v>
      </c>
      <c r="I21" s="383">
        <v>16</v>
      </c>
      <c r="J21" s="18">
        <v>1800</v>
      </c>
      <c r="K21" s="9">
        <f t="shared" si="33"/>
        <v>112.5</v>
      </c>
      <c r="L21" s="383">
        <v>16</v>
      </c>
      <c r="M21" s="10">
        <f t="shared" si="34"/>
        <v>1649.2307692307688</v>
      </c>
      <c r="N21" s="9">
        <f t="shared" si="22"/>
        <v>103.07692307692305</v>
      </c>
      <c r="O21" s="11">
        <f t="shared" si="35"/>
        <v>0</v>
      </c>
      <c r="P21" s="12">
        <f t="shared" si="36"/>
        <v>-9.4230769230769482</v>
      </c>
      <c r="Q21" s="385">
        <f t="shared" si="29"/>
        <v>0.91623931623931598</v>
      </c>
      <c r="R21" s="470"/>
      <c r="S21" s="24">
        <v>0.22777777777777777</v>
      </c>
      <c r="T21" s="24">
        <v>0.30902777777777779</v>
      </c>
      <c r="U21" s="380">
        <f>(S21-T20)*24*60</f>
        <v>25.999999999999986</v>
      </c>
      <c r="V21" s="382">
        <f t="shared" ref="V21:V29" si="37">(T21-S21)*24*60</f>
        <v>117.00000000000003</v>
      </c>
      <c r="W21" s="14"/>
      <c r="X21" s="380"/>
      <c r="Y21" s="456"/>
      <c r="Z21" s="456"/>
      <c r="AA21" s="11">
        <f t="shared" si="2"/>
        <v>-150.76923076923117</v>
      </c>
      <c r="AB21" s="385">
        <f t="shared" si="19"/>
        <v>0.91623931623931598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381">
        <v>1964</v>
      </c>
      <c r="G22" s="380">
        <f t="shared" si="32"/>
        <v>105427.52</v>
      </c>
      <c r="H22" s="76" t="s">
        <v>57</v>
      </c>
      <c r="I22" s="383">
        <v>17</v>
      </c>
      <c r="J22" s="18">
        <v>1800</v>
      </c>
      <c r="K22" s="9">
        <f t="shared" si="33"/>
        <v>105.88235294117646</v>
      </c>
      <c r="L22" s="383">
        <v>17</v>
      </c>
      <c r="M22" s="10">
        <f t="shared" si="34"/>
        <v>1659.7183098591552</v>
      </c>
      <c r="N22" s="9">
        <f t="shared" si="22"/>
        <v>97.630488815244419</v>
      </c>
      <c r="O22" s="11">
        <f t="shared" si="35"/>
        <v>0</v>
      </c>
      <c r="P22" s="12">
        <f t="shared" si="36"/>
        <v>-8.2518641259320447</v>
      </c>
      <c r="Q22" s="385">
        <f t="shared" si="29"/>
        <v>0.92206572769953066</v>
      </c>
      <c r="R22" s="470"/>
      <c r="S22" s="24">
        <v>0.31319444444444444</v>
      </c>
      <c r="T22" s="24">
        <v>0.36249999999999999</v>
      </c>
      <c r="U22" s="380">
        <f t="shared" ref="U22:U29" si="38">(S22-T21)*24*60</f>
        <v>5.9999999999999787</v>
      </c>
      <c r="V22" s="382">
        <f t="shared" si="37"/>
        <v>70.999999999999986</v>
      </c>
      <c r="W22" s="14"/>
      <c r="X22" s="380"/>
      <c r="Y22" s="456"/>
      <c r="Z22" s="456"/>
      <c r="AA22" s="11">
        <f t="shared" si="2"/>
        <v>-140.28169014084483</v>
      </c>
      <c r="AB22" s="385">
        <f t="shared" si="19"/>
        <v>0.92206572769953066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381">
        <v>1083</v>
      </c>
      <c r="G23" s="380">
        <f t="shared" si="32"/>
        <v>54875.61</v>
      </c>
      <c r="H23" s="76" t="s">
        <v>57</v>
      </c>
      <c r="I23" s="383">
        <v>16</v>
      </c>
      <c r="J23" s="18">
        <v>1800</v>
      </c>
      <c r="K23" s="9">
        <f t="shared" si="33"/>
        <v>112.5</v>
      </c>
      <c r="L23" s="383">
        <v>16</v>
      </c>
      <c r="M23" s="10">
        <f t="shared" si="34"/>
        <v>1666.1538461538451</v>
      </c>
      <c r="N23" s="9">
        <f t="shared" si="22"/>
        <v>104.13461538461532</v>
      </c>
      <c r="O23" s="11">
        <f t="shared" si="35"/>
        <v>0</v>
      </c>
      <c r="P23" s="12">
        <f t="shared" si="36"/>
        <v>-8.3653846153846843</v>
      </c>
      <c r="Q23" s="385">
        <f t="shared" si="29"/>
        <v>0.92564102564102502</v>
      </c>
      <c r="R23" s="470"/>
      <c r="S23" s="24">
        <v>0.3659722222222222</v>
      </c>
      <c r="T23" s="24">
        <v>0.39305555555555555</v>
      </c>
      <c r="U23" s="380">
        <f t="shared" si="38"/>
        <v>4.9999999999999822</v>
      </c>
      <c r="V23" s="382">
        <f t="shared" si="37"/>
        <v>39.000000000000021</v>
      </c>
      <c r="W23" s="14"/>
      <c r="X23" s="380"/>
      <c r="Y23" s="456"/>
      <c r="Z23" s="456"/>
      <c r="AA23" s="11">
        <f t="shared" si="2"/>
        <v>-133.84615384615495</v>
      </c>
      <c r="AB23" s="385">
        <f t="shared" si="19"/>
        <v>0.92564102564102502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381">
        <v>3122</v>
      </c>
      <c r="G24" s="380">
        <f t="shared" si="32"/>
        <v>181606.74000000002</v>
      </c>
      <c r="H24" s="76" t="s">
        <v>57</v>
      </c>
      <c r="I24" s="383">
        <v>18</v>
      </c>
      <c r="J24" s="18">
        <v>1800</v>
      </c>
      <c r="K24" s="9">
        <f t="shared" si="33"/>
        <v>100</v>
      </c>
      <c r="L24" s="383">
        <v>18</v>
      </c>
      <c r="M24" s="10">
        <f t="shared" si="34"/>
        <v>1643.1578947368421</v>
      </c>
      <c r="N24" s="9">
        <f t="shared" si="22"/>
        <v>91.286549707602333</v>
      </c>
      <c r="O24" s="11">
        <f t="shared" si="35"/>
        <v>0</v>
      </c>
      <c r="P24" s="12">
        <f t="shared" si="36"/>
        <v>-8.7134502923976669</v>
      </c>
      <c r="Q24" s="385">
        <f t="shared" si="29"/>
        <v>0.91286549707602338</v>
      </c>
      <c r="R24" s="470"/>
      <c r="S24" s="24">
        <v>0.3972222222222222</v>
      </c>
      <c r="T24" s="24">
        <v>0.47638888888888886</v>
      </c>
      <c r="U24" s="380">
        <f t="shared" si="38"/>
        <v>5.9999999999999787</v>
      </c>
      <c r="V24" s="382">
        <f t="shared" si="37"/>
        <v>114</v>
      </c>
      <c r="W24" s="14"/>
      <c r="X24" s="380"/>
      <c r="Y24" s="456"/>
      <c r="Z24" s="456"/>
      <c r="AA24" s="11">
        <f t="shared" si="2"/>
        <v>-156.84210526315792</v>
      </c>
      <c r="AB24" s="385">
        <f t="shared" si="19"/>
        <v>0.91286549707602338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381">
        <v>1000</v>
      </c>
      <c r="G25" s="380">
        <f t="shared" si="32"/>
        <v>50920</v>
      </c>
      <c r="H25" s="76">
        <v>2</v>
      </c>
      <c r="I25" s="383">
        <v>16</v>
      </c>
      <c r="J25" s="18">
        <v>1800</v>
      </c>
      <c r="K25" s="9">
        <f t="shared" si="33"/>
        <v>112.5</v>
      </c>
      <c r="L25" s="383">
        <v>16</v>
      </c>
      <c r="M25" s="10">
        <f t="shared" si="34"/>
        <v>1666.6666666666654</v>
      </c>
      <c r="N25" s="9">
        <f t="shared" si="22"/>
        <v>104.16666666666659</v>
      </c>
      <c r="O25" s="11">
        <f t="shared" si="35"/>
        <v>0</v>
      </c>
      <c r="P25" s="12">
        <f t="shared" si="36"/>
        <v>-8.3333333333334139</v>
      </c>
      <c r="Q25" s="385">
        <f t="shared" si="29"/>
        <v>0.92592592592592526</v>
      </c>
      <c r="R25" s="470"/>
      <c r="S25" s="24">
        <v>0.70833333333333337</v>
      </c>
      <c r="T25" s="24">
        <v>0.73333333333333339</v>
      </c>
      <c r="U25" s="380">
        <f t="shared" si="38"/>
        <v>334.00000000000011</v>
      </c>
      <c r="V25" s="382">
        <f t="shared" si="37"/>
        <v>36.000000000000028</v>
      </c>
      <c r="W25" s="14"/>
      <c r="X25" s="15"/>
      <c r="Y25" s="456"/>
      <c r="Z25" s="456"/>
      <c r="AA25" s="11">
        <f t="shared" si="2"/>
        <v>-133.33333333333462</v>
      </c>
      <c r="AB25" s="385">
        <f t="shared" si="19"/>
        <v>0.92592592592592526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381">
        <v>594</v>
      </c>
      <c r="G26" s="380">
        <f t="shared" si="32"/>
        <v>31642.38</v>
      </c>
      <c r="H26" s="76" t="s">
        <v>57</v>
      </c>
      <c r="I26" s="383">
        <v>15</v>
      </c>
      <c r="J26" s="18">
        <v>1800</v>
      </c>
      <c r="K26" s="9">
        <f t="shared" si="33"/>
        <v>120</v>
      </c>
      <c r="L26" s="383">
        <v>15</v>
      </c>
      <c r="M26" s="10">
        <f t="shared" si="34"/>
        <v>1697.1428571428632</v>
      </c>
      <c r="N26" s="9">
        <f t="shared" si="22"/>
        <v>113.14285714285755</v>
      </c>
      <c r="O26" s="11">
        <f t="shared" si="35"/>
        <v>0</v>
      </c>
      <c r="P26" s="12">
        <f t="shared" si="36"/>
        <v>-6.8571428571424491</v>
      </c>
      <c r="Q26" s="385">
        <f t="shared" si="29"/>
        <v>0.94285714285714628</v>
      </c>
      <c r="R26" s="470"/>
      <c r="S26" s="24">
        <v>0.7368055555555556</v>
      </c>
      <c r="T26" s="24">
        <v>0.75138888888888888</v>
      </c>
      <c r="U26" s="380">
        <f t="shared" si="38"/>
        <v>4.9999999999999822</v>
      </c>
      <c r="V26" s="382">
        <f t="shared" si="37"/>
        <v>20.999999999999925</v>
      </c>
      <c r="W26" s="14"/>
      <c r="X26" s="15"/>
      <c r="Y26" s="473"/>
      <c r="Z26" s="474"/>
      <c r="AA26" s="11">
        <f t="shared" si="2"/>
        <v>-102.85714285713675</v>
      </c>
      <c r="AB26" s="385">
        <f t="shared" si="19"/>
        <v>0.94285714285714628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49.91</v>
      </c>
      <c r="F27" s="381">
        <v>1043</v>
      </c>
      <c r="G27" s="380">
        <f t="shared" si="32"/>
        <v>52056.13</v>
      </c>
      <c r="H27" s="76" t="s">
        <v>57</v>
      </c>
      <c r="I27" s="383">
        <v>16</v>
      </c>
      <c r="J27" s="18">
        <v>1800</v>
      </c>
      <c r="K27" s="9">
        <f t="shared" si="33"/>
        <v>112.5</v>
      </c>
      <c r="L27" s="383">
        <v>16</v>
      </c>
      <c r="M27" s="10">
        <f t="shared" si="34"/>
        <v>1646.8421052631568</v>
      </c>
      <c r="N27" s="9">
        <f t="shared" si="22"/>
        <v>102.9276315789473</v>
      </c>
      <c r="O27" s="11">
        <f t="shared" si="35"/>
        <v>0</v>
      </c>
      <c r="P27" s="12">
        <f t="shared" si="36"/>
        <v>-9.5723684210527011</v>
      </c>
      <c r="Q27" s="385">
        <f t="shared" si="29"/>
        <v>0.91491228070175379</v>
      </c>
      <c r="R27" s="470"/>
      <c r="S27" s="24">
        <v>0.75694444444444442</v>
      </c>
      <c r="T27" s="24">
        <v>0.78333333333333333</v>
      </c>
      <c r="U27" s="380">
        <f t="shared" si="38"/>
        <v>7.9999999999999716</v>
      </c>
      <c r="V27" s="382">
        <f t="shared" si="37"/>
        <v>38.000000000000028</v>
      </c>
      <c r="W27" s="14"/>
      <c r="X27" s="14"/>
      <c r="Y27" s="473"/>
      <c r="Z27" s="474"/>
      <c r="AA27" s="11">
        <f t="shared" si="2"/>
        <v>-153.15789473684322</v>
      </c>
      <c r="AB27" s="385">
        <f t="shared" si="19"/>
        <v>0.91491228070175379</v>
      </c>
      <c r="AC27" s="470"/>
    </row>
    <row r="28" spans="1:29" ht="15.75" customHeight="1">
      <c r="A28" s="479" t="s">
        <v>7</v>
      </c>
      <c r="B28" s="26" t="s">
        <v>13</v>
      </c>
      <c r="C28" s="482" t="s">
        <v>1523</v>
      </c>
      <c r="D28" s="483"/>
      <c r="E28" s="26">
        <v>51.62</v>
      </c>
      <c r="F28" s="381">
        <v>2500</v>
      </c>
      <c r="G28" s="380">
        <f t="shared" si="32"/>
        <v>129050</v>
      </c>
      <c r="H28" s="76">
        <v>2</v>
      </c>
      <c r="I28" s="383">
        <v>20</v>
      </c>
      <c r="J28" s="18">
        <v>1800</v>
      </c>
      <c r="K28" s="9">
        <f t="shared" si="33"/>
        <v>90</v>
      </c>
      <c r="L28" s="383">
        <v>20</v>
      </c>
      <c r="M28" s="10">
        <f t="shared" si="34"/>
        <v>1648.3516483516482</v>
      </c>
      <c r="N28" s="9">
        <f t="shared" si="22"/>
        <v>82.417582417582409</v>
      </c>
      <c r="O28" s="11">
        <f t="shared" si="35"/>
        <v>0</v>
      </c>
      <c r="P28" s="12">
        <f t="shared" si="36"/>
        <v>-7.582417582417591</v>
      </c>
      <c r="Q28" s="385">
        <f t="shared" si="29"/>
        <v>0.91575091575091561</v>
      </c>
      <c r="R28" s="470"/>
      <c r="S28" s="24">
        <v>0.78888888888888886</v>
      </c>
      <c r="T28" s="24">
        <v>0.8520833333333333</v>
      </c>
      <c r="U28" s="380">
        <f t="shared" si="38"/>
        <v>7.9999999999999716</v>
      </c>
      <c r="V28" s="382">
        <f t="shared" si="37"/>
        <v>91</v>
      </c>
      <c r="W28" s="14"/>
      <c r="X28" s="14"/>
      <c r="Y28" s="473"/>
      <c r="Z28" s="474"/>
      <c r="AA28" s="11">
        <f t="shared" si="2"/>
        <v>-151.64835164835176</v>
      </c>
      <c r="AB28" s="385">
        <f t="shared" si="19"/>
        <v>0.91575091575091572</v>
      </c>
      <c r="AC28" s="470"/>
    </row>
    <row r="29" spans="1:29" ht="15.75" customHeight="1">
      <c r="A29" s="479" t="s">
        <v>7</v>
      </c>
      <c r="B29" s="26" t="s">
        <v>13</v>
      </c>
      <c r="C29" s="482" t="s">
        <v>59</v>
      </c>
      <c r="D29" s="483"/>
      <c r="E29" s="26">
        <v>50.92</v>
      </c>
      <c r="F29" s="381">
        <v>2166</v>
      </c>
      <c r="G29" s="380">
        <f t="shared" si="32"/>
        <v>110292.72</v>
      </c>
      <c r="H29" s="76" t="s">
        <v>57</v>
      </c>
      <c r="I29" s="383">
        <v>16</v>
      </c>
      <c r="J29" s="18">
        <v>1800</v>
      </c>
      <c r="K29" s="9">
        <f t="shared" si="33"/>
        <v>112.5</v>
      </c>
      <c r="L29" s="383">
        <v>16</v>
      </c>
      <c r="M29" s="10">
        <f t="shared" si="34"/>
        <v>1645.0632911392397</v>
      </c>
      <c r="N29" s="9">
        <f t="shared" si="22"/>
        <v>102.81645569620248</v>
      </c>
      <c r="O29" s="11">
        <f t="shared" si="35"/>
        <v>0</v>
      </c>
      <c r="P29" s="12">
        <f t="shared" si="36"/>
        <v>-9.6835443037975182</v>
      </c>
      <c r="Q29" s="385">
        <f t="shared" si="29"/>
        <v>0.91392405063291093</v>
      </c>
      <c r="R29" s="470"/>
      <c r="S29" s="24">
        <v>0.89305555555555549</v>
      </c>
      <c r="T29" s="24">
        <v>0.94791666666666663</v>
      </c>
      <c r="U29" s="380">
        <f t="shared" si="38"/>
        <v>58.99999999999995</v>
      </c>
      <c r="V29" s="382">
        <f t="shared" si="37"/>
        <v>79.000000000000043</v>
      </c>
      <c r="W29" s="14"/>
      <c r="X29" s="14"/>
      <c r="Y29" s="473"/>
      <c r="Z29" s="474"/>
      <c r="AA29" s="11">
        <f t="shared" si="2"/>
        <v>-154.93670886076029</v>
      </c>
      <c r="AB29" s="385">
        <f t="shared" si="19"/>
        <v>0.91392405063291093</v>
      </c>
      <c r="AC29" s="470"/>
    </row>
    <row r="30" spans="1:29" ht="15.75" customHeight="1">
      <c r="A30" s="479" t="s">
        <v>7</v>
      </c>
      <c r="B30" s="26" t="s">
        <v>1579</v>
      </c>
      <c r="C30" s="466"/>
      <c r="D30" s="466"/>
      <c r="E30" s="384"/>
      <c r="F30" s="381"/>
      <c r="G30" s="380"/>
      <c r="H30" s="381"/>
      <c r="I30" s="17">
        <v>16.7</v>
      </c>
      <c r="J30" s="18">
        <v>1740</v>
      </c>
      <c r="K30" s="9">
        <f t="shared" si="33"/>
        <v>104.19161676646706</v>
      </c>
      <c r="L30" s="17">
        <v>16.7</v>
      </c>
      <c r="M30" s="10">
        <f>AVERAGE(M20:M29)</f>
        <v>1602.8456420802249</v>
      </c>
      <c r="N30" s="9">
        <f>M30/L30</f>
        <v>95.978780962887726</v>
      </c>
      <c r="O30" s="11">
        <f>L30-I30</f>
        <v>0</v>
      </c>
      <c r="P30" s="12">
        <f>N30-K30</f>
        <v>-8.2128358035793383</v>
      </c>
      <c r="Q30" s="385">
        <f>N30/K30</f>
        <v>0.92117565636794541</v>
      </c>
      <c r="R30" s="470"/>
      <c r="S30" s="24"/>
      <c r="T30" s="24"/>
      <c r="U30" s="9"/>
      <c r="V30" s="382"/>
      <c r="W30" s="9"/>
      <c r="X30" s="9"/>
      <c r="Y30" s="456"/>
      <c r="Z30" s="456"/>
      <c r="AA30" s="11">
        <f t="shared" si="2"/>
        <v>-137.15435791977507</v>
      </c>
      <c r="AB30" s="385">
        <f t="shared" si="19"/>
        <v>0.92117565636794541</v>
      </c>
      <c r="AC30" s="470"/>
    </row>
    <row r="31" spans="1:29" ht="15.75" customHeight="1">
      <c r="A31" s="484" t="s">
        <v>241</v>
      </c>
      <c r="B31" s="26" t="s">
        <v>24</v>
      </c>
      <c r="C31" s="477" t="s">
        <v>26</v>
      </c>
      <c r="D31" s="477"/>
      <c r="E31" s="26">
        <v>26.2</v>
      </c>
      <c r="F31" s="381">
        <v>4217</v>
      </c>
      <c r="G31" s="380">
        <f t="shared" ref="G31:G37" si="39">E31*F31</f>
        <v>110485.4</v>
      </c>
      <c r="H31" s="76" t="s">
        <v>57</v>
      </c>
      <c r="I31" s="383">
        <v>20</v>
      </c>
      <c r="J31" s="18">
        <v>2400</v>
      </c>
      <c r="K31" s="9">
        <f>J31/I31</f>
        <v>120</v>
      </c>
      <c r="L31" s="383">
        <v>20</v>
      </c>
      <c r="M31" s="10">
        <f t="shared" ref="M31:M37" si="40">F31/V31*60</f>
        <v>2200.1739130434785</v>
      </c>
      <c r="N31" s="9">
        <f t="shared" ref="N31:N37" si="41">M31/L31</f>
        <v>110.00869565217393</v>
      </c>
      <c r="O31" s="11">
        <f t="shared" ref="O31:O37" si="42">L31-I31</f>
        <v>0</v>
      </c>
      <c r="P31" s="12">
        <f t="shared" ref="P31:P37" si="43">N31-K31</f>
        <v>-9.9913043478260732</v>
      </c>
      <c r="Q31" s="385">
        <f t="shared" ref="Q31:Q37" si="44">N31/K31</f>
        <v>0.91673913043478272</v>
      </c>
      <c r="R31" s="470">
        <f>Q38</f>
        <v>0.91479971755415335</v>
      </c>
      <c r="S31" s="24">
        <v>0.125</v>
      </c>
      <c r="T31" s="24">
        <v>0.2048611111111111</v>
      </c>
      <c r="U31" s="380"/>
      <c r="V31" s="382">
        <f t="shared" ref="V31:V37" si="45">(T31-S31)*24*60</f>
        <v>114.99999999999999</v>
      </c>
      <c r="W31" s="14"/>
      <c r="X31" s="14"/>
      <c r="Y31" s="456"/>
      <c r="Z31" s="456"/>
      <c r="AA31" s="11">
        <f t="shared" si="2"/>
        <v>-199.82608695652152</v>
      </c>
      <c r="AB31" s="385">
        <f>M31/J31</f>
        <v>0.91673913043478272</v>
      </c>
      <c r="AC31" s="470">
        <f>AB38</f>
        <v>0.91479971755415346</v>
      </c>
    </row>
    <row r="32" spans="1:29" ht="15.75" customHeight="1">
      <c r="A32" s="484" t="s">
        <v>8</v>
      </c>
      <c r="B32" s="26" t="s">
        <v>24</v>
      </c>
      <c r="C32" s="477" t="s">
        <v>25</v>
      </c>
      <c r="D32" s="477"/>
      <c r="E32" s="26">
        <v>20.52</v>
      </c>
      <c r="F32" s="381">
        <v>4413</v>
      </c>
      <c r="G32" s="380">
        <f t="shared" si="39"/>
        <v>90554.76</v>
      </c>
      <c r="H32" s="76" t="s">
        <v>57</v>
      </c>
      <c r="I32" s="383">
        <v>18</v>
      </c>
      <c r="J32" s="18">
        <v>2400</v>
      </c>
      <c r="K32" s="9">
        <f t="shared" ref="K32:K38" si="46">J32/I32</f>
        <v>133.33333333333334</v>
      </c>
      <c r="L32" s="383">
        <v>18</v>
      </c>
      <c r="M32" s="10">
        <f t="shared" si="40"/>
        <v>2188.2644628099174</v>
      </c>
      <c r="N32" s="9">
        <f t="shared" si="41"/>
        <v>121.5702479338843</v>
      </c>
      <c r="O32" s="11">
        <f t="shared" si="42"/>
        <v>0</v>
      </c>
      <c r="P32" s="12">
        <f t="shared" si="43"/>
        <v>-11.763085399449039</v>
      </c>
      <c r="Q32" s="385">
        <f t="shared" si="44"/>
        <v>0.91177685950413223</v>
      </c>
      <c r="R32" s="470"/>
      <c r="S32" s="24">
        <v>0.22500000000000001</v>
      </c>
      <c r="T32" s="24">
        <v>0.30902777777777779</v>
      </c>
      <c r="U32" s="380">
        <f>(S32-T31)*24*60</f>
        <v>29.000000000000018</v>
      </c>
      <c r="V32" s="382">
        <f t="shared" si="45"/>
        <v>121</v>
      </c>
      <c r="W32" s="14"/>
      <c r="X32" s="14"/>
      <c r="Y32" s="456"/>
      <c r="Z32" s="456"/>
      <c r="AA32" s="11">
        <f t="shared" si="2"/>
        <v>-211.7355371900826</v>
      </c>
      <c r="AB32" s="385">
        <f t="shared" ref="AB32:AB37" si="47">M32/J32</f>
        <v>0.91177685950413223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381">
        <v>3500</v>
      </c>
      <c r="G33" s="380">
        <f t="shared" si="39"/>
        <v>109515</v>
      </c>
      <c r="H33" s="76">
        <v>2</v>
      </c>
      <c r="I33" s="383">
        <v>16</v>
      </c>
      <c r="J33" s="18">
        <v>2400</v>
      </c>
      <c r="K33" s="9">
        <f t="shared" si="46"/>
        <v>150</v>
      </c>
      <c r="L33" s="383">
        <v>16</v>
      </c>
      <c r="M33" s="10">
        <f t="shared" si="40"/>
        <v>2187.5000000000005</v>
      </c>
      <c r="N33" s="9">
        <f t="shared" si="41"/>
        <v>136.71875000000003</v>
      </c>
      <c r="O33" s="11">
        <f t="shared" si="42"/>
        <v>0</v>
      </c>
      <c r="P33" s="12">
        <f t="shared" si="43"/>
        <v>-13.281249999999972</v>
      </c>
      <c r="Q33" s="385">
        <f t="shared" si="44"/>
        <v>0.91145833333333348</v>
      </c>
      <c r="R33" s="470"/>
      <c r="S33" s="24">
        <v>0.31388888888888888</v>
      </c>
      <c r="T33" s="24">
        <v>0.38055555555555554</v>
      </c>
      <c r="U33" s="380">
        <f t="shared" ref="U33:U37" si="48">(S33-T32)*24*60</f>
        <v>6.9999999999999751</v>
      </c>
      <c r="V33" s="382">
        <f t="shared" si="45"/>
        <v>95.999999999999972</v>
      </c>
      <c r="W33" s="14"/>
      <c r="X33" s="14"/>
      <c r="Y33" s="456"/>
      <c r="Z33" s="456"/>
      <c r="AA33" s="11">
        <f t="shared" si="2"/>
        <v>-212.49999999999955</v>
      </c>
      <c r="AB33" s="385">
        <f t="shared" si="47"/>
        <v>0.91145833333333348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381">
        <v>3200</v>
      </c>
      <c r="G34" s="380">
        <f t="shared" si="39"/>
        <v>77600</v>
      </c>
      <c r="H34" s="76">
        <v>2</v>
      </c>
      <c r="I34" s="383">
        <v>18</v>
      </c>
      <c r="J34" s="18">
        <v>2400</v>
      </c>
      <c r="K34" s="9">
        <f t="shared" si="46"/>
        <v>133.33333333333334</v>
      </c>
      <c r="L34" s="383">
        <v>18</v>
      </c>
      <c r="M34" s="10">
        <f t="shared" si="40"/>
        <v>2206.8965517241372</v>
      </c>
      <c r="N34" s="9">
        <f t="shared" si="41"/>
        <v>122.60536398467428</v>
      </c>
      <c r="O34" s="11">
        <f t="shared" si="42"/>
        <v>0</v>
      </c>
      <c r="P34" s="12">
        <f t="shared" si="43"/>
        <v>-10.727969348659059</v>
      </c>
      <c r="Q34" s="385">
        <f t="shared" si="44"/>
        <v>0.91954022988505701</v>
      </c>
      <c r="R34" s="470"/>
      <c r="S34" s="24">
        <v>0.38541666666666663</v>
      </c>
      <c r="T34" s="24">
        <v>0.4458333333333333</v>
      </c>
      <c r="U34" s="380">
        <f t="shared" si="48"/>
        <v>6.9999999999999751</v>
      </c>
      <c r="V34" s="382">
        <f t="shared" si="45"/>
        <v>87.000000000000014</v>
      </c>
      <c r="W34" s="14"/>
      <c r="X34" s="14"/>
      <c r="Y34" s="456"/>
      <c r="Z34" s="456"/>
      <c r="AA34" s="11">
        <f t="shared" si="2"/>
        <v>-193.10344827586277</v>
      </c>
      <c r="AB34" s="385">
        <f t="shared" si="47"/>
        <v>0.91954022988505713</v>
      </c>
      <c r="AC34" s="470"/>
    </row>
    <row r="35" spans="1:29" ht="15.75" customHeight="1">
      <c r="A35" s="484" t="s">
        <v>8</v>
      </c>
      <c r="B35" s="26" t="s">
        <v>24</v>
      </c>
      <c r="C35" s="477" t="s">
        <v>69</v>
      </c>
      <c r="D35" s="477"/>
      <c r="E35" s="26">
        <v>22.35</v>
      </c>
      <c r="F35" s="381">
        <v>2378</v>
      </c>
      <c r="G35" s="380">
        <f t="shared" si="39"/>
        <v>53148.3</v>
      </c>
      <c r="H35" s="76" t="s">
        <v>57</v>
      </c>
      <c r="I35" s="383">
        <v>16</v>
      </c>
      <c r="J35" s="18">
        <v>2400</v>
      </c>
      <c r="K35" s="9">
        <f t="shared" si="46"/>
        <v>150</v>
      </c>
      <c r="L35" s="383">
        <v>16</v>
      </c>
      <c r="M35" s="10">
        <f t="shared" si="40"/>
        <v>2195.0769230769224</v>
      </c>
      <c r="N35" s="9">
        <f t="shared" si="41"/>
        <v>137.19230769230765</v>
      </c>
      <c r="O35" s="11">
        <f t="shared" si="42"/>
        <v>0</v>
      </c>
      <c r="P35" s="12">
        <f t="shared" si="43"/>
        <v>-12.807692307692349</v>
      </c>
      <c r="Q35" s="385">
        <f t="shared" si="44"/>
        <v>0.91461538461538439</v>
      </c>
      <c r="R35" s="470"/>
      <c r="S35" s="24">
        <v>0.44999999999999996</v>
      </c>
      <c r="T35" s="24">
        <v>0.49513888888888885</v>
      </c>
      <c r="U35" s="380">
        <f t="shared" si="48"/>
        <v>5.9999999999999787</v>
      </c>
      <c r="V35" s="382">
        <f t="shared" si="45"/>
        <v>65.000000000000014</v>
      </c>
      <c r="W35" s="14"/>
      <c r="X35" s="14"/>
      <c r="Y35" s="456"/>
      <c r="Z35" s="456"/>
      <c r="AA35" s="11">
        <f t="shared" si="2"/>
        <v>-204.92307692307759</v>
      </c>
      <c r="AB35" s="385">
        <f t="shared" si="47"/>
        <v>0.91461538461538439</v>
      </c>
      <c r="AC35" s="470"/>
    </row>
    <row r="36" spans="1:29" ht="15.75" customHeight="1">
      <c r="A36" s="484" t="s">
        <v>8</v>
      </c>
      <c r="B36" s="26" t="s">
        <v>24</v>
      </c>
      <c r="C36" s="477" t="s">
        <v>513</v>
      </c>
      <c r="D36" s="477"/>
      <c r="E36" s="26">
        <v>31.29</v>
      </c>
      <c r="F36" s="381">
        <v>5167</v>
      </c>
      <c r="G36" s="380">
        <f t="shared" si="39"/>
        <v>161675.43</v>
      </c>
      <c r="H36" s="76" t="s">
        <v>57</v>
      </c>
      <c r="I36" s="383">
        <v>16</v>
      </c>
      <c r="J36" s="18">
        <v>2400</v>
      </c>
      <c r="K36" s="9">
        <f t="shared" si="46"/>
        <v>150</v>
      </c>
      <c r="L36" s="383">
        <v>16</v>
      </c>
      <c r="M36" s="10">
        <f t="shared" si="40"/>
        <v>2198.7234042553196</v>
      </c>
      <c r="N36" s="9">
        <f t="shared" si="41"/>
        <v>137.42021276595747</v>
      </c>
      <c r="O36" s="11">
        <f t="shared" si="42"/>
        <v>0</v>
      </c>
      <c r="P36" s="12">
        <f t="shared" si="43"/>
        <v>-12.579787234042527</v>
      </c>
      <c r="Q36" s="385">
        <f t="shared" si="44"/>
        <v>0.91613475177304982</v>
      </c>
      <c r="R36" s="470"/>
      <c r="S36" s="24">
        <v>0.53611111111111098</v>
      </c>
      <c r="T36" s="24">
        <v>0.63402777777777763</v>
      </c>
      <c r="U36" s="380">
        <f t="shared" si="48"/>
        <v>58.999999999999872</v>
      </c>
      <c r="V36" s="382">
        <f t="shared" si="45"/>
        <v>140.99999999999997</v>
      </c>
      <c r="W36" s="14"/>
      <c r="X36" s="14"/>
      <c r="Y36" s="456"/>
      <c r="Z36" s="456"/>
      <c r="AA36" s="11">
        <f t="shared" si="2"/>
        <v>-201.27659574468044</v>
      </c>
      <c r="AB36" s="385">
        <f t="shared" si="47"/>
        <v>0.91613475177304982</v>
      </c>
      <c r="AC36" s="470"/>
    </row>
    <row r="37" spans="1:29" ht="15.75" customHeight="1">
      <c r="A37" s="484" t="s">
        <v>8</v>
      </c>
      <c r="B37" s="26" t="s">
        <v>24</v>
      </c>
      <c r="C37" s="477" t="s">
        <v>84</v>
      </c>
      <c r="D37" s="477"/>
      <c r="E37" s="26">
        <v>24.25</v>
      </c>
      <c r="F37" s="381">
        <v>2192</v>
      </c>
      <c r="G37" s="380">
        <f t="shared" si="39"/>
        <v>53156</v>
      </c>
      <c r="H37" s="76" t="s">
        <v>57</v>
      </c>
      <c r="I37" s="383">
        <v>18</v>
      </c>
      <c r="J37" s="18">
        <v>2400</v>
      </c>
      <c r="K37" s="9">
        <f t="shared" si="46"/>
        <v>133.33333333333334</v>
      </c>
      <c r="L37" s="383">
        <v>18</v>
      </c>
      <c r="M37" s="10">
        <f t="shared" si="40"/>
        <v>2192.0000000000018</v>
      </c>
      <c r="N37" s="9">
        <f t="shared" si="41"/>
        <v>121.77777777777789</v>
      </c>
      <c r="O37" s="11">
        <f t="shared" si="42"/>
        <v>0</v>
      </c>
      <c r="P37" s="12">
        <f t="shared" si="43"/>
        <v>-11.555555555555458</v>
      </c>
      <c r="Q37" s="385">
        <f t="shared" si="44"/>
        <v>0.91333333333333411</v>
      </c>
      <c r="R37" s="470"/>
      <c r="S37" s="24">
        <v>0.63749999999999984</v>
      </c>
      <c r="T37" s="24">
        <v>0.67916666666666647</v>
      </c>
      <c r="U37" s="380">
        <f t="shared" si="48"/>
        <v>4.9999999999999822</v>
      </c>
      <c r="V37" s="382">
        <f t="shared" si="45"/>
        <v>59.999999999999943</v>
      </c>
      <c r="W37" s="14"/>
      <c r="X37" s="14"/>
      <c r="Y37" s="456"/>
      <c r="Z37" s="456"/>
      <c r="AA37" s="11">
        <f t="shared" si="2"/>
        <v>-207.99999999999818</v>
      </c>
      <c r="AB37" s="385">
        <f t="shared" si="47"/>
        <v>0.91333333333333411</v>
      </c>
      <c r="AC37" s="470"/>
    </row>
    <row r="38" spans="1:29" ht="15.75" customHeight="1">
      <c r="A38" s="484" t="s">
        <v>8</v>
      </c>
      <c r="B38" s="26" t="s">
        <v>236</v>
      </c>
      <c r="C38" s="466"/>
      <c r="D38" s="466"/>
      <c r="E38" s="384"/>
      <c r="F38" s="381"/>
      <c r="G38" s="380"/>
      <c r="H38" s="381"/>
      <c r="I38" s="17">
        <v>17.428571428571427</v>
      </c>
      <c r="J38" s="18">
        <v>2400</v>
      </c>
      <c r="K38" s="9">
        <f t="shared" si="46"/>
        <v>137.70491803278691</v>
      </c>
      <c r="L38" s="17">
        <v>17.428571428571427</v>
      </c>
      <c r="M38" s="10">
        <f>AVERAGE(M31:M37)</f>
        <v>2195.5193221299683</v>
      </c>
      <c r="N38" s="9">
        <f>M38/L38</f>
        <v>125.9724201222113</v>
      </c>
      <c r="O38" s="11">
        <f>L38-I38</f>
        <v>0</v>
      </c>
      <c r="P38" s="12">
        <f>N38-K38</f>
        <v>-11.732497910575603</v>
      </c>
      <c r="Q38" s="385">
        <f>N38/K38</f>
        <v>0.91479971755415335</v>
      </c>
      <c r="R38" s="470"/>
      <c r="S38" s="24"/>
      <c r="T38" s="24"/>
      <c r="U38" s="380"/>
      <c r="V38" s="382"/>
      <c r="W38" s="380"/>
      <c r="X38" s="380"/>
      <c r="Y38" s="456"/>
      <c r="Z38" s="456"/>
      <c r="AA38" s="11">
        <f t="shared" si="2"/>
        <v>-204.48067787003174</v>
      </c>
      <c r="AB38" s="385">
        <f>M38/J38</f>
        <v>0.91479971755415346</v>
      </c>
      <c r="AC38" s="470"/>
    </row>
    <row r="39" spans="1:29" ht="15.75" customHeight="1">
      <c r="A39" s="485" t="s">
        <v>160</v>
      </c>
      <c r="B39" s="26" t="s">
        <v>24</v>
      </c>
      <c r="C39" s="487" t="s">
        <v>29</v>
      </c>
      <c r="D39" s="487"/>
      <c r="E39" s="26">
        <v>26.2</v>
      </c>
      <c r="F39" s="381">
        <v>2500</v>
      </c>
      <c r="G39" s="380">
        <f t="shared" ref="G39:G46" si="49">E39*F39</f>
        <v>65500</v>
      </c>
      <c r="H39" s="76">
        <v>2</v>
      </c>
      <c r="I39" s="383">
        <v>18</v>
      </c>
      <c r="J39" s="18">
        <v>2400</v>
      </c>
      <c r="K39" s="9">
        <f>J39/I39</f>
        <v>133.33333333333334</v>
      </c>
      <c r="L39" s="383">
        <v>18</v>
      </c>
      <c r="M39" s="10">
        <f>F39/V39*60</f>
        <v>2205.8823529411775</v>
      </c>
      <c r="N39" s="9">
        <f>M39/L39</f>
        <v>122.54901960784319</v>
      </c>
      <c r="O39" s="11">
        <f t="shared" ref="O39:O46" si="50">L39-I39</f>
        <v>0</v>
      </c>
      <c r="P39" s="12">
        <f t="shared" ref="P39:P56" si="51">N39-K39</f>
        <v>-10.784313725490151</v>
      </c>
      <c r="Q39" s="385">
        <f t="shared" ref="Q39:Q51" si="52">N39/K39</f>
        <v>0.91911764705882393</v>
      </c>
      <c r="R39" s="470">
        <f>Q47</f>
        <v>0.9180657941341247</v>
      </c>
      <c r="S39" s="24">
        <v>8.3333333333333329E-2</v>
      </c>
      <c r="T39" s="24">
        <v>0.13055555555555554</v>
      </c>
      <c r="U39" s="380"/>
      <c r="V39" s="382">
        <f t="shared" ref="V39:V46" si="53">(T39-S39)*24*60</f>
        <v>67.999999999999972</v>
      </c>
      <c r="W39" s="15"/>
      <c r="X39" s="15"/>
      <c r="Y39" s="456"/>
      <c r="Z39" s="456"/>
      <c r="AA39" s="11">
        <f t="shared" si="2"/>
        <v>-194.11764705882251</v>
      </c>
      <c r="AB39" s="385">
        <f>M39/J39</f>
        <v>0.91911764705882393</v>
      </c>
      <c r="AC39" s="470">
        <f>AB47</f>
        <v>0.91806579413412459</v>
      </c>
    </row>
    <row r="40" spans="1:29" ht="15.75" customHeight="1">
      <c r="A40" s="485" t="s">
        <v>160</v>
      </c>
      <c r="B40" s="26" t="s">
        <v>24</v>
      </c>
      <c r="C40" s="487" t="s">
        <v>31</v>
      </c>
      <c r="D40" s="487"/>
      <c r="E40" s="26">
        <v>24.45</v>
      </c>
      <c r="F40" s="381">
        <v>2390</v>
      </c>
      <c r="G40" s="380">
        <f t="shared" si="49"/>
        <v>58435.5</v>
      </c>
      <c r="H40" s="76" t="s">
        <v>57</v>
      </c>
      <c r="I40" s="383">
        <v>20</v>
      </c>
      <c r="J40" s="18">
        <v>2400</v>
      </c>
      <c r="K40" s="9">
        <f t="shared" ref="K40:K55" si="54">J40/I40</f>
        <v>120</v>
      </c>
      <c r="L40" s="383">
        <v>20</v>
      </c>
      <c r="M40" s="10">
        <f t="shared" ref="M40:M46" si="55">F40/V40*60</f>
        <v>2206.1538461538457</v>
      </c>
      <c r="N40" s="9">
        <f t="shared" ref="N40:N46" si="56">M40/L40</f>
        <v>110.30769230769229</v>
      </c>
      <c r="O40" s="11">
        <f t="shared" si="50"/>
        <v>0</v>
      </c>
      <c r="P40" s="12">
        <f t="shared" si="51"/>
        <v>-9.6923076923077076</v>
      </c>
      <c r="Q40" s="385">
        <f t="shared" si="52"/>
        <v>0.91923076923076907</v>
      </c>
      <c r="R40" s="470"/>
      <c r="S40" s="24">
        <v>0.15138888888888888</v>
      </c>
      <c r="T40" s="24">
        <v>0.19652777777777777</v>
      </c>
      <c r="U40" s="380">
        <f>(S40-T39)*24*60</f>
        <v>30.000000000000014</v>
      </c>
      <c r="V40" s="382">
        <f t="shared" si="53"/>
        <v>65.000000000000014</v>
      </c>
      <c r="W40" s="380"/>
      <c r="X40" s="380"/>
      <c r="Y40" s="456"/>
      <c r="Z40" s="456"/>
      <c r="AA40" s="11">
        <f t="shared" si="2"/>
        <v>-193.84615384615427</v>
      </c>
      <c r="AB40" s="385">
        <f t="shared" ref="AB40:AB68" si="57">M40/J40</f>
        <v>0.91923076923076907</v>
      </c>
      <c r="AC40" s="470"/>
    </row>
    <row r="41" spans="1:29">
      <c r="A41" s="486" t="s">
        <v>1580</v>
      </c>
      <c r="B41" s="26" t="s">
        <v>24</v>
      </c>
      <c r="C41" s="487" t="s">
        <v>32</v>
      </c>
      <c r="D41" s="487"/>
      <c r="E41" s="26">
        <v>26.2</v>
      </c>
      <c r="F41" s="381">
        <v>3125</v>
      </c>
      <c r="G41" s="380">
        <f t="shared" si="49"/>
        <v>81875</v>
      </c>
      <c r="H41" s="76" t="s">
        <v>57</v>
      </c>
      <c r="I41" s="383">
        <v>20</v>
      </c>
      <c r="J41" s="18">
        <v>2400</v>
      </c>
      <c r="K41" s="9">
        <f t="shared" si="54"/>
        <v>120</v>
      </c>
      <c r="L41" s="383">
        <v>20</v>
      </c>
      <c r="M41" s="10">
        <f t="shared" si="55"/>
        <v>2205.8823529411775</v>
      </c>
      <c r="N41" s="9">
        <f t="shared" si="56"/>
        <v>110.29411764705887</v>
      </c>
      <c r="O41" s="11">
        <f t="shared" si="50"/>
        <v>0</v>
      </c>
      <c r="P41" s="12">
        <f t="shared" si="51"/>
        <v>-9.7058823529411313</v>
      </c>
      <c r="Q41" s="385">
        <f t="shared" si="52"/>
        <v>0.91911764705882393</v>
      </c>
      <c r="R41" s="470"/>
      <c r="S41" s="24">
        <v>0.19999999999999998</v>
      </c>
      <c r="T41" s="24">
        <v>0.25902777777777775</v>
      </c>
      <c r="U41" s="380">
        <f t="shared" ref="U41:U46" si="58">(S41-T40)*24*60</f>
        <v>4.9999999999999822</v>
      </c>
      <c r="V41" s="382">
        <f t="shared" si="53"/>
        <v>84.999999999999972</v>
      </c>
      <c r="W41" s="380"/>
      <c r="X41" s="380"/>
      <c r="Y41" s="456"/>
      <c r="Z41" s="456"/>
      <c r="AA41" s="11">
        <f t="shared" si="2"/>
        <v>-194.11764705882251</v>
      </c>
      <c r="AB41" s="385">
        <f t="shared" si="57"/>
        <v>0.91911764705882393</v>
      </c>
      <c r="AC41" s="470"/>
    </row>
    <row r="42" spans="1:29">
      <c r="A42" s="486" t="s">
        <v>160</v>
      </c>
      <c r="B42" s="26" t="s">
        <v>24</v>
      </c>
      <c r="C42" s="487" t="s">
        <v>30</v>
      </c>
      <c r="D42" s="487"/>
      <c r="E42" s="26">
        <v>26.39</v>
      </c>
      <c r="F42" s="381">
        <v>3200</v>
      </c>
      <c r="G42" s="380">
        <f t="shared" si="49"/>
        <v>84448</v>
      </c>
      <c r="H42" s="76">
        <v>2</v>
      </c>
      <c r="I42" s="383">
        <v>19</v>
      </c>
      <c r="J42" s="18">
        <v>2400</v>
      </c>
      <c r="K42" s="9">
        <f t="shared" si="54"/>
        <v>126.31578947368421</v>
      </c>
      <c r="L42" s="383">
        <v>19</v>
      </c>
      <c r="M42" s="10">
        <f t="shared" si="55"/>
        <v>2206.8965517241372</v>
      </c>
      <c r="N42" s="9">
        <f t="shared" si="56"/>
        <v>116.15245009074407</v>
      </c>
      <c r="O42" s="11">
        <f t="shared" si="50"/>
        <v>0</v>
      </c>
      <c r="P42" s="12">
        <f t="shared" si="51"/>
        <v>-10.163339382940137</v>
      </c>
      <c r="Q42" s="385">
        <f t="shared" si="52"/>
        <v>0.91954022988505724</v>
      </c>
      <c r="R42" s="470"/>
      <c r="S42" s="24">
        <v>0.26458333333333328</v>
      </c>
      <c r="T42" s="24">
        <v>0.32499999999999996</v>
      </c>
      <c r="U42" s="380">
        <f t="shared" si="58"/>
        <v>7.9999999999999716</v>
      </c>
      <c r="V42" s="382">
        <f t="shared" si="53"/>
        <v>87.000000000000014</v>
      </c>
      <c r="W42" s="14"/>
      <c r="X42" s="14"/>
      <c r="Y42" s="456"/>
      <c r="Z42" s="456"/>
      <c r="AA42" s="11">
        <f t="shared" si="2"/>
        <v>-193.10344827586277</v>
      </c>
      <c r="AB42" s="385">
        <f t="shared" si="57"/>
        <v>0.91954022988505713</v>
      </c>
      <c r="AC42" s="470"/>
    </row>
    <row r="43" spans="1:29">
      <c r="A43" s="486" t="s">
        <v>160</v>
      </c>
      <c r="B43" s="26" t="s">
        <v>24</v>
      </c>
      <c r="C43" s="487" t="s">
        <v>27</v>
      </c>
      <c r="D43" s="487"/>
      <c r="E43" s="26">
        <v>20.52</v>
      </c>
      <c r="F43" s="381">
        <v>3153</v>
      </c>
      <c r="G43" s="380">
        <f t="shared" si="49"/>
        <v>64699.56</v>
      </c>
      <c r="H43" s="76" t="s">
        <v>57</v>
      </c>
      <c r="I43" s="383">
        <v>18</v>
      </c>
      <c r="J43" s="18">
        <v>2400</v>
      </c>
      <c r="K43" s="9">
        <f t="shared" si="54"/>
        <v>133.33333333333334</v>
      </c>
      <c r="L43" s="383">
        <v>18</v>
      </c>
      <c r="M43" s="10">
        <f t="shared" si="55"/>
        <v>2199.7674418604647</v>
      </c>
      <c r="N43" s="9">
        <f t="shared" si="56"/>
        <v>122.20930232558138</v>
      </c>
      <c r="O43" s="11">
        <f t="shared" si="50"/>
        <v>0</v>
      </c>
      <c r="P43" s="12">
        <f t="shared" si="51"/>
        <v>-11.124031007751967</v>
      </c>
      <c r="Q43" s="385">
        <f t="shared" si="52"/>
        <v>0.91656976744186025</v>
      </c>
      <c r="R43" s="470"/>
      <c r="S43" s="24">
        <v>0.32847222222222217</v>
      </c>
      <c r="T43" s="24">
        <v>0.3881944444444444</v>
      </c>
      <c r="U43" s="380">
        <f t="shared" si="58"/>
        <v>4.9999999999999822</v>
      </c>
      <c r="V43" s="382">
        <f t="shared" si="53"/>
        <v>86.000000000000014</v>
      </c>
      <c r="W43" s="14"/>
      <c r="X43" s="14"/>
      <c r="Y43" s="456"/>
      <c r="Z43" s="456"/>
      <c r="AA43" s="11">
        <f t="shared" si="2"/>
        <v>-200.23255813953529</v>
      </c>
      <c r="AB43" s="385">
        <f t="shared" si="57"/>
        <v>0.91656976744186025</v>
      </c>
      <c r="AC43" s="470"/>
    </row>
    <row r="44" spans="1:29">
      <c r="A44" s="486" t="s">
        <v>160</v>
      </c>
      <c r="B44" s="26" t="s">
        <v>24</v>
      </c>
      <c r="C44" s="487" t="s">
        <v>55</v>
      </c>
      <c r="D44" s="487"/>
      <c r="E44" s="26">
        <v>26.2</v>
      </c>
      <c r="F44" s="381">
        <v>4168</v>
      </c>
      <c r="G44" s="380">
        <f t="shared" si="49"/>
        <v>109201.59999999999</v>
      </c>
      <c r="H44" s="76" t="s">
        <v>57</v>
      </c>
      <c r="I44" s="383">
        <v>19</v>
      </c>
      <c r="J44" s="18">
        <v>2400</v>
      </c>
      <c r="K44" s="9">
        <f t="shared" si="54"/>
        <v>126.31578947368421</v>
      </c>
      <c r="L44" s="383">
        <v>19</v>
      </c>
      <c r="M44" s="10">
        <f t="shared" si="55"/>
        <v>2193.6842105263158</v>
      </c>
      <c r="N44" s="9">
        <f t="shared" si="56"/>
        <v>115.45706371191136</v>
      </c>
      <c r="O44" s="11">
        <f t="shared" si="50"/>
        <v>0</v>
      </c>
      <c r="P44" s="12">
        <f t="shared" si="51"/>
        <v>-10.858725761772845</v>
      </c>
      <c r="Q44" s="385">
        <f t="shared" si="52"/>
        <v>0.91403508771929831</v>
      </c>
      <c r="R44" s="470"/>
      <c r="S44" s="24">
        <v>0.39305555555555549</v>
      </c>
      <c r="T44" s="24">
        <v>0.47222222222222215</v>
      </c>
      <c r="U44" s="380">
        <f t="shared" si="58"/>
        <v>6.9999999999999751</v>
      </c>
      <c r="V44" s="382">
        <f t="shared" si="53"/>
        <v>114</v>
      </c>
      <c r="W44" s="14"/>
      <c r="X44" s="14"/>
      <c r="Y44" s="456"/>
      <c r="Z44" s="456"/>
      <c r="AA44" s="11">
        <f t="shared" si="2"/>
        <v>-206.31578947368416</v>
      </c>
      <c r="AB44" s="385">
        <f t="shared" si="57"/>
        <v>0.91403508771929831</v>
      </c>
      <c r="AC44" s="470"/>
    </row>
    <row r="45" spans="1:29">
      <c r="A45" s="486" t="s">
        <v>160</v>
      </c>
      <c r="B45" s="26" t="s">
        <v>24</v>
      </c>
      <c r="C45" s="487" t="s">
        <v>29</v>
      </c>
      <c r="D45" s="487"/>
      <c r="E45" s="26">
        <v>26.2</v>
      </c>
      <c r="F45" s="381">
        <v>3966</v>
      </c>
      <c r="G45" s="380">
        <f t="shared" si="49"/>
        <v>103909.2</v>
      </c>
      <c r="H45" s="76" t="s">
        <v>57</v>
      </c>
      <c r="I45" s="383">
        <v>18</v>
      </c>
      <c r="J45" s="18">
        <v>2400</v>
      </c>
      <c r="K45" s="9">
        <f t="shared" si="54"/>
        <v>133.33333333333334</v>
      </c>
      <c r="L45" s="383">
        <v>18</v>
      </c>
      <c r="M45" s="10">
        <f t="shared" si="55"/>
        <v>2203.3333333333344</v>
      </c>
      <c r="N45" s="9">
        <f t="shared" si="56"/>
        <v>122.40740740740746</v>
      </c>
      <c r="O45" s="11">
        <f t="shared" si="50"/>
        <v>0</v>
      </c>
      <c r="P45" s="12">
        <f t="shared" si="51"/>
        <v>-10.925925925925881</v>
      </c>
      <c r="Q45" s="385">
        <f t="shared" si="52"/>
        <v>0.91805555555555585</v>
      </c>
      <c r="R45" s="470"/>
      <c r="S45" s="24">
        <v>0.51319444444444429</v>
      </c>
      <c r="T45" s="24">
        <v>0.58819444444444424</v>
      </c>
      <c r="U45" s="380">
        <f t="shared" si="58"/>
        <v>58.999999999999872</v>
      </c>
      <c r="V45" s="382">
        <f t="shared" si="53"/>
        <v>107.99999999999994</v>
      </c>
      <c r="W45" s="14"/>
      <c r="X45" s="14"/>
      <c r="Y45" s="473"/>
      <c r="Z45" s="474"/>
      <c r="AA45" s="11">
        <f t="shared" si="2"/>
        <v>-196.66666666666561</v>
      </c>
      <c r="AB45" s="385">
        <f t="shared" si="57"/>
        <v>0.91805555555555596</v>
      </c>
      <c r="AC45" s="470"/>
    </row>
    <row r="46" spans="1:29">
      <c r="A46" s="486" t="s">
        <v>1580</v>
      </c>
      <c r="B46" s="26" t="s">
        <v>24</v>
      </c>
      <c r="C46" s="487" t="s">
        <v>30</v>
      </c>
      <c r="D46" s="487"/>
      <c r="E46" s="26">
        <v>26.39</v>
      </c>
      <c r="F46" s="381">
        <v>2095</v>
      </c>
      <c r="G46" s="380">
        <f t="shared" si="49"/>
        <v>55287.05</v>
      </c>
      <c r="H46" s="76" t="s">
        <v>57</v>
      </c>
      <c r="I46" s="383">
        <v>19</v>
      </c>
      <c r="J46" s="18">
        <v>2400</v>
      </c>
      <c r="K46" s="9">
        <f t="shared" si="54"/>
        <v>126.31578947368421</v>
      </c>
      <c r="L46" s="383">
        <v>19</v>
      </c>
      <c r="M46" s="10">
        <f t="shared" si="55"/>
        <v>2205.2631578947385</v>
      </c>
      <c r="N46" s="9">
        <f t="shared" si="56"/>
        <v>116.06648199445992</v>
      </c>
      <c r="O46" s="11">
        <f t="shared" si="50"/>
        <v>0</v>
      </c>
      <c r="P46" s="12">
        <f t="shared" si="51"/>
        <v>-10.249307479224285</v>
      </c>
      <c r="Q46" s="385">
        <f t="shared" si="52"/>
        <v>0.91885964912280771</v>
      </c>
      <c r="R46" s="470"/>
      <c r="S46" s="24">
        <v>0.59374999999999978</v>
      </c>
      <c r="T46" s="24">
        <v>0.63333333333333308</v>
      </c>
      <c r="U46" s="380">
        <f t="shared" si="58"/>
        <v>7.9999999999999716</v>
      </c>
      <c r="V46" s="382">
        <f t="shared" si="53"/>
        <v>56.999999999999957</v>
      </c>
      <c r="W46" s="14"/>
      <c r="X46" s="14"/>
      <c r="Y46" s="473"/>
      <c r="Z46" s="474"/>
      <c r="AA46" s="11">
        <f t="shared" si="2"/>
        <v>-194.73684210526153</v>
      </c>
      <c r="AB46" s="385">
        <f t="shared" si="57"/>
        <v>0.91885964912280771</v>
      </c>
      <c r="AC46" s="470"/>
    </row>
    <row r="47" spans="1:29">
      <c r="A47" s="486" t="s">
        <v>1580</v>
      </c>
      <c r="B47" s="16" t="s">
        <v>236</v>
      </c>
      <c r="C47" s="466"/>
      <c r="D47" s="466"/>
      <c r="E47" s="384"/>
      <c r="F47" s="16"/>
      <c r="G47" s="9"/>
      <c r="H47" s="381"/>
      <c r="I47" s="17">
        <v>18.875</v>
      </c>
      <c r="J47" s="18">
        <v>2400</v>
      </c>
      <c r="K47" s="9">
        <f t="shared" si="54"/>
        <v>127.1523178807947</v>
      </c>
      <c r="L47" s="17">
        <v>18.875</v>
      </c>
      <c r="M47" s="10">
        <f>AVERAGE(M39:M46)</f>
        <v>2203.3579059218991</v>
      </c>
      <c r="N47" s="9">
        <f>M47/L47</f>
        <v>116.73419369122645</v>
      </c>
      <c r="O47" s="11">
        <f>L47-I47</f>
        <v>0</v>
      </c>
      <c r="P47" s="12">
        <f t="shared" si="51"/>
        <v>-10.418124189568246</v>
      </c>
      <c r="Q47" s="385">
        <f t="shared" si="52"/>
        <v>0.9180657941341247</v>
      </c>
      <c r="R47" s="470"/>
      <c r="S47" s="24"/>
      <c r="T47" s="24"/>
      <c r="U47" s="9"/>
      <c r="V47" s="382"/>
      <c r="W47" s="9"/>
      <c r="X47" s="9"/>
      <c r="Y47" s="456"/>
      <c r="Z47" s="456"/>
      <c r="AA47" s="11">
        <f t="shared" si="2"/>
        <v>-196.64209407810085</v>
      </c>
      <c r="AB47" s="385">
        <f t="shared" si="57"/>
        <v>0.91806579413412459</v>
      </c>
      <c r="AC47" s="470"/>
    </row>
    <row r="48" spans="1:29" ht="15.75" customHeight="1">
      <c r="A48" s="488" t="s">
        <v>162</v>
      </c>
      <c r="B48" s="26" t="s">
        <v>33</v>
      </c>
      <c r="C48" s="491" t="s">
        <v>34</v>
      </c>
      <c r="D48" s="492"/>
      <c r="E48" s="26">
        <v>27.17</v>
      </c>
      <c r="F48" s="381">
        <v>2800</v>
      </c>
      <c r="G48" s="380">
        <f t="shared" ref="G48:G55" si="59">E48*F48</f>
        <v>76076</v>
      </c>
      <c r="H48" s="76">
        <v>2</v>
      </c>
      <c r="I48" s="383">
        <v>10</v>
      </c>
      <c r="J48" s="18">
        <v>3000</v>
      </c>
      <c r="K48" s="9">
        <f t="shared" si="54"/>
        <v>300</v>
      </c>
      <c r="L48" s="383">
        <v>10</v>
      </c>
      <c r="M48" s="10">
        <f t="shared" ref="M48:M49" si="60">F48/V48*60</f>
        <v>2754.0983606557384</v>
      </c>
      <c r="N48" s="10">
        <f t="shared" ref="N48:N56" si="61">M48/L48</f>
        <v>275.40983606557381</v>
      </c>
      <c r="O48" s="11">
        <f t="shared" ref="O48:O56" si="62">L48-I48</f>
        <v>0</v>
      </c>
      <c r="P48" s="12">
        <f t="shared" si="51"/>
        <v>-24.590163934426187</v>
      </c>
      <c r="Q48" s="385">
        <f t="shared" si="52"/>
        <v>0.91803278688524603</v>
      </c>
      <c r="R48" s="493">
        <f>Q56</f>
        <v>0.92046928261325167</v>
      </c>
      <c r="S48" s="24">
        <v>0.20833333333333334</v>
      </c>
      <c r="T48" s="24">
        <v>0.25069444444444444</v>
      </c>
      <c r="U48" s="15"/>
      <c r="V48" s="382">
        <f t="shared" ref="V48:V55" si="63">(T48-S48)*24*60</f>
        <v>60.999999999999986</v>
      </c>
      <c r="W48" s="380"/>
      <c r="X48" s="380"/>
      <c r="Y48" s="473"/>
      <c r="Z48" s="474"/>
      <c r="AA48" s="11">
        <f t="shared" si="2"/>
        <v>-245.90163934426164</v>
      </c>
      <c r="AB48" s="385">
        <f t="shared" si="57"/>
        <v>0.91803278688524614</v>
      </c>
      <c r="AC48" s="493">
        <f>AB56</f>
        <v>0.92046928261325167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381">
        <v>3000</v>
      </c>
      <c r="G49" s="380">
        <f t="shared" si="59"/>
        <v>63390</v>
      </c>
      <c r="H49" s="76">
        <v>2</v>
      </c>
      <c r="I49" s="383">
        <v>10</v>
      </c>
      <c r="J49" s="18">
        <v>3000</v>
      </c>
      <c r="K49" s="9">
        <f t="shared" si="54"/>
        <v>300</v>
      </c>
      <c r="L49" s="383">
        <v>10</v>
      </c>
      <c r="M49" s="10">
        <f t="shared" si="60"/>
        <v>2769.2307692307686</v>
      </c>
      <c r="N49" s="10">
        <f t="shared" si="61"/>
        <v>276.92307692307685</v>
      </c>
      <c r="O49" s="11">
        <f t="shared" si="62"/>
        <v>0</v>
      </c>
      <c r="P49" s="12">
        <f t="shared" si="51"/>
        <v>-23.076923076923151</v>
      </c>
      <c r="Q49" s="385">
        <f t="shared" si="52"/>
        <v>0.9230769230769228</v>
      </c>
      <c r="R49" s="494"/>
      <c r="S49" s="24">
        <v>0.25555555555555554</v>
      </c>
      <c r="T49" s="24">
        <v>0.30069444444444443</v>
      </c>
      <c r="U49" s="380">
        <f>(S49-T48)*24*60</f>
        <v>6.9999999999999751</v>
      </c>
      <c r="V49" s="382">
        <f t="shared" si="63"/>
        <v>65.000000000000014</v>
      </c>
      <c r="W49" s="14"/>
      <c r="X49" s="14"/>
      <c r="Y49" s="473"/>
      <c r="Z49" s="474"/>
      <c r="AA49" s="11">
        <f t="shared" si="2"/>
        <v>-230.7692307692314</v>
      </c>
      <c r="AB49" s="385">
        <f t="shared" si="57"/>
        <v>0.92307692307692291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381">
        <v>4676</v>
      </c>
      <c r="G50" s="380">
        <f t="shared" si="59"/>
        <v>164221.12</v>
      </c>
      <c r="H50" s="76" t="s">
        <v>57</v>
      </c>
      <c r="I50" s="383">
        <v>10</v>
      </c>
      <c r="J50" s="18">
        <v>3000</v>
      </c>
      <c r="K50" s="9">
        <f t="shared" si="54"/>
        <v>300</v>
      </c>
      <c r="L50" s="383">
        <v>10</v>
      </c>
      <c r="M50" s="10">
        <f>F50/V50*60</f>
        <v>2750.5882352941162</v>
      </c>
      <c r="N50" s="10">
        <f t="shared" si="61"/>
        <v>275.0588235294116</v>
      </c>
      <c r="O50" s="11">
        <f t="shared" si="62"/>
        <v>0</v>
      </c>
      <c r="P50" s="12">
        <f t="shared" si="51"/>
        <v>-24.941176470588402</v>
      </c>
      <c r="Q50" s="385">
        <f t="shared" si="52"/>
        <v>0.91686274509803867</v>
      </c>
      <c r="R50" s="494"/>
      <c r="S50" s="24">
        <v>0.30416666666666664</v>
      </c>
      <c r="T50" s="24">
        <v>0.375</v>
      </c>
      <c r="U50" s="380">
        <f t="shared" ref="U50:U55" si="64">(S50-T49)*24*60</f>
        <v>4.9999999999999822</v>
      </c>
      <c r="V50" s="382">
        <f t="shared" si="63"/>
        <v>102.00000000000004</v>
      </c>
      <c r="W50" s="14"/>
      <c r="X50" s="14"/>
      <c r="Y50" s="473"/>
      <c r="Z50" s="474"/>
      <c r="AA50" s="11">
        <f t="shared" si="2"/>
        <v>-249.4117647058838</v>
      </c>
      <c r="AB50" s="385">
        <f t="shared" si="57"/>
        <v>0.91686274509803878</v>
      </c>
      <c r="AC50" s="494"/>
    </row>
    <row r="51" spans="1:29" ht="15.75" customHeight="1">
      <c r="A51" s="489" t="s">
        <v>9</v>
      </c>
      <c r="B51" s="26" t="s">
        <v>33</v>
      </c>
      <c r="C51" s="491" t="s">
        <v>67</v>
      </c>
      <c r="D51" s="492"/>
      <c r="E51" s="26">
        <v>40.18</v>
      </c>
      <c r="F51" s="381">
        <v>2180</v>
      </c>
      <c r="G51" s="380">
        <f t="shared" si="59"/>
        <v>87592.4</v>
      </c>
      <c r="H51" s="76" t="s">
        <v>57</v>
      </c>
      <c r="I51" s="383">
        <v>10</v>
      </c>
      <c r="J51" s="18">
        <v>3000</v>
      </c>
      <c r="K51" s="9">
        <f t="shared" si="54"/>
        <v>300</v>
      </c>
      <c r="L51" s="383">
        <v>10</v>
      </c>
      <c r="M51" s="10">
        <f t="shared" ref="M51:M55" si="65">F51/V51*60</f>
        <v>2782.978723404256</v>
      </c>
      <c r="N51" s="10">
        <f t="shared" si="61"/>
        <v>278.29787234042561</v>
      </c>
      <c r="O51" s="11">
        <f t="shared" si="62"/>
        <v>0</v>
      </c>
      <c r="P51" s="12">
        <f t="shared" si="51"/>
        <v>-21.702127659574387</v>
      </c>
      <c r="Q51" s="385">
        <f t="shared" si="52"/>
        <v>0.92765957446808534</v>
      </c>
      <c r="R51" s="494"/>
      <c r="S51" s="24">
        <v>0.37916666666666665</v>
      </c>
      <c r="T51" s="24">
        <v>0.41180555555555554</v>
      </c>
      <c r="U51" s="380">
        <f t="shared" si="64"/>
        <v>5.9999999999999787</v>
      </c>
      <c r="V51" s="382">
        <f t="shared" si="63"/>
        <v>46.999999999999993</v>
      </c>
      <c r="W51" s="14"/>
      <c r="X51" s="14"/>
      <c r="Y51" s="473"/>
      <c r="Z51" s="474"/>
      <c r="AA51" s="11">
        <f t="shared" si="2"/>
        <v>-217.02127659574398</v>
      </c>
      <c r="AB51" s="385">
        <f t="shared" si="57"/>
        <v>0.92765957446808534</v>
      </c>
      <c r="AC51" s="494"/>
    </row>
    <row r="52" spans="1:29" ht="15.75" customHeight="1">
      <c r="A52" s="489" t="s">
        <v>9</v>
      </c>
      <c r="B52" s="26" t="s">
        <v>33</v>
      </c>
      <c r="C52" s="491" t="s">
        <v>73</v>
      </c>
      <c r="D52" s="492"/>
      <c r="E52" s="26">
        <v>28.5</v>
      </c>
      <c r="F52" s="381">
        <v>1461</v>
      </c>
      <c r="G52" s="380">
        <f t="shared" si="59"/>
        <v>41638.5</v>
      </c>
      <c r="H52" s="76" t="s">
        <v>57</v>
      </c>
      <c r="I52" s="383">
        <v>10</v>
      </c>
      <c r="J52" s="18">
        <v>3000</v>
      </c>
      <c r="K52" s="9">
        <f t="shared" si="54"/>
        <v>300</v>
      </c>
      <c r="L52" s="383">
        <v>10</v>
      </c>
      <c r="M52" s="10">
        <f t="shared" si="65"/>
        <v>2739.3750000000032</v>
      </c>
      <c r="N52" s="10">
        <f t="shared" si="61"/>
        <v>273.93750000000034</v>
      </c>
      <c r="O52" s="11">
        <f t="shared" si="62"/>
        <v>0</v>
      </c>
      <c r="P52" s="12">
        <f t="shared" si="51"/>
        <v>-26.062499999999659</v>
      </c>
      <c r="Q52" s="385">
        <f>N52/K52</f>
        <v>0.91312500000000119</v>
      </c>
      <c r="R52" s="494"/>
      <c r="S52" s="24">
        <v>0.41736111111111107</v>
      </c>
      <c r="T52" s="24">
        <v>0.43958333333333327</v>
      </c>
      <c r="U52" s="380">
        <f t="shared" si="64"/>
        <v>7.9999999999999716</v>
      </c>
      <c r="V52" s="382">
        <f t="shared" si="63"/>
        <v>31.999999999999964</v>
      </c>
      <c r="W52" s="14"/>
      <c r="X52" s="14"/>
      <c r="Y52" s="473"/>
      <c r="Z52" s="474"/>
      <c r="AA52" s="11">
        <f t="shared" si="2"/>
        <v>-260.62499999999682</v>
      </c>
      <c r="AB52" s="385">
        <f t="shared" si="57"/>
        <v>0.91312500000000107</v>
      </c>
      <c r="AC52" s="494"/>
    </row>
    <row r="53" spans="1:29" ht="15.75" customHeight="1">
      <c r="A53" s="489" t="s">
        <v>9</v>
      </c>
      <c r="B53" s="26" t="s">
        <v>33</v>
      </c>
      <c r="C53" s="491" t="s">
        <v>511</v>
      </c>
      <c r="D53" s="492"/>
      <c r="E53" s="26">
        <v>35.869999999999997</v>
      </c>
      <c r="F53" s="381">
        <v>3459</v>
      </c>
      <c r="G53" s="380">
        <f t="shared" si="59"/>
        <v>124074.32999999999</v>
      </c>
      <c r="H53" s="76" t="s">
        <v>57</v>
      </c>
      <c r="I53" s="383">
        <v>10</v>
      </c>
      <c r="J53" s="18">
        <v>3000</v>
      </c>
      <c r="K53" s="9">
        <f t="shared" si="54"/>
        <v>300</v>
      </c>
      <c r="L53" s="383">
        <v>10</v>
      </c>
      <c r="M53" s="10">
        <f t="shared" si="65"/>
        <v>2767.2000000000012</v>
      </c>
      <c r="N53" s="10">
        <f t="shared" si="61"/>
        <v>276.72000000000014</v>
      </c>
      <c r="O53" s="11">
        <f t="shared" si="62"/>
        <v>0</v>
      </c>
      <c r="P53" s="12">
        <f t="shared" si="51"/>
        <v>-23.279999999999859</v>
      </c>
      <c r="Q53" s="385">
        <f t="shared" ref="Q53:Q56" si="66">N53/K53</f>
        <v>0.92240000000000044</v>
      </c>
      <c r="R53" s="494"/>
      <c r="S53" s="24">
        <v>0.44374999999999992</v>
      </c>
      <c r="T53" s="24">
        <v>0.49583333333333324</v>
      </c>
      <c r="U53" s="380">
        <f t="shared" si="64"/>
        <v>5.9999999999999787</v>
      </c>
      <c r="V53" s="382">
        <f t="shared" si="63"/>
        <v>74.999999999999972</v>
      </c>
      <c r="W53" s="14"/>
      <c r="X53" s="14"/>
      <c r="Y53" s="473"/>
      <c r="Z53" s="474"/>
      <c r="AA53" s="11">
        <f t="shared" si="2"/>
        <v>-232.79999999999882</v>
      </c>
      <c r="AB53" s="385">
        <f t="shared" si="57"/>
        <v>0.92240000000000044</v>
      </c>
      <c r="AC53" s="494"/>
    </row>
    <row r="54" spans="1:29" ht="15.75" customHeight="1">
      <c r="A54" s="489" t="s">
        <v>9</v>
      </c>
      <c r="B54" s="26" t="s">
        <v>33</v>
      </c>
      <c r="C54" s="491" t="s">
        <v>34</v>
      </c>
      <c r="D54" s="492"/>
      <c r="E54" s="26">
        <v>27.17</v>
      </c>
      <c r="F54" s="381">
        <v>3410</v>
      </c>
      <c r="G54" s="380">
        <f t="shared" si="59"/>
        <v>92649.700000000012</v>
      </c>
      <c r="H54" s="76" t="s">
        <v>57</v>
      </c>
      <c r="I54" s="383">
        <v>10</v>
      </c>
      <c r="J54" s="18">
        <v>3000</v>
      </c>
      <c r="K54" s="9">
        <f t="shared" si="54"/>
        <v>300</v>
      </c>
      <c r="L54" s="383">
        <v>10</v>
      </c>
      <c r="M54" s="10">
        <f t="shared" si="65"/>
        <v>2764.8648648648627</v>
      </c>
      <c r="N54" s="10">
        <f t="shared" si="61"/>
        <v>276.48648648648629</v>
      </c>
      <c r="O54" s="11">
        <f t="shared" si="62"/>
        <v>0</v>
      </c>
      <c r="P54" s="12">
        <f t="shared" si="51"/>
        <v>-23.513513513513715</v>
      </c>
      <c r="Q54" s="385">
        <f t="shared" si="66"/>
        <v>0.92162162162162098</v>
      </c>
      <c r="R54" s="494"/>
      <c r="S54" s="24">
        <v>0.53749999999999987</v>
      </c>
      <c r="T54" s="24">
        <v>0.5888888888888888</v>
      </c>
      <c r="U54" s="380">
        <f t="shared" si="64"/>
        <v>59.999999999999943</v>
      </c>
      <c r="V54" s="382">
        <f t="shared" si="63"/>
        <v>74.000000000000057</v>
      </c>
      <c r="W54" s="14"/>
      <c r="X54" s="14"/>
      <c r="Y54" s="473"/>
      <c r="Z54" s="474"/>
      <c r="AA54" s="11">
        <f t="shared" si="2"/>
        <v>-235.13513513513726</v>
      </c>
      <c r="AB54" s="385">
        <f t="shared" si="57"/>
        <v>0.92162162162162087</v>
      </c>
      <c r="AC54" s="494"/>
    </row>
    <row r="55" spans="1:29" ht="15.75" customHeight="1">
      <c r="A55" s="489" t="s">
        <v>9</v>
      </c>
      <c r="B55" s="26" t="s">
        <v>33</v>
      </c>
      <c r="C55" s="491" t="s">
        <v>35</v>
      </c>
      <c r="D55" s="492"/>
      <c r="E55" s="26">
        <v>21.13</v>
      </c>
      <c r="F55" s="381">
        <v>1888</v>
      </c>
      <c r="G55" s="380">
        <f t="shared" si="59"/>
        <v>39893.439999999995</v>
      </c>
      <c r="H55" s="76" t="s">
        <v>57</v>
      </c>
      <c r="I55" s="383">
        <v>10</v>
      </c>
      <c r="J55" s="18">
        <v>3000</v>
      </c>
      <c r="K55" s="9">
        <f t="shared" si="54"/>
        <v>300</v>
      </c>
      <c r="L55" s="383">
        <v>10</v>
      </c>
      <c r="M55" s="10">
        <f t="shared" si="65"/>
        <v>2762.9268292682918</v>
      </c>
      <c r="N55" s="10">
        <f t="shared" si="61"/>
        <v>276.29268292682917</v>
      </c>
      <c r="O55" s="11">
        <f t="shared" si="62"/>
        <v>0</v>
      </c>
      <c r="P55" s="12">
        <f t="shared" si="51"/>
        <v>-23.707317073170827</v>
      </c>
      <c r="Q55" s="385">
        <f t="shared" si="66"/>
        <v>0.92097560975609727</v>
      </c>
      <c r="R55" s="494"/>
      <c r="S55" s="24">
        <v>0.59305555555555545</v>
      </c>
      <c r="T55" s="24">
        <v>0.62152777777777768</v>
      </c>
      <c r="U55" s="380">
        <f t="shared" si="64"/>
        <v>5.9999999999999787</v>
      </c>
      <c r="V55" s="382">
        <f t="shared" si="63"/>
        <v>41.000000000000014</v>
      </c>
      <c r="W55" s="14"/>
      <c r="X55" s="14"/>
      <c r="Y55" s="473"/>
      <c r="Z55" s="474"/>
      <c r="AA55" s="11">
        <f t="shared" si="2"/>
        <v>-237.07317073170816</v>
      </c>
      <c r="AB55" s="385">
        <f t="shared" si="57"/>
        <v>0.92097560975609727</v>
      </c>
      <c r="AC55" s="494"/>
    </row>
    <row r="56" spans="1:29" ht="15.75" customHeight="1">
      <c r="A56" s="490" t="s">
        <v>9</v>
      </c>
      <c r="B56" s="26" t="s">
        <v>236</v>
      </c>
      <c r="C56" s="497"/>
      <c r="D56" s="498"/>
      <c r="E56" s="390"/>
      <c r="F56" s="381"/>
      <c r="G56" s="380"/>
      <c r="H56" s="381"/>
      <c r="I56" s="17">
        <v>10</v>
      </c>
      <c r="J56" s="18">
        <v>3000</v>
      </c>
      <c r="K56" s="9">
        <f>J56/I56</f>
        <v>300</v>
      </c>
      <c r="L56" s="17">
        <v>10</v>
      </c>
      <c r="M56" s="10">
        <f>AVERAGE(M48:M55)</f>
        <v>2761.407847839755</v>
      </c>
      <c r="N56" s="9">
        <f t="shared" si="61"/>
        <v>276.1407847839755</v>
      </c>
      <c r="O56" s="11">
        <f t="shared" si="62"/>
        <v>0</v>
      </c>
      <c r="P56" s="12">
        <f t="shared" si="51"/>
        <v>-23.859215216024495</v>
      </c>
      <c r="Q56" s="385">
        <f t="shared" si="66"/>
        <v>0.92046928261325167</v>
      </c>
      <c r="R56" s="495"/>
      <c r="S56" s="24"/>
      <c r="T56" s="24"/>
      <c r="U56" s="380"/>
      <c r="V56" s="382"/>
      <c r="W56" s="14"/>
      <c r="X56" s="14"/>
      <c r="Y56" s="473"/>
      <c r="Z56" s="474"/>
      <c r="AA56" s="11">
        <f t="shared" si="2"/>
        <v>-238.59215216024495</v>
      </c>
      <c r="AB56" s="385">
        <f t="shared" si="57"/>
        <v>0.92046928261325167</v>
      </c>
      <c r="AC56" s="495"/>
    </row>
    <row r="57" spans="1:29" ht="15.75" customHeight="1">
      <c r="A57" s="461" t="s">
        <v>1581</v>
      </c>
      <c r="B57" s="26" t="s">
        <v>15</v>
      </c>
      <c r="C57" s="487" t="s">
        <v>20</v>
      </c>
      <c r="D57" s="487"/>
      <c r="E57" s="26">
        <v>46</v>
      </c>
      <c r="F57" s="27">
        <v>2993</v>
      </c>
      <c r="G57" s="380">
        <f t="shared" ref="G57:G60" si="67">E57*F57</f>
        <v>137678</v>
      </c>
      <c r="H57" s="76" t="s">
        <v>57</v>
      </c>
      <c r="I57" s="383">
        <v>17</v>
      </c>
      <c r="J57" s="18">
        <v>1500</v>
      </c>
      <c r="K57" s="9">
        <f t="shared" ref="K57:K60" si="68">J57/I57</f>
        <v>88.235294117647058</v>
      </c>
      <c r="L57" s="383">
        <v>17</v>
      </c>
      <c r="M57" s="10">
        <f t="shared" ref="M57:M60" si="69">F57/V57*60</f>
        <v>1370.8396946564885</v>
      </c>
      <c r="N57" s="10">
        <f>M57/L57</f>
        <v>80.637629097440495</v>
      </c>
      <c r="O57" s="11">
        <f>L57-I57</f>
        <v>0</v>
      </c>
      <c r="P57" s="12">
        <f>N57-K57</f>
        <v>-7.5976650202065628</v>
      </c>
      <c r="Q57" s="385">
        <f>N57/K57</f>
        <v>0.91389312977099224</v>
      </c>
      <c r="R57" s="470">
        <f>Q61</f>
        <v>0.91562639249059485</v>
      </c>
      <c r="S57" s="24">
        <v>0.29166666666666669</v>
      </c>
      <c r="T57" s="24">
        <v>0.38263888888888892</v>
      </c>
      <c r="U57" s="15"/>
      <c r="V57" s="382">
        <f t="shared" ref="V57:V60" si="70">(T57-S57)*24*60</f>
        <v>131</v>
      </c>
      <c r="W57" s="15"/>
      <c r="X57" s="15"/>
      <c r="Y57" s="456"/>
      <c r="Z57" s="456"/>
      <c r="AA57" s="11">
        <f t="shared" si="2"/>
        <v>-129.16030534351148</v>
      </c>
      <c r="AB57" s="385">
        <f t="shared" si="57"/>
        <v>0.91389312977099235</v>
      </c>
      <c r="AC57" s="470">
        <f>AB61</f>
        <v>0.91562639249059474</v>
      </c>
    </row>
    <row r="58" spans="1:29" ht="15.75" customHeight="1">
      <c r="A58" s="461" t="s">
        <v>10</v>
      </c>
      <c r="B58" s="26" t="s">
        <v>15</v>
      </c>
      <c r="C58" s="487" t="s">
        <v>75</v>
      </c>
      <c r="D58" s="487"/>
      <c r="E58" s="26">
        <v>46</v>
      </c>
      <c r="F58" s="27">
        <v>3508</v>
      </c>
      <c r="G58" s="380">
        <f t="shared" si="67"/>
        <v>161368</v>
      </c>
      <c r="H58" s="76" t="s">
        <v>57</v>
      </c>
      <c r="I58" s="383">
        <v>18</v>
      </c>
      <c r="J58" s="18">
        <v>1500</v>
      </c>
      <c r="K58" s="9">
        <f t="shared" si="68"/>
        <v>83.333333333333329</v>
      </c>
      <c r="L58" s="383">
        <v>18</v>
      </c>
      <c r="M58" s="10">
        <f t="shared" si="69"/>
        <v>1366.7532467532467</v>
      </c>
      <c r="N58" s="10">
        <f t="shared" ref="N58:N60" si="71">M58/L58</f>
        <v>75.930735930735921</v>
      </c>
      <c r="O58" s="11">
        <f t="shared" ref="O58:O60" si="72">L58-I58</f>
        <v>0</v>
      </c>
      <c r="P58" s="12">
        <f t="shared" ref="P58:P60" si="73">N58-K58</f>
        <v>-7.4025974025974079</v>
      </c>
      <c r="Q58" s="385">
        <f t="shared" ref="Q58:Q60" si="74">N58/K58</f>
        <v>0.91116883116883107</v>
      </c>
      <c r="R58" s="470"/>
      <c r="S58" s="24">
        <v>0.38819444444444445</v>
      </c>
      <c r="T58" s="24">
        <v>0.49513888888888891</v>
      </c>
      <c r="U58" s="380">
        <f t="shared" ref="U58:U60" si="75">(S58-T57)*24*60</f>
        <v>7.9999999999999716</v>
      </c>
      <c r="V58" s="382">
        <f t="shared" si="70"/>
        <v>154</v>
      </c>
      <c r="W58" s="14"/>
      <c r="X58" s="14"/>
      <c r="Y58" s="456"/>
      <c r="Z58" s="456"/>
      <c r="AA58" s="11">
        <f t="shared" si="2"/>
        <v>-133.24675324675331</v>
      </c>
      <c r="AB58" s="385">
        <f t="shared" si="57"/>
        <v>0.91116883116883107</v>
      </c>
      <c r="AC58" s="470"/>
    </row>
    <row r="59" spans="1:29" ht="15.75" customHeight="1">
      <c r="A59" s="461" t="s">
        <v>10</v>
      </c>
      <c r="B59" s="26" t="s">
        <v>13</v>
      </c>
      <c r="C59" s="491" t="s">
        <v>65</v>
      </c>
      <c r="D59" s="492"/>
      <c r="E59" s="26">
        <v>55.56</v>
      </c>
      <c r="F59" s="27">
        <v>2183</v>
      </c>
      <c r="G59" s="380">
        <f t="shared" si="67"/>
        <v>121287.48000000001</v>
      </c>
      <c r="H59" s="76" t="s">
        <v>57</v>
      </c>
      <c r="I59" s="383">
        <v>17</v>
      </c>
      <c r="J59" s="18">
        <v>1500</v>
      </c>
      <c r="K59" s="9">
        <f t="shared" si="68"/>
        <v>88.235294117647058</v>
      </c>
      <c r="L59" s="383">
        <v>17</v>
      </c>
      <c r="M59" s="10">
        <f t="shared" si="69"/>
        <v>1378.7368421052633</v>
      </c>
      <c r="N59" s="10">
        <f t="shared" si="71"/>
        <v>81.102167182662555</v>
      </c>
      <c r="O59" s="11">
        <f t="shared" si="72"/>
        <v>0</v>
      </c>
      <c r="P59" s="12">
        <f t="shared" si="73"/>
        <v>-7.133126934984503</v>
      </c>
      <c r="Q59" s="385">
        <f t="shared" si="74"/>
        <v>0.91915789473684228</v>
      </c>
      <c r="R59" s="470"/>
      <c r="S59" s="24">
        <v>0.70833333333333337</v>
      </c>
      <c r="T59" s="24">
        <v>0.77430555555555558</v>
      </c>
      <c r="U59" s="380">
        <f t="shared" si="75"/>
        <v>307</v>
      </c>
      <c r="V59" s="382">
        <f t="shared" si="70"/>
        <v>94.999999999999986</v>
      </c>
      <c r="W59" s="14"/>
      <c r="X59" s="14"/>
      <c r="Y59" s="386"/>
      <c r="Z59" s="387"/>
      <c r="AA59" s="11">
        <f t="shared" si="2"/>
        <v>-121.26315789473665</v>
      </c>
      <c r="AB59" s="385">
        <f t="shared" si="57"/>
        <v>0.91915789473684228</v>
      </c>
      <c r="AC59" s="470"/>
    </row>
    <row r="60" spans="1:29" ht="15.75" customHeight="1">
      <c r="A60" s="461" t="s">
        <v>10</v>
      </c>
      <c r="B60" s="26" t="s">
        <v>13</v>
      </c>
      <c r="C60" s="388" t="s">
        <v>64</v>
      </c>
      <c r="D60" s="389"/>
      <c r="E60" s="26">
        <v>55.32</v>
      </c>
      <c r="F60" s="27">
        <v>1607</v>
      </c>
      <c r="G60" s="380">
        <f t="shared" si="67"/>
        <v>88899.24</v>
      </c>
      <c r="H60" s="76" t="s">
        <v>57</v>
      </c>
      <c r="I60" s="383">
        <v>15</v>
      </c>
      <c r="J60" s="18">
        <v>1500</v>
      </c>
      <c r="K60" s="9">
        <f t="shared" si="68"/>
        <v>100</v>
      </c>
      <c r="L60" s="383">
        <v>15</v>
      </c>
      <c r="M60" s="10">
        <f t="shared" si="69"/>
        <v>1377.42857142857</v>
      </c>
      <c r="N60" s="10">
        <f t="shared" si="71"/>
        <v>91.828571428571337</v>
      </c>
      <c r="O60" s="11">
        <f t="shared" si="72"/>
        <v>0</v>
      </c>
      <c r="P60" s="12">
        <f t="shared" si="73"/>
        <v>-8.1714285714286632</v>
      </c>
      <c r="Q60" s="385">
        <f t="shared" si="74"/>
        <v>0.91828571428571337</v>
      </c>
      <c r="R60" s="470"/>
      <c r="S60" s="24">
        <v>0.77986111111111112</v>
      </c>
      <c r="T60" s="24">
        <v>0.82847222222222228</v>
      </c>
      <c r="U60" s="380">
        <f t="shared" si="75"/>
        <v>7.9999999999999716</v>
      </c>
      <c r="V60" s="382">
        <f t="shared" si="70"/>
        <v>70.000000000000071</v>
      </c>
      <c r="W60" s="14"/>
      <c r="X60" s="14"/>
      <c r="Y60" s="386"/>
      <c r="Z60" s="387"/>
      <c r="AA60" s="11">
        <f t="shared" si="2"/>
        <v>-122.57142857143003</v>
      </c>
      <c r="AB60" s="385">
        <f t="shared" si="57"/>
        <v>0.91828571428571326</v>
      </c>
      <c r="AC60" s="470"/>
    </row>
    <row r="61" spans="1:29">
      <c r="A61" s="496" t="s">
        <v>10</v>
      </c>
      <c r="B61" s="26" t="s">
        <v>1579</v>
      </c>
      <c r="C61" s="466"/>
      <c r="D61" s="466"/>
      <c r="E61" s="384"/>
      <c r="F61" s="16"/>
      <c r="G61" s="9"/>
      <c r="H61" s="381"/>
      <c r="I61" s="17">
        <v>16.75</v>
      </c>
      <c r="J61" s="18">
        <v>1500</v>
      </c>
      <c r="K61" s="9">
        <f>J61/I61</f>
        <v>89.552238805970148</v>
      </c>
      <c r="L61" s="17">
        <v>16.75</v>
      </c>
      <c r="M61" s="10">
        <f>AVERAGE(M57:M60)</f>
        <v>1373.4395887358921</v>
      </c>
      <c r="N61" s="9">
        <f>M61/L61</f>
        <v>81.996393357366699</v>
      </c>
      <c r="O61" s="11">
        <f>L61-I61</f>
        <v>0</v>
      </c>
      <c r="P61" s="12">
        <f>N61-K61</f>
        <v>-7.5558454486034492</v>
      </c>
      <c r="Q61" s="385">
        <f>N61/K61</f>
        <v>0.91562639249059485</v>
      </c>
      <c r="R61" s="470"/>
      <c r="S61" s="25"/>
      <c r="T61" s="24"/>
      <c r="U61" s="9"/>
      <c r="V61" s="382"/>
      <c r="W61" s="9"/>
      <c r="X61" s="9"/>
      <c r="Y61" s="456"/>
      <c r="Z61" s="456"/>
      <c r="AA61" s="11">
        <f t="shared" si="2"/>
        <v>-126.56041126410787</v>
      </c>
      <c r="AB61" s="385">
        <f t="shared" si="57"/>
        <v>0.91562639249059474</v>
      </c>
      <c r="AC61" s="470"/>
    </row>
    <row r="62" spans="1:29" ht="15.75" customHeight="1">
      <c r="A62" s="499" t="s">
        <v>1167</v>
      </c>
      <c r="B62" s="381" t="s">
        <v>33</v>
      </c>
      <c r="C62" s="487" t="s">
        <v>36</v>
      </c>
      <c r="D62" s="487"/>
      <c r="E62" s="26">
        <v>26.78</v>
      </c>
      <c r="F62" s="27">
        <v>2510</v>
      </c>
      <c r="G62" s="380">
        <f t="shared" ref="G62:G67" si="76">E62*F62</f>
        <v>67217.8</v>
      </c>
      <c r="H62" s="76" t="s">
        <v>57</v>
      </c>
      <c r="I62" s="383">
        <v>10</v>
      </c>
      <c r="J62" s="18">
        <v>3000</v>
      </c>
      <c r="K62" s="9">
        <f t="shared" ref="K62:K67" si="77">J62/I62</f>
        <v>300</v>
      </c>
      <c r="L62" s="17">
        <v>10</v>
      </c>
      <c r="M62" s="10">
        <f t="shared" ref="M62:M67" si="78">F62/V62*60</f>
        <v>2738.181818181818</v>
      </c>
      <c r="N62" s="9">
        <f>M62/L62</f>
        <v>273.81818181818181</v>
      </c>
      <c r="O62" s="11">
        <f t="shared" ref="O62:O67" si="79">L62-I62</f>
        <v>0</v>
      </c>
      <c r="P62" s="12">
        <f t="shared" ref="P62:P67" si="80">N62-K62</f>
        <v>-26.181818181818187</v>
      </c>
      <c r="Q62" s="385">
        <f>N62/K62</f>
        <v>0.91272727272727272</v>
      </c>
      <c r="R62" s="470">
        <f>Q68</f>
        <v>0.92090266562305156</v>
      </c>
      <c r="S62" s="24">
        <v>0.20833333333333334</v>
      </c>
      <c r="T62" s="24">
        <v>0.24652777777777779</v>
      </c>
      <c r="U62" s="380"/>
      <c r="V62" s="382">
        <f t="shared" ref="V62:V67" si="81">(T62-S62)*24*60</f>
        <v>55.000000000000007</v>
      </c>
      <c r="W62" s="15"/>
      <c r="X62" s="15"/>
      <c r="Y62" s="456"/>
      <c r="Z62" s="456"/>
      <c r="AA62" s="11">
        <f t="shared" si="2"/>
        <v>-261.81818181818198</v>
      </c>
      <c r="AB62" s="385">
        <f t="shared" si="57"/>
        <v>0.91272727272727272</v>
      </c>
      <c r="AC62" s="470">
        <f>AB68</f>
        <v>0.92090266562305156</v>
      </c>
    </row>
    <row r="63" spans="1:29" ht="15.75" customHeight="1">
      <c r="A63" s="499" t="s">
        <v>11</v>
      </c>
      <c r="B63" s="381" t="s">
        <v>33</v>
      </c>
      <c r="C63" s="487" t="s">
        <v>42</v>
      </c>
      <c r="D63" s="487"/>
      <c r="E63" s="26">
        <v>35.369999999999997</v>
      </c>
      <c r="F63" s="27">
        <v>1672</v>
      </c>
      <c r="G63" s="380">
        <f t="shared" si="76"/>
        <v>59138.639999999992</v>
      </c>
      <c r="H63" s="76" t="s">
        <v>57</v>
      </c>
      <c r="I63" s="383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2786.6666666666642</v>
      </c>
      <c r="N63" s="9">
        <f t="shared" ref="N63:N67" si="82">M63/L63</f>
        <v>278.6666666666664</v>
      </c>
      <c r="O63" s="11">
        <f t="shared" si="79"/>
        <v>0</v>
      </c>
      <c r="P63" s="12">
        <f t="shared" si="80"/>
        <v>-21.333333333333599</v>
      </c>
      <c r="Q63" s="385">
        <f t="shared" ref="Q63:Q67" si="83">N63/K63</f>
        <v>0.92888888888888799</v>
      </c>
      <c r="R63" s="470"/>
      <c r="S63" s="24">
        <v>0.25</v>
      </c>
      <c r="T63" s="24">
        <v>0.27500000000000002</v>
      </c>
      <c r="U63" s="380">
        <f>(S63-T62)*24*60</f>
        <v>4.9999999999999822</v>
      </c>
      <c r="V63" s="382">
        <f t="shared" si="81"/>
        <v>36.000000000000028</v>
      </c>
      <c r="W63" s="380"/>
      <c r="X63" s="380"/>
      <c r="Y63" s="456"/>
      <c r="Z63" s="456"/>
      <c r="AA63" s="11">
        <f t="shared" si="2"/>
        <v>-213.33333333333576</v>
      </c>
      <c r="AB63" s="385">
        <f t="shared" si="57"/>
        <v>0.9288888888888881</v>
      </c>
      <c r="AC63" s="470"/>
    </row>
    <row r="64" spans="1:29" ht="15.75" customHeight="1">
      <c r="A64" s="499" t="s">
        <v>11</v>
      </c>
      <c r="B64" s="381" t="s">
        <v>33</v>
      </c>
      <c r="C64" s="487" t="s">
        <v>41</v>
      </c>
      <c r="D64" s="487"/>
      <c r="E64" s="26">
        <v>34.35</v>
      </c>
      <c r="F64" s="27">
        <v>1368</v>
      </c>
      <c r="G64" s="380">
        <f t="shared" si="76"/>
        <v>46990.8</v>
      </c>
      <c r="H64" s="76" t="s">
        <v>57</v>
      </c>
      <c r="I64" s="383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2736.0000000000027</v>
      </c>
      <c r="N64" s="9">
        <f t="shared" si="82"/>
        <v>273.60000000000025</v>
      </c>
      <c r="O64" s="11">
        <f t="shared" si="79"/>
        <v>0</v>
      </c>
      <c r="P64" s="12">
        <f t="shared" si="80"/>
        <v>-26.39999999999975</v>
      </c>
      <c r="Q64" s="385">
        <f t="shared" si="83"/>
        <v>0.91200000000000081</v>
      </c>
      <c r="R64" s="470"/>
      <c r="S64" s="24">
        <v>0.28055555555555556</v>
      </c>
      <c r="T64" s="24">
        <v>0.30138888888888887</v>
      </c>
      <c r="U64" s="380">
        <f t="shared" ref="U64:U67" si="84">(S64-T63)*24*60</f>
        <v>7.9999999999999716</v>
      </c>
      <c r="V64" s="382">
        <f t="shared" si="81"/>
        <v>29.999999999999972</v>
      </c>
      <c r="W64" s="380"/>
      <c r="X64" s="380"/>
      <c r="Y64" s="456"/>
      <c r="Z64" s="456"/>
      <c r="AA64" s="11">
        <f t="shared" si="2"/>
        <v>-263.99999999999727</v>
      </c>
      <c r="AB64" s="385">
        <f t="shared" si="57"/>
        <v>0.91200000000000092</v>
      </c>
      <c r="AC64" s="470"/>
    </row>
    <row r="65" spans="1:29" ht="15.75" customHeight="1">
      <c r="A65" s="499" t="s">
        <v>11</v>
      </c>
      <c r="B65" s="381" t="s">
        <v>15</v>
      </c>
      <c r="C65" s="487" t="s">
        <v>39</v>
      </c>
      <c r="D65" s="487"/>
      <c r="E65" s="26">
        <v>26.97</v>
      </c>
      <c r="F65" s="27">
        <v>3182</v>
      </c>
      <c r="G65" s="380">
        <f t="shared" si="76"/>
        <v>85818.54</v>
      </c>
      <c r="H65" s="76" t="s">
        <v>57</v>
      </c>
      <c r="I65" s="383">
        <v>8</v>
      </c>
      <c r="J65" s="18">
        <v>1440</v>
      </c>
      <c r="K65" s="9">
        <f t="shared" si="77"/>
        <v>180</v>
      </c>
      <c r="L65" s="17">
        <v>8</v>
      </c>
      <c r="M65" s="10">
        <f t="shared" si="78"/>
        <v>1316.6896551724142</v>
      </c>
      <c r="N65" s="9">
        <f t="shared" si="82"/>
        <v>164.58620689655177</v>
      </c>
      <c r="O65" s="11">
        <f t="shared" si="79"/>
        <v>0</v>
      </c>
      <c r="P65" s="12">
        <f t="shared" si="80"/>
        <v>-15.413793103448228</v>
      </c>
      <c r="Q65" s="385">
        <f t="shared" si="83"/>
        <v>0.91436781609195428</v>
      </c>
      <c r="R65" s="470"/>
      <c r="S65" s="24">
        <v>0.30486111111111108</v>
      </c>
      <c r="T65" s="24">
        <v>0.4055555555555555</v>
      </c>
      <c r="U65" s="380">
        <f t="shared" si="84"/>
        <v>4.9999999999999822</v>
      </c>
      <c r="V65" s="382">
        <f t="shared" si="81"/>
        <v>144.99999999999997</v>
      </c>
      <c r="W65" s="380"/>
      <c r="X65" s="380"/>
      <c r="Y65" s="456"/>
      <c r="Z65" s="456"/>
      <c r="AA65" s="11">
        <f t="shared" si="2"/>
        <v>-123.31034482758582</v>
      </c>
      <c r="AB65" s="385">
        <f t="shared" si="57"/>
        <v>0.91436781609195428</v>
      </c>
      <c r="AC65" s="470"/>
    </row>
    <row r="66" spans="1:29">
      <c r="A66" s="500" t="s">
        <v>11</v>
      </c>
      <c r="B66" s="381" t="s">
        <v>33</v>
      </c>
      <c r="C66" s="487" t="s">
        <v>40</v>
      </c>
      <c r="D66" s="487"/>
      <c r="E66" s="26">
        <v>35.119999999999997</v>
      </c>
      <c r="F66" s="27">
        <v>1152</v>
      </c>
      <c r="G66" s="380">
        <f t="shared" si="76"/>
        <v>40458.239999999998</v>
      </c>
      <c r="H66" s="76" t="s">
        <v>57</v>
      </c>
      <c r="I66" s="383">
        <v>13</v>
      </c>
      <c r="J66" s="18">
        <v>2000</v>
      </c>
      <c r="K66" s="9">
        <f t="shared" si="77"/>
        <v>153.84615384615384</v>
      </c>
      <c r="L66" s="17">
        <v>13</v>
      </c>
      <c r="M66" s="10">
        <f t="shared" si="78"/>
        <v>1868.1081081081068</v>
      </c>
      <c r="N66" s="9">
        <f t="shared" si="82"/>
        <v>143.70062370062359</v>
      </c>
      <c r="O66" s="11">
        <f t="shared" si="79"/>
        <v>0</v>
      </c>
      <c r="P66" s="12">
        <f t="shared" si="80"/>
        <v>-10.145530145530245</v>
      </c>
      <c r="Q66" s="385">
        <f t="shared" si="83"/>
        <v>0.9340540540540534</v>
      </c>
      <c r="R66" s="470"/>
      <c r="S66" s="24">
        <v>0.40972222222222215</v>
      </c>
      <c r="T66" s="24">
        <v>0.43541666666666662</v>
      </c>
      <c r="U66" s="380">
        <f t="shared" si="84"/>
        <v>5.9999999999999787</v>
      </c>
      <c r="V66" s="382">
        <f t="shared" si="81"/>
        <v>37.000000000000028</v>
      </c>
      <c r="W66" s="14"/>
      <c r="X66" s="14"/>
      <c r="Y66" s="456"/>
      <c r="Z66" s="456"/>
      <c r="AA66" s="11">
        <f t="shared" si="2"/>
        <v>-131.89189189189324</v>
      </c>
      <c r="AB66" s="385">
        <f t="shared" si="57"/>
        <v>0.9340540540540534</v>
      </c>
      <c r="AC66" s="470"/>
    </row>
    <row r="67" spans="1:29" ht="15" customHeight="1">
      <c r="A67" s="500" t="s">
        <v>11</v>
      </c>
      <c r="B67" s="381" t="s">
        <v>33</v>
      </c>
      <c r="C67" s="491" t="s">
        <v>1194</v>
      </c>
      <c r="D67" s="492"/>
      <c r="E67" s="26">
        <v>35.869999999999997</v>
      </c>
      <c r="F67" s="27">
        <v>2542</v>
      </c>
      <c r="G67" s="380">
        <f t="shared" si="76"/>
        <v>91181.54</v>
      </c>
      <c r="H67" s="76" t="s">
        <v>57</v>
      </c>
      <c r="I67" s="383">
        <v>10</v>
      </c>
      <c r="J67" s="18">
        <v>3000</v>
      </c>
      <c r="K67" s="9">
        <f t="shared" si="77"/>
        <v>300</v>
      </c>
      <c r="L67" s="17">
        <v>10</v>
      </c>
      <c r="M67" s="10">
        <f t="shared" si="78"/>
        <v>2773.0909090909108</v>
      </c>
      <c r="N67" s="9">
        <f t="shared" si="82"/>
        <v>277.30909090909108</v>
      </c>
      <c r="O67" s="11">
        <f t="shared" si="79"/>
        <v>0</v>
      </c>
      <c r="P67" s="12">
        <f t="shared" si="80"/>
        <v>-22.690909090908917</v>
      </c>
      <c r="Q67" s="385">
        <f t="shared" si="83"/>
        <v>0.92436363636363694</v>
      </c>
      <c r="R67" s="470"/>
      <c r="S67" s="24">
        <v>0.44097222222222215</v>
      </c>
      <c r="T67" s="24">
        <v>0.47916666666666657</v>
      </c>
      <c r="U67" s="380">
        <f t="shared" si="84"/>
        <v>7.9999999999999716</v>
      </c>
      <c r="V67" s="382">
        <f t="shared" si="81"/>
        <v>54.999999999999964</v>
      </c>
      <c r="W67" s="380"/>
      <c r="X67" s="380"/>
      <c r="Y67" s="473"/>
      <c r="Z67" s="474"/>
      <c r="AA67" s="11">
        <f t="shared" si="2"/>
        <v>-226.90909090908917</v>
      </c>
      <c r="AB67" s="385">
        <f t="shared" si="57"/>
        <v>0.92436363636363694</v>
      </c>
      <c r="AC67" s="470"/>
    </row>
    <row r="68" spans="1:29">
      <c r="A68" s="500" t="s">
        <v>11</v>
      </c>
      <c r="B68" s="26" t="s">
        <v>236</v>
      </c>
      <c r="C68" s="466"/>
      <c r="D68" s="466"/>
      <c r="E68" s="384"/>
      <c r="F68" s="16"/>
      <c r="G68" s="9"/>
      <c r="H68" s="381"/>
      <c r="I68" s="17">
        <v>10.166666666666666</v>
      </c>
      <c r="J68" s="18">
        <v>2573.3333333333335</v>
      </c>
      <c r="K68" s="9">
        <f>J68/I68</f>
        <v>253.11475409836069</v>
      </c>
      <c r="L68" s="17">
        <v>10.166666666666666</v>
      </c>
      <c r="M68" s="10">
        <f>AVERAGE(M62:M67)</f>
        <v>2369.7895262033194</v>
      </c>
      <c r="N68" s="9">
        <f>M68/L68</f>
        <v>233.09405175770357</v>
      </c>
      <c r="O68" s="11">
        <f>L68-I68</f>
        <v>0</v>
      </c>
      <c r="P68" s="12">
        <f>N68-K68</f>
        <v>-20.020702340657124</v>
      </c>
      <c r="Q68" s="385">
        <f>N68/K68</f>
        <v>0.92090266562305156</v>
      </c>
      <c r="R68" s="470"/>
      <c r="S68" s="24"/>
      <c r="T68" s="24"/>
      <c r="U68" s="9"/>
      <c r="V68" s="382"/>
      <c r="W68" s="9"/>
      <c r="X68" s="9"/>
      <c r="Y68" s="456"/>
      <c r="Z68" s="456"/>
      <c r="AA68" s="11">
        <f t="shared" si="2"/>
        <v>-203.5438071300141</v>
      </c>
      <c r="AB68" s="385">
        <f t="shared" si="57"/>
        <v>0.92090266562305156</v>
      </c>
      <c r="AC68" s="470"/>
    </row>
    <row r="69" spans="1:29" ht="15.75" customHeight="1">
      <c r="A69" s="467" t="s">
        <v>1582</v>
      </c>
      <c r="B69" s="381" t="s">
        <v>24</v>
      </c>
      <c r="C69" s="487" t="s">
        <v>83</v>
      </c>
      <c r="D69" s="487"/>
      <c r="E69" s="26">
        <v>32.03</v>
      </c>
      <c r="F69" s="381">
        <v>1268</v>
      </c>
      <c r="G69" s="380">
        <f t="shared" ref="G69:G74" si="85">E69*F69</f>
        <v>40614.04</v>
      </c>
      <c r="H69" s="76" t="s">
        <v>57</v>
      </c>
      <c r="I69" s="383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2237.6470588235297</v>
      </c>
      <c r="N69" s="9">
        <f t="shared" ref="N69:N74" si="87">M69/L69</f>
        <v>117.77089783281735</v>
      </c>
      <c r="O69" s="11">
        <f t="shared" ref="O69:O74" si="88">L69-I69</f>
        <v>0</v>
      </c>
      <c r="P69" s="12">
        <f t="shared" ref="P69:P74" si="89">N69-K69</f>
        <v>-8.5448916408668509</v>
      </c>
      <c r="Q69" s="385">
        <f>N69/K69</f>
        <v>0.93235294117647072</v>
      </c>
      <c r="R69" s="470">
        <f>Q75</f>
        <v>0.91876779925173113</v>
      </c>
      <c r="S69" s="24">
        <v>0.125</v>
      </c>
      <c r="T69" s="24">
        <v>0.14861111111111111</v>
      </c>
      <c r="U69" s="15"/>
      <c r="V69" s="382">
        <f t="shared" ref="V69:V74" si="90">(T69-S69)*24*60</f>
        <v>34</v>
      </c>
      <c r="W69" s="14"/>
      <c r="X69" s="14"/>
      <c r="Y69" s="456"/>
      <c r="Z69" s="456"/>
      <c r="AA69" s="11">
        <f t="shared" ref="AA69:AA75" si="91">M69-J69</f>
        <v>-162.35294117647027</v>
      </c>
      <c r="AB69" s="385">
        <f>M69/J69</f>
        <v>0.93235294117647072</v>
      </c>
      <c r="AC69" s="470">
        <f>AB75</f>
        <v>0.91876779925173124</v>
      </c>
    </row>
    <row r="70" spans="1:29" ht="15.75" customHeight="1">
      <c r="A70" s="467" t="s">
        <v>12</v>
      </c>
      <c r="B70" s="381" t="s">
        <v>24</v>
      </c>
      <c r="C70" s="487" t="s">
        <v>56</v>
      </c>
      <c r="D70" s="487"/>
      <c r="E70" s="26">
        <v>20.2</v>
      </c>
      <c r="F70" s="381">
        <v>2637</v>
      </c>
      <c r="G70" s="380">
        <f t="shared" si="85"/>
        <v>53267.4</v>
      </c>
      <c r="H70" s="76" t="s">
        <v>57</v>
      </c>
      <c r="I70" s="383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4" si="92">F70/V70*60</f>
        <v>2197.5000000000005</v>
      </c>
      <c r="N70" s="9">
        <f t="shared" si="87"/>
        <v>115.65789473684212</v>
      </c>
      <c r="O70" s="11">
        <f t="shared" si="88"/>
        <v>0</v>
      </c>
      <c r="P70" s="12">
        <f t="shared" si="89"/>
        <v>-10.657894736842081</v>
      </c>
      <c r="Q70" s="385">
        <f t="shared" ref="Q70:Q75" si="93">N70/K70</f>
        <v>0.91562500000000013</v>
      </c>
      <c r="R70" s="470"/>
      <c r="S70" s="24">
        <v>0.16736111111111113</v>
      </c>
      <c r="T70" s="24">
        <v>0.21736111111111112</v>
      </c>
      <c r="U70" s="380">
        <f>(S70-T69)*24*60</f>
        <v>27.000000000000025</v>
      </c>
      <c r="V70" s="382">
        <f t="shared" si="90"/>
        <v>71.999999999999986</v>
      </c>
      <c r="W70" s="14"/>
      <c r="X70" s="14"/>
      <c r="Y70" s="456"/>
      <c r="Z70" s="456"/>
      <c r="AA70" s="11">
        <f t="shared" si="91"/>
        <v>-202.49999999999955</v>
      </c>
      <c r="AB70" s="385">
        <f t="shared" ref="AB70:AB75" si="94">M70/J70</f>
        <v>0.91562500000000024</v>
      </c>
      <c r="AC70" s="470"/>
    </row>
    <row r="71" spans="1:29" ht="15.75" customHeight="1">
      <c r="A71" s="467" t="s">
        <v>12</v>
      </c>
      <c r="B71" s="381" t="s">
        <v>24</v>
      </c>
      <c r="C71" s="487" t="s">
        <v>45</v>
      </c>
      <c r="D71" s="487"/>
      <c r="E71" s="26">
        <v>19.02</v>
      </c>
      <c r="F71" s="381">
        <v>4000</v>
      </c>
      <c r="G71" s="380">
        <f t="shared" si="85"/>
        <v>76080</v>
      </c>
      <c r="H71" s="76">
        <v>2</v>
      </c>
      <c r="I71" s="383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2201.8348623853217</v>
      </c>
      <c r="N71" s="9">
        <f t="shared" si="87"/>
        <v>146.7889908256881</v>
      </c>
      <c r="O71" s="11">
        <f t="shared" si="88"/>
        <v>0</v>
      </c>
      <c r="P71" s="12">
        <f t="shared" si="89"/>
        <v>-13.211009174311897</v>
      </c>
      <c r="Q71" s="385">
        <f t="shared" si="93"/>
        <v>0.91743119266055062</v>
      </c>
      <c r="R71" s="470"/>
      <c r="S71" s="24">
        <v>0.22291666666666668</v>
      </c>
      <c r="T71" s="24">
        <v>0.2986111111111111</v>
      </c>
      <c r="U71" s="380">
        <f t="shared" ref="U71:U74" si="95">(S71-T70)*24*60</f>
        <v>8.0000000000000107</v>
      </c>
      <c r="V71" s="382">
        <f t="shared" si="90"/>
        <v>108.99999999999997</v>
      </c>
      <c r="W71" s="14"/>
      <c r="X71" s="14"/>
      <c r="Y71" s="456"/>
      <c r="Z71" s="456"/>
      <c r="AA71" s="11">
        <f t="shared" si="91"/>
        <v>-198.16513761467832</v>
      </c>
      <c r="AB71" s="385">
        <f t="shared" si="94"/>
        <v>0.91743119266055073</v>
      </c>
      <c r="AC71" s="470"/>
    </row>
    <row r="72" spans="1:29" ht="15.75" customHeight="1">
      <c r="A72" s="467" t="s">
        <v>12</v>
      </c>
      <c r="B72" s="381" t="s">
        <v>24</v>
      </c>
      <c r="C72" s="487" t="s">
        <v>46</v>
      </c>
      <c r="D72" s="487"/>
      <c r="E72" s="26">
        <v>25</v>
      </c>
      <c r="F72" s="381">
        <v>4370</v>
      </c>
      <c r="G72" s="380">
        <f t="shared" si="85"/>
        <v>109250</v>
      </c>
      <c r="H72" s="76" t="s">
        <v>57</v>
      </c>
      <c r="I72" s="383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2203.361344537816</v>
      </c>
      <c r="N72" s="9">
        <f t="shared" si="87"/>
        <v>146.89075630252105</v>
      </c>
      <c r="O72" s="11">
        <f t="shared" si="88"/>
        <v>0</v>
      </c>
      <c r="P72" s="12">
        <f t="shared" si="89"/>
        <v>-13.109243697478945</v>
      </c>
      <c r="Q72" s="385">
        <f t="shared" si="93"/>
        <v>0.91806722689075659</v>
      </c>
      <c r="R72" s="470"/>
      <c r="S72" s="24">
        <v>0.30277777777777776</v>
      </c>
      <c r="T72" s="24">
        <v>0.38541666666666663</v>
      </c>
      <c r="U72" s="380">
        <f t="shared" si="95"/>
        <v>5.9999999999999787</v>
      </c>
      <c r="V72" s="382">
        <f t="shared" si="90"/>
        <v>118.99999999999997</v>
      </c>
      <c r="W72" s="14"/>
      <c r="X72" s="14"/>
      <c r="Y72" s="456"/>
      <c r="Z72" s="456"/>
      <c r="AA72" s="11">
        <f t="shared" si="91"/>
        <v>-196.63865546218403</v>
      </c>
      <c r="AB72" s="385">
        <f t="shared" si="94"/>
        <v>0.9180672268907567</v>
      </c>
      <c r="AC72" s="470"/>
    </row>
    <row r="73" spans="1:29" ht="15.75" customHeight="1">
      <c r="A73" s="467" t="s">
        <v>12</v>
      </c>
      <c r="B73" s="381" t="s">
        <v>24</v>
      </c>
      <c r="C73" s="487" t="s">
        <v>510</v>
      </c>
      <c r="D73" s="487"/>
      <c r="E73" s="26">
        <v>28.51</v>
      </c>
      <c r="F73" s="381">
        <v>5046</v>
      </c>
      <c r="G73" s="380">
        <f t="shared" si="85"/>
        <v>143861.46000000002</v>
      </c>
      <c r="H73" s="76" t="s">
        <v>57</v>
      </c>
      <c r="I73" s="383">
        <v>19</v>
      </c>
      <c r="J73" s="18">
        <v>2400</v>
      </c>
      <c r="K73" s="9">
        <f t="shared" ref="K73:K75" si="96">J73/I73</f>
        <v>126.31578947368421</v>
      </c>
      <c r="L73" s="17">
        <v>19</v>
      </c>
      <c r="M73" s="10">
        <f t="shared" si="92"/>
        <v>2193.913043478261</v>
      </c>
      <c r="N73" s="9">
        <f t="shared" si="87"/>
        <v>115.46910755148743</v>
      </c>
      <c r="O73" s="11">
        <f t="shared" si="88"/>
        <v>0</v>
      </c>
      <c r="P73" s="12">
        <f t="shared" si="89"/>
        <v>-10.84668192219678</v>
      </c>
      <c r="Q73" s="385">
        <f t="shared" si="93"/>
        <v>0.9141304347826088</v>
      </c>
      <c r="R73" s="470"/>
      <c r="S73" s="24">
        <v>0.39097222222222217</v>
      </c>
      <c r="T73" s="24">
        <v>0.48680555555555549</v>
      </c>
      <c r="U73" s="380">
        <f t="shared" si="95"/>
        <v>7.9999999999999716</v>
      </c>
      <c r="V73" s="382">
        <f t="shared" si="90"/>
        <v>138</v>
      </c>
      <c r="W73" s="14"/>
      <c r="X73" s="14"/>
      <c r="Y73" s="456"/>
      <c r="Z73" s="456"/>
      <c r="AA73" s="11">
        <f t="shared" si="91"/>
        <v>-206.08695652173901</v>
      </c>
      <c r="AB73" s="385">
        <f t="shared" si="94"/>
        <v>0.91413043478260869</v>
      </c>
      <c r="AC73" s="470"/>
    </row>
    <row r="74" spans="1:29" ht="15.75" customHeight="1">
      <c r="A74" s="467" t="s">
        <v>12</v>
      </c>
      <c r="B74" s="381" t="s">
        <v>24</v>
      </c>
      <c r="C74" s="487" t="s">
        <v>45</v>
      </c>
      <c r="D74" s="487"/>
      <c r="E74" s="26">
        <v>19.02</v>
      </c>
      <c r="F74" s="381">
        <v>5856</v>
      </c>
      <c r="G74" s="380">
        <f t="shared" si="85"/>
        <v>111381.12</v>
      </c>
      <c r="H74" s="76" t="s">
        <v>57</v>
      </c>
      <c r="I74" s="383">
        <v>15</v>
      </c>
      <c r="J74" s="18">
        <v>2400</v>
      </c>
      <c r="K74" s="9">
        <f t="shared" si="96"/>
        <v>160</v>
      </c>
      <c r="L74" s="17">
        <v>15</v>
      </c>
      <c r="M74" s="10">
        <f t="shared" si="92"/>
        <v>2195.9999999999991</v>
      </c>
      <c r="N74" s="9">
        <f t="shared" si="87"/>
        <v>146.39999999999995</v>
      </c>
      <c r="O74" s="11">
        <f t="shared" si="88"/>
        <v>0</v>
      </c>
      <c r="P74" s="12">
        <f t="shared" si="89"/>
        <v>-13.600000000000051</v>
      </c>
      <c r="Q74" s="385">
        <f t="shared" si="93"/>
        <v>0.9149999999999997</v>
      </c>
      <c r="R74" s="470"/>
      <c r="S74" s="24">
        <v>0.52916666666666656</v>
      </c>
      <c r="T74" s="24">
        <v>0.64027777777777772</v>
      </c>
      <c r="U74" s="380">
        <f t="shared" si="95"/>
        <v>60.999999999999943</v>
      </c>
      <c r="V74" s="382">
        <f t="shared" si="90"/>
        <v>160.00000000000006</v>
      </c>
      <c r="W74" s="14"/>
      <c r="X74" s="14"/>
      <c r="Y74" s="456"/>
      <c r="Z74" s="456"/>
      <c r="AA74" s="11">
        <f t="shared" si="91"/>
        <v>-204.00000000000091</v>
      </c>
      <c r="AB74" s="385">
        <f t="shared" si="94"/>
        <v>0.91499999999999959</v>
      </c>
      <c r="AC74" s="470"/>
    </row>
    <row r="75" spans="1:29" ht="16.5" customHeight="1">
      <c r="A75" s="501" t="s">
        <v>12</v>
      </c>
      <c r="B75" s="26" t="s">
        <v>1579</v>
      </c>
      <c r="C75" s="466"/>
      <c r="D75" s="466"/>
      <c r="E75" s="384"/>
      <c r="F75" s="16"/>
      <c r="G75" s="9"/>
      <c r="H75" s="381"/>
      <c r="I75" s="17">
        <f>AVERAGE(I69:I74)</f>
        <v>17</v>
      </c>
      <c r="J75" s="18">
        <v>2400</v>
      </c>
      <c r="K75" s="9">
        <f t="shared" si="96"/>
        <v>141.1764705882353</v>
      </c>
      <c r="L75" s="17">
        <f>AVERAGE(L69:L74)</f>
        <v>17</v>
      </c>
      <c r="M75" s="10">
        <f>AVERAGE(M69:M74)</f>
        <v>2205.0427182041549</v>
      </c>
      <c r="N75" s="9">
        <f>M75/L75</f>
        <v>129.7083951884797</v>
      </c>
      <c r="O75" s="11">
        <f>L75-I75</f>
        <v>0</v>
      </c>
      <c r="P75" s="12">
        <f>N75-K75</f>
        <v>-11.468075399755605</v>
      </c>
      <c r="Q75" s="385">
        <f t="shared" si="93"/>
        <v>0.91876779925173113</v>
      </c>
      <c r="R75" s="470"/>
      <c r="S75" s="24"/>
      <c r="T75" s="24"/>
      <c r="U75" s="9"/>
      <c r="V75" s="382"/>
      <c r="W75" s="9"/>
      <c r="X75" s="9"/>
      <c r="Y75" s="456"/>
      <c r="Z75" s="456"/>
      <c r="AA75" s="11">
        <f t="shared" si="91"/>
        <v>-194.95728179584512</v>
      </c>
      <c r="AB75" s="385">
        <f t="shared" si="94"/>
        <v>0.91876779925173124</v>
      </c>
      <c r="AC75" s="470"/>
    </row>
    <row r="76" spans="1:29">
      <c r="D76" s="19"/>
      <c r="E76" s="19"/>
    </row>
  </sheetData>
  <mergeCells count="20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30"/>
    <mergeCell ref="C20:D20"/>
    <mergeCell ref="R20:R30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20:AC30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C30:D30"/>
    <mergeCell ref="Y30:Z30"/>
    <mergeCell ref="A31:A38"/>
    <mergeCell ref="C31:D31"/>
    <mergeCell ref="R31:R38"/>
    <mergeCell ref="Y31:Z31"/>
    <mergeCell ref="Y36:Z36"/>
    <mergeCell ref="C37:D37"/>
    <mergeCell ref="AC31:AC38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37:Z37"/>
    <mergeCell ref="C38:D38"/>
    <mergeCell ref="Y38:Z38"/>
    <mergeCell ref="A39:A47"/>
    <mergeCell ref="C39:D39"/>
    <mergeCell ref="R39:R47"/>
    <mergeCell ref="Y39:Z39"/>
    <mergeCell ref="Y44:Z44"/>
    <mergeCell ref="C45:D45"/>
    <mergeCell ref="Y45:Z45"/>
    <mergeCell ref="AC39:AC47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46:D46"/>
    <mergeCell ref="Y46:Z46"/>
    <mergeCell ref="C47:D47"/>
    <mergeCell ref="Y47:Z47"/>
    <mergeCell ref="A48:A56"/>
    <mergeCell ref="C48:D48"/>
    <mergeCell ref="R48:R56"/>
    <mergeCell ref="Y48:Z48"/>
    <mergeCell ref="Y53:Z53"/>
    <mergeCell ref="C54:D54"/>
    <mergeCell ref="A57:A61"/>
    <mergeCell ref="C57:D57"/>
    <mergeCell ref="R57:R61"/>
    <mergeCell ref="Y57:Z57"/>
    <mergeCell ref="AC57:AC61"/>
    <mergeCell ref="C58:D58"/>
    <mergeCell ref="Y58:Z58"/>
    <mergeCell ref="C59:D59"/>
    <mergeCell ref="C61:D61"/>
    <mergeCell ref="Y61:Z61"/>
    <mergeCell ref="Y54:Z54"/>
    <mergeCell ref="C55:D55"/>
    <mergeCell ref="Y55:Z55"/>
    <mergeCell ref="C56:D56"/>
    <mergeCell ref="Y56:Z56"/>
    <mergeCell ref="AC48:AC56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A62:A68"/>
    <mergeCell ref="C62:D62"/>
    <mergeCell ref="R62:R68"/>
    <mergeCell ref="Y62:Z62"/>
    <mergeCell ref="AC62:AC68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Y68:Z68"/>
    <mergeCell ref="Y72:Z72"/>
    <mergeCell ref="C73:D73"/>
    <mergeCell ref="Y73:Z73"/>
    <mergeCell ref="A69:A75"/>
    <mergeCell ref="C69:D69"/>
    <mergeCell ref="R69:R75"/>
    <mergeCell ref="Y69:Z69"/>
    <mergeCell ref="AC69:AC75"/>
    <mergeCell ref="C70:D70"/>
    <mergeCell ref="Y70:Z70"/>
    <mergeCell ref="C71:D71"/>
    <mergeCell ref="Y71:Z71"/>
    <mergeCell ref="C72:D72"/>
    <mergeCell ref="C74:D74"/>
    <mergeCell ref="Y74:Z74"/>
    <mergeCell ref="C75:D75"/>
    <mergeCell ref="Y75:Z75"/>
  </mergeCells>
  <phoneticPr fontId="3" type="noConversion"/>
  <conditionalFormatting sqref="O65:O75 O5:O9 O13:O15 O56:O62 O19:O53">
    <cfRule type="cellIs" dxfId="2076" priority="53" operator="greaterThan">
      <formula>0</formula>
    </cfRule>
  </conditionalFormatting>
  <conditionalFormatting sqref="P5:P7 P65:P67 AA65:AA67 P69:P74 P31:P37 P62 P9 P13:P15 P20:P29 P57:P60 P39:P53 AA5:AA62 AA69:AA75">
    <cfRule type="cellIs" dxfId="2075" priority="57" operator="lessThan">
      <formula>0</formula>
    </cfRule>
  </conditionalFormatting>
  <conditionalFormatting sqref="AB65:AB67 Q65:Q75 Q5:Q9 Q13:Q15 Q56:Q62 Q19:Q53 AB5:AB62 AB69:AB75">
    <cfRule type="cellIs" dxfId="2074" priority="54" operator="greaterThan">
      <formula>1</formula>
    </cfRule>
    <cfRule type="cellIs" dxfId="2073" priority="55" operator="lessThan">
      <formula>0.8</formula>
    </cfRule>
  </conditionalFormatting>
  <conditionalFormatting sqref="AC14:AC15 R14:R15 AC65 R19:R25 AC19:AC25 R65:R75 AC5:AC9 R5:R9 R30:R53 AC30:AC53 AC56:AC62 R56:R62">
    <cfRule type="cellIs" dxfId="2072" priority="59" operator="lessThan">
      <formula>0.8</formula>
    </cfRule>
  </conditionalFormatting>
  <conditionalFormatting sqref="AC48">
    <cfRule type="cellIs" dxfId="2071" priority="61" operator="lessThan">
      <formula>0.8</formula>
    </cfRule>
  </conditionalFormatting>
  <conditionalFormatting sqref="AC20:AC25">
    <cfRule type="cellIs" dxfId="2070" priority="58" operator="lessThan">
      <formula>0.8</formula>
    </cfRule>
  </conditionalFormatting>
  <conditionalFormatting sqref="AC31">
    <cfRule type="cellIs" dxfId="2069" priority="60" operator="lessThan">
      <formula>0.8</formula>
    </cfRule>
  </conditionalFormatting>
  <conditionalFormatting sqref="AC39:AC46">
    <cfRule type="cellIs" dxfId="2068" priority="56" operator="lessThan">
      <formula>0.8</formula>
    </cfRule>
  </conditionalFormatting>
  <conditionalFormatting sqref="AA68">
    <cfRule type="cellIs" dxfId="2067" priority="52" operator="lessThan">
      <formula>0</formula>
    </cfRule>
  </conditionalFormatting>
  <conditionalFormatting sqref="AB68">
    <cfRule type="cellIs" dxfId="2066" priority="50" operator="greaterThan">
      <formula>1</formula>
    </cfRule>
    <cfRule type="cellIs" dxfId="2065" priority="51" operator="lessThan">
      <formula>0.8</formula>
    </cfRule>
  </conditionalFormatting>
  <conditionalFormatting sqref="O16:O17">
    <cfRule type="cellIs" dxfId="2064" priority="45" operator="greaterThan">
      <formula>0</formula>
    </cfRule>
  </conditionalFormatting>
  <conditionalFormatting sqref="P16:P17">
    <cfRule type="cellIs" dxfId="2063" priority="48" operator="lessThan">
      <formula>0</formula>
    </cfRule>
  </conditionalFormatting>
  <conditionalFormatting sqref="Q16:Q17">
    <cfRule type="cellIs" dxfId="2062" priority="46" operator="greaterThan">
      <formula>1</formula>
    </cfRule>
    <cfRule type="cellIs" dxfId="2061" priority="47" operator="lessThan">
      <formula>0.8</formula>
    </cfRule>
  </conditionalFormatting>
  <conditionalFormatting sqref="R16:R17 AC16:AC17">
    <cfRule type="cellIs" dxfId="2060" priority="49" operator="lessThan">
      <formula>0.8</formula>
    </cfRule>
  </conditionalFormatting>
  <conditionalFormatting sqref="O10:O12">
    <cfRule type="cellIs" dxfId="2059" priority="41" operator="greaterThan">
      <formula>0</formula>
    </cfRule>
  </conditionalFormatting>
  <conditionalFormatting sqref="P10:P12">
    <cfRule type="cellIs" dxfId="2058" priority="44" operator="lessThan">
      <formula>0</formula>
    </cfRule>
  </conditionalFormatting>
  <conditionalFormatting sqref="Q10:Q12">
    <cfRule type="cellIs" dxfId="2057" priority="42" operator="greaterThan">
      <formula>1</formula>
    </cfRule>
    <cfRule type="cellIs" dxfId="2056" priority="43" operator="lessThan">
      <formula>0.8</formula>
    </cfRule>
  </conditionalFormatting>
  <conditionalFormatting sqref="AC27 R27">
    <cfRule type="cellIs" dxfId="2055" priority="40" operator="lessThan">
      <formula>0.8</formula>
    </cfRule>
  </conditionalFormatting>
  <conditionalFormatting sqref="O64">
    <cfRule type="cellIs" dxfId="2054" priority="35" operator="greaterThan">
      <formula>0</formula>
    </cfRule>
  </conditionalFormatting>
  <conditionalFormatting sqref="P64 AA64">
    <cfRule type="cellIs" dxfId="2053" priority="38" operator="lessThan">
      <formula>0</formula>
    </cfRule>
  </conditionalFormatting>
  <conditionalFormatting sqref="Q64 AB64">
    <cfRule type="cellIs" dxfId="2052" priority="36" operator="greaterThan">
      <formula>1</formula>
    </cfRule>
    <cfRule type="cellIs" dxfId="2051" priority="37" operator="lessThan">
      <formula>0.8</formula>
    </cfRule>
  </conditionalFormatting>
  <conditionalFormatting sqref="R64 AC64">
    <cfRule type="cellIs" dxfId="2050" priority="39" operator="lessThan">
      <formula>0.8</formula>
    </cfRule>
  </conditionalFormatting>
  <conditionalFormatting sqref="O18">
    <cfRule type="cellIs" dxfId="2049" priority="30" operator="greaterThan">
      <formula>0</formula>
    </cfRule>
  </conditionalFormatting>
  <conditionalFormatting sqref="P18">
    <cfRule type="cellIs" dxfId="2048" priority="33" operator="lessThan">
      <formula>0</formula>
    </cfRule>
  </conditionalFormatting>
  <conditionalFormatting sqref="Q18">
    <cfRule type="cellIs" dxfId="2047" priority="31" operator="greaterThan">
      <formula>1</formula>
    </cfRule>
    <cfRule type="cellIs" dxfId="2046" priority="32" operator="lessThan">
      <formula>0.8</formula>
    </cfRule>
  </conditionalFormatting>
  <conditionalFormatting sqref="R18 AC18">
    <cfRule type="cellIs" dxfId="2045" priority="34" operator="lessThan">
      <formula>0.8</formula>
    </cfRule>
  </conditionalFormatting>
  <conditionalFormatting sqref="O54">
    <cfRule type="cellIs" dxfId="2044" priority="24" operator="greaterThan">
      <formula>0</formula>
    </cfRule>
  </conditionalFormatting>
  <conditionalFormatting sqref="P54">
    <cfRule type="cellIs" dxfId="2043" priority="28" operator="lessThan">
      <formula>0</formula>
    </cfRule>
  </conditionalFormatting>
  <conditionalFormatting sqref="Q54">
    <cfRule type="cellIs" dxfId="2042" priority="25" operator="greaterThan">
      <formula>1</formula>
    </cfRule>
    <cfRule type="cellIs" dxfId="2041" priority="26" operator="lessThan">
      <formula>0.8</formula>
    </cfRule>
  </conditionalFormatting>
  <conditionalFormatting sqref="R54 AC54">
    <cfRule type="cellIs" dxfId="2040" priority="29" operator="lessThan">
      <formula>0.8</formula>
    </cfRule>
  </conditionalFormatting>
  <conditionalFormatting sqref="AC54">
    <cfRule type="cellIs" dxfId="2039" priority="27" operator="lessThan">
      <formula>0.8</formula>
    </cfRule>
  </conditionalFormatting>
  <conditionalFormatting sqref="O55">
    <cfRule type="cellIs" dxfId="2038" priority="18" operator="greaterThan">
      <formula>0</formula>
    </cfRule>
  </conditionalFormatting>
  <conditionalFormatting sqref="P55">
    <cfRule type="cellIs" dxfId="2037" priority="22" operator="lessThan">
      <formula>0</formula>
    </cfRule>
  </conditionalFormatting>
  <conditionalFormatting sqref="Q55">
    <cfRule type="cellIs" dxfId="2036" priority="19" operator="greaterThan">
      <formula>1</formula>
    </cfRule>
    <cfRule type="cellIs" dxfId="2035" priority="20" operator="lessThan">
      <formula>0.8</formula>
    </cfRule>
  </conditionalFormatting>
  <conditionalFormatting sqref="R55 AC55">
    <cfRule type="cellIs" dxfId="2034" priority="23" operator="lessThan">
      <formula>0.8</formula>
    </cfRule>
  </conditionalFormatting>
  <conditionalFormatting sqref="AC55">
    <cfRule type="cellIs" dxfId="2033" priority="21" operator="lessThan">
      <formula>0.8</formula>
    </cfRule>
  </conditionalFormatting>
  <conditionalFormatting sqref="AC28 R28">
    <cfRule type="cellIs" dxfId="2032" priority="17" operator="lessThan">
      <formula>0.8</formula>
    </cfRule>
  </conditionalFormatting>
  <conditionalFormatting sqref="R26 AC26">
    <cfRule type="cellIs" dxfId="2031" priority="16" operator="lessThan">
      <formula>0.8</formula>
    </cfRule>
  </conditionalFormatting>
  <conditionalFormatting sqref="AC26">
    <cfRule type="cellIs" dxfId="2030" priority="15" operator="lessThan">
      <formula>0.8</formula>
    </cfRule>
  </conditionalFormatting>
  <conditionalFormatting sqref="O63">
    <cfRule type="cellIs" dxfId="2029" priority="10" operator="greaterThan">
      <formula>0</formula>
    </cfRule>
  </conditionalFormatting>
  <conditionalFormatting sqref="P63 AA63">
    <cfRule type="cellIs" dxfId="2028" priority="13" operator="lessThan">
      <formula>0</formula>
    </cfRule>
  </conditionalFormatting>
  <conditionalFormatting sqref="Q63 AB63">
    <cfRule type="cellIs" dxfId="2027" priority="11" operator="greaterThan">
      <formula>1</formula>
    </cfRule>
    <cfRule type="cellIs" dxfId="2026" priority="12" operator="lessThan">
      <formula>0.8</formula>
    </cfRule>
  </conditionalFormatting>
  <conditionalFormatting sqref="R63 AC63">
    <cfRule type="cellIs" dxfId="2025" priority="14" operator="lessThan">
      <formula>0.8</formula>
    </cfRule>
  </conditionalFormatting>
  <conditionalFormatting sqref="P8">
    <cfRule type="cellIs" dxfId="2024" priority="9" operator="lessThan">
      <formula>0</formula>
    </cfRule>
  </conditionalFormatting>
  <conditionalFormatting sqref="P19">
    <cfRule type="cellIs" dxfId="2023" priority="8" operator="lessThan">
      <formula>0</formula>
    </cfRule>
  </conditionalFormatting>
  <conditionalFormatting sqref="P30">
    <cfRule type="cellIs" dxfId="2022" priority="7" operator="lessThan">
      <formula>0</formula>
    </cfRule>
  </conditionalFormatting>
  <conditionalFormatting sqref="P38">
    <cfRule type="cellIs" dxfId="2021" priority="6" operator="lessThan">
      <formula>0</formula>
    </cfRule>
  </conditionalFormatting>
  <conditionalFormatting sqref="P56">
    <cfRule type="cellIs" dxfId="2020" priority="5" operator="lessThan">
      <formula>0</formula>
    </cfRule>
  </conditionalFormatting>
  <conditionalFormatting sqref="P61">
    <cfRule type="cellIs" dxfId="2019" priority="4" operator="lessThan">
      <formula>0</formula>
    </cfRule>
  </conditionalFormatting>
  <conditionalFormatting sqref="P68">
    <cfRule type="cellIs" dxfId="2018" priority="3" operator="lessThan">
      <formula>0</formula>
    </cfRule>
  </conditionalFormatting>
  <conditionalFormatting sqref="P75">
    <cfRule type="cellIs" dxfId="2017" priority="2" operator="lessThan">
      <formula>0</formula>
    </cfRule>
  </conditionalFormatting>
  <conditionalFormatting sqref="AC29 R29">
    <cfRule type="cellIs" dxfId="2016" priority="1" operator="lessThan">
      <formula>0.8</formula>
    </cfRule>
  </conditionalFormatting>
  <dataValidations count="1">
    <dataValidation type="list" allowBlank="1" showInputMessage="1" showErrorMessage="1" sqref="Z8 Z66:Z67 Y5:Z7 Y8:Y67 Z10:Z62 Y68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0" zoomScaleNormal="80" workbookViewId="0">
      <selection activeCell="G7" sqref="G7:H7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1458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64" t="s">
        <v>1459</v>
      </c>
      <c r="C3" s="421" t="str">
        <f>TEXT('0728 4度C'!A2,"yyyy.mm.ddaaaa")</f>
        <v>2025.07.28星期一</v>
      </c>
      <c r="D3" s="421"/>
      <c r="E3" s="364" t="s">
        <v>1460</v>
      </c>
      <c r="F3" s="422">
        <f>'0728 4度C'!D1</f>
        <v>176170</v>
      </c>
      <c r="G3" s="422"/>
      <c r="H3" s="364" t="s">
        <v>90</v>
      </c>
      <c r="I3" s="423">
        <f>'0728 4度C'!F1</f>
        <v>6034797.1799999997</v>
      </c>
      <c r="J3" s="423"/>
      <c r="K3" s="31"/>
      <c r="L3" s="32"/>
      <c r="M3" s="33"/>
      <c r="N3" s="33"/>
    </row>
    <row r="4" spans="2:17" ht="28.5" customHeight="1">
      <c r="B4" s="424" t="s">
        <v>1461</v>
      </c>
      <c r="C4" s="424" t="s">
        <v>128</v>
      </c>
      <c r="D4" s="424"/>
      <c r="E4" s="425" t="s">
        <v>1462</v>
      </c>
      <c r="F4" s="425"/>
      <c r="G4" s="425" t="s">
        <v>1463</v>
      </c>
      <c r="H4" s="425"/>
      <c r="I4" s="425" t="s">
        <v>1464</v>
      </c>
      <c r="J4" s="425"/>
      <c r="L4" s="33"/>
      <c r="M4" s="33"/>
      <c r="N4" s="33"/>
    </row>
    <row r="5" spans="2:17" ht="28.5" customHeight="1">
      <c r="B5" s="424"/>
      <c r="C5" s="424" t="s">
        <v>1465</v>
      </c>
      <c r="D5" s="424"/>
      <c r="E5" s="424" t="s">
        <v>130</v>
      </c>
      <c r="F5" s="424"/>
      <c r="G5" s="426" t="s">
        <v>1466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140.81459958892896</v>
      </c>
      <c r="F6" s="424">
        <f>AVERAGE(D27:O27,D13:J13)</f>
        <v>143.35470496185567</v>
      </c>
      <c r="G6" s="429">
        <f>AVERAGE(D13:J13)</f>
        <v>143.35470496185567</v>
      </c>
      <c r="H6" s="429"/>
      <c r="I6" s="429">
        <f>AVERAGE(K13:M13)</f>
        <v>134.88768705210001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128.42893305732917</v>
      </c>
      <c r="F7" s="434">
        <f>AVERAGE(D28:O28,D14:J14)</f>
        <v>130.85347642704639</v>
      </c>
      <c r="G7" s="435">
        <f>AVERAGE(D14:J14)</f>
        <v>130.85347642704639</v>
      </c>
      <c r="H7" s="435"/>
      <c r="I7" s="435">
        <f>AVERAGE(K14:M14)</f>
        <v>122.7716651946556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0.91171797533887611</v>
      </c>
      <c r="F8" s="432">
        <f>AVERAGE(D15:J15,D29:O29)</f>
        <v>0.91237968945248504</v>
      </c>
      <c r="G8" s="437">
        <f>AVERAGE(D15:J15)</f>
        <v>0.91237968945248504</v>
      </c>
      <c r="H8" s="437"/>
      <c r="I8" s="437">
        <f>AVERAGE(K15:M15)</f>
        <v>0.91017397574045578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1467</v>
      </c>
      <c r="C10" s="439"/>
      <c r="D10" s="440" t="s">
        <v>1468</v>
      </c>
      <c r="E10" s="441"/>
      <c r="F10" s="441"/>
      <c r="G10" s="441"/>
      <c r="H10" s="441"/>
      <c r="I10" s="441"/>
      <c r="J10" s="442"/>
      <c r="K10" s="443" t="s">
        <v>1469</v>
      </c>
      <c r="L10" s="444"/>
      <c r="M10" s="445"/>
      <c r="P10" s="37"/>
      <c r="Q10" s="37"/>
    </row>
    <row r="11" spans="2:17" ht="17.25" customHeight="1">
      <c r="B11" s="431" t="s">
        <v>1470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1471</v>
      </c>
      <c r="E12" s="42" t="s">
        <v>1472</v>
      </c>
      <c r="F12" s="42" t="s">
        <v>1473</v>
      </c>
      <c r="G12" s="42" t="s">
        <v>1474</v>
      </c>
      <c r="H12" s="42" t="s">
        <v>1475</v>
      </c>
      <c r="I12" s="42" t="s">
        <v>1476</v>
      </c>
      <c r="J12" s="43" t="s">
        <v>1477</v>
      </c>
      <c r="K12" s="41" t="s">
        <v>134</v>
      </c>
      <c r="L12" s="42" t="s">
        <v>1478</v>
      </c>
      <c r="M12" s="43" t="s">
        <v>135</v>
      </c>
    </row>
    <row r="13" spans="2:17" ht="40.15" customHeight="1">
      <c r="B13" s="447" t="s">
        <v>1479</v>
      </c>
      <c r="C13" s="44" t="s">
        <v>1480</v>
      </c>
      <c r="D13" s="45">
        <f>SUMIFS('0728 4度C'!$K:$K,'0728 4度C'!$A:$A,"燴飯線",'0728 4度C'!$B:$B,"平均")</f>
        <v>105.88235294117646</v>
      </c>
      <c r="E13" s="46">
        <f>SUMIFS('0728 4度C'!$K:$K,'0728 4度C'!$A:$A,"沙拉線一線",'0728 4度C'!$B:$B,"平均")</f>
        <v>81.081081081081081</v>
      </c>
      <c r="F13" s="47">
        <f>SUMIFS('0728 4度C'!$K:$K,'0728 4度C'!$A:$A,"沙拉線二線",'0728 4度C'!$B:$B,"平均")</f>
        <v>82.145833333333343</v>
      </c>
      <c r="G13" s="47">
        <f>SUMIFS('0728 4度C'!$K:$K,'0728 4度C'!$A:$A,"沙拉線三線",'0728 4度C'!$B:$B,"平均")</f>
        <v>103.57142857142857</v>
      </c>
      <c r="H13" s="47">
        <f>SUMIFS('0728 4度C'!$K:$K,'0728 4度C'!$A:$A,"自動包裝線",'0728 4度C'!$B:$B,"平均")</f>
        <v>300</v>
      </c>
      <c r="I13" s="47">
        <f>SUMIFS('0728 4度C'!$K:$K,'0728 4度C'!$A:$A,"涼麵一線",'0728 4度C'!$B:$B,"平均")</f>
        <v>89.552238805970148</v>
      </c>
      <c r="J13" s="48">
        <f>SUMIFS('0728 4度C'!$K:$K,'0728 4度C'!$A:$A,"三明治四線",'0728 4度C'!$B:$B,"平均")</f>
        <v>241.25000000000003</v>
      </c>
      <c r="K13" s="49">
        <f>SUMIFS('0728 4度C'!$K:$K,'0728 4度C'!$A:$A,"三明治一線",'0728 4度C'!$B:$B,"平均")</f>
        <v>137.70491803278691</v>
      </c>
      <c r="L13" s="50">
        <f>SUMIFS('0728 4度C'!$K:$K,'0728 4度C'!$A:$A,"三明治二線",'0728 4度C'!$B:$B,"平均")</f>
        <v>127.1523178807947</v>
      </c>
      <c r="M13" s="48">
        <f>SUMIFS('0728 4度C'!$K:$K,'0728 4度C'!$A:$A,"自動包裝二線",'0728 4度C'!$B:$B,"平均")</f>
        <v>139.80582524271844</v>
      </c>
    </row>
    <row r="14" spans="2:17" ht="39.6" customHeight="1">
      <c r="B14" s="447"/>
      <c r="C14" s="51" t="s">
        <v>1481</v>
      </c>
      <c r="D14" s="52">
        <f>SUMIFS('0728 4度C'!$N:$N,'0728 4度C'!$A:$A,"燴飯線",'0728 4度C'!$B:$B,"平均")</f>
        <v>96.68845105609806</v>
      </c>
      <c r="E14" s="53">
        <f>SUMIFS('0728 4度C'!$N:$N,'0728 4度C'!$A:$A,"沙拉線一線",'0728 4度C'!$B:$B,"平均")</f>
        <v>73.788688520441937</v>
      </c>
      <c r="F14" s="53">
        <f>SUMIFS('0728 4度C'!$N:$N,'0728 4度C'!$A:$A,"沙拉線二線",'0728 4度C'!$B:$B,"平均")</f>
        <v>74.785793126884869</v>
      </c>
      <c r="G14" s="53">
        <f>SUMIFS('0728 4度C'!$N:$N,'0728 4度C'!$A:$A,"沙拉線三線",'0728 4度C'!$B:$B,"平均")</f>
        <v>94.69405799591317</v>
      </c>
      <c r="H14" s="53">
        <f>SUMIFS('0728 4度C'!$N:$N,'0728 4度C'!$A:$A,"自動包裝線",'0728 4度C'!$B:$B,"平均")</f>
        <v>273.55096827285502</v>
      </c>
      <c r="I14" s="53">
        <f>SUMIFS('0728 4度C'!$N:$N,'0728 4度C'!$A:$A,"涼麵一線",'0728 4度C'!$B:$B,"平均")</f>
        <v>81.627566608871319</v>
      </c>
      <c r="J14" s="54">
        <f>SUMIFS('0728 4度C'!$N:$N,'0728 4度C'!$A:$A,"三明治四線",'0728 4度C'!$B:$B,"平均")</f>
        <v>220.8388094082604</v>
      </c>
      <c r="K14" s="55">
        <f>SUMIFS('0728 4度C'!$N:$N,'0728 4度C'!$A:$A,"三明治一線",'0728 4度C'!$B:$B,"平均")</f>
        <v>125.36528772229397</v>
      </c>
      <c r="L14" s="56">
        <f>SUMIFS('0728 4度C'!$N:$N,'0728 4度C'!$A:$A,"三明治二線",'0728 4度C'!$B:$B,"平均")</f>
        <v>115.71401091189632</v>
      </c>
      <c r="M14" s="54">
        <f>SUMIFS('0728 4度C'!$N:$N,'0728 4度C'!$A:$A,"自動包裝二線",'0728 4度C'!$B:$B,"平均")</f>
        <v>127.23569694977645</v>
      </c>
    </row>
    <row r="15" spans="2:17" ht="40.15" customHeight="1">
      <c r="B15" s="447"/>
      <c r="C15" s="57" t="s">
        <v>102</v>
      </c>
      <c r="D15" s="58">
        <f>D14/D13</f>
        <v>0.91316870441870401</v>
      </c>
      <c r="E15" s="59">
        <f t="shared" ref="E15:M15" si="0">E14/E13</f>
        <v>0.91006049175211723</v>
      </c>
      <c r="F15" s="59">
        <f t="shared" si="0"/>
        <v>0.9104027568071198</v>
      </c>
      <c r="G15" s="59">
        <f t="shared" si="0"/>
        <v>0.91428745651226506</v>
      </c>
      <c r="H15" s="59">
        <f>H14/H13</f>
        <v>0.9118365609095167</v>
      </c>
      <c r="I15" s="59">
        <f>I14/I13</f>
        <v>0.91150782713239642</v>
      </c>
      <c r="J15" s="60">
        <f>J14/J13</f>
        <v>0.91539402863527619</v>
      </c>
      <c r="K15" s="58">
        <f>K14/K13</f>
        <v>0.91039077988808703</v>
      </c>
      <c r="L15" s="59">
        <f>L14/L13</f>
        <v>0.91004248165085133</v>
      </c>
      <c r="M15" s="60">
        <f t="shared" si="0"/>
        <v>0.91008866568242885</v>
      </c>
    </row>
    <row r="16" spans="2:17" ht="17.25" customHeight="1">
      <c r="B16" s="430" t="s">
        <v>1482</v>
      </c>
      <c r="C16" s="363" t="s">
        <v>1483</v>
      </c>
      <c r="D16" s="61">
        <f>VLOOKUP("燴飯線",'0728 4度C'!$A:$T,19,0)</f>
        <v>0.70833333333333337</v>
      </c>
      <c r="E16" s="24">
        <f>VLOOKUP("沙拉線一線",'0728 4度C'!$A:$T,19,0)</f>
        <v>0.12916666666666668</v>
      </c>
      <c r="F16" s="24">
        <f>VLOOKUP("沙拉線二線",'0728 4度C'!$A:$T,19,0)</f>
        <v>0.25</v>
      </c>
      <c r="G16" s="24">
        <f>VLOOKUP("沙拉線三線",'0728 4度C'!$A:$T,19,0)</f>
        <v>0.16666666666666666</v>
      </c>
      <c r="H16" s="24">
        <f>VLOOKUP("自動包裝線",'0728 4度C'!$A:$T,19,0)</f>
        <v>0.20833333333333334</v>
      </c>
      <c r="I16" s="24">
        <f>VLOOKUP("涼麵一線",'0728 4度C'!$A:$T,19,0)</f>
        <v>0.29166666666666669</v>
      </c>
      <c r="J16" s="62">
        <f>VLOOKUP("三明治四線",'0728 4度C'!$A:$T,19,0)</f>
        <v>0.20833333333333334</v>
      </c>
      <c r="K16" s="63">
        <f>VLOOKUP("三明治一線",'0728 4度C'!$A:$T,19,0)</f>
        <v>0.125</v>
      </c>
      <c r="L16" s="64">
        <f>VLOOKUP("三明治二線",'0728 4度C'!$A:$T,19,0)</f>
        <v>8.3333333333333329E-2</v>
      </c>
      <c r="M16" s="65">
        <f>VLOOKUP("自動包裝二線",'0728 4度C'!$A:$T,19,0)</f>
        <v>0.125</v>
      </c>
    </row>
    <row r="17" spans="2:13" ht="17.25" customHeight="1">
      <c r="B17" s="431"/>
      <c r="C17" s="363" t="s">
        <v>1484</v>
      </c>
      <c r="D17" s="63">
        <f>LOOKUP(2,1/(('0728 4度C'!$A:$A="燴飯線")*('0728 4度C'!$T:$T&lt;&gt;"")),'0728 4度C'!$T:$T)</f>
        <v>0.85625000000000007</v>
      </c>
      <c r="E17" s="24">
        <f>LOOKUP(2,1/(('0728 4度C'!$A:$A="沙拉線一線")*('0728 4度C'!$T:$T&lt;&gt;"")),'0728 4度C'!$T:$T)</f>
        <v>0.6826388888888888</v>
      </c>
      <c r="F17" s="24">
        <f>LOOKUP(2,1/(('0728 4度C'!$A:$A="沙拉線二線")*('0728 4度C'!$T:$T&lt;&gt;"")),'0728 4度C'!$T:$T)</f>
        <v>0.95138888888888884</v>
      </c>
      <c r="G17" s="24">
        <f>LOOKUP(2,1/(('0728 4度C'!$A:$A="沙拉線三線")*('0728 4度C'!$T:$T&lt;&gt;"")),'0728 4度C'!$T:$T)</f>
        <v>0.94305555555555554</v>
      </c>
      <c r="H17" s="24">
        <f>LOOKUP(2,1/(('0728 4度C'!$A:$A="自動包裝線")*('0728 4度C'!$T:$T&lt;&gt;"")),'0728 4度C'!$T:$T)</f>
        <v>0.63611111111111107</v>
      </c>
      <c r="I17" s="24">
        <f>LOOKUP(2,1/(('0728 4度C'!$A:$A="涼麵一線")*('0728 4度C'!$T:$T&lt;&gt;"")),'0728 4度C'!$T:$T)</f>
        <v>0.83194444444444449</v>
      </c>
      <c r="J17" s="62">
        <f>LOOKUP(2,1/(('0728 4度C'!$A:$A="三明治四線")*('0728 4度C'!$T:$T&lt;&gt;"")),'0728 4度C'!$T:$T)</f>
        <v>0.50208333333333321</v>
      </c>
      <c r="K17" s="61">
        <f>LOOKUP(2,1/(('0728 4度C'!$A:$A="三明治一線")*('0728 4度C'!$T:$T&lt;&gt;"")),'0728 4度C'!$T:$T)</f>
        <v>0.70208333333333317</v>
      </c>
      <c r="L17" s="24">
        <f>LOOKUP(2,1/(('0728 4度C'!$A:$A="三明治二線")*('0728 4度C'!$T:$T&lt;&gt;"")),'0728 4度C'!$T:$T)</f>
        <v>0.6499999999999998</v>
      </c>
      <c r="M17" s="62">
        <f>LOOKUP(2,1/(('0728 4度C'!$A:$A="自動包裝二線")*('0728 4度C'!$T:$T&lt;&gt;"")),'0728 4度C'!$T:$T)</f>
        <v>0.66249999999999998</v>
      </c>
    </row>
    <row r="18" spans="2:13" ht="17.25" customHeight="1">
      <c r="B18" s="431" t="s">
        <v>193</v>
      </c>
      <c r="C18" s="446"/>
      <c r="D18" s="66">
        <f>SUMIFS('0728 4度C'!$I:$I,'0728 4度C'!$A:$A,"燴飯線",'0728 4度C'!$B:$B,"平均")</f>
        <v>17</v>
      </c>
      <c r="E18" s="67">
        <f>SUMIFS('0728 4度C'!$I:$I,'0728 4度C'!$A:$A,"沙拉線一線",'0728 4度C'!$B:$B,"平均")</f>
        <v>18.5</v>
      </c>
      <c r="F18" s="67">
        <f>SUMIFS('0728 4度C'!$I:$I,'0728 4度C'!$A:$A,"沙拉線二線",'0728 4度C'!$B:$B,"平均")</f>
        <v>19.2</v>
      </c>
      <c r="G18" s="67">
        <f>SUMIFS('0728 4度C'!$I:$I,'0728 4度C'!$A:$A,"沙拉線三線",'0728 4度C'!$B:$B,"平均")</f>
        <v>16.8</v>
      </c>
      <c r="H18" s="67">
        <f>SUMIFS('0728 4度C'!$I:$I,'0728 4度C'!$A:$A,"自動包裝線",'0728 4度C'!$B:$B,"平均")</f>
        <v>10</v>
      </c>
      <c r="I18" s="67">
        <f>SUMIFS('0728 4度C'!$I:$I,'0728 4度C'!$A:$A,"涼麵一線",'0728 4度C'!$B:$B,"平均")</f>
        <v>16.75</v>
      </c>
      <c r="J18" s="68">
        <f>SUMIFS('0728 4度C'!$I:$I,'0728 4度C'!$A:$A,"三明治四線",'0728 4度C'!$B:$B,"平均")</f>
        <v>10.666666666666666</v>
      </c>
      <c r="K18" s="66">
        <f>SUMIFS('0728 4度C'!$I:$I,'0728 4度C'!$A:$A,"三明治一線",'0728 4度C'!$B:$B,"平均")</f>
        <v>17.428571428571427</v>
      </c>
      <c r="L18" s="67">
        <f>SUMIFS('0728 4度C'!$I:$I,'0728 4度C'!$A:$A,"三明治二線",'0728 4度C'!$B:$B,"平均")</f>
        <v>18.875</v>
      </c>
      <c r="M18" s="68">
        <f>SUMIFS('0728 4度C'!$I:$I,'0728 4度C'!$A:$A,"自動包裝二線",'0728 4度C'!$B:$B,"平均")</f>
        <v>17.166666666666668</v>
      </c>
    </row>
    <row r="19" spans="2:13" ht="17.25" customHeight="1">
      <c r="B19" s="448" t="s">
        <v>1485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1486</v>
      </c>
      <c r="M19" s="71" t="s">
        <v>1487</v>
      </c>
    </row>
    <row r="20" spans="2:13" ht="17.25" customHeight="1">
      <c r="B20" s="448" t="s">
        <v>106</v>
      </c>
      <c r="C20" s="449"/>
      <c r="D20" s="69"/>
      <c r="E20" s="70"/>
      <c r="F20" s="70" t="s">
        <v>1488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1489</v>
      </c>
      <c r="C21" s="451"/>
      <c r="D21" s="72"/>
      <c r="E21" s="73" t="s">
        <v>1490</v>
      </c>
      <c r="F21" s="452" t="s">
        <v>1491</v>
      </c>
      <c r="G21" s="453"/>
      <c r="H21" s="73" t="s">
        <v>1492</v>
      </c>
      <c r="I21" s="73" t="s">
        <v>108</v>
      </c>
      <c r="J21" s="74" t="s">
        <v>1492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01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C3" sqref="C3:J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1493</v>
      </c>
      <c r="B1" s="1"/>
      <c r="C1" s="2" t="s">
        <v>1494</v>
      </c>
      <c r="D1" s="3">
        <f>SUM(F5:F75)</f>
        <v>176170</v>
      </c>
      <c r="E1" s="365" t="s">
        <v>1495</v>
      </c>
      <c r="F1" s="1">
        <f>SUM(G5:G75)</f>
        <v>6034797.1799999997</v>
      </c>
      <c r="G1" s="1" t="s">
        <v>111</v>
      </c>
      <c r="H1" s="4">
        <f>L8+L13+L56+L61+L19+L68+L38+L47+L30+L75</f>
        <v>162.38690476190479</v>
      </c>
      <c r="I1" s="454" t="s">
        <v>1496</v>
      </c>
      <c r="J1" s="454"/>
      <c r="K1" s="454"/>
      <c r="L1" s="454" t="s">
        <v>1497</v>
      </c>
      <c r="M1" s="454"/>
      <c r="N1" s="454"/>
      <c r="O1" s="454" t="s">
        <v>71</v>
      </c>
      <c r="P1" s="454"/>
      <c r="Q1" s="454"/>
      <c r="R1" s="454"/>
      <c r="S1" s="454" t="s">
        <v>1498</v>
      </c>
      <c r="T1" s="454"/>
      <c r="U1" s="454"/>
      <c r="V1" s="454"/>
      <c r="W1" s="454"/>
      <c r="X1" s="454"/>
      <c r="Y1" s="454" t="s">
        <v>144</v>
      </c>
      <c r="Z1" s="454"/>
      <c r="AA1" s="454" t="s">
        <v>1499</v>
      </c>
      <c r="AB1" s="455"/>
      <c r="AC1" s="455"/>
    </row>
    <row r="2" spans="1:29" ht="26.25" customHeight="1">
      <c r="A2" s="22">
        <v>45866</v>
      </c>
      <c r="B2" s="23" t="s">
        <v>447</v>
      </c>
      <c r="C2" s="2" t="s">
        <v>1500</v>
      </c>
      <c r="D2" s="6">
        <f>AVERAGE(N8,N13,N56,N61,N19,N68,N30,N38,N47,N75)</f>
        <v>128.42893305732917</v>
      </c>
      <c r="E2" s="7" t="s">
        <v>0</v>
      </c>
      <c r="F2" s="8">
        <f>F1/D1</f>
        <v>34.255532610546631</v>
      </c>
      <c r="G2" s="1" t="s">
        <v>1501</v>
      </c>
      <c r="H2" s="376">
        <f>COUNT(H5:H75)</f>
        <v>10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1502</v>
      </c>
      <c r="B3" s="456" t="s">
        <v>1503</v>
      </c>
      <c r="C3" s="456" t="s">
        <v>1504</v>
      </c>
      <c r="D3" s="456"/>
      <c r="E3" s="457" t="s">
        <v>1505</v>
      </c>
      <c r="F3" s="456" t="s">
        <v>1506</v>
      </c>
      <c r="G3" s="457" t="s">
        <v>222</v>
      </c>
      <c r="H3" s="463" t="s">
        <v>1507</v>
      </c>
      <c r="I3" s="464" t="s">
        <v>1508</v>
      </c>
      <c r="J3" s="465" t="s">
        <v>1509</v>
      </c>
      <c r="K3" s="459" t="s">
        <v>1500</v>
      </c>
      <c r="L3" s="464" t="s">
        <v>1510</v>
      </c>
      <c r="M3" s="465" t="s">
        <v>1511</v>
      </c>
      <c r="N3" s="459" t="s">
        <v>1500</v>
      </c>
      <c r="O3" s="464" t="s">
        <v>1510</v>
      </c>
      <c r="P3" s="459" t="s">
        <v>1500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1512</v>
      </c>
      <c r="W3" s="456" t="s">
        <v>1513</v>
      </c>
      <c r="X3" s="456"/>
      <c r="Y3" s="475" t="s">
        <v>1514</v>
      </c>
      <c r="Z3" s="476"/>
      <c r="AA3" s="465" t="s">
        <v>149</v>
      </c>
      <c r="AB3" s="460" t="s">
        <v>1515</v>
      </c>
      <c r="AC3" s="461" t="s">
        <v>1516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75" t="s">
        <v>3</v>
      </c>
      <c r="T4" s="375" t="s">
        <v>4</v>
      </c>
      <c r="U4" s="463"/>
      <c r="V4" s="463"/>
      <c r="W4" s="365" t="s">
        <v>1517</v>
      </c>
      <c r="X4" s="365" t="s">
        <v>122</v>
      </c>
      <c r="Y4" s="476"/>
      <c r="Z4" s="476"/>
      <c r="AA4" s="465"/>
      <c r="AB4" s="460"/>
      <c r="AC4" s="461"/>
    </row>
    <row r="5" spans="1:29">
      <c r="A5" s="471" t="s">
        <v>1518</v>
      </c>
      <c r="B5" s="26" t="s">
        <v>13</v>
      </c>
      <c r="C5" s="472" t="s">
        <v>58</v>
      </c>
      <c r="D5" s="472"/>
      <c r="E5" s="26">
        <v>46.93</v>
      </c>
      <c r="F5" s="375">
        <v>1019</v>
      </c>
      <c r="G5" s="365">
        <f>E5*F5</f>
        <v>47821.67</v>
      </c>
      <c r="H5" s="76" t="s">
        <v>57</v>
      </c>
      <c r="I5" s="373">
        <v>17</v>
      </c>
      <c r="J5" s="18">
        <v>1800</v>
      </c>
      <c r="K5" s="9">
        <f>J5/I5</f>
        <v>105.88235294117646</v>
      </c>
      <c r="L5" s="373">
        <v>17</v>
      </c>
      <c r="M5" s="10">
        <f>F5/V5*60</f>
        <v>1652.4324324324311</v>
      </c>
      <c r="N5" s="9">
        <f>M5/L5</f>
        <v>97.201907790143011</v>
      </c>
      <c r="O5" s="11">
        <f t="shared" ref="O5:O7" si="0">L5-I5</f>
        <v>0</v>
      </c>
      <c r="P5" s="12">
        <f t="shared" ref="P5:P7" si="1">N5-K5</f>
        <v>-8.680445151033453</v>
      </c>
      <c r="Q5" s="367">
        <f>N5/K5</f>
        <v>0.91801801801801741</v>
      </c>
      <c r="R5" s="470">
        <f>Q8</f>
        <v>0.91316870441870401</v>
      </c>
      <c r="S5" s="24">
        <v>0.70833333333333337</v>
      </c>
      <c r="T5" s="24">
        <v>0.73402777777777783</v>
      </c>
      <c r="U5" s="365"/>
      <c r="V5" s="374">
        <f>(T5-S5)*24*60</f>
        <v>37.000000000000028</v>
      </c>
      <c r="W5" s="13"/>
      <c r="X5" s="13"/>
      <c r="Y5" s="456"/>
      <c r="Z5" s="456"/>
      <c r="AA5" s="11">
        <f t="shared" ref="AA5:AA68" si="2">M5-J5</f>
        <v>-147.56756756756886</v>
      </c>
      <c r="AB5" s="367">
        <f t="shared" ref="AB5:AB7" si="3">M5/J5</f>
        <v>0.9180180180180173</v>
      </c>
      <c r="AC5" s="470">
        <f>AB8</f>
        <v>0.9131687044187039</v>
      </c>
    </row>
    <row r="6" spans="1:29">
      <c r="A6" s="464" t="s">
        <v>1518</v>
      </c>
      <c r="B6" s="26" t="s">
        <v>13</v>
      </c>
      <c r="C6" s="472" t="s">
        <v>60</v>
      </c>
      <c r="D6" s="472"/>
      <c r="E6" s="26">
        <v>50.49</v>
      </c>
      <c r="F6" s="375">
        <v>2183</v>
      </c>
      <c r="G6" s="365">
        <f t="shared" ref="G6:G7" si="4">E6*F6</f>
        <v>110219.67</v>
      </c>
      <c r="H6" s="76" t="s">
        <v>57</v>
      </c>
      <c r="I6" s="373">
        <v>16</v>
      </c>
      <c r="J6" s="18">
        <v>1800</v>
      </c>
      <c r="K6" s="9">
        <f t="shared" ref="K6:K7" si="5">J6/I6</f>
        <v>112.5</v>
      </c>
      <c r="L6" s="373">
        <v>16</v>
      </c>
      <c r="M6" s="10">
        <f>F6/V6*60</f>
        <v>1637.2499999999995</v>
      </c>
      <c r="N6" s="9">
        <f t="shared" ref="N6:N7" si="6">M6/L6</f>
        <v>102.32812499999997</v>
      </c>
      <c r="O6" s="11">
        <f t="shared" si="0"/>
        <v>0</v>
      </c>
      <c r="P6" s="12">
        <f t="shared" si="1"/>
        <v>-10.171875000000028</v>
      </c>
      <c r="Q6" s="367">
        <f t="shared" ref="Q6:Q7" si="7">N6/K6</f>
        <v>0.90958333333333308</v>
      </c>
      <c r="R6" s="470"/>
      <c r="S6" s="24">
        <v>0.73819444444444449</v>
      </c>
      <c r="T6" s="24">
        <v>0.79375000000000007</v>
      </c>
      <c r="U6" s="365">
        <f>(S6-T5)*24*60</f>
        <v>5.9999999999999787</v>
      </c>
      <c r="V6" s="374">
        <f>(T6-S6)*24*60</f>
        <v>80.000000000000028</v>
      </c>
      <c r="W6" s="14"/>
      <c r="X6" s="14"/>
      <c r="Y6" s="456"/>
      <c r="Z6" s="456"/>
      <c r="AA6" s="11">
        <f t="shared" si="2"/>
        <v>-162.75000000000045</v>
      </c>
      <c r="AB6" s="367">
        <f t="shared" si="3"/>
        <v>0.90958333333333308</v>
      </c>
      <c r="AC6" s="470"/>
    </row>
    <row r="7" spans="1:29">
      <c r="A7" s="464" t="s">
        <v>1519</v>
      </c>
      <c r="B7" s="26" t="s">
        <v>13</v>
      </c>
      <c r="C7" s="468" t="s">
        <v>448</v>
      </c>
      <c r="D7" s="469"/>
      <c r="E7" s="26">
        <v>50.67</v>
      </c>
      <c r="F7" s="375">
        <v>2298</v>
      </c>
      <c r="G7" s="365">
        <f t="shared" si="4"/>
        <v>116439.66</v>
      </c>
      <c r="H7" s="76" t="s">
        <v>57</v>
      </c>
      <c r="I7" s="373">
        <v>18</v>
      </c>
      <c r="J7" s="18">
        <v>1800</v>
      </c>
      <c r="K7" s="9">
        <f t="shared" si="5"/>
        <v>100</v>
      </c>
      <c r="L7" s="373">
        <v>18</v>
      </c>
      <c r="M7" s="10">
        <f t="shared" ref="M7" si="8">F7/V7*60</f>
        <v>1641.4285714285709</v>
      </c>
      <c r="N7" s="9">
        <f t="shared" si="6"/>
        <v>91.190476190476161</v>
      </c>
      <c r="O7" s="11">
        <f t="shared" si="0"/>
        <v>0</v>
      </c>
      <c r="P7" s="12">
        <f t="shared" si="1"/>
        <v>-8.8095238095238386</v>
      </c>
      <c r="Q7" s="367">
        <f t="shared" si="7"/>
        <v>0.91190476190476166</v>
      </c>
      <c r="R7" s="470"/>
      <c r="S7" s="24">
        <v>0.79791666666666672</v>
      </c>
      <c r="T7" s="24">
        <v>0.85625000000000007</v>
      </c>
      <c r="U7" s="365">
        <f t="shared" ref="U7" si="9">(S7-T6)*24*60</f>
        <v>5.9999999999999787</v>
      </c>
      <c r="V7" s="374">
        <f t="shared" ref="V7" si="10">(T7-S7)*24*60</f>
        <v>84.000000000000028</v>
      </c>
      <c r="W7" s="14"/>
      <c r="X7" s="14"/>
      <c r="Y7" s="473"/>
      <c r="Z7" s="474"/>
      <c r="AA7" s="11">
        <f t="shared" si="2"/>
        <v>-158.57142857142912</v>
      </c>
      <c r="AB7" s="367">
        <f t="shared" si="3"/>
        <v>0.91190476190476155</v>
      </c>
      <c r="AC7" s="470"/>
    </row>
    <row r="8" spans="1:29">
      <c r="A8" s="464" t="s">
        <v>1519</v>
      </c>
      <c r="B8" s="26" t="s">
        <v>1520</v>
      </c>
      <c r="C8" s="466"/>
      <c r="D8" s="466"/>
      <c r="E8" s="366"/>
      <c r="F8" s="16"/>
      <c r="G8" s="9"/>
      <c r="H8" s="375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1643.703667953667</v>
      </c>
      <c r="N8" s="9">
        <f>M8/L8</f>
        <v>96.68845105609806</v>
      </c>
      <c r="O8" s="11">
        <f>L8-I8</f>
        <v>0</v>
      </c>
      <c r="P8" s="12">
        <f>N8-K8</f>
        <v>-9.1939018850784038</v>
      </c>
      <c r="Q8" s="367">
        <f>N8/K8</f>
        <v>0.91316870441870401</v>
      </c>
      <c r="R8" s="470"/>
      <c r="S8" s="24"/>
      <c r="T8" s="24"/>
      <c r="U8" s="365"/>
      <c r="V8" s="374"/>
      <c r="W8" s="9"/>
      <c r="X8" s="9"/>
      <c r="Y8" s="456"/>
      <c r="Z8" s="456"/>
      <c r="AA8" s="11">
        <f t="shared" si="2"/>
        <v>-156.29633204633296</v>
      </c>
      <c r="AB8" s="367">
        <f>M8/J8</f>
        <v>0.9131687044187039</v>
      </c>
      <c r="AC8" s="470"/>
    </row>
    <row r="9" spans="1:29" ht="15.75" customHeight="1">
      <c r="A9" s="467" t="s">
        <v>1521</v>
      </c>
      <c r="B9" s="26" t="s">
        <v>15</v>
      </c>
      <c r="C9" s="468" t="s">
        <v>16</v>
      </c>
      <c r="D9" s="469"/>
      <c r="E9" s="26">
        <v>39.619999999999997</v>
      </c>
      <c r="F9" s="375">
        <v>4740</v>
      </c>
      <c r="G9" s="365">
        <f t="shared" ref="G9:G12" si="11">E9*F9</f>
        <v>187798.8</v>
      </c>
      <c r="H9" s="76" t="s">
        <v>57</v>
      </c>
      <c r="I9" s="373">
        <v>19</v>
      </c>
      <c r="J9" s="18">
        <v>1500</v>
      </c>
      <c r="K9" s="9">
        <f t="shared" ref="K9:K12" si="12">J9/I9</f>
        <v>78.94736842105263</v>
      </c>
      <c r="L9" s="373">
        <v>19</v>
      </c>
      <c r="M9" s="10">
        <f t="shared" ref="M9:M12" si="13">F9/V9*60</f>
        <v>1367.3076923076924</v>
      </c>
      <c r="N9" s="9">
        <f t="shared" ref="N9:N12" si="14">M9/L9</f>
        <v>71.963562753036442</v>
      </c>
      <c r="O9" s="11">
        <f t="shared" ref="O9:O12" si="15">L9-I9</f>
        <v>0</v>
      </c>
      <c r="P9" s="12">
        <f>N9-K9</f>
        <v>-6.9838056680161884</v>
      </c>
      <c r="Q9" s="367">
        <f>N9/K9</f>
        <v>0.91153846153846163</v>
      </c>
      <c r="R9" s="470">
        <f>Q13</f>
        <v>0.91006049175211723</v>
      </c>
      <c r="S9" s="24">
        <v>0.12916666666666668</v>
      </c>
      <c r="T9" s="24">
        <v>0.27361111111111114</v>
      </c>
      <c r="U9" s="365"/>
      <c r="V9" s="374">
        <f t="shared" ref="V9:V12" si="16">(T9-S9)*24*60</f>
        <v>208</v>
      </c>
      <c r="W9" s="9"/>
      <c r="X9" s="9"/>
      <c r="Y9" s="456"/>
      <c r="Z9" s="456"/>
      <c r="AA9" s="11">
        <f t="shared" si="2"/>
        <v>-132.69230769230762</v>
      </c>
      <c r="AB9" s="367">
        <f>M9/J9</f>
        <v>0.91153846153846163</v>
      </c>
      <c r="AC9" s="470">
        <f>AB13</f>
        <v>0.91006049175211734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75">
        <v>2600</v>
      </c>
      <c r="G10" s="365">
        <f t="shared" si="11"/>
        <v>103479.99999999999</v>
      </c>
      <c r="H10" s="76">
        <v>2</v>
      </c>
      <c r="I10" s="373">
        <v>18</v>
      </c>
      <c r="J10" s="18">
        <v>1500</v>
      </c>
      <c r="K10" s="9">
        <f t="shared" si="12"/>
        <v>83.333333333333329</v>
      </c>
      <c r="L10" s="373">
        <v>18</v>
      </c>
      <c r="M10" s="10">
        <f t="shared" si="13"/>
        <v>1368.421052631579</v>
      </c>
      <c r="N10" s="9">
        <f t="shared" si="14"/>
        <v>76.023391812865498</v>
      </c>
      <c r="O10" s="11">
        <f t="shared" si="15"/>
        <v>0</v>
      </c>
      <c r="P10" s="12">
        <f t="shared" ref="P10:P12" si="17">N10-K10</f>
        <v>-7.3099415204678309</v>
      </c>
      <c r="Q10" s="367">
        <f t="shared" ref="Q10:Q12" si="18">N10/K10</f>
        <v>0.91228070175438603</v>
      </c>
      <c r="R10" s="470"/>
      <c r="S10" s="24">
        <v>0.29930555555555555</v>
      </c>
      <c r="T10" s="24">
        <v>0.37847222222222221</v>
      </c>
      <c r="U10" s="365">
        <f>(S10-T9)*24*60</f>
        <v>36.99999999999995</v>
      </c>
      <c r="V10" s="374">
        <f t="shared" si="16"/>
        <v>114</v>
      </c>
      <c r="W10" s="14"/>
      <c r="X10" s="14"/>
      <c r="Y10" s="456"/>
      <c r="Z10" s="456"/>
      <c r="AA10" s="11">
        <f t="shared" si="2"/>
        <v>-131.57894736842104</v>
      </c>
      <c r="AB10" s="367">
        <f t="shared" ref="AB10:AB30" si="19">M10/J10</f>
        <v>0.91228070175438603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75">
        <v>4113</v>
      </c>
      <c r="G11" s="365">
        <f t="shared" si="11"/>
        <v>161599.76999999999</v>
      </c>
      <c r="H11" s="76" t="s">
        <v>57</v>
      </c>
      <c r="I11" s="373">
        <v>19</v>
      </c>
      <c r="J11" s="18">
        <v>1500</v>
      </c>
      <c r="K11" s="9">
        <f t="shared" si="12"/>
        <v>78.94736842105263</v>
      </c>
      <c r="L11" s="373">
        <v>19</v>
      </c>
      <c r="M11" s="10">
        <f t="shared" si="13"/>
        <v>1363.4254143646408</v>
      </c>
      <c r="N11" s="9">
        <f t="shared" si="14"/>
        <v>71.759232334981093</v>
      </c>
      <c r="O11" s="11">
        <f t="shared" si="15"/>
        <v>0</v>
      </c>
      <c r="P11" s="12">
        <f t="shared" si="17"/>
        <v>-7.1881360860715375</v>
      </c>
      <c r="Q11" s="367">
        <f t="shared" si="18"/>
        <v>0.90895027624309388</v>
      </c>
      <c r="R11" s="470"/>
      <c r="S11" s="24">
        <v>0.3881944444444444</v>
      </c>
      <c r="T11" s="24">
        <v>0.51388888888888884</v>
      </c>
      <c r="U11" s="365">
        <f t="shared" ref="U11:U12" si="20">(S11-T10)*24*60</f>
        <v>13.99999999999995</v>
      </c>
      <c r="V11" s="374">
        <f t="shared" si="16"/>
        <v>181</v>
      </c>
      <c r="W11" s="14"/>
      <c r="X11" s="14"/>
      <c r="Y11" s="456"/>
      <c r="Z11" s="456"/>
      <c r="AA11" s="11">
        <f t="shared" si="2"/>
        <v>-136.5745856353592</v>
      </c>
      <c r="AB11" s="367">
        <f t="shared" si="19"/>
        <v>0.90895027624309388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375">
        <v>4129</v>
      </c>
      <c r="G12" s="365">
        <f t="shared" si="11"/>
        <v>164334.19999999998</v>
      </c>
      <c r="H12" s="76" t="s">
        <v>57</v>
      </c>
      <c r="I12" s="373">
        <v>18</v>
      </c>
      <c r="J12" s="18">
        <v>1500</v>
      </c>
      <c r="K12" s="9">
        <f t="shared" si="12"/>
        <v>83.333333333333329</v>
      </c>
      <c r="L12" s="373">
        <v>18</v>
      </c>
      <c r="M12" s="10">
        <f t="shared" si="13"/>
        <v>1361.2087912087911</v>
      </c>
      <c r="N12" s="9">
        <f t="shared" si="14"/>
        <v>75.622710622710613</v>
      </c>
      <c r="O12" s="11">
        <f t="shared" si="15"/>
        <v>0</v>
      </c>
      <c r="P12" s="12">
        <f t="shared" si="17"/>
        <v>-7.7106227106227152</v>
      </c>
      <c r="Q12" s="367">
        <f t="shared" si="18"/>
        <v>0.90747252747252738</v>
      </c>
      <c r="R12" s="470"/>
      <c r="S12" s="24">
        <v>0.55624999999999991</v>
      </c>
      <c r="T12" s="24">
        <v>0.6826388888888888</v>
      </c>
      <c r="U12" s="365">
        <f t="shared" si="20"/>
        <v>60.999999999999943</v>
      </c>
      <c r="V12" s="374">
        <f t="shared" si="16"/>
        <v>182</v>
      </c>
      <c r="W12" s="14"/>
      <c r="X12" s="14"/>
      <c r="Y12" s="456"/>
      <c r="Z12" s="456"/>
      <c r="AA12" s="11">
        <f t="shared" si="2"/>
        <v>-138.79120879120887</v>
      </c>
      <c r="AB12" s="367">
        <f t="shared" si="19"/>
        <v>0.90747252747252738</v>
      </c>
      <c r="AC12" s="470"/>
    </row>
    <row r="13" spans="1:29" ht="16.5" customHeight="1">
      <c r="A13" s="467" t="s">
        <v>5</v>
      </c>
      <c r="B13" s="26" t="s">
        <v>1520</v>
      </c>
      <c r="C13" s="466"/>
      <c r="D13" s="466"/>
      <c r="E13" s="366"/>
      <c r="F13" s="18"/>
      <c r="G13" s="10"/>
      <c r="H13" s="375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1365.0907376281759</v>
      </c>
      <c r="N13" s="9">
        <f>M13/L13</f>
        <v>73.788688520441937</v>
      </c>
      <c r="O13" s="11">
        <f>L13-I13</f>
        <v>0</v>
      </c>
      <c r="P13" s="12">
        <f>N13-K13</f>
        <v>-7.2923925606391435</v>
      </c>
      <c r="Q13" s="367">
        <f>N13/K13</f>
        <v>0.91006049175211723</v>
      </c>
      <c r="R13" s="470"/>
      <c r="S13" s="24"/>
      <c r="T13" s="24"/>
      <c r="U13" s="9"/>
      <c r="V13" s="374"/>
      <c r="W13" s="9"/>
      <c r="X13" s="9"/>
      <c r="Y13" s="456"/>
      <c r="Z13" s="456"/>
      <c r="AA13" s="11">
        <f t="shared" si="2"/>
        <v>-134.90926237182407</v>
      </c>
      <c r="AB13" s="367">
        <f t="shared" si="19"/>
        <v>0.91006049175211734</v>
      </c>
      <c r="AC13" s="470"/>
    </row>
    <row r="14" spans="1:29" ht="16.5" customHeight="1">
      <c r="A14" s="480" t="s">
        <v>1522</v>
      </c>
      <c r="B14" s="375" t="s">
        <v>18</v>
      </c>
      <c r="C14" s="477" t="s">
        <v>19</v>
      </c>
      <c r="D14" s="477"/>
      <c r="E14" s="26">
        <v>41</v>
      </c>
      <c r="F14" s="375">
        <v>1879</v>
      </c>
      <c r="G14" s="365">
        <f t="shared" ref="G14:G18" si="21">E14*F14</f>
        <v>77039</v>
      </c>
      <c r="H14" s="76" t="s">
        <v>57</v>
      </c>
      <c r="I14" s="373">
        <v>26</v>
      </c>
      <c r="J14" s="18">
        <v>1286</v>
      </c>
      <c r="K14" s="9">
        <f>J14/I14</f>
        <v>49.46153846153846</v>
      </c>
      <c r="L14" s="373">
        <v>26</v>
      </c>
      <c r="M14" s="10">
        <f>F14/V14*60</f>
        <v>1174.3750000000002</v>
      </c>
      <c r="N14" s="9">
        <f t="shared" ref="N14:N29" si="22">M14/L14</f>
        <v>45.168269230769241</v>
      </c>
      <c r="O14" s="11">
        <f t="shared" ref="O14" si="23">L14-I14</f>
        <v>0</v>
      </c>
      <c r="P14" s="12">
        <f t="shared" ref="P14" si="24">N14-K14</f>
        <v>-4.2932692307692193</v>
      </c>
      <c r="Q14" s="367">
        <f>N14/K14</f>
        <v>0.91319984447900493</v>
      </c>
      <c r="R14" s="470">
        <f>Q19</f>
        <v>0.9104027568071198</v>
      </c>
      <c r="S14" s="24">
        <v>0.25</v>
      </c>
      <c r="T14" s="24">
        <v>0.31666666666666665</v>
      </c>
      <c r="U14" s="365"/>
      <c r="V14" s="374">
        <f>(T14-S14)*24*60</f>
        <v>95.999999999999972</v>
      </c>
      <c r="W14" s="15"/>
      <c r="X14" s="15"/>
      <c r="Y14" s="456"/>
      <c r="Z14" s="456"/>
      <c r="AA14" s="11">
        <f t="shared" si="2"/>
        <v>-111.62499999999977</v>
      </c>
      <c r="AB14" s="367">
        <f t="shared" si="19"/>
        <v>0.91319984447900482</v>
      </c>
      <c r="AC14" s="470">
        <f>AB19</f>
        <v>0.9104027568071198</v>
      </c>
    </row>
    <row r="15" spans="1:29" ht="16.5" customHeight="1">
      <c r="A15" s="481" t="s">
        <v>6</v>
      </c>
      <c r="B15" s="375" t="s">
        <v>15</v>
      </c>
      <c r="C15" s="477" t="s">
        <v>54</v>
      </c>
      <c r="D15" s="477"/>
      <c r="E15" s="26">
        <v>39.29</v>
      </c>
      <c r="F15" s="375">
        <v>3522</v>
      </c>
      <c r="G15" s="365">
        <f t="shared" si="21"/>
        <v>138379.38</v>
      </c>
      <c r="H15" s="76" t="s">
        <v>57</v>
      </c>
      <c r="I15" s="373">
        <v>17</v>
      </c>
      <c r="J15" s="18">
        <v>1500</v>
      </c>
      <c r="K15" s="9">
        <f>J15/I15</f>
        <v>88.235294117647058</v>
      </c>
      <c r="L15" s="373">
        <v>17</v>
      </c>
      <c r="M15" s="10">
        <f>F15/V15*60</f>
        <v>1363.3548387096773</v>
      </c>
      <c r="N15" s="9">
        <f t="shared" si="22"/>
        <v>80.197343453510427</v>
      </c>
      <c r="O15" s="11">
        <f>L15-I15</f>
        <v>0</v>
      </c>
      <c r="P15" s="12">
        <f>N15-K15</f>
        <v>-8.0379506641366305</v>
      </c>
      <c r="Q15" s="367">
        <f>N15/K15</f>
        <v>0.90890322580645155</v>
      </c>
      <c r="R15" s="470"/>
      <c r="S15" s="24">
        <v>0.32499999999999996</v>
      </c>
      <c r="T15" s="24">
        <v>0.43263888888888885</v>
      </c>
      <c r="U15" s="365">
        <f>(S15-T14)*24*60</f>
        <v>11.999999999999957</v>
      </c>
      <c r="V15" s="374">
        <f>(T15-S15)*24*60</f>
        <v>155</v>
      </c>
      <c r="W15" s="14"/>
      <c r="X15" s="14"/>
      <c r="Y15" s="456"/>
      <c r="Z15" s="456"/>
      <c r="AA15" s="11">
        <f t="shared" si="2"/>
        <v>-136.64516129032268</v>
      </c>
      <c r="AB15" s="367">
        <f t="shared" si="19"/>
        <v>0.90890322580645155</v>
      </c>
      <c r="AC15" s="470"/>
    </row>
    <row r="16" spans="1:29" ht="16.5" customHeight="1">
      <c r="A16" s="481" t="s">
        <v>6</v>
      </c>
      <c r="B16" s="375" t="s">
        <v>13</v>
      </c>
      <c r="C16" s="477" t="s">
        <v>63</v>
      </c>
      <c r="D16" s="477"/>
      <c r="E16" s="26">
        <v>50.98</v>
      </c>
      <c r="F16" s="375">
        <v>2921</v>
      </c>
      <c r="G16" s="365">
        <f t="shared" si="21"/>
        <v>148912.57999999999</v>
      </c>
      <c r="H16" s="76" t="s">
        <v>57</v>
      </c>
      <c r="I16" s="373">
        <v>17</v>
      </c>
      <c r="J16" s="18">
        <v>1800</v>
      </c>
      <c r="K16" s="9">
        <f t="shared" ref="K16:K18" si="25">J16/I16</f>
        <v>105.88235294117646</v>
      </c>
      <c r="L16" s="373">
        <v>17</v>
      </c>
      <c r="M16" s="10">
        <f t="shared" ref="M16:M18" si="26">F16/V16*60</f>
        <v>1637.9439252336458</v>
      </c>
      <c r="N16" s="9">
        <f t="shared" si="22"/>
        <v>96.349642660802701</v>
      </c>
      <c r="O16" s="11">
        <f t="shared" ref="O16:O18" si="27">L16-I16</f>
        <v>0</v>
      </c>
      <c r="P16" s="12">
        <f t="shared" ref="P16:P18" si="28">N16-K16</f>
        <v>-9.5327102803737631</v>
      </c>
      <c r="Q16" s="367">
        <f t="shared" ref="Q16:Q29" si="29">N16/K16</f>
        <v>0.90996884735202554</v>
      </c>
      <c r="R16" s="470"/>
      <c r="S16" s="24">
        <v>0.70833333333333337</v>
      </c>
      <c r="T16" s="24">
        <v>0.78263888888888888</v>
      </c>
      <c r="U16" s="365">
        <f t="shared" ref="U16:U18" si="30">(S16-T15)*24*60</f>
        <v>397.00000000000011</v>
      </c>
      <c r="V16" s="374">
        <f t="shared" ref="V16:V18" si="31">(T16-S16)*24*60</f>
        <v>106.99999999999994</v>
      </c>
      <c r="W16" s="14"/>
      <c r="X16" s="14"/>
      <c r="Y16" s="456"/>
      <c r="Z16" s="456"/>
      <c r="AA16" s="11">
        <f t="shared" si="2"/>
        <v>-162.05607476635419</v>
      </c>
      <c r="AB16" s="367">
        <f t="shared" si="19"/>
        <v>0.90996884735202543</v>
      </c>
      <c r="AC16" s="470"/>
    </row>
    <row r="17" spans="1:29" ht="16.5" customHeight="1">
      <c r="A17" s="481" t="s">
        <v>6</v>
      </c>
      <c r="B17" s="375" t="s">
        <v>13</v>
      </c>
      <c r="C17" s="477" t="s">
        <v>66</v>
      </c>
      <c r="D17" s="477"/>
      <c r="E17" s="26">
        <v>57.73</v>
      </c>
      <c r="F17" s="375">
        <v>1768</v>
      </c>
      <c r="G17" s="365">
        <f t="shared" si="21"/>
        <v>102066.64</v>
      </c>
      <c r="H17" s="76" t="s">
        <v>57</v>
      </c>
      <c r="I17" s="373">
        <v>16</v>
      </c>
      <c r="J17" s="18">
        <v>1500</v>
      </c>
      <c r="K17" s="9">
        <f t="shared" si="25"/>
        <v>93.75</v>
      </c>
      <c r="L17" s="373">
        <v>16</v>
      </c>
      <c r="M17" s="10">
        <f t="shared" si="26"/>
        <v>1359.9999999999993</v>
      </c>
      <c r="N17" s="9">
        <f t="shared" si="22"/>
        <v>84.999999999999957</v>
      </c>
      <c r="O17" s="11">
        <f t="shared" si="27"/>
        <v>0</v>
      </c>
      <c r="P17" s="12">
        <f t="shared" si="28"/>
        <v>-8.7500000000000426</v>
      </c>
      <c r="Q17" s="367">
        <f t="shared" si="29"/>
        <v>0.90666666666666618</v>
      </c>
      <c r="R17" s="470"/>
      <c r="S17" s="24">
        <v>0.78749999999999998</v>
      </c>
      <c r="T17" s="24">
        <v>0.84166666666666667</v>
      </c>
      <c r="U17" s="365">
        <f t="shared" si="30"/>
        <v>6.9999999999999751</v>
      </c>
      <c r="V17" s="374">
        <f t="shared" si="31"/>
        <v>78.000000000000043</v>
      </c>
      <c r="W17" s="14"/>
      <c r="X17" s="14"/>
      <c r="Y17" s="456"/>
      <c r="Z17" s="456"/>
      <c r="AA17" s="11">
        <f t="shared" si="2"/>
        <v>-140.00000000000068</v>
      </c>
      <c r="AB17" s="367">
        <f t="shared" si="19"/>
        <v>0.90666666666666618</v>
      </c>
      <c r="AC17" s="470"/>
    </row>
    <row r="18" spans="1:29" ht="16.5" customHeight="1">
      <c r="A18" s="481" t="s">
        <v>6</v>
      </c>
      <c r="B18" s="375" t="s">
        <v>13</v>
      </c>
      <c r="C18" s="477" t="s">
        <v>1523</v>
      </c>
      <c r="D18" s="477"/>
      <c r="E18" s="26">
        <v>51.62</v>
      </c>
      <c r="F18" s="375">
        <v>2767</v>
      </c>
      <c r="G18" s="365">
        <f t="shared" si="21"/>
        <v>142832.53999999998</v>
      </c>
      <c r="H18" s="76" t="s">
        <v>57</v>
      </c>
      <c r="I18" s="373">
        <v>20</v>
      </c>
      <c r="J18" s="18">
        <v>1800</v>
      </c>
      <c r="K18" s="9">
        <f t="shared" si="25"/>
        <v>90</v>
      </c>
      <c r="L18" s="373">
        <v>20</v>
      </c>
      <c r="M18" s="10">
        <f t="shared" si="26"/>
        <v>1643.7623762376245</v>
      </c>
      <c r="N18" s="9">
        <f t="shared" si="22"/>
        <v>82.188118811881225</v>
      </c>
      <c r="O18" s="11">
        <f t="shared" si="27"/>
        <v>0</v>
      </c>
      <c r="P18" s="12">
        <f t="shared" si="28"/>
        <v>-7.8118811881187753</v>
      </c>
      <c r="Q18" s="367">
        <f t="shared" si="29"/>
        <v>0.91320132013201361</v>
      </c>
      <c r="R18" s="470"/>
      <c r="S18" s="24">
        <v>0.88124999999999998</v>
      </c>
      <c r="T18" s="24">
        <v>0.95138888888888884</v>
      </c>
      <c r="U18" s="365">
        <f t="shared" si="30"/>
        <v>56.999999999999957</v>
      </c>
      <c r="V18" s="374">
        <f t="shared" si="31"/>
        <v>100.99999999999996</v>
      </c>
      <c r="W18" s="14"/>
      <c r="X18" s="14"/>
      <c r="Y18" s="456"/>
      <c r="Z18" s="456"/>
      <c r="AA18" s="11">
        <f t="shared" si="2"/>
        <v>-156.23762376237551</v>
      </c>
      <c r="AB18" s="367">
        <f t="shared" si="19"/>
        <v>0.91320132013201361</v>
      </c>
      <c r="AC18" s="470"/>
    </row>
    <row r="19" spans="1:29" ht="16.5" customHeight="1">
      <c r="A19" s="481" t="s">
        <v>6</v>
      </c>
      <c r="B19" s="26" t="s">
        <v>1520</v>
      </c>
      <c r="C19" s="466"/>
      <c r="D19" s="466"/>
      <c r="E19" s="366"/>
      <c r="F19" s="16"/>
      <c r="G19" s="9"/>
      <c r="H19" s="375"/>
      <c r="I19" s="17">
        <v>19.2</v>
      </c>
      <c r="J19" s="18">
        <v>1577.2</v>
      </c>
      <c r="K19" s="9">
        <f>J19/I19</f>
        <v>82.145833333333343</v>
      </c>
      <c r="L19" s="17">
        <v>19.2</v>
      </c>
      <c r="M19" s="10">
        <f>AVERAGE(M14:M18)</f>
        <v>1435.8872280361893</v>
      </c>
      <c r="N19" s="9">
        <f t="shared" si="22"/>
        <v>74.785793126884869</v>
      </c>
      <c r="O19" s="11">
        <f>L19-I19</f>
        <v>0</v>
      </c>
      <c r="P19" s="12">
        <f>N19-K19</f>
        <v>-7.360040206448474</v>
      </c>
      <c r="Q19" s="367">
        <f t="shared" si="29"/>
        <v>0.9104027568071198</v>
      </c>
      <c r="R19" s="470"/>
      <c r="S19" s="24"/>
      <c r="T19" s="24"/>
      <c r="U19" s="365"/>
      <c r="V19" s="374"/>
      <c r="W19" s="9"/>
      <c r="X19" s="9"/>
      <c r="Y19" s="456"/>
      <c r="Z19" s="456"/>
      <c r="AA19" s="11">
        <f t="shared" si="2"/>
        <v>-141.31277196381075</v>
      </c>
      <c r="AB19" s="367">
        <f t="shared" si="19"/>
        <v>0.9104027568071198</v>
      </c>
      <c r="AC19" s="470"/>
    </row>
    <row r="20" spans="1:29" ht="15.75" customHeight="1">
      <c r="A20" s="478" t="s">
        <v>1524</v>
      </c>
      <c r="B20" s="26" t="s">
        <v>21</v>
      </c>
      <c r="C20" s="477" t="s">
        <v>22</v>
      </c>
      <c r="D20" s="477"/>
      <c r="E20" s="26">
        <v>43.14</v>
      </c>
      <c r="F20" s="375">
        <v>1182</v>
      </c>
      <c r="G20" s="365">
        <f t="shared" ref="G20:G29" si="32">E20*F20</f>
        <v>50991.48</v>
      </c>
      <c r="H20" s="76" t="s">
        <v>57</v>
      </c>
      <c r="I20" s="373">
        <v>17</v>
      </c>
      <c r="J20" s="18">
        <v>1200</v>
      </c>
      <c r="K20" s="9">
        <f t="shared" ref="K20:K30" si="33">J20/I20</f>
        <v>70.588235294117652</v>
      </c>
      <c r="L20" s="373">
        <v>17</v>
      </c>
      <c r="M20" s="10">
        <f t="shared" ref="M20:M29" si="34">F20/V20*60</f>
        <v>1091.0769230769229</v>
      </c>
      <c r="N20" s="9">
        <f t="shared" si="22"/>
        <v>64.180995475113107</v>
      </c>
      <c r="O20" s="11">
        <f t="shared" ref="O20:O29" si="35">L20-I20</f>
        <v>0</v>
      </c>
      <c r="P20" s="12">
        <f t="shared" ref="P20:P29" si="36">N20-K20</f>
        <v>-6.4072398190045448</v>
      </c>
      <c r="Q20" s="367">
        <f t="shared" si="29"/>
        <v>0.90923076923076895</v>
      </c>
      <c r="R20" s="470">
        <f>Q30</f>
        <v>0.91428745651226506</v>
      </c>
      <c r="S20" s="24">
        <v>0.16666666666666666</v>
      </c>
      <c r="T20" s="24">
        <v>0.21180555555555555</v>
      </c>
      <c r="U20" s="365"/>
      <c r="V20" s="374">
        <f>(T20-S20)*24*60</f>
        <v>65.000000000000014</v>
      </c>
      <c r="W20" s="15"/>
      <c r="X20" s="15"/>
      <c r="Y20" s="456"/>
      <c r="Z20" s="456"/>
      <c r="AA20" s="11">
        <f t="shared" si="2"/>
        <v>-108.92307692307713</v>
      </c>
      <c r="AB20" s="367">
        <f t="shared" si="19"/>
        <v>0.90923076923076906</v>
      </c>
      <c r="AC20" s="470">
        <f>AB30</f>
        <v>0.91428745651226517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375">
        <v>3160</v>
      </c>
      <c r="G21" s="365">
        <f t="shared" si="32"/>
        <v>182426.8</v>
      </c>
      <c r="H21" s="76" t="s">
        <v>57</v>
      </c>
      <c r="I21" s="373">
        <v>16</v>
      </c>
      <c r="J21" s="18">
        <v>1800</v>
      </c>
      <c r="K21" s="9">
        <f t="shared" si="33"/>
        <v>112.5</v>
      </c>
      <c r="L21" s="373">
        <v>16</v>
      </c>
      <c r="M21" s="10">
        <f t="shared" si="34"/>
        <v>1634.4827586206898</v>
      </c>
      <c r="N21" s="9">
        <f t="shared" si="22"/>
        <v>102.15517241379311</v>
      </c>
      <c r="O21" s="11">
        <f t="shared" si="35"/>
        <v>0</v>
      </c>
      <c r="P21" s="12">
        <f t="shared" si="36"/>
        <v>-10.34482758620689</v>
      </c>
      <c r="Q21" s="367">
        <f t="shared" si="29"/>
        <v>0.90804597701149437</v>
      </c>
      <c r="R21" s="470"/>
      <c r="S21" s="24">
        <v>0.23055555555555557</v>
      </c>
      <c r="T21" s="24">
        <v>0.31111111111111112</v>
      </c>
      <c r="U21" s="365">
        <f>(S21-T20)*24*60</f>
        <v>27.000000000000025</v>
      </c>
      <c r="V21" s="374">
        <f t="shared" ref="V21:V29" si="37">(T21-S21)*24*60</f>
        <v>115.99999999999999</v>
      </c>
      <c r="W21" s="14"/>
      <c r="X21" s="365"/>
      <c r="Y21" s="456"/>
      <c r="Z21" s="456"/>
      <c r="AA21" s="11">
        <f t="shared" si="2"/>
        <v>-165.51724137931024</v>
      </c>
      <c r="AB21" s="367">
        <f t="shared" si="19"/>
        <v>0.90804597701149437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375">
        <v>1957</v>
      </c>
      <c r="G22" s="365">
        <f t="shared" si="32"/>
        <v>105051.76</v>
      </c>
      <c r="H22" s="76" t="s">
        <v>57</v>
      </c>
      <c r="I22" s="373">
        <v>17</v>
      </c>
      <c r="J22" s="18">
        <v>1800</v>
      </c>
      <c r="K22" s="9">
        <f t="shared" si="33"/>
        <v>105.88235294117646</v>
      </c>
      <c r="L22" s="373">
        <v>17</v>
      </c>
      <c r="M22" s="10">
        <f t="shared" si="34"/>
        <v>1630.8333333333337</v>
      </c>
      <c r="N22" s="9">
        <f t="shared" si="22"/>
        <v>95.931372549019628</v>
      </c>
      <c r="O22" s="11">
        <f t="shared" si="35"/>
        <v>0</v>
      </c>
      <c r="P22" s="12">
        <f t="shared" si="36"/>
        <v>-9.9509803921568363</v>
      </c>
      <c r="Q22" s="367">
        <f t="shared" si="29"/>
        <v>0.90601851851851878</v>
      </c>
      <c r="R22" s="470"/>
      <c r="S22" s="24">
        <v>0.31458333333333333</v>
      </c>
      <c r="T22" s="24">
        <v>0.36458333333333331</v>
      </c>
      <c r="U22" s="365">
        <f t="shared" ref="U22:U29" si="38">(S22-T21)*24*60</f>
        <v>4.9999999999999822</v>
      </c>
      <c r="V22" s="374">
        <f t="shared" si="37"/>
        <v>71.999999999999986</v>
      </c>
      <c r="W22" s="14"/>
      <c r="X22" s="365"/>
      <c r="Y22" s="456"/>
      <c r="Z22" s="456"/>
      <c r="AA22" s="11">
        <f t="shared" si="2"/>
        <v>-169.16666666666629</v>
      </c>
      <c r="AB22" s="367">
        <f t="shared" si="19"/>
        <v>0.90601851851851878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375">
        <v>1116</v>
      </c>
      <c r="G23" s="365">
        <f t="shared" si="32"/>
        <v>56547.72</v>
      </c>
      <c r="H23" s="76" t="s">
        <v>57</v>
      </c>
      <c r="I23" s="373">
        <v>16</v>
      </c>
      <c r="J23" s="18">
        <v>1800</v>
      </c>
      <c r="K23" s="9">
        <f t="shared" si="33"/>
        <v>112.5</v>
      </c>
      <c r="L23" s="373">
        <v>16</v>
      </c>
      <c r="M23" s="10">
        <f t="shared" si="34"/>
        <v>1633.1707317073167</v>
      </c>
      <c r="N23" s="9">
        <f t="shared" si="22"/>
        <v>102.07317073170729</v>
      </c>
      <c r="O23" s="11">
        <f t="shared" si="35"/>
        <v>0</v>
      </c>
      <c r="P23" s="12">
        <f t="shared" si="36"/>
        <v>-10.426829268292707</v>
      </c>
      <c r="Q23" s="367">
        <f t="shared" si="29"/>
        <v>0.90731707317073151</v>
      </c>
      <c r="R23" s="470"/>
      <c r="S23" s="24">
        <v>0.36874999999999997</v>
      </c>
      <c r="T23" s="24">
        <v>0.3972222222222222</v>
      </c>
      <c r="U23" s="365">
        <f t="shared" si="38"/>
        <v>5.9999999999999787</v>
      </c>
      <c r="V23" s="374">
        <f t="shared" si="37"/>
        <v>41.000000000000014</v>
      </c>
      <c r="W23" s="14"/>
      <c r="X23" s="365"/>
      <c r="Y23" s="456"/>
      <c r="Z23" s="456"/>
      <c r="AA23" s="11">
        <f t="shared" si="2"/>
        <v>-166.82926829268331</v>
      </c>
      <c r="AB23" s="367">
        <f t="shared" si="19"/>
        <v>0.90731707317073151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375">
        <v>3267</v>
      </c>
      <c r="G24" s="365">
        <f t="shared" si="32"/>
        <v>190041.39</v>
      </c>
      <c r="H24" s="76" t="s">
        <v>57</v>
      </c>
      <c r="I24" s="373">
        <v>18</v>
      </c>
      <c r="J24" s="18">
        <v>1800</v>
      </c>
      <c r="K24" s="9">
        <f t="shared" si="33"/>
        <v>100</v>
      </c>
      <c r="L24" s="373">
        <v>18</v>
      </c>
      <c r="M24" s="10">
        <f t="shared" si="34"/>
        <v>1633.5000000000002</v>
      </c>
      <c r="N24" s="9">
        <f t="shared" si="22"/>
        <v>90.750000000000014</v>
      </c>
      <c r="O24" s="11">
        <f t="shared" si="35"/>
        <v>0</v>
      </c>
      <c r="P24" s="12">
        <f t="shared" si="36"/>
        <v>-9.2499999999999858</v>
      </c>
      <c r="Q24" s="367">
        <f t="shared" si="29"/>
        <v>0.9075000000000002</v>
      </c>
      <c r="R24" s="470"/>
      <c r="S24" s="24">
        <v>0.40208333333333329</v>
      </c>
      <c r="T24" s="24">
        <v>0.48541666666666661</v>
      </c>
      <c r="U24" s="365">
        <f t="shared" si="38"/>
        <v>6.9999999999999751</v>
      </c>
      <c r="V24" s="374">
        <f t="shared" si="37"/>
        <v>119.99999999999997</v>
      </c>
      <c r="W24" s="14"/>
      <c r="X24" s="365"/>
      <c r="Y24" s="456"/>
      <c r="Z24" s="456"/>
      <c r="AA24" s="11">
        <f t="shared" si="2"/>
        <v>-166.49999999999977</v>
      </c>
      <c r="AB24" s="367">
        <f t="shared" si="19"/>
        <v>0.90750000000000008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375">
        <v>1000</v>
      </c>
      <c r="G25" s="365">
        <f t="shared" si="32"/>
        <v>50920</v>
      </c>
      <c r="H25" s="76">
        <v>2</v>
      </c>
      <c r="I25" s="373">
        <v>16</v>
      </c>
      <c r="J25" s="18">
        <v>1800</v>
      </c>
      <c r="K25" s="9">
        <f t="shared" si="33"/>
        <v>112.5</v>
      </c>
      <c r="L25" s="373">
        <v>16</v>
      </c>
      <c r="M25" s="10">
        <f t="shared" si="34"/>
        <v>1666.6666666666654</v>
      </c>
      <c r="N25" s="9">
        <f t="shared" si="22"/>
        <v>104.16666666666659</v>
      </c>
      <c r="O25" s="11">
        <f t="shared" si="35"/>
        <v>0</v>
      </c>
      <c r="P25" s="12">
        <f t="shared" si="36"/>
        <v>-8.3333333333334139</v>
      </c>
      <c r="Q25" s="367">
        <f t="shared" si="29"/>
        <v>0.92592592592592526</v>
      </c>
      <c r="R25" s="470"/>
      <c r="S25" s="24">
        <v>0.70833333333333337</v>
      </c>
      <c r="T25" s="24">
        <v>0.73333333333333339</v>
      </c>
      <c r="U25" s="365">
        <f t="shared" si="38"/>
        <v>321.00000000000011</v>
      </c>
      <c r="V25" s="374">
        <f t="shared" si="37"/>
        <v>36.000000000000028</v>
      </c>
      <c r="W25" s="14"/>
      <c r="X25" s="15"/>
      <c r="Y25" s="456"/>
      <c r="Z25" s="456"/>
      <c r="AA25" s="11">
        <f t="shared" si="2"/>
        <v>-133.33333333333462</v>
      </c>
      <c r="AB25" s="367">
        <f t="shared" si="19"/>
        <v>0.92592592592592526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375">
        <v>582</v>
      </c>
      <c r="G26" s="365">
        <f t="shared" si="32"/>
        <v>31003.140000000003</v>
      </c>
      <c r="H26" s="76" t="s">
        <v>57</v>
      </c>
      <c r="I26" s="373">
        <v>15</v>
      </c>
      <c r="J26" s="18">
        <v>1800</v>
      </c>
      <c r="K26" s="9">
        <f t="shared" si="33"/>
        <v>120</v>
      </c>
      <c r="L26" s="373">
        <v>15</v>
      </c>
      <c r="M26" s="10">
        <f t="shared" si="34"/>
        <v>1662.8571428571486</v>
      </c>
      <c r="N26" s="9">
        <f t="shared" si="22"/>
        <v>110.85714285714324</v>
      </c>
      <c r="O26" s="11">
        <f t="shared" si="35"/>
        <v>0</v>
      </c>
      <c r="P26" s="12">
        <f t="shared" si="36"/>
        <v>-9.1428571428567551</v>
      </c>
      <c r="Q26" s="367">
        <f t="shared" si="29"/>
        <v>0.92380952380952708</v>
      </c>
      <c r="R26" s="470"/>
      <c r="S26" s="24">
        <v>0.73819444444444449</v>
      </c>
      <c r="T26" s="24">
        <v>0.75277777777777777</v>
      </c>
      <c r="U26" s="365">
        <f t="shared" si="38"/>
        <v>6.9999999999999751</v>
      </c>
      <c r="V26" s="374">
        <f t="shared" si="37"/>
        <v>20.999999999999925</v>
      </c>
      <c r="W26" s="14"/>
      <c r="X26" s="15"/>
      <c r="Y26" s="473"/>
      <c r="Z26" s="474"/>
      <c r="AA26" s="11">
        <f t="shared" si="2"/>
        <v>-137.14285714285143</v>
      </c>
      <c r="AB26" s="367">
        <f t="shared" si="19"/>
        <v>0.92380952380952697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49.91</v>
      </c>
      <c r="F27" s="375">
        <v>938</v>
      </c>
      <c r="G27" s="365">
        <f t="shared" si="32"/>
        <v>46815.579999999994</v>
      </c>
      <c r="H27" s="76" t="s">
        <v>57</v>
      </c>
      <c r="I27" s="373">
        <v>17</v>
      </c>
      <c r="J27" s="18">
        <v>1800</v>
      </c>
      <c r="K27" s="9">
        <f t="shared" si="33"/>
        <v>105.88235294117646</v>
      </c>
      <c r="L27" s="373">
        <v>17</v>
      </c>
      <c r="M27" s="10">
        <f t="shared" si="34"/>
        <v>1655.2941176470567</v>
      </c>
      <c r="N27" s="9">
        <f t="shared" si="22"/>
        <v>97.370242214532752</v>
      </c>
      <c r="O27" s="11">
        <f t="shared" si="35"/>
        <v>0</v>
      </c>
      <c r="P27" s="12">
        <f t="shared" si="36"/>
        <v>-8.5121107266437122</v>
      </c>
      <c r="Q27" s="367">
        <f t="shared" si="29"/>
        <v>0.91960784313725386</v>
      </c>
      <c r="R27" s="470"/>
      <c r="S27" s="24">
        <v>0.75694444444444442</v>
      </c>
      <c r="T27" s="24">
        <v>0.78055555555555556</v>
      </c>
      <c r="U27" s="365">
        <f t="shared" si="38"/>
        <v>5.9999999999999787</v>
      </c>
      <c r="V27" s="374">
        <f t="shared" si="37"/>
        <v>34.000000000000043</v>
      </c>
      <c r="W27" s="14"/>
      <c r="X27" s="14"/>
      <c r="Y27" s="473"/>
      <c r="Z27" s="474"/>
      <c r="AA27" s="11">
        <f t="shared" si="2"/>
        <v>-144.70588235294326</v>
      </c>
      <c r="AB27" s="367">
        <f t="shared" si="19"/>
        <v>0.91960784313725374</v>
      </c>
      <c r="AC27" s="470"/>
    </row>
    <row r="28" spans="1:29" ht="15.75" customHeight="1">
      <c r="A28" s="479" t="s">
        <v>7</v>
      </c>
      <c r="B28" s="26" t="s">
        <v>13</v>
      </c>
      <c r="C28" s="482" t="s">
        <v>1523</v>
      </c>
      <c r="D28" s="483"/>
      <c r="E28" s="26">
        <v>51.62</v>
      </c>
      <c r="F28" s="375">
        <v>2500</v>
      </c>
      <c r="G28" s="365">
        <f t="shared" si="32"/>
        <v>129050</v>
      </c>
      <c r="H28" s="76">
        <v>2</v>
      </c>
      <c r="I28" s="373">
        <v>20</v>
      </c>
      <c r="J28" s="18">
        <v>1800</v>
      </c>
      <c r="K28" s="9">
        <f t="shared" si="33"/>
        <v>90</v>
      </c>
      <c r="L28" s="373">
        <v>20</v>
      </c>
      <c r="M28" s="10">
        <f t="shared" si="34"/>
        <v>1648.3516483516482</v>
      </c>
      <c r="N28" s="9">
        <f t="shared" si="22"/>
        <v>82.417582417582409</v>
      </c>
      <c r="O28" s="11">
        <f t="shared" si="35"/>
        <v>0</v>
      </c>
      <c r="P28" s="12">
        <f t="shared" si="36"/>
        <v>-7.582417582417591</v>
      </c>
      <c r="Q28" s="367">
        <f t="shared" si="29"/>
        <v>0.91575091575091561</v>
      </c>
      <c r="R28" s="470"/>
      <c r="S28" s="24">
        <v>0.78611111111111109</v>
      </c>
      <c r="T28" s="24">
        <v>0.84930555555555554</v>
      </c>
      <c r="U28" s="365">
        <f t="shared" si="38"/>
        <v>7.9999999999999716</v>
      </c>
      <c r="V28" s="374">
        <f t="shared" si="37"/>
        <v>91</v>
      </c>
      <c r="W28" s="14"/>
      <c r="X28" s="14"/>
      <c r="Y28" s="473"/>
      <c r="Z28" s="474"/>
      <c r="AA28" s="11">
        <f t="shared" si="2"/>
        <v>-151.64835164835176</v>
      </c>
      <c r="AB28" s="367">
        <f t="shared" si="19"/>
        <v>0.91575091575091572</v>
      </c>
      <c r="AC28" s="470"/>
    </row>
    <row r="29" spans="1:29" ht="15.75" customHeight="1">
      <c r="A29" s="479" t="s">
        <v>7</v>
      </c>
      <c r="B29" s="26" t="s">
        <v>13</v>
      </c>
      <c r="C29" s="482" t="s">
        <v>59</v>
      </c>
      <c r="D29" s="483"/>
      <c r="E29" s="26">
        <v>50.92</v>
      </c>
      <c r="F29" s="375">
        <v>2093</v>
      </c>
      <c r="G29" s="365">
        <f t="shared" si="32"/>
        <v>106575.56</v>
      </c>
      <c r="H29" s="76" t="s">
        <v>57</v>
      </c>
      <c r="I29" s="373">
        <v>16</v>
      </c>
      <c r="J29" s="18">
        <v>1800</v>
      </c>
      <c r="K29" s="9">
        <f t="shared" si="33"/>
        <v>112.5</v>
      </c>
      <c r="L29" s="373">
        <v>16</v>
      </c>
      <c r="M29" s="10">
        <f t="shared" si="34"/>
        <v>1652.3684210526303</v>
      </c>
      <c r="N29" s="9">
        <f t="shared" si="22"/>
        <v>103.27302631578939</v>
      </c>
      <c r="O29" s="11">
        <f t="shared" si="35"/>
        <v>0</v>
      </c>
      <c r="P29" s="12">
        <f t="shared" si="36"/>
        <v>-9.2269736842106056</v>
      </c>
      <c r="Q29" s="367">
        <f t="shared" si="29"/>
        <v>0.91798245614035012</v>
      </c>
      <c r="R29" s="470"/>
      <c r="S29" s="24">
        <v>0.89027777777777772</v>
      </c>
      <c r="T29" s="24">
        <v>0.94305555555555554</v>
      </c>
      <c r="U29" s="365">
        <f t="shared" si="38"/>
        <v>58.99999999999995</v>
      </c>
      <c r="V29" s="374">
        <f t="shared" si="37"/>
        <v>76.000000000000057</v>
      </c>
      <c r="W29" s="14"/>
      <c r="X29" s="14"/>
      <c r="Y29" s="473"/>
      <c r="Z29" s="474"/>
      <c r="AA29" s="11">
        <f t="shared" si="2"/>
        <v>-147.63157894736969</v>
      </c>
      <c r="AB29" s="367">
        <f t="shared" si="19"/>
        <v>0.91798245614035012</v>
      </c>
      <c r="AC29" s="470"/>
    </row>
    <row r="30" spans="1:29" ht="15.75" customHeight="1">
      <c r="A30" s="479" t="s">
        <v>7</v>
      </c>
      <c r="B30" s="26" t="s">
        <v>1520</v>
      </c>
      <c r="C30" s="466"/>
      <c r="D30" s="466"/>
      <c r="E30" s="366"/>
      <c r="F30" s="375"/>
      <c r="G30" s="365"/>
      <c r="H30" s="375"/>
      <c r="I30" s="17">
        <v>16.8</v>
      </c>
      <c r="J30" s="18">
        <v>1740</v>
      </c>
      <c r="K30" s="9">
        <f t="shared" si="33"/>
        <v>103.57142857142857</v>
      </c>
      <c r="L30" s="17">
        <v>16.8</v>
      </c>
      <c r="M30" s="10">
        <f>AVERAGE(M20:M29)</f>
        <v>1590.8601743313413</v>
      </c>
      <c r="N30" s="9">
        <f>M30/L30</f>
        <v>94.69405799591317</v>
      </c>
      <c r="O30" s="11">
        <f>L30-I30</f>
        <v>0</v>
      </c>
      <c r="P30" s="12">
        <f>N30-K30</f>
        <v>-8.8773705755153998</v>
      </c>
      <c r="Q30" s="367">
        <f>N30/K30</f>
        <v>0.91428745651226506</v>
      </c>
      <c r="R30" s="470"/>
      <c r="S30" s="24"/>
      <c r="T30" s="24"/>
      <c r="U30" s="9"/>
      <c r="V30" s="374"/>
      <c r="W30" s="9"/>
      <c r="X30" s="9"/>
      <c r="Y30" s="456"/>
      <c r="Z30" s="456"/>
      <c r="AA30" s="11">
        <f t="shared" si="2"/>
        <v>-149.13982566865866</v>
      </c>
      <c r="AB30" s="367">
        <f t="shared" si="19"/>
        <v>0.91428745651226517</v>
      </c>
      <c r="AC30" s="470"/>
    </row>
    <row r="31" spans="1:29" ht="15.75" customHeight="1">
      <c r="A31" s="484" t="s">
        <v>1525</v>
      </c>
      <c r="B31" s="26" t="s">
        <v>24</v>
      </c>
      <c r="C31" s="477" t="s">
        <v>26</v>
      </c>
      <c r="D31" s="477"/>
      <c r="E31" s="26">
        <v>26.2</v>
      </c>
      <c r="F31" s="375">
        <v>4426</v>
      </c>
      <c r="G31" s="365">
        <f t="shared" ref="G31:G37" si="39">E31*F31</f>
        <v>115961.2</v>
      </c>
      <c r="H31" s="76" t="s">
        <v>57</v>
      </c>
      <c r="I31" s="373">
        <v>20</v>
      </c>
      <c r="J31" s="18">
        <v>2400</v>
      </c>
      <c r="K31" s="9">
        <f>J31/I31</f>
        <v>120</v>
      </c>
      <c r="L31" s="373">
        <v>20</v>
      </c>
      <c r="M31" s="10">
        <f t="shared" ref="M31:M37" si="40">F31/V31*60</f>
        <v>2176.7213114754104</v>
      </c>
      <c r="N31" s="9">
        <f t="shared" ref="N31:N37" si="41">M31/L31</f>
        <v>108.83606557377053</v>
      </c>
      <c r="O31" s="11">
        <f t="shared" ref="O31:O37" si="42">L31-I31</f>
        <v>0</v>
      </c>
      <c r="P31" s="12">
        <f t="shared" ref="P31:P37" si="43">N31-K31</f>
        <v>-11.163934426229474</v>
      </c>
      <c r="Q31" s="367">
        <f t="shared" ref="Q31:Q37" si="44">N31/K31</f>
        <v>0.90696721311475437</v>
      </c>
      <c r="R31" s="470">
        <f>Q38</f>
        <v>0.91039077988808703</v>
      </c>
      <c r="S31" s="24">
        <v>0.125</v>
      </c>
      <c r="T31" s="24">
        <v>0.2097222222222222</v>
      </c>
      <c r="U31" s="365"/>
      <c r="V31" s="374">
        <f t="shared" ref="V31:V37" si="45">(T31-S31)*24*60</f>
        <v>121.99999999999997</v>
      </c>
      <c r="W31" s="14"/>
      <c r="X31" s="14"/>
      <c r="Y31" s="456"/>
      <c r="Z31" s="456"/>
      <c r="AA31" s="11">
        <f t="shared" si="2"/>
        <v>-223.2786885245896</v>
      </c>
      <c r="AB31" s="367">
        <f>M31/J31</f>
        <v>0.90696721311475437</v>
      </c>
      <c r="AC31" s="470">
        <f>AB38</f>
        <v>0.91039077988808703</v>
      </c>
    </row>
    <row r="32" spans="1:29" ht="15.75" customHeight="1">
      <c r="A32" s="484" t="s">
        <v>8</v>
      </c>
      <c r="B32" s="26" t="s">
        <v>24</v>
      </c>
      <c r="C32" s="477" t="s">
        <v>25</v>
      </c>
      <c r="D32" s="477"/>
      <c r="E32" s="26">
        <v>20.52</v>
      </c>
      <c r="F32" s="375">
        <v>4820</v>
      </c>
      <c r="G32" s="365">
        <f t="shared" si="39"/>
        <v>98906.4</v>
      </c>
      <c r="H32" s="76" t="s">
        <v>57</v>
      </c>
      <c r="I32" s="373">
        <v>18</v>
      </c>
      <c r="J32" s="18">
        <v>2400</v>
      </c>
      <c r="K32" s="9">
        <f t="shared" ref="K32:K38" si="46">J32/I32</f>
        <v>133.33333333333334</v>
      </c>
      <c r="L32" s="373">
        <v>18</v>
      </c>
      <c r="M32" s="10">
        <f t="shared" si="40"/>
        <v>2174.4360902255639</v>
      </c>
      <c r="N32" s="9">
        <f t="shared" si="41"/>
        <v>120.80200501253132</v>
      </c>
      <c r="O32" s="11">
        <f t="shared" si="42"/>
        <v>0</v>
      </c>
      <c r="P32" s="12">
        <f t="shared" si="43"/>
        <v>-12.531328320802018</v>
      </c>
      <c r="Q32" s="367">
        <f t="shared" si="44"/>
        <v>0.90601503759398483</v>
      </c>
      <c r="R32" s="470"/>
      <c r="S32" s="24">
        <v>0.22916666666666663</v>
      </c>
      <c r="T32" s="24">
        <v>0.32152777777777775</v>
      </c>
      <c r="U32" s="365">
        <f>(S32-T31)*24*60</f>
        <v>27.999999999999979</v>
      </c>
      <c r="V32" s="374">
        <f t="shared" si="45"/>
        <v>133</v>
      </c>
      <c r="W32" s="14"/>
      <c r="X32" s="14"/>
      <c r="Y32" s="456"/>
      <c r="Z32" s="456"/>
      <c r="AA32" s="11">
        <f t="shared" si="2"/>
        <v>-225.56390977443607</v>
      </c>
      <c r="AB32" s="367">
        <f t="shared" ref="AB32:AB37" si="47">M32/J32</f>
        <v>0.90601503759398494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375">
        <v>3500</v>
      </c>
      <c r="G33" s="365">
        <f t="shared" si="39"/>
        <v>109515</v>
      </c>
      <c r="H33" s="76">
        <v>2</v>
      </c>
      <c r="I33" s="373">
        <v>16</v>
      </c>
      <c r="J33" s="18">
        <v>2400</v>
      </c>
      <c r="K33" s="9">
        <f t="shared" si="46"/>
        <v>150</v>
      </c>
      <c r="L33" s="373">
        <v>16</v>
      </c>
      <c r="M33" s="10">
        <f t="shared" si="40"/>
        <v>2187.5000000000005</v>
      </c>
      <c r="N33" s="9">
        <f t="shared" si="41"/>
        <v>136.71875000000003</v>
      </c>
      <c r="O33" s="11">
        <f t="shared" si="42"/>
        <v>0</v>
      </c>
      <c r="P33" s="12">
        <f t="shared" si="43"/>
        <v>-13.281249999999972</v>
      </c>
      <c r="Q33" s="367">
        <f t="shared" si="44"/>
        <v>0.91145833333333348</v>
      </c>
      <c r="R33" s="470"/>
      <c r="S33" s="24">
        <v>0.3256944444444444</v>
      </c>
      <c r="T33" s="24">
        <v>0.39236111111111105</v>
      </c>
      <c r="U33" s="365">
        <f t="shared" ref="U33:U37" si="48">(S33-T32)*24*60</f>
        <v>5.9999999999999787</v>
      </c>
      <c r="V33" s="374">
        <f t="shared" si="45"/>
        <v>95.999999999999972</v>
      </c>
      <c r="W33" s="14"/>
      <c r="X33" s="14"/>
      <c r="Y33" s="456"/>
      <c r="Z33" s="456"/>
      <c r="AA33" s="11">
        <f t="shared" si="2"/>
        <v>-212.49999999999955</v>
      </c>
      <c r="AB33" s="367">
        <f t="shared" si="47"/>
        <v>0.91145833333333348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375">
        <v>3200</v>
      </c>
      <c r="G34" s="365">
        <f t="shared" si="39"/>
        <v>77600</v>
      </c>
      <c r="H34" s="76">
        <v>2</v>
      </c>
      <c r="I34" s="373">
        <v>18</v>
      </c>
      <c r="J34" s="18">
        <v>2400</v>
      </c>
      <c r="K34" s="9">
        <f t="shared" si="46"/>
        <v>133.33333333333334</v>
      </c>
      <c r="L34" s="373">
        <v>18</v>
      </c>
      <c r="M34" s="10">
        <f t="shared" si="40"/>
        <v>2181.818181818182</v>
      </c>
      <c r="N34" s="9">
        <f t="shared" si="41"/>
        <v>121.21212121212122</v>
      </c>
      <c r="O34" s="11">
        <f t="shared" si="42"/>
        <v>0</v>
      </c>
      <c r="P34" s="12">
        <f t="shared" si="43"/>
        <v>-12.121212121212125</v>
      </c>
      <c r="Q34" s="367">
        <f t="shared" si="44"/>
        <v>0.90909090909090906</v>
      </c>
      <c r="R34" s="470"/>
      <c r="S34" s="24">
        <v>0.3965277777777777</v>
      </c>
      <c r="T34" s="24">
        <v>0.45763888888888882</v>
      </c>
      <c r="U34" s="365">
        <f t="shared" si="48"/>
        <v>5.9999999999999787</v>
      </c>
      <c r="V34" s="374">
        <f t="shared" si="45"/>
        <v>88</v>
      </c>
      <c r="W34" s="14"/>
      <c r="X34" s="14"/>
      <c r="Y34" s="456"/>
      <c r="Z34" s="456"/>
      <c r="AA34" s="11">
        <f t="shared" si="2"/>
        <v>-218.18181818181802</v>
      </c>
      <c r="AB34" s="367">
        <f t="shared" si="47"/>
        <v>0.90909090909090917</v>
      </c>
      <c r="AC34" s="470"/>
    </row>
    <row r="35" spans="1:29" ht="15.75" customHeight="1">
      <c r="A35" s="484" t="s">
        <v>8</v>
      </c>
      <c r="B35" s="26" t="s">
        <v>24</v>
      </c>
      <c r="C35" s="477" t="s">
        <v>69</v>
      </c>
      <c r="D35" s="477"/>
      <c r="E35" s="26">
        <v>22.35</v>
      </c>
      <c r="F35" s="375">
        <v>2585</v>
      </c>
      <c r="G35" s="365">
        <f t="shared" si="39"/>
        <v>57774.750000000007</v>
      </c>
      <c r="H35" s="76" t="s">
        <v>57</v>
      </c>
      <c r="I35" s="373">
        <v>16</v>
      </c>
      <c r="J35" s="18">
        <v>2400</v>
      </c>
      <c r="K35" s="9">
        <f t="shared" si="46"/>
        <v>150</v>
      </c>
      <c r="L35" s="373">
        <v>16</v>
      </c>
      <c r="M35" s="10">
        <f t="shared" si="40"/>
        <v>2184.5070422535191</v>
      </c>
      <c r="N35" s="9">
        <f t="shared" si="41"/>
        <v>136.53169014084494</v>
      </c>
      <c r="O35" s="11">
        <f t="shared" si="42"/>
        <v>0</v>
      </c>
      <c r="P35" s="12">
        <f t="shared" si="43"/>
        <v>-13.468309859155056</v>
      </c>
      <c r="Q35" s="367">
        <f t="shared" si="44"/>
        <v>0.91021126760563298</v>
      </c>
      <c r="R35" s="470"/>
      <c r="S35" s="24">
        <v>0.46249999999999991</v>
      </c>
      <c r="T35" s="24">
        <v>0.51180555555555551</v>
      </c>
      <c r="U35" s="365">
        <f t="shared" si="48"/>
        <v>6.9999999999999751</v>
      </c>
      <c r="V35" s="374">
        <f t="shared" si="45"/>
        <v>71.000000000000071</v>
      </c>
      <c r="W35" s="14"/>
      <c r="X35" s="14"/>
      <c r="Y35" s="456"/>
      <c r="Z35" s="456"/>
      <c r="AA35" s="11">
        <f t="shared" si="2"/>
        <v>-215.4929577464809</v>
      </c>
      <c r="AB35" s="367">
        <f t="shared" si="47"/>
        <v>0.91021126760563298</v>
      </c>
      <c r="AC35" s="470"/>
    </row>
    <row r="36" spans="1:29" ht="15.75" customHeight="1">
      <c r="A36" s="484" t="s">
        <v>8</v>
      </c>
      <c r="B36" s="26" t="s">
        <v>24</v>
      </c>
      <c r="C36" s="477" t="s">
        <v>513</v>
      </c>
      <c r="D36" s="477"/>
      <c r="E36" s="26">
        <v>31.29</v>
      </c>
      <c r="F36" s="375">
        <v>5215</v>
      </c>
      <c r="G36" s="365">
        <f t="shared" si="39"/>
        <v>163177.35</v>
      </c>
      <c r="H36" s="76" t="s">
        <v>57</v>
      </c>
      <c r="I36" s="373">
        <v>16</v>
      </c>
      <c r="J36" s="18">
        <v>2400</v>
      </c>
      <c r="K36" s="9">
        <f t="shared" si="46"/>
        <v>150</v>
      </c>
      <c r="L36" s="373">
        <v>16</v>
      </c>
      <c r="M36" s="10">
        <f t="shared" si="40"/>
        <v>2188.1118881118882</v>
      </c>
      <c r="N36" s="9">
        <f t="shared" si="41"/>
        <v>136.75699300699301</v>
      </c>
      <c r="O36" s="11">
        <f t="shared" si="42"/>
        <v>0</v>
      </c>
      <c r="P36" s="12">
        <f t="shared" si="43"/>
        <v>-13.243006993006986</v>
      </c>
      <c r="Q36" s="367">
        <f t="shared" si="44"/>
        <v>0.91171328671328677</v>
      </c>
      <c r="R36" s="470"/>
      <c r="S36" s="24">
        <v>0.55208333333333326</v>
      </c>
      <c r="T36" s="24">
        <v>0.6513888888888888</v>
      </c>
      <c r="U36" s="365">
        <f t="shared" si="48"/>
        <v>57.999999999999957</v>
      </c>
      <c r="V36" s="374">
        <f t="shared" si="45"/>
        <v>142.99999999999997</v>
      </c>
      <c r="W36" s="14"/>
      <c r="X36" s="14"/>
      <c r="Y36" s="456"/>
      <c r="Z36" s="456"/>
      <c r="AA36" s="11">
        <f t="shared" si="2"/>
        <v>-211.88811188811178</v>
      </c>
      <c r="AB36" s="367">
        <f t="shared" si="47"/>
        <v>0.91171328671328677</v>
      </c>
      <c r="AC36" s="470"/>
    </row>
    <row r="37" spans="1:29" ht="15.75" customHeight="1">
      <c r="A37" s="484" t="s">
        <v>8</v>
      </c>
      <c r="B37" s="26" t="s">
        <v>24</v>
      </c>
      <c r="C37" s="477" t="s">
        <v>84</v>
      </c>
      <c r="D37" s="477"/>
      <c r="E37" s="26">
        <v>24.25</v>
      </c>
      <c r="F37" s="375">
        <v>2495</v>
      </c>
      <c r="G37" s="365">
        <f t="shared" si="39"/>
        <v>60503.75</v>
      </c>
      <c r="H37" s="76" t="s">
        <v>57</v>
      </c>
      <c r="I37" s="373">
        <v>18</v>
      </c>
      <c r="J37" s="18">
        <v>2400</v>
      </c>
      <c r="K37" s="9">
        <f t="shared" si="46"/>
        <v>133.33333333333334</v>
      </c>
      <c r="L37" s="373">
        <v>18</v>
      </c>
      <c r="M37" s="10">
        <f t="shared" si="40"/>
        <v>2201.4705882352969</v>
      </c>
      <c r="N37" s="9">
        <f t="shared" si="41"/>
        <v>122.3039215686276</v>
      </c>
      <c r="O37" s="11">
        <f t="shared" si="42"/>
        <v>0</v>
      </c>
      <c r="P37" s="12">
        <f t="shared" si="43"/>
        <v>-11.029411764705742</v>
      </c>
      <c r="Q37" s="367">
        <f t="shared" si="44"/>
        <v>0.91727941176470695</v>
      </c>
      <c r="R37" s="470"/>
      <c r="S37" s="24">
        <v>0.65486111111111101</v>
      </c>
      <c r="T37" s="24">
        <v>0.70208333333333317</v>
      </c>
      <c r="U37" s="365">
        <f t="shared" si="48"/>
        <v>4.9999999999999822</v>
      </c>
      <c r="V37" s="374">
        <f t="shared" si="45"/>
        <v>67.999999999999915</v>
      </c>
      <c r="W37" s="14"/>
      <c r="X37" s="14"/>
      <c r="Y37" s="456"/>
      <c r="Z37" s="456"/>
      <c r="AA37" s="11">
        <f t="shared" si="2"/>
        <v>-198.52941176470313</v>
      </c>
      <c r="AB37" s="367">
        <f t="shared" si="47"/>
        <v>0.91727941176470706</v>
      </c>
      <c r="AC37" s="470"/>
    </row>
    <row r="38" spans="1:29" ht="15.75" customHeight="1">
      <c r="A38" s="484" t="s">
        <v>8</v>
      </c>
      <c r="B38" s="26" t="s">
        <v>81</v>
      </c>
      <c r="C38" s="466"/>
      <c r="D38" s="466"/>
      <c r="E38" s="366"/>
      <c r="F38" s="375"/>
      <c r="G38" s="365"/>
      <c r="H38" s="375"/>
      <c r="I38" s="17">
        <v>17.428571428571427</v>
      </c>
      <c r="J38" s="18">
        <v>2400</v>
      </c>
      <c r="K38" s="9">
        <f t="shared" si="46"/>
        <v>137.70491803278691</v>
      </c>
      <c r="L38" s="17">
        <v>17.428571428571427</v>
      </c>
      <c r="M38" s="10">
        <f>AVERAGE(M31:M37)</f>
        <v>2184.9378717314089</v>
      </c>
      <c r="N38" s="9">
        <f>M38/L38</f>
        <v>125.36528772229397</v>
      </c>
      <c r="O38" s="11">
        <f>L38-I38</f>
        <v>0</v>
      </c>
      <c r="P38" s="12">
        <f>N38-K38</f>
        <v>-12.339630310492936</v>
      </c>
      <c r="Q38" s="367">
        <f>N38/K38</f>
        <v>0.91039077988808703</v>
      </c>
      <c r="R38" s="470"/>
      <c r="S38" s="24"/>
      <c r="T38" s="24"/>
      <c r="U38" s="365"/>
      <c r="V38" s="374"/>
      <c r="W38" s="365"/>
      <c r="X38" s="365"/>
      <c r="Y38" s="456"/>
      <c r="Z38" s="456"/>
      <c r="AA38" s="11">
        <f t="shared" si="2"/>
        <v>-215.0621282685911</v>
      </c>
      <c r="AB38" s="367">
        <f>M38/J38</f>
        <v>0.91039077988808703</v>
      </c>
      <c r="AC38" s="470"/>
    </row>
    <row r="39" spans="1:29" ht="15.75" customHeight="1">
      <c r="A39" s="485" t="s">
        <v>158</v>
      </c>
      <c r="B39" s="26" t="s">
        <v>24</v>
      </c>
      <c r="C39" s="487" t="s">
        <v>29</v>
      </c>
      <c r="D39" s="487"/>
      <c r="E39" s="26">
        <v>26.2</v>
      </c>
      <c r="F39" s="375">
        <v>2500</v>
      </c>
      <c r="G39" s="365">
        <f t="shared" ref="G39:G46" si="49">E39*F39</f>
        <v>65500</v>
      </c>
      <c r="H39" s="76">
        <v>2</v>
      </c>
      <c r="I39" s="373">
        <v>18</v>
      </c>
      <c r="J39" s="18">
        <v>2400</v>
      </c>
      <c r="K39" s="9">
        <f>J39/I39</f>
        <v>133.33333333333334</v>
      </c>
      <c r="L39" s="373">
        <v>18</v>
      </c>
      <c r="M39" s="10">
        <f>F39/V39*60</f>
        <v>2205.8823529411775</v>
      </c>
      <c r="N39" s="9">
        <f>M39/L39</f>
        <v>122.54901960784319</v>
      </c>
      <c r="O39" s="11">
        <f t="shared" ref="O39:O46" si="50">L39-I39</f>
        <v>0</v>
      </c>
      <c r="P39" s="12">
        <f t="shared" ref="P39:P56" si="51">N39-K39</f>
        <v>-10.784313725490151</v>
      </c>
      <c r="Q39" s="367">
        <f t="shared" ref="Q39:Q51" si="52">N39/K39</f>
        <v>0.91911764705882393</v>
      </c>
      <c r="R39" s="470">
        <f>Q47</f>
        <v>0.91004248165085133</v>
      </c>
      <c r="S39" s="24">
        <v>8.3333333333333329E-2</v>
      </c>
      <c r="T39" s="24">
        <v>0.13055555555555554</v>
      </c>
      <c r="U39" s="365"/>
      <c r="V39" s="374">
        <f t="shared" ref="V39:V46" si="53">(T39-S39)*24*60</f>
        <v>67.999999999999972</v>
      </c>
      <c r="W39" s="15"/>
      <c r="X39" s="15"/>
      <c r="Y39" s="456"/>
      <c r="Z39" s="456"/>
      <c r="AA39" s="11">
        <f t="shared" si="2"/>
        <v>-194.11764705882251</v>
      </c>
      <c r="AB39" s="367">
        <f>M39/J39</f>
        <v>0.91911764705882393</v>
      </c>
      <c r="AC39" s="470">
        <f>AB47</f>
        <v>0.91004248165085133</v>
      </c>
    </row>
    <row r="40" spans="1:29" ht="15.75" customHeight="1">
      <c r="A40" s="485" t="s">
        <v>158</v>
      </c>
      <c r="B40" s="26" t="s">
        <v>24</v>
      </c>
      <c r="C40" s="487" t="s">
        <v>31</v>
      </c>
      <c r="D40" s="487"/>
      <c r="E40" s="26">
        <v>24.45</v>
      </c>
      <c r="F40" s="375">
        <v>2465</v>
      </c>
      <c r="G40" s="365">
        <f t="shared" si="49"/>
        <v>60269.25</v>
      </c>
      <c r="H40" s="76" t="s">
        <v>57</v>
      </c>
      <c r="I40" s="373">
        <v>20</v>
      </c>
      <c r="J40" s="18">
        <v>2400</v>
      </c>
      <c r="K40" s="9">
        <f t="shared" ref="K40:K55" si="54">J40/I40</f>
        <v>120</v>
      </c>
      <c r="L40" s="373">
        <v>20</v>
      </c>
      <c r="M40" s="10">
        <f t="shared" ref="M40:M46" si="55">F40/V40*60</f>
        <v>2175</v>
      </c>
      <c r="N40" s="9">
        <f t="shared" ref="N40:N46" si="56">M40/L40</f>
        <v>108.75</v>
      </c>
      <c r="O40" s="11">
        <f t="shared" si="50"/>
        <v>0</v>
      </c>
      <c r="P40" s="12">
        <f t="shared" si="51"/>
        <v>-11.25</v>
      </c>
      <c r="Q40" s="367">
        <f t="shared" si="52"/>
        <v>0.90625</v>
      </c>
      <c r="R40" s="470"/>
      <c r="S40" s="24">
        <v>0.14791666666666661</v>
      </c>
      <c r="T40" s="24">
        <v>0.19513888888888883</v>
      </c>
      <c r="U40" s="365">
        <f>(S40-T39)*24*60</f>
        <v>24.99999999999995</v>
      </c>
      <c r="V40" s="374">
        <f t="shared" si="53"/>
        <v>68</v>
      </c>
      <c r="W40" s="365"/>
      <c r="X40" s="365"/>
      <c r="Y40" s="456"/>
      <c r="Z40" s="456"/>
      <c r="AA40" s="11">
        <f t="shared" si="2"/>
        <v>-225</v>
      </c>
      <c r="AB40" s="367">
        <f t="shared" ref="AB40:AB68" si="57">M40/J40</f>
        <v>0.90625</v>
      </c>
      <c r="AC40" s="470"/>
    </row>
    <row r="41" spans="1:29">
      <c r="A41" s="486" t="s">
        <v>1526</v>
      </c>
      <c r="B41" s="26" t="s">
        <v>24</v>
      </c>
      <c r="C41" s="487" t="s">
        <v>32</v>
      </c>
      <c r="D41" s="487"/>
      <c r="E41" s="26">
        <v>26.2</v>
      </c>
      <c r="F41" s="375">
        <v>3308</v>
      </c>
      <c r="G41" s="365">
        <f t="shared" si="49"/>
        <v>86669.599999999991</v>
      </c>
      <c r="H41" s="76" t="s">
        <v>57</v>
      </c>
      <c r="I41" s="373">
        <v>20</v>
      </c>
      <c r="J41" s="18">
        <v>2400</v>
      </c>
      <c r="K41" s="9">
        <f t="shared" si="54"/>
        <v>120</v>
      </c>
      <c r="L41" s="373">
        <v>20</v>
      </c>
      <c r="M41" s="10">
        <f t="shared" si="55"/>
        <v>2181.098901098901</v>
      </c>
      <c r="N41" s="9">
        <f t="shared" si="56"/>
        <v>109.05494505494505</v>
      </c>
      <c r="O41" s="11">
        <f t="shared" si="50"/>
        <v>0</v>
      </c>
      <c r="P41" s="12">
        <f t="shared" si="51"/>
        <v>-10.945054945054949</v>
      </c>
      <c r="Q41" s="367">
        <f t="shared" si="52"/>
        <v>0.90879120879120878</v>
      </c>
      <c r="R41" s="470"/>
      <c r="S41" s="24">
        <v>0.19930555555555551</v>
      </c>
      <c r="T41" s="24">
        <v>0.26249999999999996</v>
      </c>
      <c r="U41" s="365">
        <f t="shared" ref="U41:U46" si="58">(S41-T40)*24*60</f>
        <v>6.0000000000000187</v>
      </c>
      <c r="V41" s="374">
        <f t="shared" si="53"/>
        <v>91</v>
      </c>
      <c r="W41" s="365"/>
      <c r="X41" s="365"/>
      <c r="Y41" s="456"/>
      <c r="Z41" s="456"/>
      <c r="AA41" s="11">
        <f t="shared" si="2"/>
        <v>-218.90109890109898</v>
      </c>
      <c r="AB41" s="367">
        <f t="shared" si="57"/>
        <v>0.90879120879120878</v>
      </c>
      <c r="AC41" s="470"/>
    </row>
    <row r="42" spans="1:29">
      <c r="A42" s="486" t="s">
        <v>158</v>
      </c>
      <c r="B42" s="26" t="s">
        <v>24</v>
      </c>
      <c r="C42" s="487" t="s">
        <v>30</v>
      </c>
      <c r="D42" s="487"/>
      <c r="E42" s="26">
        <v>26.39</v>
      </c>
      <c r="F42" s="375">
        <v>3200</v>
      </c>
      <c r="G42" s="365">
        <f t="shared" si="49"/>
        <v>84448</v>
      </c>
      <c r="H42" s="76">
        <v>2</v>
      </c>
      <c r="I42" s="373">
        <v>19</v>
      </c>
      <c r="J42" s="18">
        <v>2400</v>
      </c>
      <c r="K42" s="9">
        <f t="shared" si="54"/>
        <v>126.31578947368421</v>
      </c>
      <c r="L42" s="373">
        <v>19</v>
      </c>
      <c r="M42" s="10">
        <f t="shared" si="55"/>
        <v>2181.818181818182</v>
      </c>
      <c r="N42" s="9">
        <f t="shared" si="56"/>
        <v>114.83253588516747</v>
      </c>
      <c r="O42" s="11">
        <f t="shared" si="50"/>
        <v>0</v>
      </c>
      <c r="P42" s="12">
        <f t="shared" si="51"/>
        <v>-11.483253588516732</v>
      </c>
      <c r="Q42" s="367">
        <f t="shared" si="52"/>
        <v>0.90909090909090917</v>
      </c>
      <c r="R42" s="470"/>
      <c r="S42" s="24">
        <v>0.26597222222222217</v>
      </c>
      <c r="T42" s="24">
        <v>0.32708333333333328</v>
      </c>
      <c r="U42" s="365">
        <f t="shared" si="58"/>
        <v>4.9999999999999822</v>
      </c>
      <c r="V42" s="374">
        <f t="shared" si="53"/>
        <v>88</v>
      </c>
      <c r="W42" s="14"/>
      <c r="X42" s="14"/>
      <c r="Y42" s="456"/>
      <c r="Z42" s="456"/>
      <c r="AA42" s="11">
        <f t="shared" si="2"/>
        <v>-218.18181818181802</v>
      </c>
      <c r="AB42" s="367">
        <f t="shared" si="57"/>
        <v>0.90909090909090917</v>
      </c>
      <c r="AC42" s="470"/>
    </row>
    <row r="43" spans="1:29">
      <c r="A43" s="486" t="s">
        <v>1527</v>
      </c>
      <c r="B43" s="26" t="s">
        <v>24</v>
      </c>
      <c r="C43" s="487" t="s">
        <v>27</v>
      </c>
      <c r="D43" s="487"/>
      <c r="E43" s="26">
        <v>20.52</v>
      </c>
      <c r="F43" s="375">
        <v>3256</v>
      </c>
      <c r="G43" s="365">
        <f t="shared" si="49"/>
        <v>66813.119999999995</v>
      </c>
      <c r="H43" s="76" t="s">
        <v>57</v>
      </c>
      <c r="I43" s="373">
        <v>18</v>
      </c>
      <c r="J43" s="18">
        <v>2400</v>
      </c>
      <c r="K43" s="9">
        <f t="shared" si="54"/>
        <v>133.33333333333334</v>
      </c>
      <c r="L43" s="373">
        <v>18</v>
      </c>
      <c r="M43" s="10">
        <f t="shared" si="55"/>
        <v>2195.0561797752812</v>
      </c>
      <c r="N43" s="9">
        <f t="shared" si="56"/>
        <v>121.94756554307118</v>
      </c>
      <c r="O43" s="11">
        <f t="shared" si="50"/>
        <v>0</v>
      </c>
      <c r="P43" s="12">
        <f t="shared" si="51"/>
        <v>-11.385767790262165</v>
      </c>
      <c r="Q43" s="367">
        <f t="shared" si="52"/>
        <v>0.91460674157303379</v>
      </c>
      <c r="R43" s="470"/>
      <c r="S43" s="24">
        <v>0.33194444444444438</v>
      </c>
      <c r="T43" s="24">
        <v>0.39374999999999993</v>
      </c>
      <c r="U43" s="365">
        <f t="shared" si="58"/>
        <v>6.9999999999999751</v>
      </c>
      <c r="V43" s="374">
        <f t="shared" si="53"/>
        <v>89</v>
      </c>
      <c r="W43" s="14"/>
      <c r="X43" s="14"/>
      <c r="Y43" s="456"/>
      <c r="Z43" s="456"/>
      <c r="AA43" s="11">
        <f t="shared" si="2"/>
        <v>-204.94382022471882</v>
      </c>
      <c r="AB43" s="367">
        <f t="shared" si="57"/>
        <v>0.91460674157303379</v>
      </c>
      <c r="AC43" s="470"/>
    </row>
    <row r="44" spans="1:29">
      <c r="A44" s="486" t="s">
        <v>1528</v>
      </c>
      <c r="B44" s="26" t="s">
        <v>24</v>
      </c>
      <c r="C44" s="487" t="s">
        <v>55</v>
      </c>
      <c r="D44" s="487"/>
      <c r="E44" s="26">
        <v>26.2</v>
      </c>
      <c r="F44" s="375">
        <v>4394</v>
      </c>
      <c r="G44" s="365">
        <f t="shared" si="49"/>
        <v>115122.8</v>
      </c>
      <c r="H44" s="76" t="s">
        <v>57</v>
      </c>
      <c r="I44" s="373">
        <v>19</v>
      </c>
      <c r="J44" s="18">
        <v>2400</v>
      </c>
      <c r="K44" s="9">
        <f t="shared" si="54"/>
        <v>126.31578947368421</v>
      </c>
      <c r="L44" s="373">
        <v>19</v>
      </c>
      <c r="M44" s="10">
        <f t="shared" si="55"/>
        <v>2178.8429752066122</v>
      </c>
      <c r="N44" s="9">
        <f t="shared" si="56"/>
        <v>114.6759460635059</v>
      </c>
      <c r="O44" s="11">
        <f t="shared" si="50"/>
        <v>0</v>
      </c>
      <c r="P44" s="12">
        <f t="shared" si="51"/>
        <v>-11.639843410178301</v>
      </c>
      <c r="Q44" s="367">
        <f t="shared" si="52"/>
        <v>0.90785123966942183</v>
      </c>
      <c r="R44" s="470"/>
      <c r="S44" s="24">
        <v>0.39722222222222214</v>
      </c>
      <c r="T44" s="24">
        <v>0.4812499999999999</v>
      </c>
      <c r="U44" s="365">
        <f t="shared" si="58"/>
        <v>4.9999999999999822</v>
      </c>
      <c r="V44" s="374">
        <f t="shared" si="53"/>
        <v>120.99999999999997</v>
      </c>
      <c r="W44" s="14"/>
      <c r="X44" s="14"/>
      <c r="Y44" s="456"/>
      <c r="Z44" s="456"/>
      <c r="AA44" s="11">
        <f t="shared" si="2"/>
        <v>-221.15702479338779</v>
      </c>
      <c r="AB44" s="367">
        <f t="shared" si="57"/>
        <v>0.90785123966942172</v>
      </c>
      <c r="AC44" s="470"/>
    </row>
    <row r="45" spans="1:29">
      <c r="A45" s="486" t="s">
        <v>158</v>
      </c>
      <c r="B45" s="26" t="s">
        <v>24</v>
      </c>
      <c r="C45" s="487" t="s">
        <v>29</v>
      </c>
      <c r="D45" s="487"/>
      <c r="E45" s="26">
        <v>26.2</v>
      </c>
      <c r="F45" s="375">
        <v>4179</v>
      </c>
      <c r="G45" s="365">
        <f t="shared" si="49"/>
        <v>109489.8</v>
      </c>
      <c r="H45" s="76" t="s">
        <v>57</v>
      </c>
      <c r="I45" s="373">
        <v>18</v>
      </c>
      <c r="J45" s="18">
        <v>2400</v>
      </c>
      <c r="K45" s="9">
        <f t="shared" si="54"/>
        <v>133.33333333333334</v>
      </c>
      <c r="L45" s="373">
        <v>18</v>
      </c>
      <c r="M45" s="10">
        <f t="shared" si="55"/>
        <v>2180.3478260869551</v>
      </c>
      <c r="N45" s="9">
        <f t="shared" si="56"/>
        <v>121.13043478260862</v>
      </c>
      <c r="O45" s="11">
        <f t="shared" si="50"/>
        <v>0</v>
      </c>
      <c r="P45" s="12">
        <f t="shared" si="51"/>
        <v>-12.202898550724726</v>
      </c>
      <c r="Q45" s="367">
        <f t="shared" si="52"/>
        <v>0.90847826086956451</v>
      </c>
      <c r="R45" s="470"/>
      <c r="S45" s="24">
        <v>0.52083333333333315</v>
      </c>
      <c r="T45" s="24">
        <v>0.60069444444444431</v>
      </c>
      <c r="U45" s="365">
        <f t="shared" si="58"/>
        <v>56.999999999999879</v>
      </c>
      <c r="V45" s="374">
        <f t="shared" si="53"/>
        <v>115.00000000000007</v>
      </c>
      <c r="W45" s="14"/>
      <c r="X45" s="14"/>
      <c r="Y45" s="473"/>
      <c r="Z45" s="474"/>
      <c r="AA45" s="11">
        <f t="shared" si="2"/>
        <v>-219.65217391304486</v>
      </c>
      <c r="AB45" s="367">
        <f t="shared" si="57"/>
        <v>0.90847826086956462</v>
      </c>
      <c r="AC45" s="470"/>
    </row>
    <row r="46" spans="1:29">
      <c r="A46" s="486" t="s">
        <v>1527</v>
      </c>
      <c r="B46" s="26" t="s">
        <v>24</v>
      </c>
      <c r="C46" s="487" t="s">
        <v>30</v>
      </c>
      <c r="D46" s="487"/>
      <c r="E46" s="26">
        <v>26.39</v>
      </c>
      <c r="F46" s="375">
        <v>2356</v>
      </c>
      <c r="G46" s="365">
        <f t="shared" si="49"/>
        <v>62174.840000000004</v>
      </c>
      <c r="H46" s="76" t="s">
        <v>57</v>
      </c>
      <c r="I46" s="373">
        <v>19</v>
      </c>
      <c r="J46" s="18">
        <v>2400</v>
      </c>
      <c r="K46" s="9">
        <f t="shared" si="54"/>
        <v>126.31578947368421</v>
      </c>
      <c r="L46" s="373">
        <v>19</v>
      </c>
      <c r="M46" s="10">
        <f t="shared" si="55"/>
        <v>2174.7692307692332</v>
      </c>
      <c r="N46" s="9">
        <f t="shared" si="56"/>
        <v>114.46153846153859</v>
      </c>
      <c r="O46" s="11">
        <f t="shared" si="50"/>
        <v>0</v>
      </c>
      <c r="P46" s="12">
        <f t="shared" si="51"/>
        <v>-11.85425101214561</v>
      </c>
      <c r="Q46" s="367">
        <f t="shared" si="52"/>
        <v>0.9061538461538472</v>
      </c>
      <c r="R46" s="470"/>
      <c r="S46" s="24">
        <v>0.60486111111111096</v>
      </c>
      <c r="T46" s="24">
        <v>0.6499999999999998</v>
      </c>
      <c r="U46" s="365">
        <f t="shared" si="58"/>
        <v>5.9999999999999787</v>
      </c>
      <c r="V46" s="374">
        <f t="shared" si="53"/>
        <v>64.999999999999929</v>
      </c>
      <c r="W46" s="14"/>
      <c r="X46" s="14"/>
      <c r="Y46" s="473"/>
      <c r="Z46" s="474"/>
      <c r="AA46" s="11">
        <f t="shared" si="2"/>
        <v>-225.23076923076678</v>
      </c>
      <c r="AB46" s="367">
        <f t="shared" si="57"/>
        <v>0.9061538461538472</v>
      </c>
      <c r="AC46" s="470"/>
    </row>
    <row r="47" spans="1:29">
      <c r="A47" s="486" t="s">
        <v>158</v>
      </c>
      <c r="B47" s="16" t="s">
        <v>81</v>
      </c>
      <c r="C47" s="466"/>
      <c r="D47" s="466"/>
      <c r="E47" s="366"/>
      <c r="F47" s="16"/>
      <c r="G47" s="9"/>
      <c r="H47" s="375"/>
      <c r="I47" s="17">
        <v>18.875</v>
      </c>
      <c r="J47" s="18">
        <v>2400</v>
      </c>
      <c r="K47" s="9">
        <f t="shared" si="54"/>
        <v>127.1523178807947</v>
      </c>
      <c r="L47" s="17">
        <v>18.875</v>
      </c>
      <c r="M47" s="10">
        <f>AVERAGE(M39:M46)</f>
        <v>2184.1019559620431</v>
      </c>
      <c r="N47" s="9">
        <f>M47/L47</f>
        <v>115.71401091189632</v>
      </c>
      <c r="O47" s="11">
        <f>L47-I47</f>
        <v>0</v>
      </c>
      <c r="P47" s="12">
        <f t="shared" si="51"/>
        <v>-11.438306968898374</v>
      </c>
      <c r="Q47" s="367">
        <f t="shared" si="52"/>
        <v>0.91004248165085133</v>
      </c>
      <c r="R47" s="470"/>
      <c r="S47" s="24"/>
      <c r="T47" s="24"/>
      <c r="U47" s="9"/>
      <c r="V47" s="374"/>
      <c r="W47" s="9"/>
      <c r="X47" s="9"/>
      <c r="Y47" s="456"/>
      <c r="Z47" s="456"/>
      <c r="AA47" s="11">
        <f t="shared" si="2"/>
        <v>-215.89804403795688</v>
      </c>
      <c r="AB47" s="367">
        <f t="shared" si="57"/>
        <v>0.91004248165085133</v>
      </c>
      <c r="AC47" s="470"/>
    </row>
    <row r="48" spans="1:29" ht="15.75" customHeight="1">
      <c r="A48" s="488" t="s">
        <v>244</v>
      </c>
      <c r="B48" s="26" t="s">
        <v>33</v>
      </c>
      <c r="C48" s="491" t="s">
        <v>34</v>
      </c>
      <c r="D48" s="492"/>
      <c r="E48" s="26">
        <v>27.17</v>
      </c>
      <c r="F48" s="375">
        <v>2800</v>
      </c>
      <c r="G48" s="365">
        <f t="shared" ref="G48:G55" si="59">E48*F48</f>
        <v>76076</v>
      </c>
      <c r="H48" s="76">
        <v>2</v>
      </c>
      <c r="I48" s="373">
        <v>10</v>
      </c>
      <c r="J48" s="18">
        <v>3000</v>
      </c>
      <c r="K48" s="9">
        <f t="shared" si="54"/>
        <v>300</v>
      </c>
      <c r="L48" s="373">
        <v>10</v>
      </c>
      <c r="M48" s="10">
        <f t="shared" ref="M48:M49" si="60">F48/V48*60</f>
        <v>2754.0983606557384</v>
      </c>
      <c r="N48" s="10">
        <f t="shared" ref="N48:N56" si="61">M48/L48</f>
        <v>275.40983606557381</v>
      </c>
      <c r="O48" s="11">
        <f t="shared" ref="O48:O56" si="62">L48-I48</f>
        <v>0</v>
      </c>
      <c r="P48" s="12">
        <f t="shared" si="51"/>
        <v>-24.590163934426187</v>
      </c>
      <c r="Q48" s="367">
        <f t="shared" si="52"/>
        <v>0.91803278688524603</v>
      </c>
      <c r="R48" s="493">
        <f>Q56</f>
        <v>0.9118365609095167</v>
      </c>
      <c r="S48" s="24">
        <v>0.20833333333333334</v>
      </c>
      <c r="T48" s="24">
        <v>0.25069444444444444</v>
      </c>
      <c r="U48" s="15"/>
      <c r="V48" s="374">
        <f t="shared" ref="V48:V55" si="63">(T48-S48)*24*60</f>
        <v>60.999999999999986</v>
      </c>
      <c r="W48" s="365"/>
      <c r="X48" s="365"/>
      <c r="Y48" s="473"/>
      <c r="Z48" s="474"/>
      <c r="AA48" s="11">
        <f t="shared" si="2"/>
        <v>-245.90163934426164</v>
      </c>
      <c r="AB48" s="367">
        <f t="shared" si="57"/>
        <v>0.91803278688524614</v>
      </c>
      <c r="AC48" s="493">
        <f>AB56</f>
        <v>0.9118365609095167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375">
        <v>3000</v>
      </c>
      <c r="G49" s="365">
        <f t="shared" si="59"/>
        <v>63390</v>
      </c>
      <c r="H49" s="76">
        <v>2</v>
      </c>
      <c r="I49" s="373">
        <v>10</v>
      </c>
      <c r="J49" s="18">
        <v>3000</v>
      </c>
      <c r="K49" s="9">
        <f t="shared" si="54"/>
        <v>300</v>
      </c>
      <c r="L49" s="373">
        <v>10</v>
      </c>
      <c r="M49" s="10">
        <f t="shared" si="60"/>
        <v>2727.272727272727</v>
      </c>
      <c r="N49" s="10">
        <f t="shared" si="61"/>
        <v>272.72727272727269</v>
      </c>
      <c r="O49" s="11">
        <f t="shared" si="62"/>
        <v>0</v>
      </c>
      <c r="P49" s="12">
        <f t="shared" si="51"/>
        <v>-27.272727272727309</v>
      </c>
      <c r="Q49" s="367">
        <f t="shared" si="52"/>
        <v>0.90909090909090895</v>
      </c>
      <c r="R49" s="494"/>
      <c r="S49" s="24">
        <v>0.25555555555555554</v>
      </c>
      <c r="T49" s="24">
        <v>0.30138888888888887</v>
      </c>
      <c r="U49" s="365">
        <f>(S49-T48)*24*60</f>
        <v>6.9999999999999751</v>
      </c>
      <c r="V49" s="374">
        <f t="shared" si="63"/>
        <v>66</v>
      </c>
      <c r="W49" s="14"/>
      <c r="X49" s="14"/>
      <c r="Y49" s="473"/>
      <c r="Z49" s="474"/>
      <c r="AA49" s="11">
        <f t="shared" si="2"/>
        <v>-272.72727272727298</v>
      </c>
      <c r="AB49" s="367">
        <f t="shared" si="57"/>
        <v>0.90909090909090906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375">
        <v>4731</v>
      </c>
      <c r="G50" s="365">
        <f t="shared" si="59"/>
        <v>166152.72</v>
      </c>
      <c r="H50" s="76" t="s">
        <v>57</v>
      </c>
      <c r="I50" s="373">
        <v>10</v>
      </c>
      <c r="J50" s="18">
        <v>3000</v>
      </c>
      <c r="K50" s="9">
        <f t="shared" si="54"/>
        <v>300</v>
      </c>
      <c r="L50" s="373">
        <v>10</v>
      </c>
      <c r="M50" s="10">
        <f>F50/V50*60</f>
        <v>2729.4230769230762</v>
      </c>
      <c r="N50" s="10">
        <f t="shared" si="61"/>
        <v>272.94230769230762</v>
      </c>
      <c r="O50" s="11">
        <f t="shared" si="62"/>
        <v>0</v>
      </c>
      <c r="P50" s="12">
        <f t="shared" si="51"/>
        <v>-27.057692307692378</v>
      </c>
      <c r="Q50" s="367">
        <f t="shared" si="52"/>
        <v>0.9098076923076921</v>
      </c>
      <c r="R50" s="494"/>
      <c r="S50" s="24">
        <v>0.30555555555555552</v>
      </c>
      <c r="T50" s="24">
        <v>0.37777777777777777</v>
      </c>
      <c r="U50" s="365">
        <f t="shared" ref="U50:U55" si="64">(S50-T49)*24*60</f>
        <v>5.9999999999999787</v>
      </c>
      <c r="V50" s="374">
        <f t="shared" si="63"/>
        <v>104.00000000000003</v>
      </c>
      <c r="W50" s="14"/>
      <c r="X50" s="14"/>
      <c r="Y50" s="473"/>
      <c r="Z50" s="474"/>
      <c r="AA50" s="11">
        <f t="shared" si="2"/>
        <v>-270.57692307692378</v>
      </c>
      <c r="AB50" s="367">
        <f t="shared" si="57"/>
        <v>0.9098076923076921</v>
      </c>
      <c r="AC50" s="494"/>
    </row>
    <row r="51" spans="1:29" ht="15.75" customHeight="1">
      <c r="A51" s="489" t="s">
        <v>9</v>
      </c>
      <c r="B51" s="26" t="s">
        <v>33</v>
      </c>
      <c r="C51" s="491" t="s">
        <v>67</v>
      </c>
      <c r="D51" s="492"/>
      <c r="E51" s="26">
        <v>40.18</v>
      </c>
      <c r="F51" s="375">
        <v>2456</v>
      </c>
      <c r="G51" s="365">
        <f t="shared" si="59"/>
        <v>98682.08</v>
      </c>
      <c r="H51" s="76" t="s">
        <v>57</v>
      </c>
      <c r="I51" s="373">
        <v>10</v>
      </c>
      <c r="J51" s="18">
        <v>3000</v>
      </c>
      <c r="K51" s="9">
        <f t="shared" si="54"/>
        <v>300</v>
      </c>
      <c r="L51" s="373">
        <v>10</v>
      </c>
      <c r="M51" s="10">
        <f t="shared" ref="M51:M55" si="65">F51/V51*60</f>
        <v>2728.8888888888901</v>
      </c>
      <c r="N51" s="10">
        <f t="shared" si="61"/>
        <v>272.88888888888903</v>
      </c>
      <c r="O51" s="11">
        <f t="shared" si="62"/>
        <v>0</v>
      </c>
      <c r="P51" s="12">
        <f t="shared" si="51"/>
        <v>-27.111111111110972</v>
      </c>
      <c r="Q51" s="367">
        <f t="shared" si="52"/>
        <v>0.90962962962963012</v>
      </c>
      <c r="R51" s="494"/>
      <c r="S51" s="24">
        <v>0.38194444444444442</v>
      </c>
      <c r="T51" s="24">
        <v>0.4194444444444444</v>
      </c>
      <c r="U51" s="365">
        <f t="shared" si="64"/>
        <v>5.9999999999999787</v>
      </c>
      <c r="V51" s="374">
        <f t="shared" si="63"/>
        <v>53.999999999999972</v>
      </c>
      <c r="W51" s="14"/>
      <c r="X51" s="14"/>
      <c r="Y51" s="473"/>
      <c r="Z51" s="474"/>
      <c r="AA51" s="11">
        <f t="shared" si="2"/>
        <v>-271.11111111110995</v>
      </c>
      <c r="AB51" s="367">
        <f t="shared" si="57"/>
        <v>0.90962962962963001</v>
      </c>
      <c r="AC51" s="494"/>
    </row>
    <row r="52" spans="1:29" ht="15.75" customHeight="1">
      <c r="A52" s="489" t="s">
        <v>9</v>
      </c>
      <c r="B52" s="26" t="s">
        <v>33</v>
      </c>
      <c r="C52" s="491" t="s">
        <v>73</v>
      </c>
      <c r="D52" s="492"/>
      <c r="E52" s="26">
        <v>28.5</v>
      </c>
      <c r="F52" s="375">
        <v>1544</v>
      </c>
      <c r="G52" s="365">
        <f t="shared" si="59"/>
        <v>44004</v>
      </c>
      <c r="H52" s="76" t="s">
        <v>57</v>
      </c>
      <c r="I52" s="373">
        <v>10</v>
      </c>
      <c r="J52" s="18">
        <v>3000</v>
      </c>
      <c r="K52" s="9">
        <f t="shared" si="54"/>
        <v>300</v>
      </c>
      <c r="L52" s="373">
        <v>10</v>
      </c>
      <c r="M52" s="10">
        <f t="shared" si="65"/>
        <v>2724.7058823529378</v>
      </c>
      <c r="N52" s="10">
        <f t="shared" si="61"/>
        <v>272.4705882352938</v>
      </c>
      <c r="O52" s="11">
        <f t="shared" si="62"/>
        <v>0</v>
      </c>
      <c r="P52" s="12">
        <f t="shared" si="51"/>
        <v>-27.529411764706197</v>
      </c>
      <c r="Q52" s="367">
        <f>N52/K52</f>
        <v>0.90823529411764603</v>
      </c>
      <c r="R52" s="494"/>
      <c r="S52" s="24">
        <v>0.42499999999999993</v>
      </c>
      <c r="T52" s="24">
        <v>0.44861111111111107</v>
      </c>
      <c r="U52" s="365">
        <f t="shared" si="64"/>
        <v>7.9999999999999716</v>
      </c>
      <c r="V52" s="374">
        <f t="shared" si="63"/>
        <v>34.000000000000043</v>
      </c>
      <c r="W52" s="14"/>
      <c r="X52" s="14"/>
      <c r="Y52" s="473"/>
      <c r="Z52" s="474"/>
      <c r="AA52" s="11">
        <f t="shared" si="2"/>
        <v>-275.29411764706219</v>
      </c>
      <c r="AB52" s="367">
        <f t="shared" si="57"/>
        <v>0.90823529411764592</v>
      </c>
      <c r="AC52" s="494"/>
    </row>
    <row r="53" spans="1:29" ht="15.75" customHeight="1">
      <c r="A53" s="489" t="s">
        <v>9</v>
      </c>
      <c r="B53" s="26" t="s">
        <v>33</v>
      </c>
      <c r="C53" s="491" t="s">
        <v>511</v>
      </c>
      <c r="D53" s="492"/>
      <c r="E53" s="26">
        <v>35.869999999999997</v>
      </c>
      <c r="F53" s="375">
        <v>3696</v>
      </c>
      <c r="G53" s="365">
        <f t="shared" si="59"/>
        <v>132575.51999999999</v>
      </c>
      <c r="H53" s="76" t="s">
        <v>57</v>
      </c>
      <c r="I53" s="373">
        <v>10</v>
      </c>
      <c r="J53" s="18">
        <v>3000</v>
      </c>
      <c r="K53" s="9">
        <f t="shared" si="54"/>
        <v>300</v>
      </c>
      <c r="L53" s="373">
        <v>10</v>
      </c>
      <c r="M53" s="10">
        <f t="shared" si="65"/>
        <v>2737.7777777777769</v>
      </c>
      <c r="N53" s="10">
        <f t="shared" si="61"/>
        <v>273.77777777777771</v>
      </c>
      <c r="O53" s="11">
        <f t="shared" si="62"/>
        <v>0</v>
      </c>
      <c r="P53" s="12">
        <f t="shared" si="51"/>
        <v>-26.222222222222285</v>
      </c>
      <c r="Q53" s="367">
        <f t="shared" ref="Q53:Q56" si="66">N53/K53</f>
        <v>0.9125925925925924</v>
      </c>
      <c r="R53" s="494"/>
      <c r="S53" s="24">
        <v>0.45347222222222217</v>
      </c>
      <c r="T53" s="24">
        <v>0.50972222222222219</v>
      </c>
      <c r="U53" s="365">
        <f t="shared" si="64"/>
        <v>6.9999999999999751</v>
      </c>
      <c r="V53" s="374">
        <f t="shared" si="63"/>
        <v>81.000000000000028</v>
      </c>
      <c r="W53" s="14"/>
      <c r="X53" s="14"/>
      <c r="Y53" s="473"/>
      <c r="Z53" s="474"/>
      <c r="AA53" s="11">
        <f t="shared" si="2"/>
        <v>-262.22222222222308</v>
      </c>
      <c r="AB53" s="367">
        <f t="shared" si="57"/>
        <v>0.91259259259259229</v>
      </c>
      <c r="AC53" s="494"/>
    </row>
    <row r="54" spans="1:29" ht="15.75" customHeight="1">
      <c r="A54" s="489" t="s">
        <v>9</v>
      </c>
      <c r="B54" s="26" t="s">
        <v>33</v>
      </c>
      <c r="C54" s="491" t="s">
        <v>34</v>
      </c>
      <c r="D54" s="492"/>
      <c r="E54" s="26">
        <v>27.17</v>
      </c>
      <c r="F54" s="375">
        <v>3388</v>
      </c>
      <c r="G54" s="365">
        <f t="shared" si="59"/>
        <v>92051.96</v>
      </c>
      <c r="H54" s="76" t="s">
        <v>57</v>
      </c>
      <c r="I54" s="373">
        <v>10</v>
      </c>
      <c r="J54" s="18">
        <v>3000</v>
      </c>
      <c r="K54" s="9">
        <f t="shared" si="54"/>
        <v>300</v>
      </c>
      <c r="L54" s="373">
        <v>10</v>
      </c>
      <c r="M54" s="10">
        <f t="shared" si="65"/>
        <v>2747.0270270270248</v>
      </c>
      <c r="N54" s="10">
        <f t="shared" si="61"/>
        <v>274.70270270270248</v>
      </c>
      <c r="O54" s="11">
        <f t="shared" si="62"/>
        <v>0</v>
      </c>
      <c r="P54" s="12">
        <f t="shared" si="51"/>
        <v>-25.297297297297519</v>
      </c>
      <c r="Q54" s="367">
        <f t="shared" si="66"/>
        <v>0.91567567567567498</v>
      </c>
      <c r="R54" s="494"/>
      <c r="S54" s="24">
        <v>0.54930555555555549</v>
      </c>
      <c r="T54" s="24">
        <v>0.60069444444444442</v>
      </c>
      <c r="U54" s="365">
        <f t="shared" si="64"/>
        <v>56.999999999999957</v>
      </c>
      <c r="V54" s="374">
        <f t="shared" si="63"/>
        <v>74.000000000000057</v>
      </c>
      <c r="W54" s="14"/>
      <c r="X54" s="14"/>
      <c r="Y54" s="473"/>
      <c r="Z54" s="474"/>
      <c r="AA54" s="11">
        <f t="shared" si="2"/>
        <v>-252.97297297297519</v>
      </c>
      <c r="AB54" s="367">
        <f t="shared" si="57"/>
        <v>0.91567567567567498</v>
      </c>
      <c r="AC54" s="494"/>
    </row>
    <row r="55" spans="1:29" ht="15.75" customHeight="1">
      <c r="A55" s="489" t="s">
        <v>9</v>
      </c>
      <c r="B55" s="26" t="s">
        <v>33</v>
      </c>
      <c r="C55" s="491" t="s">
        <v>35</v>
      </c>
      <c r="D55" s="492"/>
      <c r="E55" s="26">
        <v>21.13</v>
      </c>
      <c r="F55" s="375">
        <v>1960</v>
      </c>
      <c r="G55" s="365">
        <f t="shared" si="59"/>
        <v>41414.799999999996</v>
      </c>
      <c r="H55" s="76" t="s">
        <v>57</v>
      </c>
      <c r="I55" s="373">
        <v>10</v>
      </c>
      <c r="J55" s="18">
        <v>3000</v>
      </c>
      <c r="K55" s="9">
        <f t="shared" si="54"/>
        <v>300</v>
      </c>
      <c r="L55" s="373">
        <v>10</v>
      </c>
      <c r="M55" s="10">
        <f t="shared" si="65"/>
        <v>2734.8837209302324</v>
      </c>
      <c r="N55" s="10">
        <f t="shared" si="61"/>
        <v>273.48837209302326</v>
      </c>
      <c r="O55" s="11">
        <f t="shared" si="62"/>
        <v>0</v>
      </c>
      <c r="P55" s="12">
        <f t="shared" si="51"/>
        <v>-26.511627906976742</v>
      </c>
      <c r="Q55" s="367">
        <f t="shared" si="66"/>
        <v>0.91162790697674423</v>
      </c>
      <c r="R55" s="494"/>
      <c r="S55" s="24">
        <v>0.60624999999999996</v>
      </c>
      <c r="T55" s="24">
        <v>0.63611111111111107</v>
      </c>
      <c r="U55" s="365">
        <f t="shared" si="64"/>
        <v>7.9999999999999716</v>
      </c>
      <c r="V55" s="374">
        <f t="shared" si="63"/>
        <v>43.000000000000007</v>
      </c>
      <c r="W55" s="14"/>
      <c r="X55" s="14"/>
      <c r="Y55" s="473"/>
      <c r="Z55" s="474"/>
      <c r="AA55" s="11">
        <f t="shared" si="2"/>
        <v>-265.11627906976764</v>
      </c>
      <c r="AB55" s="367">
        <f t="shared" si="57"/>
        <v>0.91162790697674412</v>
      </c>
      <c r="AC55" s="494"/>
    </row>
    <row r="56" spans="1:29" ht="15.75" customHeight="1">
      <c r="A56" s="490" t="s">
        <v>9</v>
      </c>
      <c r="B56" s="26" t="s">
        <v>81</v>
      </c>
      <c r="C56" s="497"/>
      <c r="D56" s="498"/>
      <c r="E56" s="372"/>
      <c r="F56" s="375"/>
      <c r="G56" s="365"/>
      <c r="H56" s="375"/>
      <c r="I56" s="17">
        <v>10</v>
      </c>
      <c r="J56" s="18">
        <v>3000</v>
      </c>
      <c r="K56" s="9">
        <f>J56/I56</f>
        <v>300</v>
      </c>
      <c r="L56" s="17">
        <v>10</v>
      </c>
      <c r="M56" s="10">
        <f>AVERAGE(M48:M55)</f>
        <v>2735.5096827285502</v>
      </c>
      <c r="N56" s="9">
        <f t="shared" si="61"/>
        <v>273.55096827285502</v>
      </c>
      <c r="O56" s="11">
        <f t="shared" si="62"/>
        <v>0</v>
      </c>
      <c r="P56" s="12">
        <f t="shared" si="51"/>
        <v>-26.449031727144984</v>
      </c>
      <c r="Q56" s="367">
        <f t="shared" si="66"/>
        <v>0.9118365609095167</v>
      </c>
      <c r="R56" s="495"/>
      <c r="S56" s="24"/>
      <c r="T56" s="24"/>
      <c r="U56" s="365"/>
      <c r="V56" s="374"/>
      <c r="W56" s="14"/>
      <c r="X56" s="14"/>
      <c r="Y56" s="473"/>
      <c r="Z56" s="474"/>
      <c r="AA56" s="11">
        <f t="shared" si="2"/>
        <v>-264.49031727144984</v>
      </c>
      <c r="AB56" s="367">
        <f t="shared" si="57"/>
        <v>0.9118365609095167</v>
      </c>
      <c r="AC56" s="495"/>
    </row>
    <row r="57" spans="1:29" ht="15.75" customHeight="1">
      <c r="A57" s="461" t="s">
        <v>1529</v>
      </c>
      <c r="B57" s="26" t="s">
        <v>15</v>
      </c>
      <c r="C57" s="487" t="s">
        <v>20</v>
      </c>
      <c r="D57" s="487"/>
      <c r="E57" s="26">
        <v>46</v>
      </c>
      <c r="F57" s="27">
        <v>3217</v>
      </c>
      <c r="G57" s="365">
        <f t="shared" ref="G57:G60" si="67">E57*F57</f>
        <v>147982</v>
      </c>
      <c r="H57" s="76" t="s">
        <v>57</v>
      </c>
      <c r="I57" s="373">
        <v>17</v>
      </c>
      <c r="J57" s="18">
        <v>1500</v>
      </c>
      <c r="K57" s="9">
        <f t="shared" ref="K57:K60" si="68">J57/I57</f>
        <v>88.235294117647058</v>
      </c>
      <c r="L57" s="373">
        <v>17</v>
      </c>
      <c r="M57" s="10">
        <f t="shared" ref="M57:M60" si="69">F57/V57*60</f>
        <v>1359.2957746478876</v>
      </c>
      <c r="N57" s="10">
        <f>M57/L57</f>
        <v>79.958574979287505</v>
      </c>
      <c r="O57" s="11">
        <f>L57-I57</f>
        <v>0</v>
      </c>
      <c r="P57" s="12">
        <f>N57-K57</f>
        <v>-8.2767191383595531</v>
      </c>
      <c r="Q57" s="367">
        <f>N57/K57</f>
        <v>0.90619718309859176</v>
      </c>
      <c r="R57" s="470">
        <f>Q61</f>
        <v>0.91150782713239642</v>
      </c>
      <c r="S57" s="24">
        <v>0.29166666666666669</v>
      </c>
      <c r="T57" s="24">
        <v>0.39027777777777778</v>
      </c>
      <c r="U57" s="15"/>
      <c r="V57" s="374">
        <f t="shared" ref="V57:V60" si="70">(T57-S57)*24*60</f>
        <v>141.99999999999997</v>
      </c>
      <c r="W57" s="15"/>
      <c r="X57" s="15"/>
      <c r="Y57" s="456"/>
      <c r="Z57" s="456"/>
      <c r="AA57" s="11">
        <f t="shared" si="2"/>
        <v>-140.70422535211242</v>
      </c>
      <c r="AB57" s="367">
        <f t="shared" si="57"/>
        <v>0.90619718309859176</v>
      </c>
      <c r="AC57" s="470">
        <f>AB61</f>
        <v>0.91150782713239642</v>
      </c>
    </row>
    <row r="58" spans="1:29" ht="15.75" customHeight="1">
      <c r="A58" s="461" t="s">
        <v>10</v>
      </c>
      <c r="B58" s="26" t="s">
        <v>15</v>
      </c>
      <c r="C58" s="487" t="s">
        <v>75</v>
      </c>
      <c r="D58" s="487"/>
      <c r="E58" s="26">
        <v>46</v>
      </c>
      <c r="F58" s="27">
        <v>3820</v>
      </c>
      <c r="G58" s="365">
        <f t="shared" si="67"/>
        <v>175720</v>
      </c>
      <c r="H58" s="76" t="s">
        <v>57</v>
      </c>
      <c r="I58" s="373">
        <v>18</v>
      </c>
      <c r="J58" s="18">
        <v>1500</v>
      </c>
      <c r="K58" s="9">
        <f t="shared" si="68"/>
        <v>83.333333333333329</v>
      </c>
      <c r="L58" s="373">
        <v>18</v>
      </c>
      <c r="M58" s="10">
        <f t="shared" si="69"/>
        <v>1364.2857142857144</v>
      </c>
      <c r="N58" s="10">
        <f t="shared" ref="N58:N60" si="71">M58/L58</f>
        <v>75.793650793650798</v>
      </c>
      <c r="O58" s="11">
        <f t="shared" ref="O58:O60" si="72">L58-I58</f>
        <v>0</v>
      </c>
      <c r="P58" s="12">
        <f t="shared" ref="P58:P60" si="73">N58-K58</f>
        <v>-7.5396825396825307</v>
      </c>
      <c r="Q58" s="367">
        <f t="shared" ref="Q58:Q60" si="74">N58/K58</f>
        <v>0.90952380952380962</v>
      </c>
      <c r="R58" s="470"/>
      <c r="S58" s="24">
        <v>0.39374999999999999</v>
      </c>
      <c r="T58" s="24">
        <v>0.51041666666666663</v>
      </c>
      <c r="U58" s="365">
        <f t="shared" ref="U58:U60" si="75">(S58-T57)*24*60</f>
        <v>4.9999999999999822</v>
      </c>
      <c r="V58" s="374">
        <f t="shared" si="70"/>
        <v>167.99999999999997</v>
      </c>
      <c r="W58" s="14"/>
      <c r="X58" s="14"/>
      <c r="Y58" s="456"/>
      <c r="Z58" s="456"/>
      <c r="AA58" s="11">
        <f t="shared" si="2"/>
        <v>-135.71428571428555</v>
      </c>
      <c r="AB58" s="367">
        <f t="shared" si="57"/>
        <v>0.90952380952380962</v>
      </c>
      <c r="AC58" s="470"/>
    </row>
    <row r="59" spans="1:29" ht="15.75" customHeight="1">
      <c r="A59" s="461" t="s">
        <v>10</v>
      </c>
      <c r="B59" s="26" t="s">
        <v>13</v>
      </c>
      <c r="C59" s="491" t="s">
        <v>65</v>
      </c>
      <c r="D59" s="492"/>
      <c r="E59" s="26">
        <v>55.56</v>
      </c>
      <c r="F59" s="27">
        <v>2241</v>
      </c>
      <c r="G59" s="365">
        <f t="shared" si="67"/>
        <v>124509.96</v>
      </c>
      <c r="H59" s="76" t="s">
        <v>57</v>
      </c>
      <c r="I59" s="373">
        <v>17</v>
      </c>
      <c r="J59" s="18">
        <v>1500</v>
      </c>
      <c r="K59" s="9">
        <f t="shared" si="68"/>
        <v>88.235294117647058</v>
      </c>
      <c r="L59" s="373">
        <v>17</v>
      </c>
      <c r="M59" s="10">
        <f t="shared" si="69"/>
        <v>1372.0408163265308</v>
      </c>
      <c r="N59" s="10">
        <f t="shared" si="71"/>
        <v>80.708283313325339</v>
      </c>
      <c r="O59" s="11">
        <f t="shared" si="72"/>
        <v>0</v>
      </c>
      <c r="P59" s="12">
        <f t="shared" si="73"/>
        <v>-7.5270108043217192</v>
      </c>
      <c r="Q59" s="367">
        <f t="shared" si="74"/>
        <v>0.9146938775510205</v>
      </c>
      <c r="R59" s="470"/>
      <c r="S59" s="24">
        <v>0.70833333333333337</v>
      </c>
      <c r="T59" s="24">
        <v>0.77638888888888891</v>
      </c>
      <c r="U59" s="365">
        <f t="shared" si="75"/>
        <v>285.00000000000011</v>
      </c>
      <c r="V59" s="374">
        <f t="shared" si="70"/>
        <v>97.999999999999972</v>
      </c>
      <c r="W59" s="14"/>
      <c r="X59" s="14"/>
      <c r="Y59" s="370"/>
      <c r="Z59" s="371"/>
      <c r="AA59" s="11">
        <f t="shared" si="2"/>
        <v>-127.95918367346917</v>
      </c>
      <c r="AB59" s="367">
        <f t="shared" si="57"/>
        <v>0.91469387755102061</v>
      </c>
      <c r="AC59" s="470"/>
    </row>
    <row r="60" spans="1:29" ht="15.75" customHeight="1">
      <c r="A60" s="461" t="s">
        <v>10</v>
      </c>
      <c r="B60" s="26" t="s">
        <v>13</v>
      </c>
      <c r="C60" s="368" t="s">
        <v>64</v>
      </c>
      <c r="D60" s="369"/>
      <c r="E60" s="26">
        <v>55.32</v>
      </c>
      <c r="F60" s="27">
        <v>1671</v>
      </c>
      <c r="G60" s="365">
        <f t="shared" si="67"/>
        <v>92439.72</v>
      </c>
      <c r="H60" s="76" t="s">
        <v>57</v>
      </c>
      <c r="I60" s="373">
        <v>15</v>
      </c>
      <c r="J60" s="18">
        <v>1500</v>
      </c>
      <c r="K60" s="9">
        <f t="shared" si="68"/>
        <v>100</v>
      </c>
      <c r="L60" s="373">
        <v>15</v>
      </c>
      <c r="M60" s="10">
        <f t="shared" si="69"/>
        <v>1373.4246575342454</v>
      </c>
      <c r="N60" s="10">
        <f t="shared" si="71"/>
        <v>91.561643835616366</v>
      </c>
      <c r="O60" s="11">
        <f t="shared" si="72"/>
        <v>0</v>
      </c>
      <c r="P60" s="12">
        <f t="shared" si="73"/>
        <v>-8.4383561643836345</v>
      </c>
      <c r="Q60" s="367">
        <f t="shared" si="74"/>
        <v>0.91561643835616369</v>
      </c>
      <c r="R60" s="470"/>
      <c r="S60" s="24">
        <v>0.78125</v>
      </c>
      <c r="T60" s="24">
        <v>0.83194444444444449</v>
      </c>
      <c r="U60" s="365">
        <f t="shared" si="75"/>
        <v>6.9999999999999751</v>
      </c>
      <c r="V60" s="374">
        <f t="shared" si="70"/>
        <v>73.000000000000057</v>
      </c>
      <c r="W60" s="14"/>
      <c r="X60" s="14"/>
      <c r="Y60" s="370"/>
      <c r="Z60" s="371"/>
      <c r="AA60" s="11">
        <f t="shared" si="2"/>
        <v>-126.5753424657546</v>
      </c>
      <c r="AB60" s="367">
        <f t="shared" si="57"/>
        <v>0.91561643835616358</v>
      </c>
      <c r="AC60" s="470"/>
    </row>
    <row r="61" spans="1:29">
      <c r="A61" s="496" t="s">
        <v>10</v>
      </c>
      <c r="B61" s="26" t="s">
        <v>81</v>
      </c>
      <c r="C61" s="466"/>
      <c r="D61" s="466"/>
      <c r="E61" s="366"/>
      <c r="F61" s="16"/>
      <c r="G61" s="9"/>
      <c r="H61" s="375"/>
      <c r="I61" s="17">
        <v>16.75</v>
      </c>
      <c r="J61" s="18">
        <v>1500</v>
      </c>
      <c r="K61" s="9">
        <f>J61/I61</f>
        <v>89.552238805970148</v>
      </c>
      <c r="L61" s="17">
        <v>16.75</v>
      </c>
      <c r="M61" s="10">
        <f>AVERAGE(M57:M60)</f>
        <v>1367.2617406985946</v>
      </c>
      <c r="N61" s="9">
        <f>M61/L61</f>
        <v>81.627566608871319</v>
      </c>
      <c r="O61" s="11">
        <f>L61-I61</f>
        <v>0</v>
      </c>
      <c r="P61" s="12">
        <f>N61-K61</f>
        <v>-7.924672197098829</v>
      </c>
      <c r="Q61" s="367">
        <f>N61/K61</f>
        <v>0.91150782713239642</v>
      </c>
      <c r="R61" s="470"/>
      <c r="S61" s="25"/>
      <c r="T61" s="24"/>
      <c r="U61" s="9"/>
      <c r="V61" s="374"/>
      <c r="W61" s="9"/>
      <c r="X61" s="9"/>
      <c r="Y61" s="456"/>
      <c r="Z61" s="456"/>
      <c r="AA61" s="11">
        <f t="shared" si="2"/>
        <v>-132.73825930140538</v>
      </c>
      <c r="AB61" s="367">
        <f t="shared" si="57"/>
        <v>0.91150782713239642</v>
      </c>
      <c r="AC61" s="470"/>
    </row>
    <row r="62" spans="1:29" ht="15.75" customHeight="1">
      <c r="A62" s="499" t="s">
        <v>246</v>
      </c>
      <c r="B62" s="375" t="s">
        <v>33</v>
      </c>
      <c r="C62" s="487" t="s">
        <v>36</v>
      </c>
      <c r="D62" s="487"/>
      <c r="E62" s="26">
        <v>26.78</v>
      </c>
      <c r="F62" s="27">
        <v>2571</v>
      </c>
      <c r="G62" s="365">
        <f t="shared" ref="G62:G67" si="76">E62*F62</f>
        <v>68851.38</v>
      </c>
      <c r="H62" s="76" t="s">
        <v>57</v>
      </c>
      <c r="I62" s="373">
        <v>10</v>
      </c>
      <c r="J62" s="18">
        <v>3000</v>
      </c>
      <c r="K62" s="9">
        <f t="shared" ref="K62:K67" si="77">J62/I62</f>
        <v>300</v>
      </c>
      <c r="L62" s="17">
        <v>10</v>
      </c>
      <c r="M62" s="10">
        <f t="shared" ref="M62:M67" si="78">F62/V62*60</f>
        <v>2754.6428571428569</v>
      </c>
      <c r="N62" s="9">
        <f>M62/L62</f>
        <v>275.46428571428567</v>
      </c>
      <c r="O62" s="11">
        <f t="shared" ref="O62:O67" si="79">L62-I62</f>
        <v>0</v>
      </c>
      <c r="P62" s="12">
        <f t="shared" ref="P62:P67" si="80">N62-K62</f>
        <v>-24.535714285714334</v>
      </c>
      <c r="Q62" s="367">
        <f>N62/K62</f>
        <v>0.91821428571428554</v>
      </c>
      <c r="R62" s="470">
        <f>Q68</f>
        <v>0.91539402863527619</v>
      </c>
      <c r="S62" s="24">
        <v>0.20833333333333334</v>
      </c>
      <c r="T62" s="24">
        <v>0.24722222222222223</v>
      </c>
      <c r="U62" s="365"/>
      <c r="V62" s="374">
        <f t="shared" ref="V62:V67" si="81">(T62-S62)*24*60</f>
        <v>56</v>
      </c>
      <c r="W62" s="15"/>
      <c r="X62" s="15"/>
      <c r="Y62" s="456"/>
      <c r="Z62" s="456"/>
      <c r="AA62" s="11">
        <f t="shared" si="2"/>
        <v>-245.35714285714312</v>
      </c>
      <c r="AB62" s="367">
        <f t="shared" si="57"/>
        <v>0.91821428571428565</v>
      </c>
      <c r="AC62" s="470">
        <f>AB68</f>
        <v>0.91539402863527619</v>
      </c>
    </row>
    <row r="63" spans="1:29" ht="15.75" customHeight="1">
      <c r="A63" s="499" t="s">
        <v>11</v>
      </c>
      <c r="B63" s="375" t="s">
        <v>33</v>
      </c>
      <c r="C63" s="487" t="s">
        <v>42</v>
      </c>
      <c r="D63" s="487"/>
      <c r="E63" s="26">
        <v>35.369999999999997</v>
      </c>
      <c r="F63" s="27">
        <v>1735</v>
      </c>
      <c r="G63" s="365">
        <f t="shared" si="76"/>
        <v>61366.95</v>
      </c>
      <c r="H63" s="76" t="s">
        <v>57</v>
      </c>
      <c r="I63" s="373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2739.4736842105244</v>
      </c>
      <c r="N63" s="9">
        <f t="shared" ref="N63:N67" si="82">M63/L63</f>
        <v>273.94736842105243</v>
      </c>
      <c r="O63" s="11">
        <f t="shared" si="79"/>
        <v>0</v>
      </c>
      <c r="P63" s="12">
        <f t="shared" si="80"/>
        <v>-26.052631578947569</v>
      </c>
      <c r="Q63" s="367">
        <f t="shared" ref="Q63:Q67" si="83">N63/K63</f>
        <v>0.91315789473684139</v>
      </c>
      <c r="R63" s="470"/>
      <c r="S63" s="24">
        <v>0.25277777777777777</v>
      </c>
      <c r="T63" s="24">
        <v>0.27916666666666667</v>
      </c>
      <c r="U63" s="365">
        <f>(S63-T62)*24*60</f>
        <v>7.9999999999999716</v>
      </c>
      <c r="V63" s="374">
        <f t="shared" si="81"/>
        <v>38.000000000000028</v>
      </c>
      <c r="W63" s="365"/>
      <c r="X63" s="365"/>
      <c r="Y63" s="456"/>
      <c r="Z63" s="456"/>
      <c r="AA63" s="11">
        <f t="shared" si="2"/>
        <v>-260.52631578947558</v>
      </c>
      <c r="AB63" s="367">
        <f t="shared" si="57"/>
        <v>0.9131578947368415</v>
      </c>
      <c r="AC63" s="470"/>
    </row>
    <row r="64" spans="1:29" ht="15.75" customHeight="1">
      <c r="A64" s="499" t="s">
        <v>11</v>
      </c>
      <c r="B64" s="375" t="s">
        <v>33</v>
      </c>
      <c r="C64" s="487" t="s">
        <v>41</v>
      </c>
      <c r="D64" s="487"/>
      <c r="E64" s="26">
        <v>34.35</v>
      </c>
      <c r="F64" s="27">
        <v>1475</v>
      </c>
      <c r="G64" s="365">
        <f t="shared" si="76"/>
        <v>50666.25</v>
      </c>
      <c r="H64" s="76" t="s">
        <v>57</v>
      </c>
      <c r="I64" s="373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2765.6250000000032</v>
      </c>
      <c r="N64" s="9">
        <f t="shared" si="82"/>
        <v>276.56250000000034</v>
      </c>
      <c r="O64" s="11">
        <f t="shared" si="79"/>
        <v>0</v>
      </c>
      <c r="P64" s="12">
        <f t="shared" si="80"/>
        <v>-23.437499999999659</v>
      </c>
      <c r="Q64" s="367">
        <f t="shared" si="83"/>
        <v>0.92187500000000111</v>
      </c>
      <c r="R64" s="470"/>
      <c r="S64" s="24">
        <v>0.28333333333333333</v>
      </c>
      <c r="T64" s="24">
        <v>0.30555555555555552</v>
      </c>
      <c r="U64" s="365">
        <f t="shared" ref="U64:U67" si="84">(S64-T63)*24*60</f>
        <v>5.9999999999999787</v>
      </c>
      <c r="V64" s="374">
        <f t="shared" si="81"/>
        <v>31.999999999999964</v>
      </c>
      <c r="W64" s="365"/>
      <c r="X64" s="365"/>
      <c r="Y64" s="456"/>
      <c r="Z64" s="456"/>
      <c r="AA64" s="11">
        <f t="shared" si="2"/>
        <v>-234.37499999999682</v>
      </c>
      <c r="AB64" s="367">
        <f t="shared" si="57"/>
        <v>0.92187500000000111</v>
      </c>
      <c r="AC64" s="470"/>
    </row>
    <row r="65" spans="1:29" ht="15.75" customHeight="1">
      <c r="A65" s="499" t="s">
        <v>11</v>
      </c>
      <c r="B65" s="375" t="s">
        <v>15</v>
      </c>
      <c r="C65" s="487" t="s">
        <v>39</v>
      </c>
      <c r="D65" s="487"/>
      <c r="E65" s="26">
        <v>26.97</v>
      </c>
      <c r="F65" s="27">
        <v>3381</v>
      </c>
      <c r="G65" s="365">
        <f t="shared" si="76"/>
        <v>91185.569999999992</v>
      </c>
      <c r="H65" s="76" t="s">
        <v>57</v>
      </c>
      <c r="I65" s="373">
        <v>8</v>
      </c>
      <c r="J65" s="18">
        <v>1440</v>
      </c>
      <c r="K65" s="9">
        <f t="shared" si="77"/>
        <v>180</v>
      </c>
      <c r="L65" s="17">
        <v>8</v>
      </c>
      <c r="M65" s="10">
        <f t="shared" si="78"/>
        <v>1308.7741935483871</v>
      </c>
      <c r="N65" s="9">
        <f t="shared" si="82"/>
        <v>163.59677419354838</v>
      </c>
      <c r="O65" s="11">
        <f t="shared" si="79"/>
        <v>0</v>
      </c>
      <c r="P65" s="12">
        <f t="shared" si="80"/>
        <v>-16.403225806451616</v>
      </c>
      <c r="Q65" s="367">
        <f t="shared" si="83"/>
        <v>0.90887096774193543</v>
      </c>
      <c r="R65" s="470"/>
      <c r="S65" s="24">
        <v>0.31041666666666662</v>
      </c>
      <c r="T65" s="24">
        <v>0.41805555555555551</v>
      </c>
      <c r="U65" s="365">
        <f t="shared" si="84"/>
        <v>6.9999999999999751</v>
      </c>
      <c r="V65" s="374">
        <f t="shared" si="81"/>
        <v>155</v>
      </c>
      <c r="W65" s="365"/>
      <c r="X65" s="365"/>
      <c r="Y65" s="456"/>
      <c r="Z65" s="456"/>
      <c r="AA65" s="11">
        <f t="shared" si="2"/>
        <v>-131.22580645161293</v>
      </c>
      <c r="AB65" s="367">
        <f t="shared" si="57"/>
        <v>0.90887096774193543</v>
      </c>
      <c r="AC65" s="470"/>
    </row>
    <row r="66" spans="1:29">
      <c r="A66" s="500" t="s">
        <v>11</v>
      </c>
      <c r="B66" s="375" t="s">
        <v>33</v>
      </c>
      <c r="C66" s="487" t="s">
        <v>40</v>
      </c>
      <c r="D66" s="487"/>
      <c r="E66" s="26">
        <v>35.119999999999997</v>
      </c>
      <c r="F66" s="27">
        <v>1284</v>
      </c>
      <c r="G66" s="365">
        <f t="shared" si="76"/>
        <v>45094.079999999994</v>
      </c>
      <c r="H66" s="76" t="s">
        <v>57</v>
      </c>
      <c r="I66" s="373">
        <v>13</v>
      </c>
      <c r="J66" s="18">
        <v>2000</v>
      </c>
      <c r="K66" s="9">
        <f t="shared" si="77"/>
        <v>153.84615384615384</v>
      </c>
      <c r="L66" s="17">
        <v>13</v>
      </c>
      <c r="M66" s="10">
        <f t="shared" si="78"/>
        <v>1834.2857142857138</v>
      </c>
      <c r="N66" s="9">
        <f t="shared" si="82"/>
        <v>141.09890109890105</v>
      </c>
      <c r="O66" s="11">
        <f t="shared" si="79"/>
        <v>0</v>
      </c>
      <c r="P66" s="12">
        <f t="shared" si="80"/>
        <v>-12.747252747252787</v>
      </c>
      <c r="Q66" s="367">
        <f t="shared" si="83"/>
        <v>0.91714285714285693</v>
      </c>
      <c r="R66" s="470"/>
      <c r="S66" s="24">
        <v>0.42222222222222217</v>
      </c>
      <c r="T66" s="24">
        <v>0.45138888888888884</v>
      </c>
      <c r="U66" s="365">
        <f t="shared" si="84"/>
        <v>5.9999999999999787</v>
      </c>
      <c r="V66" s="374">
        <f t="shared" si="81"/>
        <v>42.000000000000014</v>
      </c>
      <c r="W66" s="14"/>
      <c r="X66" s="14"/>
      <c r="Y66" s="456"/>
      <c r="Z66" s="456"/>
      <c r="AA66" s="11">
        <f t="shared" si="2"/>
        <v>-165.71428571428623</v>
      </c>
      <c r="AB66" s="367">
        <f t="shared" si="57"/>
        <v>0.91714285714285693</v>
      </c>
      <c r="AC66" s="470"/>
    </row>
    <row r="67" spans="1:29" ht="15" customHeight="1">
      <c r="A67" s="500" t="s">
        <v>11</v>
      </c>
      <c r="B67" s="375" t="s">
        <v>33</v>
      </c>
      <c r="C67" s="491" t="s">
        <v>1194</v>
      </c>
      <c r="D67" s="492"/>
      <c r="E67" s="26">
        <v>35.869999999999997</v>
      </c>
      <c r="F67" s="27">
        <v>3095</v>
      </c>
      <c r="G67" s="365">
        <f t="shared" si="76"/>
        <v>111017.65</v>
      </c>
      <c r="H67" s="76" t="s">
        <v>57</v>
      </c>
      <c r="I67" s="373">
        <v>13</v>
      </c>
      <c r="J67" s="18">
        <v>3000</v>
      </c>
      <c r="K67" s="9">
        <f t="shared" si="77"/>
        <v>230.76923076923077</v>
      </c>
      <c r="L67" s="17">
        <v>13</v>
      </c>
      <c r="M67" s="10">
        <f t="shared" si="78"/>
        <v>2730.8823529411798</v>
      </c>
      <c r="N67" s="9">
        <f t="shared" si="82"/>
        <v>210.06787330316769</v>
      </c>
      <c r="O67" s="11">
        <f t="shared" si="79"/>
        <v>0</v>
      </c>
      <c r="P67" s="12">
        <f t="shared" si="80"/>
        <v>-20.701357466063087</v>
      </c>
      <c r="Q67" s="367">
        <f t="shared" si="83"/>
        <v>0.91029411764705992</v>
      </c>
      <c r="R67" s="470"/>
      <c r="S67" s="24">
        <v>0.45486111111111105</v>
      </c>
      <c r="T67" s="24">
        <v>0.50208333333333321</v>
      </c>
      <c r="U67" s="365">
        <f t="shared" si="84"/>
        <v>4.9999999999999822</v>
      </c>
      <c r="V67" s="374">
        <f t="shared" si="81"/>
        <v>67.999999999999915</v>
      </c>
      <c r="W67" s="365"/>
      <c r="X67" s="365"/>
      <c r="Y67" s="473"/>
      <c r="Z67" s="474"/>
      <c r="AA67" s="11">
        <f t="shared" si="2"/>
        <v>-269.11764705882024</v>
      </c>
      <c r="AB67" s="367">
        <f t="shared" si="57"/>
        <v>0.91029411764705992</v>
      </c>
      <c r="AC67" s="470"/>
    </row>
    <row r="68" spans="1:29">
      <c r="A68" s="500" t="s">
        <v>11</v>
      </c>
      <c r="B68" s="26" t="s">
        <v>81</v>
      </c>
      <c r="C68" s="466"/>
      <c r="D68" s="466"/>
      <c r="E68" s="366"/>
      <c r="F68" s="16"/>
      <c r="G68" s="9"/>
      <c r="H68" s="375"/>
      <c r="I68" s="17">
        <v>10.666666666666666</v>
      </c>
      <c r="J68" s="18">
        <v>2573.3333333333335</v>
      </c>
      <c r="K68" s="9">
        <f>J68/I68</f>
        <v>241.25000000000003</v>
      </c>
      <c r="L68" s="17">
        <v>10.666666666666666</v>
      </c>
      <c r="M68" s="10">
        <f>AVERAGE(M62:M67)</f>
        <v>2355.6139670214443</v>
      </c>
      <c r="N68" s="9">
        <f>M68/L68</f>
        <v>220.8388094082604</v>
      </c>
      <c r="O68" s="11">
        <f>L68-I68</f>
        <v>0</v>
      </c>
      <c r="P68" s="12">
        <f>N68-K68</f>
        <v>-20.411190591739626</v>
      </c>
      <c r="Q68" s="367">
        <f>N68/K68</f>
        <v>0.91539402863527619</v>
      </c>
      <c r="R68" s="470"/>
      <c r="S68" s="24"/>
      <c r="T68" s="24"/>
      <c r="U68" s="9"/>
      <c r="V68" s="374"/>
      <c r="W68" s="9"/>
      <c r="X68" s="9"/>
      <c r="Y68" s="456"/>
      <c r="Z68" s="456"/>
      <c r="AA68" s="11">
        <f t="shared" si="2"/>
        <v>-217.71936631188919</v>
      </c>
      <c r="AB68" s="367">
        <f t="shared" si="57"/>
        <v>0.91539402863527619</v>
      </c>
      <c r="AC68" s="470"/>
    </row>
    <row r="69" spans="1:29" ht="15.75" customHeight="1">
      <c r="A69" s="467" t="s">
        <v>164</v>
      </c>
      <c r="B69" s="375" t="s">
        <v>24</v>
      </c>
      <c r="C69" s="487" t="s">
        <v>83</v>
      </c>
      <c r="D69" s="487"/>
      <c r="E69" s="26">
        <v>32.03</v>
      </c>
      <c r="F69" s="375">
        <v>1434</v>
      </c>
      <c r="G69" s="365">
        <f t="shared" ref="G69:G74" si="85">E69*F69</f>
        <v>45931.020000000004</v>
      </c>
      <c r="H69" s="76" t="s">
        <v>57</v>
      </c>
      <c r="I69" s="373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2206.1538461538453</v>
      </c>
      <c r="N69" s="9">
        <f t="shared" ref="N69:N74" si="87">M69/L69</f>
        <v>116.1133603238866</v>
      </c>
      <c r="O69" s="11">
        <f t="shared" ref="O69:O74" si="88">L69-I69</f>
        <v>0</v>
      </c>
      <c r="P69" s="12">
        <f t="shared" ref="P69:P74" si="89">N69-K69</f>
        <v>-10.202429149797609</v>
      </c>
      <c r="Q69" s="367">
        <f>N69/K69</f>
        <v>0.91923076923076896</v>
      </c>
      <c r="R69" s="470">
        <f>Q75</f>
        <v>0.91008866568242885</v>
      </c>
      <c r="S69" s="24">
        <v>0.125</v>
      </c>
      <c r="T69" s="24">
        <v>0.15208333333333335</v>
      </c>
      <c r="U69" s="15"/>
      <c r="V69" s="374">
        <f t="shared" ref="V69:V74" si="90">(T69-S69)*24*60</f>
        <v>39.000000000000021</v>
      </c>
      <c r="W69" s="14"/>
      <c r="X69" s="14"/>
      <c r="Y69" s="456"/>
      <c r="Z69" s="456"/>
      <c r="AA69" s="11">
        <f t="shared" ref="AA69:AA75" si="91">M69-J69</f>
        <v>-193.84615384615472</v>
      </c>
      <c r="AB69" s="367">
        <f>M69/J69</f>
        <v>0.91923076923076885</v>
      </c>
      <c r="AC69" s="470">
        <f>AB75</f>
        <v>0.91008866568242885</v>
      </c>
    </row>
    <row r="70" spans="1:29" ht="15.75" customHeight="1">
      <c r="A70" s="467" t="s">
        <v>12</v>
      </c>
      <c r="B70" s="375" t="s">
        <v>24</v>
      </c>
      <c r="C70" s="487" t="s">
        <v>56</v>
      </c>
      <c r="D70" s="487"/>
      <c r="E70" s="26">
        <v>20.2</v>
      </c>
      <c r="F70" s="375">
        <v>2904</v>
      </c>
      <c r="G70" s="365">
        <f t="shared" si="85"/>
        <v>58660.799999999996</v>
      </c>
      <c r="H70" s="76" t="s">
        <v>57</v>
      </c>
      <c r="I70" s="373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4" si="92">F70/V70*60</f>
        <v>2178</v>
      </c>
      <c r="N70" s="9">
        <f t="shared" si="87"/>
        <v>114.63157894736842</v>
      </c>
      <c r="O70" s="11">
        <f t="shared" si="88"/>
        <v>0</v>
      </c>
      <c r="P70" s="12">
        <f t="shared" si="89"/>
        <v>-11.68421052631578</v>
      </c>
      <c r="Q70" s="367">
        <f t="shared" ref="Q70:Q75" si="93">N70/K70</f>
        <v>0.90750000000000008</v>
      </c>
      <c r="R70" s="470"/>
      <c r="S70" s="24">
        <v>0.16944444444444443</v>
      </c>
      <c r="T70" s="24">
        <v>0.22499999999999998</v>
      </c>
      <c r="U70" s="365">
        <f>(S70-T69)*24*60</f>
        <v>24.99999999999995</v>
      </c>
      <c r="V70" s="374">
        <f t="shared" si="90"/>
        <v>80</v>
      </c>
      <c r="W70" s="14"/>
      <c r="X70" s="14"/>
      <c r="Y70" s="456"/>
      <c r="Z70" s="456"/>
      <c r="AA70" s="11">
        <f t="shared" si="91"/>
        <v>-222</v>
      </c>
      <c r="AB70" s="367">
        <f t="shared" ref="AB70:AB75" si="94">M70/J70</f>
        <v>0.90749999999999997</v>
      </c>
      <c r="AC70" s="470"/>
    </row>
    <row r="71" spans="1:29" ht="15.75" customHeight="1">
      <c r="A71" s="467" t="s">
        <v>12</v>
      </c>
      <c r="B71" s="375" t="s">
        <v>24</v>
      </c>
      <c r="C71" s="487" t="s">
        <v>45</v>
      </c>
      <c r="D71" s="487"/>
      <c r="E71" s="26">
        <v>19.02</v>
      </c>
      <c r="F71" s="375">
        <v>4000</v>
      </c>
      <c r="G71" s="365">
        <f t="shared" si="85"/>
        <v>76080</v>
      </c>
      <c r="H71" s="76">
        <v>2</v>
      </c>
      <c r="I71" s="373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2181.8181818181824</v>
      </c>
      <c r="N71" s="9">
        <f t="shared" si="87"/>
        <v>145.4545454545455</v>
      </c>
      <c r="O71" s="11">
        <f t="shared" si="88"/>
        <v>0</v>
      </c>
      <c r="P71" s="12">
        <f t="shared" si="89"/>
        <v>-14.545454545454504</v>
      </c>
      <c r="Q71" s="367">
        <f t="shared" si="93"/>
        <v>0.90909090909090939</v>
      </c>
      <c r="R71" s="470"/>
      <c r="S71" s="24">
        <v>0.2298611111111111</v>
      </c>
      <c r="T71" s="24">
        <v>0.30624999999999997</v>
      </c>
      <c r="U71" s="365">
        <f t="shared" ref="U71:U74" si="95">(S71-T70)*24*60</f>
        <v>7.0000000000000151</v>
      </c>
      <c r="V71" s="374">
        <f t="shared" si="90"/>
        <v>109.99999999999997</v>
      </c>
      <c r="W71" s="14"/>
      <c r="X71" s="14"/>
      <c r="Y71" s="456"/>
      <c r="Z71" s="456"/>
      <c r="AA71" s="11">
        <f t="shared" si="91"/>
        <v>-218.18181818181756</v>
      </c>
      <c r="AB71" s="367">
        <f t="shared" si="94"/>
        <v>0.90909090909090939</v>
      </c>
      <c r="AC71" s="470"/>
    </row>
    <row r="72" spans="1:29" ht="15.75" customHeight="1">
      <c r="A72" s="467" t="s">
        <v>12</v>
      </c>
      <c r="B72" s="375" t="s">
        <v>24</v>
      </c>
      <c r="C72" s="487" t="s">
        <v>46</v>
      </c>
      <c r="D72" s="487"/>
      <c r="E72" s="26">
        <v>25</v>
      </c>
      <c r="F72" s="375">
        <v>4531</v>
      </c>
      <c r="G72" s="365">
        <f t="shared" si="85"/>
        <v>113275</v>
      </c>
      <c r="H72" s="76" t="s">
        <v>57</v>
      </c>
      <c r="I72" s="373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2174.8799999999992</v>
      </c>
      <c r="N72" s="9">
        <f t="shared" si="87"/>
        <v>144.99199999999993</v>
      </c>
      <c r="O72" s="11">
        <f t="shared" si="88"/>
        <v>0</v>
      </c>
      <c r="P72" s="12">
        <f t="shared" si="89"/>
        <v>-15.008000000000067</v>
      </c>
      <c r="Q72" s="367">
        <f t="shared" si="93"/>
        <v>0.90619999999999956</v>
      </c>
      <c r="R72" s="470"/>
      <c r="S72" s="24">
        <v>0.30972222222222218</v>
      </c>
      <c r="T72" s="24">
        <v>0.39652777777777776</v>
      </c>
      <c r="U72" s="365">
        <f t="shared" si="95"/>
        <v>4.9999999999999822</v>
      </c>
      <c r="V72" s="374">
        <f t="shared" si="90"/>
        <v>125.00000000000003</v>
      </c>
      <c r="W72" s="14"/>
      <c r="X72" s="14"/>
      <c r="Y72" s="456"/>
      <c r="Z72" s="456"/>
      <c r="AA72" s="11">
        <f t="shared" si="91"/>
        <v>-225.1200000000008</v>
      </c>
      <c r="AB72" s="367">
        <f t="shared" si="94"/>
        <v>0.90619999999999967</v>
      </c>
      <c r="AC72" s="470"/>
    </row>
    <row r="73" spans="1:29" ht="15.75" customHeight="1">
      <c r="A73" s="467" t="s">
        <v>12</v>
      </c>
      <c r="B73" s="375" t="s">
        <v>24</v>
      </c>
      <c r="C73" s="487" t="s">
        <v>510</v>
      </c>
      <c r="D73" s="487"/>
      <c r="E73" s="26">
        <v>28.51</v>
      </c>
      <c r="F73" s="375">
        <v>5554</v>
      </c>
      <c r="G73" s="365">
        <f t="shared" si="85"/>
        <v>158344.54</v>
      </c>
      <c r="H73" s="76" t="s">
        <v>57</v>
      </c>
      <c r="I73" s="373">
        <v>20</v>
      </c>
      <c r="J73" s="18">
        <v>2400</v>
      </c>
      <c r="K73" s="9">
        <f t="shared" ref="K73:K75" si="96">J73/I73</f>
        <v>120</v>
      </c>
      <c r="L73" s="17">
        <v>20</v>
      </c>
      <c r="M73" s="10">
        <f t="shared" si="92"/>
        <v>2178.039215686274</v>
      </c>
      <c r="N73" s="9">
        <f t="shared" si="87"/>
        <v>108.9019607843137</v>
      </c>
      <c r="O73" s="11">
        <f t="shared" si="88"/>
        <v>0</v>
      </c>
      <c r="P73" s="12">
        <f t="shared" si="89"/>
        <v>-11.098039215686299</v>
      </c>
      <c r="Q73" s="367">
        <f t="shared" si="93"/>
        <v>0.90751633986928082</v>
      </c>
      <c r="R73" s="470"/>
      <c r="S73" s="24">
        <v>0.39999999999999997</v>
      </c>
      <c r="T73" s="24">
        <v>0.50624999999999998</v>
      </c>
      <c r="U73" s="365">
        <f t="shared" si="95"/>
        <v>4.9999999999999822</v>
      </c>
      <c r="V73" s="374">
        <f t="shared" si="90"/>
        <v>153.00000000000003</v>
      </c>
      <c r="W73" s="14"/>
      <c r="X73" s="14"/>
      <c r="Y73" s="456"/>
      <c r="Z73" s="456"/>
      <c r="AA73" s="11">
        <f t="shared" si="91"/>
        <v>-221.96078431372598</v>
      </c>
      <c r="AB73" s="367">
        <f t="shared" si="94"/>
        <v>0.90751633986928082</v>
      </c>
      <c r="AC73" s="470"/>
    </row>
    <row r="74" spans="1:29" ht="15.75" customHeight="1">
      <c r="A74" s="467" t="s">
        <v>12</v>
      </c>
      <c r="B74" s="375" t="s">
        <v>24</v>
      </c>
      <c r="C74" s="487" t="s">
        <v>45</v>
      </c>
      <c r="D74" s="487"/>
      <c r="E74" s="26">
        <v>19.02</v>
      </c>
      <c r="F74" s="375">
        <v>6049</v>
      </c>
      <c r="G74" s="365">
        <f t="shared" si="85"/>
        <v>115051.98</v>
      </c>
      <c r="H74" s="76" t="s">
        <v>57</v>
      </c>
      <c r="I74" s="373">
        <v>15</v>
      </c>
      <c r="J74" s="18">
        <v>2400</v>
      </c>
      <c r="K74" s="9">
        <f t="shared" si="96"/>
        <v>160</v>
      </c>
      <c r="L74" s="17">
        <v>15</v>
      </c>
      <c r="M74" s="10">
        <f t="shared" si="92"/>
        <v>2186.385542168674</v>
      </c>
      <c r="N74" s="9">
        <f t="shared" si="87"/>
        <v>145.75903614457826</v>
      </c>
      <c r="O74" s="11">
        <f t="shared" si="88"/>
        <v>0</v>
      </c>
      <c r="P74" s="12">
        <f t="shared" si="89"/>
        <v>-14.240963855421739</v>
      </c>
      <c r="Q74" s="367">
        <f t="shared" si="93"/>
        <v>0.91099397590361408</v>
      </c>
      <c r="R74" s="470"/>
      <c r="S74" s="24">
        <v>0.54722222222222217</v>
      </c>
      <c r="T74" s="24">
        <v>0.66249999999999998</v>
      </c>
      <c r="U74" s="365">
        <f t="shared" si="95"/>
        <v>58.99999999999995</v>
      </c>
      <c r="V74" s="374">
        <f t="shared" si="90"/>
        <v>166.00000000000006</v>
      </c>
      <c r="W74" s="14"/>
      <c r="X74" s="14"/>
      <c r="Y74" s="456"/>
      <c r="Z74" s="456"/>
      <c r="AA74" s="11">
        <f t="shared" si="91"/>
        <v>-213.61445783132604</v>
      </c>
      <c r="AB74" s="367">
        <f t="shared" si="94"/>
        <v>0.91099397590361419</v>
      </c>
      <c r="AC74" s="470"/>
    </row>
    <row r="75" spans="1:29" ht="16.5" customHeight="1">
      <c r="A75" s="501" t="s">
        <v>12</v>
      </c>
      <c r="B75" s="26" t="s">
        <v>81</v>
      </c>
      <c r="C75" s="466"/>
      <c r="D75" s="466"/>
      <c r="E75" s="366"/>
      <c r="F75" s="16"/>
      <c r="G75" s="9"/>
      <c r="H75" s="375"/>
      <c r="I75" s="17">
        <v>17.166666666666668</v>
      </c>
      <c r="J75" s="18">
        <v>2400</v>
      </c>
      <c r="K75" s="9">
        <f t="shared" si="96"/>
        <v>139.80582524271844</v>
      </c>
      <c r="L75" s="17">
        <v>17.166666666666668</v>
      </c>
      <c r="M75" s="10">
        <f>AVERAGE(M69:M74)</f>
        <v>2184.2127976378292</v>
      </c>
      <c r="N75" s="9">
        <f>M75/L75</f>
        <v>127.23569694977645</v>
      </c>
      <c r="O75" s="11">
        <f>L75-I75</f>
        <v>0</v>
      </c>
      <c r="P75" s="12">
        <f>N75-K75</f>
        <v>-12.570128292941988</v>
      </c>
      <c r="Q75" s="367">
        <f t="shared" si="93"/>
        <v>0.91008866568242885</v>
      </c>
      <c r="R75" s="470"/>
      <c r="S75" s="24"/>
      <c r="T75" s="24"/>
      <c r="U75" s="9"/>
      <c r="V75" s="374"/>
      <c r="W75" s="9"/>
      <c r="X75" s="9"/>
      <c r="Y75" s="456"/>
      <c r="Z75" s="456"/>
      <c r="AA75" s="11">
        <f t="shared" si="91"/>
        <v>-215.78720236217077</v>
      </c>
      <c r="AB75" s="367">
        <f t="shared" si="94"/>
        <v>0.91008866568242885</v>
      </c>
      <c r="AC75" s="470"/>
    </row>
    <row r="76" spans="1:29">
      <c r="D76" s="19"/>
      <c r="E76" s="19"/>
    </row>
  </sheetData>
  <mergeCells count="200">
    <mergeCell ref="Y72:Z72"/>
    <mergeCell ref="C73:D73"/>
    <mergeCell ref="Y73:Z73"/>
    <mergeCell ref="A69:A75"/>
    <mergeCell ref="C69:D69"/>
    <mergeCell ref="R69:R75"/>
    <mergeCell ref="Y69:Z69"/>
    <mergeCell ref="AC69:AC75"/>
    <mergeCell ref="C70:D70"/>
    <mergeCell ref="Y70:Z70"/>
    <mergeCell ref="C71:D71"/>
    <mergeCell ref="Y71:Z71"/>
    <mergeCell ref="C72:D72"/>
    <mergeCell ref="C74:D74"/>
    <mergeCell ref="Y74:Z74"/>
    <mergeCell ref="C75:D75"/>
    <mergeCell ref="Y75:Z75"/>
    <mergeCell ref="A62:A68"/>
    <mergeCell ref="C62:D62"/>
    <mergeCell ref="R62:R68"/>
    <mergeCell ref="Y62:Z62"/>
    <mergeCell ref="AC62:AC68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Y68:Z68"/>
    <mergeCell ref="AC57:AC61"/>
    <mergeCell ref="C58:D58"/>
    <mergeCell ref="Y58:Z58"/>
    <mergeCell ref="C59:D59"/>
    <mergeCell ref="C61:D61"/>
    <mergeCell ref="Y61:Z61"/>
    <mergeCell ref="Y54:Z54"/>
    <mergeCell ref="C55:D55"/>
    <mergeCell ref="Y55:Z55"/>
    <mergeCell ref="C56:D56"/>
    <mergeCell ref="Y56:Z56"/>
    <mergeCell ref="AC48:AC56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A48:A56"/>
    <mergeCell ref="C48:D48"/>
    <mergeCell ref="R48:R56"/>
    <mergeCell ref="Y48:Z48"/>
    <mergeCell ref="Y53:Z53"/>
    <mergeCell ref="C54:D54"/>
    <mergeCell ref="A57:A61"/>
    <mergeCell ref="C57:D57"/>
    <mergeCell ref="R57:R61"/>
    <mergeCell ref="Y57:Z57"/>
    <mergeCell ref="A39:A47"/>
    <mergeCell ref="C39:D39"/>
    <mergeCell ref="R39:R47"/>
    <mergeCell ref="Y39:Z39"/>
    <mergeCell ref="Y44:Z44"/>
    <mergeCell ref="C45:D45"/>
    <mergeCell ref="Y45:Z45"/>
    <mergeCell ref="AC39:AC47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46:D46"/>
    <mergeCell ref="Y46:Z46"/>
    <mergeCell ref="C47:D47"/>
    <mergeCell ref="Y47:Z47"/>
    <mergeCell ref="A31:A38"/>
    <mergeCell ref="C31:D31"/>
    <mergeCell ref="R31:R38"/>
    <mergeCell ref="Y31:Z31"/>
    <mergeCell ref="Y36:Z36"/>
    <mergeCell ref="C37:D37"/>
    <mergeCell ref="AC31:AC38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37:Z37"/>
    <mergeCell ref="C38:D38"/>
    <mergeCell ref="Y38:Z38"/>
    <mergeCell ref="AC20:AC30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C30:D30"/>
    <mergeCell ref="Y30:Z30"/>
    <mergeCell ref="A20:A30"/>
    <mergeCell ref="C20:D20"/>
    <mergeCell ref="R20:R30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5:O75 O5:O9 O13:O15 O56:O62 O19:O53">
    <cfRule type="cellIs" dxfId="2014" priority="53" operator="greaterThan">
      <formula>0</formula>
    </cfRule>
  </conditionalFormatting>
  <conditionalFormatting sqref="P5:P7 P65:P67 AA65:AA67 P69:P74 P31:P37 P62 P9 P13:P15 P20:P29 P57:P60 P39:P53 AA5:AA62 AA69:AA75">
    <cfRule type="cellIs" dxfId="2013" priority="57" operator="lessThan">
      <formula>0</formula>
    </cfRule>
  </conditionalFormatting>
  <conditionalFormatting sqref="AB65:AB67 Q65:Q75 Q5:Q9 Q13:Q15 Q56:Q62 Q19:Q53 AB5:AB62 AB69:AB75">
    <cfRule type="cellIs" dxfId="2012" priority="54" operator="greaterThan">
      <formula>1</formula>
    </cfRule>
    <cfRule type="cellIs" dxfId="2011" priority="55" operator="lessThan">
      <formula>0.8</formula>
    </cfRule>
  </conditionalFormatting>
  <conditionalFormatting sqref="AC14:AC15 R14:R15 AC65 R19:R25 AC19:AC25 R65:R75 AC5:AC9 R5:R9 R30:R53 AC30:AC53 AC56:AC62 R56:R62">
    <cfRule type="cellIs" dxfId="2010" priority="59" operator="lessThan">
      <formula>0.8</formula>
    </cfRule>
  </conditionalFormatting>
  <conditionalFormatting sqref="AC48">
    <cfRule type="cellIs" dxfId="2009" priority="61" operator="lessThan">
      <formula>0.8</formula>
    </cfRule>
  </conditionalFormatting>
  <conditionalFormatting sqref="AC20:AC25">
    <cfRule type="cellIs" dxfId="2008" priority="58" operator="lessThan">
      <formula>0.8</formula>
    </cfRule>
  </conditionalFormatting>
  <conditionalFormatting sqref="AC31">
    <cfRule type="cellIs" dxfId="2007" priority="60" operator="lessThan">
      <formula>0.8</formula>
    </cfRule>
  </conditionalFormatting>
  <conditionalFormatting sqref="AC39:AC46">
    <cfRule type="cellIs" dxfId="2006" priority="56" operator="lessThan">
      <formula>0.8</formula>
    </cfRule>
  </conditionalFormatting>
  <conditionalFormatting sqref="AA68">
    <cfRule type="cellIs" dxfId="2005" priority="52" operator="lessThan">
      <formula>0</formula>
    </cfRule>
  </conditionalFormatting>
  <conditionalFormatting sqref="AB68">
    <cfRule type="cellIs" dxfId="2004" priority="50" operator="greaterThan">
      <formula>1</formula>
    </cfRule>
    <cfRule type="cellIs" dxfId="2003" priority="51" operator="lessThan">
      <formula>0.8</formula>
    </cfRule>
  </conditionalFormatting>
  <conditionalFormatting sqref="O16:O17">
    <cfRule type="cellIs" dxfId="2002" priority="45" operator="greaterThan">
      <formula>0</formula>
    </cfRule>
  </conditionalFormatting>
  <conditionalFormatting sqref="P16:P17">
    <cfRule type="cellIs" dxfId="2001" priority="48" operator="lessThan">
      <formula>0</formula>
    </cfRule>
  </conditionalFormatting>
  <conditionalFormatting sqref="Q16:Q17">
    <cfRule type="cellIs" dxfId="2000" priority="46" operator="greaterThan">
      <formula>1</formula>
    </cfRule>
    <cfRule type="cellIs" dxfId="1999" priority="47" operator="lessThan">
      <formula>0.8</formula>
    </cfRule>
  </conditionalFormatting>
  <conditionalFormatting sqref="R16:R17 AC16:AC17">
    <cfRule type="cellIs" dxfId="1998" priority="49" operator="lessThan">
      <formula>0.8</formula>
    </cfRule>
  </conditionalFormatting>
  <conditionalFormatting sqref="O10:O12">
    <cfRule type="cellIs" dxfId="1997" priority="41" operator="greaterThan">
      <formula>0</formula>
    </cfRule>
  </conditionalFormatting>
  <conditionalFormatting sqref="P10:P12">
    <cfRule type="cellIs" dxfId="1996" priority="44" operator="lessThan">
      <formula>0</formula>
    </cfRule>
  </conditionalFormatting>
  <conditionalFormatting sqref="Q10:Q12">
    <cfRule type="cellIs" dxfId="1995" priority="42" operator="greaterThan">
      <formula>1</formula>
    </cfRule>
    <cfRule type="cellIs" dxfId="1994" priority="43" operator="lessThan">
      <formula>0.8</formula>
    </cfRule>
  </conditionalFormatting>
  <conditionalFormatting sqref="AC27 R27">
    <cfRule type="cellIs" dxfId="1993" priority="40" operator="lessThan">
      <formula>0.8</formula>
    </cfRule>
  </conditionalFormatting>
  <conditionalFormatting sqref="O64">
    <cfRule type="cellIs" dxfId="1992" priority="35" operator="greaterThan">
      <formula>0</formula>
    </cfRule>
  </conditionalFormatting>
  <conditionalFormatting sqref="P64 AA64">
    <cfRule type="cellIs" dxfId="1991" priority="38" operator="lessThan">
      <formula>0</formula>
    </cfRule>
  </conditionalFormatting>
  <conditionalFormatting sqref="Q64 AB64">
    <cfRule type="cellIs" dxfId="1990" priority="36" operator="greaterThan">
      <formula>1</formula>
    </cfRule>
    <cfRule type="cellIs" dxfId="1989" priority="37" operator="lessThan">
      <formula>0.8</formula>
    </cfRule>
  </conditionalFormatting>
  <conditionalFormatting sqref="R64 AC64">
    <cfRule type="cellIs" dxfId="1988" priority="39" operator="lessThan">
      <formula>0.8</formula>
    </cfRule>
  </conditionalFormatting>
  <conditionalFormatting sqref="O18">
    <cfRule type="cellIs" dxfId="1987" priority="30" operator="greaterThan">
      <formula>0</formula>
    </cfRule>
  </conditionalFormatting>
  <conditionalFormatting sqref="P18">
    <cfRule type="cellIs" dxfId="1986" priority="33" operator="lessThan">
      <formula>0</formula>
    </cfRule>
  </conditionalFormatting>
  <conditionalFormatting sqref="Q18">
    <cfRule type="cellIs" dxfId="1985" priority="31" operator="greaterThan">
      <formula>1</formula>
    </cfRule>
    <cfRule type="cellIs" dxfId="1984" priority="32" operator="lessThan">
      <formula>0.8</formula>
    </cfRule>
  </conditionalFormatting>
  <conditionalFormatting sqref="R18 AC18">
    <cfRule type="cellIs" dxfId="1983" priority="34" operator="lessThan">
      <formula>0.8</formula>
    </cfRule>
  </conditionalFormatting>
  <conditionalFormatting sqref="O54">
    <cfRule type="cellIs" dxfId="1982" priority="24" operator="greaterThan">
      <formula>0</formula>
    </cfRule>
  </conditionalFormatting>
  <conditionalFormatting sqref="P54">
    <cfRule type="cellIs" dxfId="1981" priority="28" operator="lessThan">
      <formula>0</formula>
    </cfRule>
  </conditionalFormatting>
  <conditionalFormatting sqref="Q54">
    <cfRule type="cellIs" dxfId="1980" priority="25" operator="greaterThan">
      <formula>1</formula>
    </cfRule>
    <cfRule type="cellIs" dxfId="1979" priority="26" operator="lessThan">
      <formula>0.8</formula>
    </cfRule>
  </conditionalFormatting>
  <conditionalFormatting sqref="R54 AC54">
    <cfRule type="cellIs" dxfId="1978" priority="29" operator="lessThan">
      <formula>0.8</formula>
    </cfRule>
  </conditionalFormatting>
  <conditionalFormatting sqref="AC54">
    <cfRule type="cellIs" dxfId="1977" priority="27" operator="lessThan">
      <formula>0.8</formula>
    </cfRule>
  </conditionalFormatting>
  <conditionalFormatting sqref="O55">
    <cfRule type="cellIs" dxfId="1976" priority="18" operator="greaterThan">
      <formula>0</formula>
    </cfRule>
  </conditionalFormatting>
  <conditionalFormatting sqref="P55">
    <cfRule type="cellIs" dxfId="1975" priority="22" operator="lessThan">
      <formula>0</formula>
    </cfRule>
  </conditionalFormatting>
  <conditionalFormatting sqref="Q55">
    <cfRule type="cellIs" dxfId="1974" priority="19" operator="greaterThan">
      <formula>1</formula>
    </cfRule>
    <cfRule type="cellIs" dxfId="1973" priority="20" operator="lessThan">
      <formula>0.8</formula>
    </cfRule>
  </conditionalFormatting>
  <conditionalFormatting sqref="R55 AC55">
    <cfRule type="cellIs" dxfId="1972" priority="23" operator="lessThan">
      <formula>0.8</formula>
    </cfRule>
  </conditionalFormatting>
  <conditionalFormatting sqref="AC55">
    <cfRule type="cellIs" dxfId="1971" priority="21" operator="lessThan">
      <formula>0.8</formula>
    </cfRule>
  </conditionalFormatting>
  <conditionalFormatting sqref="AC28 R28">
    <cfRule type="cellIs" dxfId="1970" priority="17" operator="lessThan">
      <formula>0.8</formula>
    </cfRule>
  </conditionalFormatting>
  <conditionalFormatting sqref="R26 AC26">
    <cfRule type="cellIs" dxfId="1969" priority="16" operator="lessThan">
      <formula>0.8</formula>
    </cfRule>
  </conditionalFormatting>
  <conditionalFormatting sqref="AC26">
    <cfRule type="cellIs" dxfId="1968" priority="15" operator="lessThan">
      <formula>0.8</formula>
    </cfRule>
  </conditionalFormatting>
  <conditionalFormatting sqref="O63">
    <cfRule type="cellIs" dxfId="1967" priority="10" operator="greaterThan">
      <formula>0</formula>
    </cfRule>
  </conditionalFormatting>
  <conditionalFormatting sqref="P63 AA63">
    <cfRule type="cellIs" dxfId="1966" priority="13" operator="lessThan">
      <formula>0</formula>
    </cfRule>
  </conditionalFormatting>
  <conditionalFormatting sqref="Q63 AB63">
    <cfRule type="cellIs" dxfId="1965" priority="11" operator="greaterThan">
      <formula>1</formula>
    </cfRule>
    <cfRule type="cellIs" dxfId="1964" priority="12" operator="lessThan">
      <formula>0.8</formula>
    </cfRule>
  </conditionalFormatting>
  <conditionalFormatting sqref="R63 AC63">
    <cfRule type="cellIs" dxfId="1963" priority="14" operator="lessThan">
      <formula>0.8</formula>
    </cfRule>
  </conditionalFormatting>
  <conditionalFormatting sqref="P8">
    <cfRule type="cellIs" dxfId="1962" priority="9" operator="lessThan">
      <formula>0</formula>
    </cfRule>
  </conditionalFormatting>
  <conditionalFormatting sqref="P19">
    <cfRule type="cellIs" dxfId="1961" priority="8" operator="lessThan">
      <formula>0</formula>
    </cfRule>
  </conditionalFormatting>
  <conditionalFormatting sqref="P30">
    <cfRule type="cellIs" dxfId="1960" priority="7" operator="lessThan">
      <formula>0</formula>
    </cfRule>
  </conditionalFormatting>
  <conditionalFormatting sqref="P38">
    <cfRule type="cellIs" dxfId="1959" priority="6" operator="lessThan">
      <formula>0</formula>
    </cfRule>
  </conditionalFormatting>
  <conditionalFormatting sqref="P56">
    <cfRule type="cellIs" dxfId="1958" priority="5" operator="lessThan">
      <formula>0</formula>
    </cfRule>
  </conditionalFormatting>
  <conditionalFormatting sqref="P61">
    <cfRule type="cellIs" dxfId="1957" priority="4" operator="lessThan">
      <formula>0</formula>
    </cfRule>
  </conditionalFormatting>
  <conditionalFormatting sqref="P68">
    <cfRule type="cellIs" dxfId="1956" priority="3" operator="lessThan">
      <formula>0</formula>
    </cfRule>
  </conditionalFormatting>
  <conditionalFormatting sqref="P75">
    <cfRule type="cellIs" dxfId="1955" priority="2" operator="lessThan">
      <formula>0</formula>
    </cfRule>
  </conditionalFormatting>
  <conditionalFormatting sqref="AC29 R29">
    <cfRule type="cellIs" dxfId="1954" priority="1" operator="lessThan">
      <formula>0.8</formula>
    </cfRule>
  </conditionalFormatting>
  <dataValidations count="1">
    <dataValidation type="list" allowBlank="1" showInputMessage="1" showErrorMessage="1" sqref="Z8 Z66:Z67 Y5:Z7 Y8:Y67 Z10:Z62 Y68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50" t="s">
        <v>89</v>
      </c>
      <c r="C3" s="421" t="str">
        <f>TEXT('0727 4度C'!A2,"yyyy.mm.ddaaaa")</f>
        <v>2025.07.27星期日</v>
      </c>
      <c r="D3" s="421"/>
      <c r="E3" s="350" t="s">
        <v>1415</v>
      </c>
      <c r="F3" s="422">
        <f>'0727 4度C'!D1</f>
        <v>172133</v>
      </c>
      <c r="G3" s="422"/>
      <c r="H3" s="350" t="s">
        <v>1416</v>
      </c>
      <c r="I3" s="423">
        <f>'0727 4度C'!F1</f>
        <v>5870510.3900000015</v>
      </c>
      <c r="J3" s="423"/>
      <c r="K3" s="31"/>
      <c r="L3" s="32"/>
      <c r="M3" s="33"/>
      <c r="N3" s="33"/>
    </row>
    <row r="4" spans="2:17" ht="28.5" customHeight="1">
      <c r="B4" s="424" t="s">
        <v>1417</v>
      </c>
      <c r="C4" s="424" t="s">
        <v>128</v>
      </c>
      <c r="D4" s="424"/>
      <c r="E4" s="425" t="s">
        <v>1418</v>
      </c>
      <c r="F4" s="425"/>
      <c r="G4" s="425" t="s">
        <v>129</v>
      </c>
      <c r="H4" s="425"/>
      <c r="I4" s="425" t="s">
        <v>1419</v>
      </c>
      <c r="J4" s="425"/>
      <c r="L4" s="33"/>
      <c r="M4" s="33"/>
      <c r="N4" s="33"/>
    </row>
    <row r="5" spans="2:17" ht="28.5" customHeight="1">
      <c r="B5" s="424"/>
      <c r="C5" s="424" t="s">
        <v>173</v>
      </c>
      <c r="D5" s="424"/>
      <c r="E5" s="424" t="s">
        <v>1420</v>
      </c>
      <c r="F5" s="424"/>
      <c r="G5" s="426" t="s">
        <v>94</v>
      </c>
      <c r="H5" s="426"/>
      <c r="I5" s="427" t="s">
        <v>1421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140.52836553789228</v>
      </c>
      <c r="F6" s="424">
        <f>AVERAGE(D27:O27,D13:J13)</f>
        <v>142.94579917466038</v>
      </c>
      <c r="G6" s="429">
        <f>AVERAGE(D13:J13)</f>
        <v>142.94579917466038</v>
      </c>
      <c r="H6" s="429"/>
      <c r="I6" s="429">
        <f>AVERAGE(K13:M13)</f>
        <v>134.88768705210001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128.31027327125699</v>
      </c>
      <c r="F7" s="434">
        <f>AVERAGE(D28:O28,D14:J14)</f>
        <v>130.65100688418156</v>
      </c>
      <c r="G7" s="435">
        <f>AVERAGE(D14:J14)</f>
        <v>130.65100688418156</v>
      </c>
      <c r="H7" s="435"/>
      <c r="I7" s="435">
        <f>AVERAGE(K14:M14)</f>
        <v>122.84856150776632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0.91253427123714737</v>
      </c>
      <c r="F8" s="432">
        <f>AVERAGE(D15:J15,D29:O29)</f>
        <v>0.91329046391402735</v>
      </c>
      <c r="G8" s="437">
        <f>AVERAGE(D15:J15)</f>
        <v>0.91329046391402735</v>
      </c>
      <c r="H8" s="437"/>
      <c r="I8" s="437">
        <f>AVERAGE(K15:M15)</f>
        <v>0.91076982165776021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178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1422</v>
      </c>
      <c r="E12" s="42" t="s">
        <v>1423</v>
      </c>
      <c r="F12" s="42" t="s">
        <v>132</v>
      </c>
      <c r="G12" s="42" t="s">
        <v>99</v>
      </c>
      <c r="H12" s="42" t="s">
        <v>1424</v>
      </c>
      <c r="I12" s="42" t="s">
        <v>1425</v>
      </c>
      <c r="J12" s="43" t="s">
        <v>133</v>
      </c>
      <c r="K12" s="41" t="s">
        <v>1426</v>
      </c>
      <c r="L12" s="42" t="s">
        <v>1427</v>
      </c>
      <c r="M12" s="43" t="s">
        <v>1428</v>
      </c>
    </row>
    <row r="13" spans="2:17" ht="40.15" customHeight="1">
      <c r="B13" s="447" t="s">
        <v>114</v>
      </c>
      <c r="C13" s="44" t="s">
        <v>87</v>
      </c>
      <c r="D13" s="45">
        <f>SUMIFS('0727 4度C'!$K:$K,'0727 4度C'!$A:$A,"燴飯線",'0727 4度C'!$B:$B,"平均")</f>
        <v>105.88235294117646</v>
      </c>
      <c r="E13" s="46">
        <f>SUMIFS('0727 4度C'!$K:$K,'0727 4度C'!$A:$A,"沙拉線一線",'0727 4度C'!$B:$B,"平均")</f>
        <v>81.081081081081081</v>
      </c>
      <c r="F13" s="47">
        <f>SUMIFS('0727 4度C'!$K:$K,'0727 4度C'!$A:$A,"沙拉線二線",'0727 4度C'!$B:$B,"平均")</f>
        <v>80.078947368421055</v>
      </c>
      <c r="G13" s="47">
        <f>SUMIFS('0727 4度C'!$K:$K,'0727 4度C'!$A:$A,"沙拉線三線",'0727 4度C'!$B:$B,"平均")</f>
        <v>104.54545454545455</v>
      </c>
      <c r="H13" s="47">
        <f>SUMIFS('0727 4度C'!$K:$K,'0727 4度C'!$A:$A,"自動包裝線",'0727 4度C'!$B:$B,"平均")</f>
        <v>300</v>
      </c>
      <c r="I13" s="47">
        <f>SUMIFS('0727 4度C'!$K:$K,'0727 4度C'!$A:$A,"涼麵一線",'0727 4度C'!$B:$B,"平均")</f>
        <v>89.552238805970148</v>
      </c>
      <c r="J13" s="48">
        <f>SUMIFS('0727 4度C'!$K:$K,'0727 4度C'!$A:$A,"三明治四線",'0727 4度C'!$B:$B,"平均")</f>
        <v>239.48051948051946</v>
      </c>
      <c r="K13" s="49">
        <f>SUMIFS('0727 4度C'!$K:$K,'0727 4度C'!$A:$A,"三明治一線",'0727 4度C'!$B:$B,"平均")</f>
        <v>137.70491803278691</v>
      </c>
      <c r="L13" s="50">
        <f>SUMIFS('0727 4度C'!$K:$K,'0727 4度C'!$A:$A,"三明治二線",'0727 4度C'!$B:$B,"平均")</f>
        <v>127.1523178807947</v>
      </c>
      <c r="M13" s="48">
        <f>SUMIFS('0727 4度C'!$K:$K,'0727 4度C'!$A:$A,"自動包裝二線",'0727 4度C'!$B:$B,"平均")</f>
        <v>139.80582524271844</v>
      </c>
    </row>
    <row r="14" spans="2:17" ht="39.6" customHeight="1">
      <c r="B14" s="447"/>
      <c r="C14" s="51" t="s">
        <v>256</v>
      </c>
      <c r="D14" s="52">
        <f>SUMIFS('0727 4度C'!$N:$N,'0727 4度C'!$A:$A,"燴飯線",'0727 4度C'!$B:$B,"平均")</f>
        <v>97.048399922628889</v>
      </c>
      <c r="E14" s="53">
        <f>SUMIFS('0727 4度C'!$N:$N,'0727 4度C'!$A:$A,"沙拉線一線",'0727 4度C'!$B:$B,"平均")</f>
        <v>73.861226158136915</v>
      </c>
      <c r="F14" s="53">
        <f>SUMIFS('0727 4度C'!$N:$N,'0727 4度C'!$A:$A,"沙拉線二線",'0727 4度C'!$B:$B,"平均")</f>
        <v>72.703514772146619</v>
      </c>
      <c r="G14" s="53">
        <f>SUMIFS('0727 4度C'!$N:$N,'0727 4度C'!$A:$A,"沙拉線三線",'0727 4度C'!$B:$B,"平均")</f>
        <v>95.899492669600164</v>
      </c>
      <c r="H14" s="53">
        <f>SUMIFS('0727 4度C'!$N:$N,'0727 4度C'!$A:$A,"自動包裝線",'0727 4度C'!$B:$B,"平均")</f>
        <v>274.71094723416434</v>
      </c>
      <c r="I14" s="53">
        <f>SUMIFS('0727 4度C'!$N:$N,'0727 4度C'!$A:$A,"涼麵一線",'0727 4度C'!$B:$B,"平均")</f>
        <v>81.606127453624879</v>
      </c>
      <c r="J14" s="54">
        <f>SUMIFS('0727 4度C'!$N:$N,'0727 4度C'!$A:$A,"三明治四線",'0727 4度C'!$B:$B,"平均")</f>
        <v>218.72733997896913</v>
      </c>
      <c r="K14" s="55">
        <f>SUMIFS('0727 4度C'!$N:$N,'0727 4度C'!$A:$A,"三明治一線",'0727 4度C'!$B:$B,"平均")</f>
        <v>125.37320236223151</v>
      </c>
      <c r="L14" s="56">
        <f>SUMIFS('0727 4度C'!$N:$N,'0727 4度C'!$A:$A,"三明治二線",'0727 4度C'!$B:$B,"平均")</f>
        <v>115.90592755433599</v>
      </c>
      <c r="M14" s="54">
        <f>SUMIFS('0727 4度C'!$N:$N,'0727 4度C'!$A:$A,"自動包裝二線",'0727 4度C'!$B:$B,"平均")</f>
        <v>127.26655460673145</v>
      </c>
    </row>
    <row r="15" spans="2:17" ht="40.15" customHeight="1">
      <c r="B15" s="447"/>
      <c r="C15" s="57" t="s">
        <v>189</v>
      </c>
      <c r="D15" s="58">
        <f>D14/D13</f>
        <v>0.91656822149149508</v>
      </c>
      <c r="E15" s="59">
        <f t="shared" ref="E15:M15" si="0">E14/E13</f>
        <v>0.91095512261702194</v>
      </c>
      <c r="F15" s="59">
        <f t="shared" si="0"/>
        <v>0.90789798269522559</v>
      </c>
      <c r="G15" s="59">
        <f t="shared" si="0"/>
        <v>0.91729949510052333</v>
      </c>
      <c r="H15" s="59">
        <f>H14/H13</f>
        <v>0.91570315744721442</v>
      </c>
      <c r="I15" s="59">
        <f>I14/I13</f>
        <v>0.91126842323214452</v>
      </c>
      <c r="J15" s="60">
        <f>J14/J13</f>
        <v>0.91334084481456745</v>
      </c>
      <c r="K15" s="58">
        <f>K14/K13</f>
        <v>0.91044825524953821</v>
      </c>
      <c r="L15" s="59">
        <f>L14/L13</f>
        <v>0.9115518260783716</v>
      </c>
      <c r="M15" s="60">
        <f t="shared" si="0"/>
        <v>0.91030938364537084</v>
      </c>
    </row>
    <row r="16" spans="2:17" ht="17.25" customHeight="1">
      <c r="B16" s="430" t="s">
        <v>136</v>
      </c>
      <c r="C16" s="349" t="s">
        <v>1429</v>
      </c>
      <c r="D16" s="61">
        <f>VLOOKUP("燴飯線",'0727 4度C'!$A:$T,19,0)</f>
        <v>0.70833333333333337</v>
      </c>
      <c r="E16" s="24">
        <f>VLOOKUP("沙拉線一線",'0727 4度C'!$A:$T,19,0)</f>
        <v>0.12986111111111112</v>
      </c>
      <c r="F16" s="24">
        <f>VLOOKUP("沙拉線二線",'0727 4度C'!$A:$T,19,0)</f>
        <v>0.25</v>
      </c>
      <c r="G16" s="24">
        <f>VLOOKUP("沙拉線三線",'0727 4度C'!$A:$T,19,0)</f>
        <v>0.16666666666666666</v>
      </c>
      <c r="H16" s="24">
        <f>VLOOKUP("自動包裝線",'0727 4度C'!$A:$T,19,0)</f>
        <v>0.20833333333333334</v>
      </c>
      <c r="I16" s="24">
        <f>VLOOKUP("涼麵一線",'0727 4度C'!$A:$T,19,0)</f>
        <v>0.29166666666666669</v>
      </c>
      <c r="J16" s="62">
        <f>VLOOKUP("三明治四線",'0727 4度C'!$A:$T,19,0)</f>
        <v>0.20833333333333334</v>
      </c>
      <c r="K16" s="63">
        <f>VLOOKUP("三明治一線",'0727 4度C'!$A:$T,19,0)</f>
        <v>0.125</v>
      </c>
      <c r="L16" s="64">
        <f>VLOOKUP("三明治二線",'0727 4度C'!$A:$T,19,0)</f>
        <v>0.125</v>
      </c>
      <c r="M16" s="65">
        <f>VLOOKUP("自動包裝二線",'0727 4度C'!$A:$T,19,0)</f>
        <v>0.125</v>
      </c>
    </row>
    <row r="17" spans="2:13" ht="17.25" customHeight="1">
      <c r="B17" s="431"/>
      <c r="C17" s="349" t="s">
        <v>137</v>
      </c>
      <c r="D17" s="63">
        <f>LOOKUP(2,1/(('0727 4度C'!$A:$A="燴飯線")*('0727 4度C'!$T:$T&lt;&gt;"")),'0727 4度C'!$T:$T)</f>
        <v>0.86944444444444446</v>
      </c>
      <c r="E17" s="24">
        <f>LOOKUP(2,1/(('0727 4度C'!$A:$A="沙拉線一線")*('0727 4度C'!$T:$T&lt;&gt;"")),'0727 4度C'!$T:$T)</f>
        <v>0.67499999999999993</v>
      </c>
      <c r="F17" s="24">
        <f>LOOKUP(2,1/(('0727 4度C'!$A:$A="沙拉線二線")*('0727 4度C'!$T:$T&lt;&gt;"")),'0727 4度C'!$T:$T)</f>
        <v>0.84444444444444444</v>
      </c>
      <c r="G17" s="24">
        <f>LOOKUP(2,1/(('0727 4度C'!$A:$A="沙拉線三線")*('0727 4度C'!$T:$T&lt;&gt;"")),'0727 4度C'!$T:$T)</f>
        <v>0.83958333333333346</v>
      </c>
      <c r="H17" s="24">
        <f>LOOKUP(2,1/(('0727 4度C'!$A:$A="自動包裝線")*('0727 4度C'!$T:$T&lt;&gt;"")),'0727 4度C'!$T:$T)</f>
        <v>0.62847222222222221</v>
      </c>
      <c r="I17" s="24">
        <f>LOOKUP(2,1/(('0727 4度C'!$A:$A="涼麵一線")*('0727 4度C'!$T:$T&lt;&gt;"")),'0727 4度C'!$T:$T)</f>
        <v>0.83611111111111114</v>
      </c>
      <c r="J17" s="62">
        <f>LOOKUP(2,1/(('0727 4度C'!$A:$A="三明治四線")*('0727 4度C'!$T:$T&lt;&gt;"")),'0727 4度C'!$T:$T)</f>
        <v>0.5854166666666667</v>
      </c>
      <c r="K17" s="61">
        <f>LOOKUP(2,1/(('0727 4度C'!$A:$A="三明治一線")*('0727 4度C'!$T:$T&lt;&gt;"")),'0727 4度C'!$T:$T)</f>
        <v>0.67916666666666647</v>
      </c>
      <c r="L17" s="24">
        <f>LOOKUP(2,1/(('0727 4度C'!$A:$A="三明治二線")*('0727 4度C'!$T:$T&lt;&gt;"")),'0727 4度C'!$T:$T)</f>
        <v>0.67916666666666659</v>
      </c>
      <c r="M17" s="62">
        <f>LOOKUP(2,1/(('0727 4度C'!$A:$A="自動包裝二線")*('0727 4度C'!$T:$T&lt;&gt;"")),'0727 4度C'!$T:$T)</f>
        <v>0.65069444444444446</v>
      </c>
    </row>
    <row r="18" spans="2:13" ht="17.25" customHeight="1">
      <c r="B18" s="431" t="s">
        <v>1430</v>
      </c>
      <c r="C18" s="446"/>
      <c r="D18" s="66">
        <f>SUMIFS('0727 4度C'!$I:$I,'0727 4度C'!$A:$A,"燴飯線",'0727 4度C'!$B:$B,"平均")</f>
        <v>17</v>
      </c>
      <c r="E18" s="67">
        <f>SUMIFS('0727 4度C'!$I:$I,'0727 4度C'!$A:$A,"沙拉線一線",'0727 4度C'!$B:$B,"平均")</f>
        <v>18.5</v>
      </c>
      <c r="F18" s="67">
        <f>SUMIFS('0727 4度C'!$I:$I,'0727 4度C'!$A:$A,"沙拉線二線",'0727 4度C'!$B:$B,"平均")</f>
        <v>19</v>
      </c>
      <c r="G18" s="67">
        <f>SUMIFS('0727 4度C'!$I:$I,'0727 4度C'!$A:$A,"沙拉線三線",'0727 4度C'!$B:$B,"平均")</f>
        <v>16.5</v>
      </c>
      <c r="H18" s="67">
        <f>SUMIFS('0727 4度C'!$I:$I,'0727 4度C'!$A:$A,"自動包裝線",'0727 4度C'!$B:$B,"平均")</f>
        <v>10</v>
      </c>
      <c r="I18" s="67">
        <f>SUMIFS('0727 4度C'!$I:$I,'0727 4度C'!$A:$A,"涼麵一線",'0727 4度C'!$B:$B,"平均")</f>
        <v>16.75</v>
      </c>
      <c r="J18" s="68">
        <f>SUMIFS('0727 4度C'!$I:$I,'0727 4度C'!$A:$A,"三明治四線",'0727 4度C'!$B:$B,"平均")</f>
        <v>11</v>
      </c>
      <c r="K18" s="66">
        <f>SUMIFS('0727 4度C'!$I:$I,'0727 4度C'!$A:$A,"三明治一線",'0727 4度C'!$B:$B,"平均")</f>
        <v>17.428571428571427</v>
      </c>
      <c r="L18" s="67">
        <f>SUMIFS('0727 4度C'!$I:$I,'0727 4度C'!$A:$A,"三明治二線",'0727 4度C'!$B:$B,"平均")</f>
        <v>18.875</v>
      </c>
      <c r="M18" s="68">
        <f>SUMIFS('0727 4度C'!$I:$I,'0727 4度C'!$A:$A,"自動包裝二線",'0727 4度C'!$B:$B,"平均")</f>
        <v>17.166666666666668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1431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1432</v>
      </c>
      <c r="M19" s="71" t="s">
        <v>1433</v>
      </c>
    </row>
    <row r="20" spans="2:13" ht="17.25" customHeight="1">
      <c r="B20" s="448" t="s">
        <v>106</v>
      </c>
      <c r="C20" s="449"/>
      <c r="D20" s="69"/>
      <c r="E20" s="70"/>
      <c r="F20" s="70" t="s">
        <v>1434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142</v>
      </c>
      <c r="G21" s="453"/>
      <c r="H21" s="73" t="s">
        <v>107</v>
      </c>
      <c r="I21" s="73" t="s">
        <v>108</v>
      </c>
      <c r="J21" s="74" t="s">
        <v>1435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95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1436</v>
      </c>
      <c r="B1" s="1"/>
      <c r="C1" s="2" t="s">
        <v>110</v>
      </c>
      <c r="D1" s="3">
        <f>SUM(F5:F73)</f>
        <v>172133</v>
      </c>
      <c r="E1" s="351" t="s">
        <v>206</v>
      </c>
      <c r="F1" s="1">
        <f>SUM(G5:G73)</f>
        <v>5870510.3900000015</v>
      </c>
      <c r="G1" s="1" t="s">
        <v>111</v>
      </c>
      <c r="H1" s="4">
        <f>L8+L13+L53+L58+L18+L66+L35+L44+L27+L73</f>
        <v>162.2202380952381</v>
      </c>
      <c r="I1" s="454" t="s">
        <v>1437</v>
      </c>
      <c r="J1" s="454"/>
      <c r="K1" s="454"/>
      <c r="L1" s="454" t="s">
        <v>113</v>
      </c>
      <c r="M1" s="454"/>
      <c r="N1" s="454"/>
      <c r="O1" s="454" t="s">
        <v>210</v>
      </c>
      <c r="P1" s="454"/>
      <c r="Q1" s="454"/>
      <c r="R1" s="454"/>
      <c r="S1" s="454" t="s">
        <v>1438</v>
      </c>
      <c r="T1" s="454"/>
      <c r="U1" s="454"/>
      <c r="V1" s="454"/>
      <c r="W1" s="454"/>
      <c r="X1" s="454"/>
      <c r="Y1" s="454" t="s">
        <v>1439</v>
      </c>
      <c r="Z1" s="454"/>
      <c r="AA1" s="454" t="s">
        <v>1440</v>
      </c>
      <c r="AB1" s="455"/>
      <c r="AC1" s="455"/>
    </row>
    <row r="2" spans="1:29" ht="26.25" customHeight="1">
      <c r="A2" s="22">
        <v>45865</v>
      </c>
      <c r="B2" s="23" t="s">
        <v>414</v>
      </c>
      <c r="C2" s="2" t="s">
        <v>1441</v>
      </c>
      <c r="D2" s="6">
        <f>AVERAGE(N8,N13,N53,N58,N18,N66,N27,N35,N44,N73)</f>
        <v>128.31027327125699</v>
      </c>
      <c r="E2" s="7" t="s">
        <v>0</v>
      </c>
      <c r="F2" s="8">
        <f>F1/D1</f>
        <v>34.104502855350233</v>
      </c>
      <c r="G2" s="1" t="s">
        <v>1442</v>
      </c>
      <c r="H2" s="362">
        <f>COUNT(H5:H73)</f>
        <v>9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115</v>
      </c>
      <c r="B3" s="456" t="s">
        <v>116</v>
      </c>
      <c r="C3" s="456" t="s">
        <v>147</v>
      </c>
      <c r="D3" s="456"/>
      <c r="E3" s="457" t="s">
        <v>117</v>
      </c>
      <c r="F3" s="456" t="s">
        <v>118</v>
      </c>
      <c r="G3" s="457" t="s">
        <v>148</v>
      </c>
      <c r="H3" s="463" t="s">
        <v>119</v>
      </c>
      <c r="I3" s="464" t="s">
        <v>1443</v>
      </c>
      <c r="J3" s="465" t="s">
        <v>149</v>
      </c>
      <c r="K3" s="459" t="s">
        <v>114</v>
      </c>
      <c r="L3" s="464" t="s">
        <v>1444</v>
      </c>
      <c r="M3" s="465" t="s">
        <v>1445</v>
      </c>
      <c r="N3" s="459" t="s">
        <v>1446</v>
      </c>
      <c r="O3" s="464" t="s">
        <v>1444</v>
      </c>
      <c r="P3" s="459" t="s">
        <v>114</v>
      </c>
      <c r="Q3" s="460" t="s">
        <v>121</v>
      </c>
      <c r="R3" s="461" t="s">
        <v>317</v>
      </c>
      <c r="S3" s="462" t="s">
        <v>1</v>
      </c>
      <c r="T3" s="462"/>
      <c r="U3" s="463" t="s">
        <v>2</v>
      </c>
      <c r="V3" s="463" t="s">
        <v>1447</v>
      </c>
      <c r="W3" s="456" t="s">
        <v>150</v>
      </c>
      <c r="X3" s="456"/>
      <c r="Y3" s="475" t="s">
        <v>120</v>
      </c>
      <c r="Z3" s="476"/>
      <c r="AA3" s="465" t="s">
        <v>1445</v>
      </c>
      <c r="AB3" s="460" t="s">
        <v>1448</v>
      </c>
      <c r="AC3" s="461" t="s">
        <v>1449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61" t="s">
        <v>3</v>
      </c>
      <c r="T4" s="361" t="s">
        <v>4</v>
      </c>
      <c r="U4" s="463"/>
      <c r="V4" s="463"/>
      <c r="W4" s="351" t="s">
        <v>151</v>
      </c>
      <c r="X4" s="351" t="s">
        <v>122</v>
      </c>
      <c r="Y4" s="476"/>
      <c r="Z4" s="476"/>
      <c r="AA4" s="465"/>
      <c r="AB4" s="460"/>
      <c r="AC4" s="461"/>
    </row>
    <row r="5" spans="1:29">
      <c r="A5" s="471" t="s">
        <v>1450</v>
      </c>
      <c r="B5" s="26" t="s">
        <v>13</v>
      </c>
      <c r="C5" s="472" t="s">
        <v>58</v>
      </c>
      <c r="D5" s="472"/>
      <c r="E5" s="26">
        <v>46.93</v>
      </c>
      <c r="F5" s="361">
        <v>1164</v>
      </c>
      <c r="G5" s="351">
        <f>E5*F5</f>
        <v>54626.52</v>
      </c>
      <c r="H5" s="76" t="s">
        <v>57</v>
      </c>
      <c r="I5" s="359">
        <v>17</v>
      </c>
      <c r="J5" s="18">
        <v>1800</v>
      </c>
      <c r="K5" s="9">
        <f>J5/I5</f>
        <v>105.88235294117646</v>
      </c>
      <c r="L5" s="359">
        <v>17</v>
      </c>
      <c r="M5" s="10">
        <f>F5/V5*60</f>
        <v>1662.8571428571422</v>
      </c>
      <c r="N5" s="9">
        <f>M5/L5</f>
        <v>97.815126050420133</v>
      </c>
      <c r="O5" s="11">
        <f t="shared" ref="O5:O7" si="0">L5-I5</f>
        <v>0</v>
      </c>
      <c r="P5" s="12">
        <f t="shared" ref="P5:P7" si="1">N5-K5</f>
        <v>-8.0672268907563307</v>
      </c>
      <c r="Q5" s="353">
        <f>N5/K5</f>
        <v>0.92380952380952353</v>
      </c>
      <c r="R5" s="470">
        <f>Q8</f>
        <v>0.91656822149149508</v>
      </c>
      <c r="S5" s="24">
        <v>0.70833333333333337</v>
      </c>
      <c r="T5" s="24">
        <v>0.73750000000000004</v>
      </c>
      <c r="U5" s="351"/>
      <c r="V5" s="360">
        <f>(T5-S5)*24*60</f>
        <v>42.000000000000014</v>
      </c>
      <c r="W5" s="13"/>
      <c r="X5" s="13"/>
      <c r="Y5" s="456"/>
      <c r="Z5" s="456"/>
      <c r="AA5" s="11">
        <f t="shared" ref="AA5:AA68" si="2">M5-J5</f>
        <v>-137.14285714285779</v>
      </c>
      <c r="AB5" s="353">
        <f t="shared" ref="AB5:AB7" si="3">M5/J5</f>
        <v>0.92380952380952341</v>
      </c>
      <c r="AC5" s="470">
        <f>AB8</f>
        <v>0.91656822149149508</v>
      </c>
    </row>
    <row r="6" spans="1:29">
      <c r="A6" s="464" t="s">
        <v>1450</v>
      </c>
      <c r="B6" s="26" t="s">
        <v>13</v>
      </c>
      <c r="C6" s="472" t="s">
        <v>60</v>
      </c>
      <c r="D6" s="472"/>
      <c r="E6" s="26">
        <v>50.49</v>
      </c>
      <c r="F6" s="361">
        <v>2325</v>
      </c>
      <c r="G6" s="351">
        <f t="shared" ref="G6:G7" si="4">E6*F6</f>
        <v>117389.25</v>
      </c>
      <c r="H6" s="76" t="s">
        <v>57</v>
      </c>
      <c r="I6" s="359">
        <v>16</v>
      </c>
      <c r="J6" s="18">
        <v>1800</v>
      </c>
      <c r="K6" s="9">
        <f t="shared" ref="K6:K7" si="5">J6/I6</f>
        <v>112.5</v>
      </c>
      <c r="L6" s="359">
        <v>16</v>
      </c>
      <c r="M6" s="10">
        <f>F6/V6*60</f>
        <v>1641.1764705882349</v>
      </c>
      <c r="N6" s="9">
        <f t="shared" ref="N6:N7" si="6">M6/L6</f>
        <v>102.57352941176468</v>
      </c>
      <c r="O6" s="11">
        <f t="shared" si="0"/>
        <v>0</v>
      </c>
      <c r="P6" s="12">
        <f t="shared" si="1"/>
        <v>-9.9264705882353184</v>
      </c>
      <c r="Q6" s="353">
        <f t="shared" ref="Q6:Q7" si="7">N6/K6</f>
        <v>0.9117647058823527</v>
      </c>
      <c r="R6" s="470"/>
      <c r="S6" s="24">
        <v>0.74097222222222225</v>
      </c>
      <c r="T6" s="24">
        <v>0.8</v>
      </c>
      <c r="U6" s="351">
        <f>(S6-T5)*24*60</f>
        <v>4.9999999999999822</v>
      </c>
      <c r="V6" s="360">
        <f>(T6-S6)*24*60</f>
        <v>85.000000000000014</v>
      </c>
      <c r="W6" s="14"/>
      <c r="X6" s="14"/>
      <c r="Y6" s="456"/>
      <c r="Z6" s="456"/>
      <c r="AA6" s="11">
        <f t="shared" si="2"/>
        <v>-158.82352941176509</v>
      </c>
      <c r="AB6" s="353">
        <f t="shared" si="3"/>
        <v>0.9117647058823527</v>
      </c>
      <c r="AC6" s="470"/>
    </row>
    <row r="7" spans="1:29">
      <c r="A7" s="464" t="s">
        <v>1451</v>
      </c>
      <c r="B7" s="26" t="s">
        <v>13</v>
      </c>
      <c r="C7" s="468" t="s">
        <v>448</v>
      </c>
      <c r="D7" s="469"/>
      <c r="E7" s="26">
        <v>50.67</v>
      </c>
      <c r="F7" s="361">
        <v>2523</v>
      </c>
      <c r="G7" s="351">
        <f t="shared" si="4"/>
        <v>127840.41</v>
      </c>
      <c r="H7" s="76" t="s">
        <v>57</v>
      </c>
      <c r="I7" s="359">
        <v>18</v>
      </c>
      <c r="J7" s="18">
        <v>1800</v>
      </c>
      <c r="K7" s="9">
        <f t="shared" si="5"/>
        <v>100</v>
      </c>
      <c r="L7" s="359">
        <v>18</v>
      </c>
      <c r="M7" s="10">
        <f t="shared" ref="M7" si="8">F7/V7*60</f>
        <v>1645.4347826086957</v>
      </c>
      <c r="N7" s="9">
        <f t="shared" si="6"/>
        <v>91.413043478260875</v>
      </c>
      <c r="O7" s="11">
        <f t="shared" si="0"/>
        <v>0</v>
      </c>
      <c r="P7" s="12">
        <f t="shared" si="1"/>
        <v>-8.5869565217391255</v>
      </c>
      <c r="Q7" s="353">
        <f t="shared" si="7"/>
        <v>0.91413043478260869</v>
      </c>
      <c r="R7" s="470"/>
      <c r="S7" s="24">
        <v>0.80555555555555558</v>
      </c>
      <c r="T7" s="24">
        <v>0.86944444444444446</v>
      </c>
      <c r="U7" s="351">
        <f t="shared" ref="U7" si="9">(S7-T6)*24*60</f>
        <v>7.9999999999999716</v>
      </c>
      <c r="V7" s="360">
        <f t="shared" ref="V7" si="10">(T7-S7)*24*60</f>
        <v>92</v>
      </c>
      <c r="W7" s="14"/>
      <c r="X7" s="14"/>
      <c r="Y7" s="473"/>
      <c r="Z7" s="474"/>
      <c r="AA7" s="11">
        <f t="shared" si="2"/>
        <v>-154.56521739130426</v>
      </c>
      <c r="AB7" s="353">
        <f t="shared" si="3"/>
        <v>0.91413043478260869</v>
      </c>
      <c r="AC7" s="470"/>
    </row>
    <row r="8" spans="1:29">
      <c r="A8" s="464" t="s">
        <v>153</v>
      </c>
      <c r="B8" s="26" t="s">
        <v>81</v>
      </c>
      <c r="C8" s="466"/>
      <c r="D8" s="466"/>
      <c r="E8" s="352"/>
      <c r="F8" s="16"/>
      <c r="G8" s="9"/>
      <c r="H8" s="361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1649.8227986846912</v>
      </c>
      <c r="N8" s="9">
        <f>M8/L8</f>
        <v>97.048399922628889</v>
      </c>
      <c r="O8" s="11">
        <f>L8-I8</f>
        <v>0</v>
      </c>
      <c r="P8" s="12">
        <f>N8-K8</f>
        <v>-8.8339530185475752</v>
      </c>
      <c r="Q8" s="353">
        <f>N8/K8</f>
        <v>0.91656822149149508</v>
      </c>
      <c r="R8" s="470"/>
      <c r="S8" s="24"/>
      <c r="T8" s="24"/>
      <c r="U8" s="351"/>
      <c r="V8" s="360"/>
      <c r="W8" s="9"/>
      <c r="X8" s="9"/>
      <c r="Y8" s="456"/>
      <c r="Z8" s="456"/>
      <c r="AA8" s="11">
        <f t="shared" si="2"/>
        <v>-150.17720131530882</v>
      </c>
      <c r="AB8" s="353">
        <f>M8/J8</f>
        <v>0.91656822149149508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361">
        <v>4711</v>
      </c>
      <c r="G9" s="351">
        <f t="shared" ref="G9:G12" si="11">E9*F9</f>
        <v>186649.81999999998</v>
      </c>
      <c r="H9" s="76" t="s">
        <v>57</v>
      </c>
      <c r="I9" s="359">
        <v>19</v>
      </c>
      <c r="J9" s="18">
        <v>1500</v>
      </c>
      <c r="K9" s="9">
        <f t="shared" ref="K9:K12" si="12">J9/I9</f>
        <v>78.94736842105263</v>
      </c>
      <c r="L9" s="359">
        <v>19</v>
      </c>
      <c r="M9" s="10">
        <f t="shared" ref="M9:M12" si="13">F9/V9*60</f>
        <v>1365.5072463768117</v>
      </c>
      <c r="N9" s="9">
        <f t="shared" ref="N9:N12" si="14">M9/L9</f>
        <v>71.868802440884835</v>
      </c>
      <c r="O9" s="11">
        <f t="shared" ref="O9:O12" si="15">L9-I9</f>
        <v>0</v>
      </c>
      <c r="P9" s="12">
        <f>N9-K9</f>
        <v>-7.0785659801677951</v>
      </c>
      <c r="Q9" s="353">
        <f>N9/K9</f>
        <v>0.91033816425120795</v>
      </c>
      <c r="R9" s="470">
        <f>Q13</f>
        <v>0.91095512261702194</v>
      </c>
      <c r="S9" s="24">
        <v>0.12986111111111112</v>
      </c>
      <c r="T9" s="24">
        <v>0.27361111111111114</v>
      </c>
      <c r="U9" s="351"/>
      <c r="V9" s="360">
        <f t="shared" ref="V9:V12" si="16">(T9-S9)*24*60</f>
        <v>207</v>
      </c>
      <c r="W9" s="9"/>
      <c r="X9" s="9"/>
      <c r="Y9" s="456"/>
      <c r="Z9" s="456"/>
      <c r="AA9" s="11">
        <f t="shared" si="2"/>
        <v>-134.49275362318826</v>
      </c>
      <c r="AB9" s="353">
        <f>M9/J9</f>
        <v>0.91033816425120784</v>
      </c>
      <c r="AC9" s="470">
        <f>AB13</f>
        <v>0.91095512261702194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61">
        <v>2600</v>
      </c>
      <c r="G10" s="351">
        <f t="shared" si="11"/>
        <v>103479.99999999999</v>
      </c>
      <c r="H10" s="76">
        <v>2</v>
      </c>
      <c r="I10" s="359">
        <v>18</v>
      </c>
      <c r="J10" s="18">
        <v>1500</v>
      </c>
      <c r="K10" s="9">
        <f t="shared" si="12"/>
        <v>83.333333333333329</v>
      </c>
      <c r="L10" s="359">
        <v>18</v>
      </c>
      <c r="M10" s="10">
        <f t="shared" si="13"/>
        <v>1368.421052631579</v>
      </c>
      <c r="N10" s="9">
        <f t="shared" si="14"/>
        <v>76.023391812865498</v>
      </c>
      <c r="O10" s="11">
        <f t="shared" si="15"/>
        <v>0</v>
      </c>
      <c r="P10" s="12">
        <f t="shared" ref="P10:P12" si="17">N10-K10</f>
        <v>-7.3099415204678309</v>
      </c>
      <c r="Q10" s="353">
        <f t="shared" ref="Q10:Q12" si="18">N10/K10</f>
        <v>0.91228070175438603</v>
      </c>
      <c r="R10" s="470"/>
      <c r="S10" s="24">
        <v>0.2951388888888889</v>
      </c>
      <c r="T10" s="24">
        <v>0.37430555555555556</v>
      </c>
      <c r="U10" s="351">
        <f>(S10-T9)*24*60</f>
        <v>30.999999999999972</v>
      </c>
      <c r="V10" s="360">
        <f t="shared" si="16"/>
        <v>114</v>
      </c>
      <c r="W10" s="14"/>
      <c r="X10" s="14"/>
      <c r="Y10" s="456"/>
      <c r="Z10" s="456"/>
      <c r="AA10" s="11">
        <f t="shared" si="2"/>
        <v>-131.57894736842104</v>
      </c>
      <c r="AB10" s="353">
        <f t="shared" ref="AB10:AB27" si="19">M10/J10</f>
        <v>0.91228070175438603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61">
        <v>4189</v>
      </c>
      <c r="G11" s="351">
        <f t="shared" si="11"/>
        <v>164585.81</v>
      </c>
      <c r="H11" s="76" t="s">
        <v>57</v>
      </c>
      <c r="I11" s="359">
        <v>19</v>
      </c>
      <c r="J11" s="18">
        <v>1500</v>
      </c>
      <c r="K11" s="9">
        <f t="shared" si="12"/>
        <v>78.94736842105263</v>
      </c>
      <c r="L11" s="359">
        <v>19</v>
      </c>
      <c r="M11" s="10">
        <f t="shared" si="13"/>
        <v>1365.9782608695652</v>
      </c>
      <c r="N11" s="9">
        <f t="shared" si="14"/>
        <v>71.893592677345538</v>
      </c>
      <c r="O11" s="11">
        <f t="shared" si="15"/>
        <v>0</v>
      </c>
      <c r="P11" s="12">
        <f t="shared" si="17"/>
        <v>-7.0537757437070923</v>
      </c>
      <c r="Q11" s="353">
        <f t="shared" si="18"/>
        <v>0.91065217391304354</v>
      </c>
      <c r="R11" s="470"/>
      <c r="S11" s="24">
        <v>0.38263888888888886</v>
      </c>
      <c r="T11" s="24">
        <v>0.51041666666666663</v>
      </c>
      <c r="U11" s="351">
        <f t="shared" ref="U11:U12" si="20">(S11-T10)*24*60</f>
        <v>11.999999999999957</v>
      </c>
      <c r="V11" s="360">
        <f t="shared" si="16"/>
        <v>184</v>
      </c>
      <c r="W11" s="14"/>
      <c r="X11" s="14"/>
      <c r="Y11" s="456"/>
      <c r="Z11" s="456"/>
      <c r="AA11" s="11">
        <f t="shared" si="2"/>
        <v>-134.02173913043475</v>
      </c>
      <c r="AB11" s="353">
        <f t="shared" si="19"/>
        <v>0.91065217391304354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361">
        <v>4143</v>
      </c>
      <c r="G12" s="351">
        <f t="shared" si="11"/>
        <v>164891.4</v>
      </c>
      <c r="H12" s="76" t="s">
        <v>57</v>
      </c>
      <c r="I12" s="359">
        <v>18</v>
      </c>
      <c r="J12" s="18">
        <v>1500</v>
      </c>
      <c r="K12" s="9">
        <f t="shared" si="12"/>
        <v>83.333333333333329</v>
      </c>
      <c r="L12" s="359">
        <v>18</v>
      </c>
      <c r="M12" s="10">
        <f t="shared" si="13"/>
        <v>1365.8241758241757</v>
      </c>
      <c r="N12" s="9">
        <f t="shared" si="14"/>
        <v>75.879120879120876</v>
      </c>
      <c r="O12" s="11">
        <f t="shared" si="15"/>
        <v>0</v>
      </c>
      <c r="P12" s="12">
        <f t="shared" si="17"/>
        <v>-7.4542124542124526</v>
      </c>
      <c r="Q12" s="353">
        <f t="shared" si="18"/>
        <v>0.91054945054945058</v>
      </c>
      <c r="R12" s="470"/>
      <c r="S12" s="24">
        <v>0.54861111111111105</v>
      </c>
      <c r="T12" s="24">
        <v>0.67499999999999993</v>
      </c>
      <c r="U12" s="351">
        <f t="shared" si="20"/>
        <v>54.999999999999964</v>
      </c>
      <c r="V12" s="360">
        <f t="shared" si="16"/>
        <v>182</v>
      </c>
      <c r="W12" s="14"/>
      <c r="X12" s="14"/>
      <c r="Y12" s="456"/>
      <c r="Z12" s="456"/>
      <c r="AA12" s="11">
        <f t="shared" si="2"/>
        <v>-134.17582417582435</v>
      </c>
      <c r="AB12" s="353">
        <f t="shared" si="19"/>
        <v>0.91054945054945047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352"/>
      <c r="F13" s="18"/>
      <c r="G13" s="10"/>
      <c r="H13" s="361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1366.432683925533</v>
      </c>
      <c r="N13" s="9">
        <f>M13/L13</f>
        <v>73.861226158136915</v>
      </c>
      <c r="O13" s="11">
        <f>L13-I13</f>
        <v>0</v>
      </c>
      <c r="P13" s="12">
        <f>N13-K13</f>
        <v>-7.2198549229441653</v>
      </c>
      <c r="Q13" s="353">
        <f>N13/K13</f>
        <v>0.91095512261702194</v>
      </c>
      <c r="R13" s="470"/>
      <c r="S13" s="24"/>
      <c r="T13" s="24"/>
      <c r="U13" s="9"/>
      <c r="V13" s="360"/>
      <c r="W13" s="9"/>
      <c r="X13" s="9"/>
      <c r="Y13" s="456"/>
      <c r="Z13" s="456"/>
      <c r="AA13" s="11">
        <f t="shared" si="2"/>
        <v>-133.56731607446704</v>
      </c>
      <c r="AB13" s="353">
        <f t="shared" si="19"/>
        <v>0.91095512261702194</v>
      </c>
      <c r="AC13" s="470"/>
    </row>
    <row r="14" spans="1:29" ht="16.5" customHeight="1">
      <c r="A14" s="480" t="s">
        <v>124</v>
      </c>
      <c r="B14" s="361" t="s">
        <v>18</v>
      </c>
      <c r="C14" s="477" t="s">
        <v>19</v>
      </c>
      <c r="D14" s="477"/>
      <c r="E14" s="26">
        <v>41</v>
      </c>
      <c r="F14" s="361">
        <v>2007</v>
      </c>
      <c r="G14" s="351">
        <f t="shared" ref="G14:G17" si="21">E14*F14</f>
        <v>82287</v>
      </c>
      <c r="H14" s="76" t="s">
        <v>57</v>
      </c>
      <c r="I14" s="359">
        <v>26</v>
      </c>
      <c r="J14" s="18">
        <v>1286</v>
      </c>
      <c r="K14" s="9">
        <f>J14/I14</f>
        <v>49.46153846153846</v>
      </c>
      <c r="L14" s="359">
        <v>26</v>
      </c>
      <c r="M14" s="10">
        <f>F14/V14*60</f>
        <v>1169.1262135922336</v>
      </c>
      <c r="N14" s="9">
        <f t="shared" ref="N14:N26" si="22">M14/L14</f>
        <v>44.966392830470525</v>
      </c>
      <c r="O14" s="11">
        <f t="shared" ref="O14" si="23">L14-I14</f>
        <v>0</v>
      </c>
      <c r="P14" s="12">
        <f t="shared" ref="P14" si="24">N14-K14</f>
        <v>-4.4951456310679347</v>
      </c>
      <c r="Q14" s="353">
        <f>N14/K14</f>
        <v>0.90911836204683805</v>
      </c>
      <c r="R14" s="470">
        <f>Q18</f>
        <v>0.90789798269522559</v>
      </c>
      <c r="S14" s="24">
        <v>0.25</v>
      </c>
      <c r="T14" s="24">
        <v>0.32152777777777775</v>
      </c>
      <c r="U14" s="351"/>
      <c r="V14" s="360">
        <f>(T14-S14)*24*60</f>
        <v>102.99999999999996</v>
      </c>
      <c r="W14" s="15"/>
      <c r="X14" s="15"/>
      <c r="Y14" s="456"/>
      <c r="Z14" s="456"/>
      <c r="AA14" s="11">
        <f t="shared" si="2"/>
        <v>-116.87378640776637</v>
      </c>
      <c r="AB14" s="353">
        <f t="shared" si="19"/>
        <v>0.90911836204683794</v>
      </c>
      <c r="AC14" s="470">
        <f>AB18</f>
        <v>0.9078979826952257</v>
      </c>
    </row>
    <row r="15" spans="1:29" ht="16.5" customHeight="1">
      <c r="A15" s="481" t="s">
        <v>6</v>
      </c>
      <c r="B15" s="361" t="s">
        <v>15</v>
      </c>
      <c r="C15" s="477" t="s">
        <v>54</v>
      </c>
      <c r="D15" s="477"/>
      <c r="E15" s="26">
        <v>39.29</v>
      </c>
      <c r="F15" s="361">
        <v>3549</v>
      </c>
      <c r="G15" s="351">
        <f t="shared" si="21"/>
        <v>139440.21</v>
      </c>
      <c r="H15" s="76" t="s">
        <v>57</v>
      </c>
      <c r="I15" s="359">
        <v>17</v>
      </c>
      <c r="J15" s="18">
        <v>1500</v>
      </c>
      <c r="K15" s="9">
        <f>J15/I15</f>
        <v>88.235294117647058</v>
      </c>
      <c r="L15" s="359">
        <v>17</v>
      </c>
      <c r="M15" s="10">
        <f>F15/V15*60</f>
        <v>1365</v>
      </c>
      <c r="N15" s="9">
        <f t="shared" si="22"/>
        <v>80.294117647058826</v>
      </c>
      <c r="O15" s="11">
        <f>L15-I15</f>
        <v>0</v>
      </c>
      <c r="P15" s="12">
        <f>N15-K15</f>
        <v>-7.941176470588232</v>
      </c>
      <c r="Q15" s="353">
        <f>N15/K15</f>
        <v>0.91</v>
      </c>
      <c r="R15" s="470"/>
      <c r="S15" s="24">
        <v>0.32986111111111105</v>
      </c>
      <c r="T15" s="24">
        <v>0.43819444444444439</v>
      </c>
      <c r="U15" s="351">
        <f>(S15-T14)*24*60</f>
        <v>11.999999999999957</v>
      </c>
      <c r="V15" s="360">
        <f>(T15-S15)*24*60</f>
        <v>156</v>
      </c>
      <c r="W15" s="14"/>
      <c r="X15" s="14"/>
      <c r="Y15" s="456"/>
      <c r="Z15" s="456"/>
      <c r="AA15" s="11">
        <f t="shared" si="2"/>
        <v>-135</v>
      </c>
      <c r="AB15" s="353">
        <f t="shared" si="19"/>
        <v>0.91</v>
      </c>
      <c r="AC15" s="470"/>
    </row>
    <row r="16" spans="1:29" ht="16.5" customHeight="1">
      <c r="A16" s="481" t="s">
        <v>6</v>
      </c>
      <c r="B16" s="361" t="s">
        <v>13</v>
      </c>
      <c r="C16" s="477" t="s">
        <v>63</v>
      </c>
      <c r="D16" s="477"/>
      <c r="E16" s="26">
        <v>50.98</v>
      </c>
      <c r="F16" s="361">
        <v>2994</v>
      </c>
      <c r="G16" s="351">
        <f t="shared" si="21"/>
        <v>152634.12</v>
      </c>
      <c r="H16" s="76" t="s">
        <v>57</v>
      </c>
      <c r="I16" s="359">
        <v>17</v>
      </c>
      <c r="J16" s="18">
        <v>1800</v>
      </c>
      <c r="K16" s="9">
        <f t="shared" ref="K16:K17" si="25">J16/I16</f>
        <v>105.88235294117646</v>
      </c>
      <c r="L16" s="359">
        <v>17</v>
      </c>
      <c r="M16" s="10">
        <f t="shared" ref="M16:M17" si="26">F16/V16*60</f>
        <v>1633.0909090909101</v>
      </c>
      <c r="N16" s="9">
        <f t="shared" si="22"/>
        <v>96.064171122994708</v>
      </c>
      <c r="O16" s="11">
        <f t="shared" ref="O16:O17" si="27">L16-I16</f>
        <v>0</v>
      </c>
      <c r="P16" s="12">
        <f t="shared" ref="P16:P17" si="28">N16-K16</f>
        <v>-9.8181818181817562</v>
      </c>
      <c r="Q16" s="353">
        <f t="shared" ref="Q16:Q26" si="29">N16/K16</f>
        <v>0.9072727272727279</v>
      </c>
      <c r="R16" s="470"/>
      <c r="S16" s="24">
        <v>0.70833333333333337</v>
      </c>
      <c r="T16" s="24">
        <v>0.78472222222222221</v>
      </c>
      <c r="U16" s="351">
        <f t="shared" ref="U16:U17" si="30">(S16-T15)*24*60</f>
        <v>389.00000000000017</v>
      </c>
      <c r="V16" s="360">
        <f t="shared" ref="V16:V17" si="31">(T16-S16)*24*60</f>
        <v>109.99999999999993</v>
      </c>
      <c r="W16" s="14"/>
      <c r="X16" s="14"/>
      <c r="Y16" s="456"/>
      <c r="Z16" s="456"/>
      <c r="AA16" s="11">
        <f t="shared" si="2"/>
        <v>-166.90909090908985</v>
      </c>
      <c r="AB16" s="353">
        <f t="shared" si="19"/>
        <v>0.9072727272727279</v>
      </c>
      <c r="AC16" s="470"/>
    </row>
    <row r="17" spans="1:29" ht="16.5" customHeight="1">
      <c r="A17" s="481" t="s">
        <v>6</v>
      </c>
      <c r="B17" s="361" t="s">
        <v>13</v>
      </c>
      <c r="C17" s="477" t="s">
        <v>66</v>
      </c>
      <c r="D17" s="477"/>
      <c r="E17" s="26">
        <v>57.73</v>
      </c>
      <c r="F17" s="361">
        <v>1811</v>
      </c>
      <c r="G17" s="351">
        <f t="shared" si="21"/>
        <v>104549.03</v>
      </c>
      <c r="H17" s="76" t="s">
        <v>57</v>
      </c>
      <c r="I17" s="359">
        <v>16</v>
      </c>
      <c r="J17" s="18">
        <v>1500</v>
      </c>
      <c r="K17" s="9">
        <f t="shared" si="25"/>
        <v>93.75</v>
      </c>
      <c r="L17" s="359">
        <v>16</v>
      </c>
      <c r="M17" s="10">
        <f t="shared" si="26"/>
        <v>1358.2499999999995</v>
      </c>
      <c r="N17" s="9">
        <f t="shared" si="22"/>
        <v>84.890624999999972</v>
      </c>
      <c r="O17" s="11">
        <f t="shared" si="27"/>
        <v>0</v>
      </c>
      <c r="P17" s="12">
        <f t="shared" si="28"/>
        <v>-8.8593750000000284</v>
      </c>
      <c r="Q17" s="353">
        <f t="shared" si="29"/>
        <v>0.90549999999999975</v>
      </c>
      <c r="R17" s="470"/>
      <c r="S17" s="24">
        <v>0.78888888888888886</v>
      </c>
      <c r="T17" s="24">
        <v>0.84444444444444444</v>
      </c>
      <c r="U17" s="351">
        <f t="shared" si="30"/>
        <v>5.9999999999999787</v>
      </c>
      <c r="V17" s="360">
        <f t="shared" si="31"/>
        <v>80.000000000000028</v>
      </c>
      <c r="W17" s="14"/>
      <c r="X17" s="14"/>
      <c r="Y17" s="456"/>
      <c r="Z17" s="456"/>
      <c r="AA17" s="11">
        <f t="shared" si="2"/>
        <v>-141.75000000000045</v>
      </c>
      <c r="AB17" s="353">
        <f t="shared" si="19"/>
        <v>0.90549999999999975</v>
      </c>
      <c r="AC17" s="470"/>
    </row>
    <row r="18" spans="1:29" ht="16.5" customHeight="1">
      <c r="A18" s="481" t="s">
        <v>6</v>
      </c>
      <c r="B18" s="26" t="s">
        <v>81</v>
      </c>
      <c r="C18" s="466"/>
      <c r="D18" s="466"/>
      <c r="E18" s="352"/>
      <c r="F18" s="16"/>
      <c r="G18" s="9"/>
      <c r="H18" s="361"/>
      <c r="I18" s="17">
        <v>19</v>
      </c>
      <c r="J18" s="18">
        <v>1521.5</v>
      </c>
      <c r="K18" s="9">
        <f>J18/I18</f>
        <v>80.078947368421055</v>
      </c>
      <c r="L18" s="17">
        <v>19</v>
      </c>
      <c r="M18" s="10">
        <f>AVERAGE(M14:M17)</f>
        <v>1381.3667806707858</v>
      </c>
      <c r="N18" s="9">
        <f t="shared" si="22"/>
        <v>72.703514772146619</v>
      </c>
      <c r="O18" s="11">
        <f>L18-I18</f>
        <v>0</v>
      </c>
      <c r="P18" s="12">
        <f>N18-K18</f>
        <v>-7.375432596274436</v>
      </c>
      <c r="Q18" s="353">
        <f t="shared" si="29"/>
        <v>0.90789798269522559</v>
      </c>
      <c r="R18" s="470"/>
      <c r="S18" s="24"/>
      <c r="T18" s="24"/>
      <c r="U18" s="351"/>
      <c r="V18" s="360"/>
      <c r="W18" s="9"/>
      <c r="X18" s="9"/>
      <c r="Y18" s="456"/>
      <c r="Z18" s="456"/>
      <c r="AA18" s="11">
        <f t="shared" si="2"/>
        <v>-140.13321932921417</v>
      </c>
      <c r="AB18" s="353">
        <f t="shared" si="19"/>
        <v>0.9078979826952257</v>
      </c>
      <c r="AC18" s="470"/>
    </row>
    <row r="19" spans="1:29" ht="15.75" customHeight="1">
      <c r="A19" s="478" t="s">
        <v>240</v>
      </c>
      <c r="B19" s="26" t="s">
        <v>21</v>
      </c>
      <c r="C19" s="477" t="s">
        <v>22</v>
      </c>
      <c r="D19" s="477"/>
      <c r="E19" s="26">
        <v>43.14</v>
      </c>
      <c r="F19" s="361">
        <v>1425</v>
      </c>
      <c r="G19" s="351">
        <f t="shared" ref="G19:G26" si="32">E19*F19</f>
        <v>61474.5</v>
      </c>
      <c r="H19" s="76" t="s">
        <v>57</v>
      </c>
      <c r="I19" s="359">
        <v>17</v>
      </c>
      <c r="J19" s="18">
        <v>1200</v>
      </c>
      <c r="K19" s="9">
        <f t="shared" ref="K19:K27" si="33">J19/I19</f>
        <v>70.588235294117652</v>
      </c>
      <c r="L19" s="359">
        <v>17</v>
      </c>
      <c r="M19" s="10">
        <f t="shared" ref="M19:M26" si="34">F19/V19*60</f>
        <v>1096.1538461538462</v>
      </c>
      <c r="N19" s="9">
        <f t="shared" si="22"/>
        <v>64.479638009049779</v>
      </c>
      <c r="O19" s="11">
        <f t="shared" ref="O19:O26" si="35">L19-I19</f>
        <v>0</v>
      </c>
      <c r="P19" s="12">
        <f t="shared" ref="P19:P26" si="36">N19-K19</f>
        <v>-6.1085972850678729</v>
      </c>
      <c r="Q19" s="353">
        <f t="shared" si="29"/>
        <v>0.91346153846153844</v>
      </c>
      <c r="R19" s="470">
        <f>Q27</f>
        <v>0.91729949510052333</v>
      </c>
      <c r="S19" s="24">
        <v>0.16666666666666666</v>
      </c>
      <c r="T19" s="24">
        <v>0.22083333333333333</v>
      </c>
      <c r="U19" s="351"/>
      <c r="V19" s="360">
        <f>(T19-S19)*24*60</f>
        <v>78</v>
      </c>
      <c r="W19" s="15"/>
      <c r="X19" s="15"/>
      <c r="Y19" s="456"/>
      <c r="Z19" s="456"/>
      <c r="AA19" s="11">
        <f t="shared" si="2"/>
        <v>-103.84615384615381</v>
      </c>
      <c r="AB19" s="353">
        <f t="shared" si="19"/>
        <v>0.91346153846153844</v>
      </c>
      <c r="AC19" s="470">
        <f>AB27</f>
        <v>0.91729949510052322</v>
      </c>
    </row>
    <row r="20" spans="1:29" ht="15.75" customHeight="1">
      <c r="A20" s="479" t="s">
        <v>7</v>
      </c>
      <c r="B20" s="26" t="s">
        <v>13</v>
      </c>
      <c r="C20" s="477" t="s">
        <v>23</v>
      </c>
      <c r="D20" s="477"/>
      <c r="E20" s="26">
        <v>57.73</v>
      </c>
      <c r="F20" s="361">
        <v>3190</v>
      </c>
      <c r="G20" s="351">
        <f t="shared" si="32"/>
        <v>184158.69999999998</v>
      </c>
      <c r="H20" s="76" t="s">
        <v>57</v>
      </c>
      <c r="I20" s="359">
        <v>16</v>
      </c>
      <c r="J20" s="18">
        <v>1800</v>
      </c>
      <c r="K20" s="9">
        <f t="shared" si="33"/>
        <v>112.5</v>
      </c>
      <c r="L20" s="359">
        <v>16</v>
      </c>
      <c r="M20" s="10">
        <f t="shared" si="34"/>
        <v>1635.8974358974353</v>
      </c>
      <c r="N20" s="9">
        <f t="shared" si="22"/>
        <v>102.24358974358971</v>
      </c>
      <c r="O20" s="11">
        <f t="shared" si="35"/>
        <v>0</v>
      </c>
      <c r="P20" s="12">
        <f t="shared" si="36"/>
        <v>-10.256410256410291</v>
      </c>
      <c r="Q20" s="353">
        <f t="shared" si="29"/>
        <v>0.90883190883190856</v>
      </c>
      <c r="R20" s="470"/>
      <c r="S20" s="24">
        <v>0.24027777777777778</v>
      </c>
      <c r="T20" s="24">
        <v>0.3215277777777778</v>
      </c>
      <c r="U20" s="351">
        <f>(S20-T19)*24*60</f>
        <v>28.000000000000021</v>
      </c>
      <c r="V20" s="360">
        <f t="shared" ref="V20:V26" si="37">(T20-S20)*24*60</f>
        <v>117.00000000000003</v>
      </c>
      <c r="W20" s="14"/>
      <c r="X20" s="351"/>
      <c r="Y20" s="456"/>
      <c r="Z20" s="456"/>
      <c r="AA20" s="11">
        <f t="shared" si="2"/>
        <v>-164.10256410256466</v>
      </c>
      <c r="AB20" s="353">
        <f t="shared" si="19"/>
        <v>0.90883190883190856</v>
      </c>
      <c r="AC20" s="470"/>
    </row>
    <row r="21" spans="1:29" ht="15.75" customHeight="1">
      <c r="A21" s="479" t="s">
        <v>7</v>
      </c>
      <c r="B21" s="26" t="s">
        <v>13</v>
      </c>
      <c r="C21" s="477" t="s">
        <v>14</v>
      </c>
      <c r="D21" s="477"/>
      <c r="E21" s="26">
        <v>53.68</v>
      </c>
      <c r="F21" s="361">
        <v>2096</v>
      </c>
      <c r="G21" s="351">
        <f t="shared" si="32"/>
        <v>112513.28</v>
      </c>
      <c r="H21" s="76" t="s">
        <v>57</v>
      </c>
      <c r="I21" s="359">
        <v>17</v>
      </c>
      <c r="J21" s="18">
        <v>1800</v>
      </c>
      <c r="K21" s="9">
        <f t="shared" si="33"/>
        <v>105.88235294117646</v>
      </c>
      <c r="L21" s="359">
        <v>17</v>
      </c>
      <c r="M21" s="10">
        <f t="shared" si="34"/>
        <v>1633.246753246754</v>
      </c>
      <c r="N21" s="9">
        <f t="shared" si="22"/>
        <v>96.073338426279648</v>
      </c>
      <c r="O21" s="11">
        <f t="shared" si="35"/>
        <v>0</v>
      </c>
      <c r="P21" s="12">
        <f t="shared" si="36"/>
        <v>-9.8090145148968162</v>
      </c>
      <c r="Q21" s="353">
        <f t="shared" si="29"/>
        <v>0.90735930735930781</v>
      </c>
      <c r="R21" s="470"/>
      <c r="S21" s="24">
        <v>0.32500000000000001</v>
      </c>
      <c r="T21" s="24">
        <v>0.37847222222222221</v>
      </c>
      <c r="U21" s="351">
        <f t="shared" ref="U21:U26" si="38">(S21-T20)*24*60</f>
        <v>4.9999999999999822</v>
      </c>
      <c r="V21" s="360">
        <f t="shared" si="37"/>
        <v>76.999999999999972</v>
      </c>
      <c r="W21" s="14"/>
      <c r="X21" s="351"/>
      <c r="Y21" s="456"/>
      <c r="Z21" s="456"/>
      <c r="AA21" s="11">
        <f t="shared" si="2"/>
        <v>-166.753246753246</v>
      </c>
      <c r="AB21" s="353">
        <f t="shared" si="19"/>
        <v>0.90735930735930781</v>
      </c>
      <c r="AC21" s="470"/>
    </row>
    <row r="22" spans="1:29" ht="15.75" customHeight="1">
      <c r="A22" s="479" t="s">
        <v>7</v>
      </c>
      <c r="B22" s="26" t="s">
        <v>13</v>
      </c>
      <c r="C22" s="477" t="s">
        <v>72</v>
      </c>
      <c r="D22" s="477"/>
      <c r="E22" s="26">
        <v>50.67</v>
      </c>
      <c r="F22" s="361">
        <v>1214</v>
      </c>
      <c r="G22" s="351">
        <f t="shared" si="32"/>
        <v>61513.380000000005</v>
      </c>
      <c r="H22" s="76" t="s">
        <v>57</v>
      </c>
      <c r="I22" s="359">
        <v>16</v>
      </c>
      <c r="J22" s="18">
        <v>1800</v>
      </c>
      <c r="K22" s="9">
        <f t="shared" si="33"/>
        <v>112.5</v>
      </c>
      <c r="L22" s="359">
        <v>16</v>
      </c>
      <c r="M22" s="10">
        <f t="shared" si="34"/>
        <v>1655.4545454545455</v>
      </c>
      <c r="N22" s="9">
        <f t="shared" si="22"/>
        <v>103.46590909090909</v>
      </c>
      <c r="O22" s="11">
        <f t="shared" si="35"/>
        <v>0</v>
      </c>
      <c r="P22" s="12">
        <f t="shared" si="36"/>
        <v>-9.0340909090909065</v>
      </c>
      <c r="Q22" s="353">
        <f t="shared" si="29"/>
        <v>0.91969696969696968</v>
      </c>
      <c r="R22" s="470"/>
      <c r="S22" s="24">
        <v>0.38194444444444442</v>
      </c>
      <c r="T22" s="24">
        <v>0.41249999999999998</v>
      </c>
      <c r="U22" s="351">
        <f t="shared" si="38"/>
        <v>4.9999999999999822</v>
      </c>
      <c r="V22" s="360">
        <f t="shared" si="37"/>
        <v>44</v>
      </c>
      <c r="W22" s="14"/>
      <c r="X22" s="351"/>
      <c r="Y22" s="456"/>
      <c r="Z22" s="456"/>
      <c r="AA22" s="11">
        <f t="shared" si="2"/>
        <v>-144.5454545454545</v>
      </c>
      <c r="AB22" s="353">
        <f t="shared" si="19"/>
        <v>0.91969696969696968</v>
      </c>
      <c r="AC22" s="470"/>
    </row>
    <row r="23" spans="1:29" ht="15.75" customHeight="1">
      <c r="A23" s="479" t="s">
        <v>7</v>
      </c>
      <c r="B23" s="26" t="s">
        <v>13</v>
      </c>
      <c r="C23" s="477" t="s">
        <v>784</v>
      </c>
      <c r="D23" s="477"/>
      <c r="E23" s="26">
        <v>58.17</v>
      </c>
      <c r="F23" s="361">
        <v>3533</v>
      </c>
      <c r="G23" s="351">
        <f t="shared" si="32"/>
        <v>205514.61000000002</v>
      </c>
      <c r="H23" s="76" t="s">
        <v>57</v>
      </c>
      <c r="I23" s="359">
        <v>18</v>
      </c>
      <c r="J23" s="18">
        <v>1800</v>
      </c>
      <c r="K23" s="9">
        <f t="shared" si="33"/>
        <v>100</v>
      </c>
      <c r="L23" s="359">
        <v>18</v>
      </c>
      <c r="M23" s="10">
        <f t="shared" si="34"/>
        <v>1643.2558139534881</v>
      </c>
      <c r="N23" s="9">
        <f t="shared" si="22"/>
        <v>91.291989664082678</v>
      </c>
      <c r="O23" s="11">
        <f t="shared" si="35"/>
        <v>0</v>
      </c>
      <c r="P23" s="12">
        <f t="shared" si="36"/>
        <v>-8.7080103359173222</v>
      </c>
      <c r="Q23" s="353">
        <f t="shared" si="29"/>
        <v>0.91291989664082673</v>
      </c>
      <c r="R23" s="470"/>
      <c r="S23" s="24">
        <v>0.41805555555555551</v>
      </c>
      <c r="T23" s="24">
        <v>0.50763888888888886</v>
      </c>
      <c r="U23" s="351">
        <f t="shared" si="38"/>
        <v>7.9999999999999716</v>
      </c>
      <c r="V23" s="360">
        <f t="shared" si="37"/>
        <v>129.00000000000003</v>
      </c>
      <c r="W23" s="14"/>
      <c r="X23" s="351"/>
      <c r="Y23" s="456"/>
      <c r="Z23" s="456"/>
      <c r="AA23" s="11">
        <f t="shared" si="2"/>
        <v>-156.74418604651191</v>
      </c>
      <c r="AB23" s="353">
        <f t="shared" si="19"/>
        <v>0.91291989664082673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361">
        <v>3146</v>
      </c>
      <c r="G24" s="351">
        <f t="shared" si="32"/>
        <v>160194.32</v>
      </c>
      <c r="H24" s="76" t="s">
        <v>57</v>
      </c>
      <c r="I24" s="359">
        <v>16</v>
      </c>
      <c r="J24" s="18">
        <v>1800</v>
      </c>
      <c r="K24" s="9">
        <f t="shared" si="33"/>
        <v>112.5</v>
      </c>
      <c r="L24" s="359">
        <v>16</v>
      </c>
      <c r="M24" s="10">
        <f t="shared" si="34"/>
        <v>1641.3913043478251</v>
      </c>
      <c r="N24" s="9">
        <f t="shared" si="22"/>
        <v>102.58695652173907</v>
      </c>
      <c r="O24" s="11">
        <f t="shared" si="35"/>
        <v>0</v>
      </c>
      <c r="P24" s="12">
        <f t="shared" si="36"/>
        <v>-9.9130434782609314</v>
      </c>
      <c r="Q24" s="353">
        <f t="shared" si="29"/>
        <v>0.91188405797101391</v>
      </c>
      <c r="R24" s="470"/>
      <c r="S24" s="24">
        <v>0.70833333333333337</v>
      </c>
      <c r="T24" s="24">
        <v>0.78819444444444453</v>
      </c>
      <c r="U24" s="351">
        <f t="shared" si="38"/>
        <v>289.00000000000011</v>
      </c>
      <c r="V24" s="360">
        <f t="shared" si="37"/>
        <v>115.00000000000007</v>
      </c>
      <c r="W24" s="14"/>
      <c r="X24" s="15"/>
      <c r="Y24" s="456"/>
      <c r="Z24" s="456"/>
      <c r="AA24" s="11">
        <f t="shared" si="2"/>
        <v>-158.6086956521749</v>
      </c>
      <c r="AB24" s="353">
        <f t="shared" si="19"/>
        <v>0.91188405797101391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361">
        <v>676</v>
      </c>
      <c r="G25" s="351">
        <f t="shared" si="32"/>
        <v>36010.520000000004</v>
      </c>
      <c r="H25" s="76" t="s">
        <v>57</v>
      </c>
      <c r="I25" s="359">
        <v>15</v>
      </c>
      <c r="J25" s="18">
        <v>1800</v>
      </c>
      <c r="K25" s="9">
        <f t="shared" si="33"/>
        <v>120</v>
      </c>
      <c r="L25" s="359">
        <v>15</v>
      </c>
      <c r="M25" s="10">
        <f t="shared" si="34"/>
        <v>1689.9999999999948</v>
      </c>
      <c r="N25" s="9">
        <f t="shared" si="22"/>
        <v>112.66666666666632</v>
      </c>
      <c r="O25" s="11">
        <f t="shared" si="35"/>
        <v>0</v>
      </c>
      <c r="P25" s="12">
        <f t="shared" si="36"/>
        <v>-7.3333333333336839</v>
      </c>
      <c r="Q25" s="353">
        <f t="shared" si="29"/>
        <v>0.938888888888886</v>
      </c>
      <c r="R25" s="470"/>
      <c r="S25" s="24">
        <v>0.79236111111111118</v>
      </c>
      <c r="T25" s="24">
        <v>0.8090277777777779</v>
      </c>
      <c r="U25" s="351">
        <f t="shared" si="38"/>
        <v>5.9999999999999787</v>
      </c>
      <c r="V25" s="360">
        <f t="shared" si="37"/>
        <v>24.000000000000075</v>
      </c>
      <c r="W25" s="14"/>
      <c r="X25" s="15"/>
      <c r="Y25" s="473"/>
      <c r="Z25" s="474"/>
      <c r="AA25" s="11">
        <f t="shared" si="2"/>
        <v>-110.00000000000523</v>
      </c>
      <c r="AB25" s="353">
        <f t="shared" si="19"/>
        <v>0.938888888888886</v>
      </c>
      <c r="AC25" s="470"/>
    </row>
    <row r="26" spans="1:29" ht="15.75" customHeight="1">
      <c r="A26" s="479" t="s">
        <v>7</v>
      </c>
      <c r="B26" s="26" t="s">
        <v>13</v>
      </c>
      <c r="C26" s="482" t="s">
        <v>1162</v>
      </c>
      <c r="D26" s="483"/>
      <c r="E26" s="26">
        <v>49.91</v>
      </c>
      <c r="F26" s="361">
        <v>998</v>
      </c>
      <c r="G26" s="351">
        <f t="shared" si="32"/>
        <v>49810.179999999993</v>
      </c>
      <c r="H26" s="76" t="s">
        <v>57</v>
      </c>
      <c r="I26" s="359">
        <v>17</v>
      </c>
      <c r="J26" s="18">
        <v>1800</v>
      </c>
      <c r="K26" s="9">
        <f t="shared" si="33"/>
        <v>105.88235294117646</v>
      </c>
      <c r="L26" s="359">
        <v>17</v>
      </c>
      <c r="M26" s="10">
        <f t="shared" si="34"/>
        <v>1663.3333333333321</v>
      </c>
      <c r="N26" s="9">
        <f t="shared" si="22"/>
        <v>97.84313725490189</v>
      </c>
      <c r="O26" s="11">
        <f t="shared" si="35"/>
        <v>0</v>
      </c>
      <c r="P26" s="12">
        <f t="shared" si="36"/>
        <v>-8.0392156862745736</v>
      </c>
      <c r="Q26" s="353">
        <f t="shared" si="29"/>
        <v>0.92407407407407349</v>
      </c>
      <c r="R26" s="470"/>
      <c r="S26" s="24">
        <v>0.81458333333333344</v>
      </c>
      <c r="T26" s="24">
        <v>0.83958333333333346</v>
      </c>
      <c r="U26" s="351">
        <f t="shared" si="38"/>
        <v>7.9999999999999716</v>
      </c>
      <c r="V26" s="360">
        <f t="shared" si="37"/>
        <v>36.000000000000028</v>
      </c>
      <c r="W26" s="14"/>
      <c r="X26" s="14"/>
      <c r="Y26" s="473"/>
      <c r="Z26" s="474"/>
      <c r="AA26" s="11">
        <f t="shared" si="2"/>
        <v>-136.66666666666788</v>
      </c>
      <c r="AB26" s="353">
        <f t="shared" si="19"/>
        <v>0.92407407407407338</v>
      </c>
      <c r="AC26" s="470"/>
    </row>
    <row r="27" spans="1:29" ht="15.75" customHeight="1">
      <c r="A27" s="479" t="s">
        <v>7</v>
      </c>
      <c r="B27" s="26" t="s">
        <v>1452</v>
      </c>
      <c r="C27" s="466"/>
      <c r="D27" s="466"/>
      <c r="E27" s="352"/>
      <c r="F27" s="361"/>
      <c r="G27" s="351"/>
      <c r="H27" s="361"/>
      <c r="I27" s="17">
        <v>16.5</v>
      </c>
      <c r="J27" s="18">
        <v>1725</v>
      </c>
      <c r="K27" s="9">
        <f t="shared" si="33"/>
        <v>104.54545454545455</v>
      </c>
      <c r="L27" s="17">
        <v>16.5</v>
      </c>
      <c r="M27" s="10">
        <f>AVERAGE(M19:M26)</f>
        <v>1582.3416290484026</v>
      </c>
      <c r="N27" s="9">
        <f>M27/L27</f>
        <v>95.899492669600164</v>
      </c>
      <c r="O27" s="11">
        <f>L27-I27</f>
        <v>0</v>
      </c>
      <c r="P27" s="12">
        <f>N27-K27</f>
        <v>-8.6459618758543826</v>
      </c>
      <c r="Q27" s="353">
        <f>N27/K27</f>
        <v>0.91729949510052333</v>
      </c>
      <c r="R27" s="470"/>
      <c r="S27" s="24"/>
      <c r="T27" s="24"/>
      <c r="U27" s="9"/>
      <c r="V27" s="360"/>
      <c r="W27" s="9"/>
      <c r="X27" s="9"/>
      <c r="Y27" s="456"/>
      <c r="Z27" s="456"/>
      <c r="AA27" s="11">
        <f t="shared" si="2"/>
        <v>-142.65837095159736</v>
      </c>
      <c r="AB27" s="353">
        <f t="shared" si="19"/>
        <v>0.91729949510052322</v>
      </c>
      <c r="AC27" s="470"/>
    </row>
    <row r="28" spans="1:29" ht="15.75" customHeight="1">
      <c r="A28" s="484" t="s">
        <v>1453</v>
      </c>
      <c r="B28" s="26" t="s">
        <v>24</v>
      </c>
      <c r="C28" s="477" t="s">
        <v>26</v>
      </c>
      <c r="D28" s="477"/>
      <c r="E28" s="26">
        <v>26.2</v>
      </c>
      <c r="F28" s="361">
        <v>4200</v>
      </c>
      <c r="G28" s="351">
        <f t="shared" ref="G28:G34" si="39">E28*F28</f>
        <v>110040</v>
      </c>
      <c r="H28" s="76" t="s">
        <v>57</v>
      </c>
      <c r="I28" s="359">
        <v>20</v>
      </c>
      <c r="J28" s="18">
        <v>2400</v>
      </c>
      <c r="K28" s="9">
        <f>J28/I28</f>
        <v>120</v>
      </c>
      <c r="L28" s="359">
        <v>20</v>
      </c>
      <c r="M28" s="10">
        <f t="shared" ref="M28:M34" si="40">F28/V28*60</f>
        <v>2191.3043478260875</v>
      </c>
      <c r="N28" s="9">
        <f t="shared" ref="N28:N34" si="41">M28/L28</f>
        <v>109.56521739130437</v>
      </c>
      <c r="O28" s="11">
        <f t="shared" ref="O28:O34" si="42">L28-I28</f>
        <v>0</v>
      </c>
      <c r="P28" s="12">
        <f t="shared" ref="P28:P34" si="43">N28-K28</f>
        <v>-10.434782608695627</v>
      </c>
      <c r="Q28" s="353">
        <f t="shared" ref="Q28:Q34" si="44">N28/K28</f>
        <v>0.91304347826086973</v>
      </c>
      <c r="R28" s="470">
        <f>Q35</f>
        <v>0.91044825524953821</v>
      </c>
      <c r="S28" s="24">
        <v>0.125</v>
      </c>
      <c r="T28" s="24">
        <v>0.2048611111111111</v>
      </c>
      <c r="U28" s="351"/>
      <c r="V28" s="360">
        <f t="shared" ref="V28:V34" si="45">(T28-S28)*24*60</f>
        <v>114.99999999999999</v>
      </c>
      <c r="W28" s="14"/>
      <c r="X28" s="14"/>
      <c r="Y28" s="456"/>
      <c r="Z28" s="456"/>
      <c r="AA28" s="11">
        <f t="shared" si="2"/>
        <v>-208.69565217391255</v>
      </c>
      <c r="AB28" s="353">
        <f>M28/J28</f>
        <v>0.91304347826086973</v>
      </c>
      <c r="AC28" s="470">
        <f>AB35</f>
        <v>0.91044825524953832</v>
      </c>
    </row>
    <row r="29" spans="1:29" ht="15.75" customHeight="1">
      <c r="A29" s="484" t="s">
        <v>8</v>
      </c>
      <c r="B29" s="26" t="s">
        <v>24</v>
      </c>
      <c r="C29" s="477" t="s">
        <v>25</v>
      </c>
      <c r="D29" s="477"/>
      <c r="E29" s="26">
        <v>20.52</v>
      </c>
      <c r="F29" s="361">
        <v>4455</v>
      </c>
      <c r="G29" s="351">
        <f t="shared" si="39"/>
        <v>91416.599999999991</v>
      </c>
      <c r="H29" s="76" t="s">
        <v>57</v>
      </c>
      <c r="I29" s="359">
        <v>18</v>
      </c>
      <c r="J29" s="18">
        <v>2400</v>
      </c>
      <c r="K29" s="9">
        <f t="shared" ref="K29:K35" si="46">J29/I29</f>
        <v>133.33333333333334</v>
      </c>
      <c r="L29" s="359">
        <v>18</v>
      </c>
      <c r="M29" s="10">
        <f t="shared" si="40"/>
        <v>2190.9836065573772</v>
      </c>
      <c r="N29" s="9">
        <f t="shared" si="41"/>
        <v>121.72131147540985</v>
      </c>
      <c r="O29" s="11">
        <f t="shared" si="42"/>
        <v>0</v>
      </c>
      <c r="P29" s="12">
        <f t="shared" si="43"/>
        <v>-11.612021857923494</v>
      </c>
      <c r="Q29" s="353">
        <f t="shared" si="44"/>
        <v>0.91290983606557374</v>
      </c>
      <c r="R29" s="470"/>
      <c r="S29" s="24">
        <v>0.22291666666666665</v>
      </c>
      <c r="T29" s="24">
        <v>0.30763888888888885</v>
      </c>
      <c r="U29" s="351">
        <f>(S29-T28)*24*60</f>
        <v>25.999999999999986</v>
      </c>
      <c r="V29" s="360">
        <f t="shared" si="45"/>
        <v>121.99999999999997</v>
      </c>
      <c r="W29" s="14"/>
      <c r="X29" s="14"/>
      <c r="Y29" s="456"/>
      <c r="Z29" s="456"/>
      <c r="AA29" s="11">
        <f t="shared" si="2"/>
        <v>-209.01639344262276</v>
      </c>
      <c r="AB29" s="353">
        <f t="shared" ref="AB29:AB34" si="47">M29/J29</f>
        <v>0.91290983606557385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361">
        <v>3500</v>
      </c>
      <c r="G30" s="351">
        <f t="shared" si="39"/>
        <v>109515</v>
      </c>
      <c r="H30" s="76">
        <v>2</v>
      </c>
      <c r="I30" s="359">
        <v>16</v>
      </c>
      <c r="J30" s="18">
        <v>2400</v>
      </c>
      <c r="K30" s="9">
        <f t="shared" si="46"/>
        <v>150</v>
      </c>
      <c r="L30" s="359">
        <v>16</v>
      </c>
      <c r="M30" s="10">
        <f t="shared" si="40"/>
        <v>2187.5000000000005</v>
      </c>
      <c r="N30" s="9">
        <f t="shared" si="41"/>
        <v>136.71875000000003</v>
      </c>
      <c r="O30" s="11">
        <f t="shared" si="42"/>
        <v>0</v>
      </c>
      <c r="P30" s="12">
        <f t="shared" si="43"/>
        <v>-13.281249999999972</v>
      </c>
      <c r="Q30" s="353">
        <f t="shared" si="44"/>
        <v>0.91145833333333348</v>
      </c>
      <c r="R30" s="470"/>
      <c r="S30" s="24">
        <v>0.31249999999999994</v>
      </c>
      <c r="T30" s="24">
        <v>0.3791666666666666</v>
      </c>
      <c r="U30" s="351">
        <f t="shared" ref="U30:U34" si="48">(S30-T29)*24*60</f>
        <v>6.9999999999999751</v>
      </c>
      <c r="V30" s="360">
        <f t="shared" si="45"/>
        <v>95.999999999999972</v>
      </c>
      <c r="W30" s="14"/>
      <c r="X30" s="14"/>
      <c r="Y30" s="456"/>
      <c r="Z30" s="456"/>
      <c r="AA30" s="11">
        <f t="shared" si="2"/>
        <v>-212.49999999999955</v>
      </c>
      <c r="AB30" s="353">
        <f t="shared" si="47"/>
        <v>0.91145833333333348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361">
        <v>3200</v>
      </c>
      <c r="G31" s="351">
        <f t="shared" si="39"/>
        <v>77600</v>
      </c>
      <c r="H31" s="76">
        <v>2</v>
      </c>
      <c r="I31" s="359">
        <v>18</v>
      </c>
      <c r="J31" s="18">
        <v>2400</v>
      </c>
      <c r="K31" s="9">
        <f t="shared" si="46"/>
        <v>133.33333333333334</v>
      </c>
      <c r="L31" s="359">
        <v>18</v>
      </c>
      <c r="M31" s="10">
        <f t="shared" si="40"/>
        <v>2181.818181818182</v>
      </c>
      <c r="N31" s="9">
        <f t="shared" si="41"/>
        <v>121.21212121212122</v>
      </c>
      <c r="O31" s="11">
        <f t="shared" si="42"/>
        <v>0</v>
      </c>
      <c r="P31" s="12">
        <f t="shared" si="43"/>
        <v>-12.121212121212125</v>
      </c>
      <c r="Q31" s="353">
        <f t="shared" si="44"/>
        <v>0.90909090909090906</v>
      </c>
      <c r="R31" s="470"/>
      <c r="S31" s="24">
        <v>0.38263888888888881</v>
      </c>
      <c r="T31" s="24">
        <v>0.44374999999999992</v>
      </c>
      <c r="U31" s="351">
        <f t="shared" si="48"/>
        <v>4.9999999999999822</v>
      </c>
      <c r="V31" s="360">
        <f t="shared" si="45"/>
        <v>88</v>
      </c>
      <c r="W31" s="14"/>
      <c r="X31" s="14"/>
      <c r="Y31" s="456"/>
      <c r="Z31" s="456"/>
      <c r="AA31" s="11">
        <f t="shared" si="2"/>
        <v>-218.18181818181802</v>
      </c>
      <c r="AB31" s="353">
        <f t="shared" si="47"/>
        <v>0.90909090909090917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361">
        <v>2582</v>
      </c>
      <c r="G32" s="351">
        <f t="shared" si="39"/>
        <v>57707.700000000004</v>
      </c>
      <c r="H32" s="76" t="s">
        <v>57</v>
      </c>
      <c r="I32" s="359">
        <v>16</v>
      </c>
      <c r="J32" s="18">
        <v>2400</v>
      </c>
      <c r="K32" s="9">
        <f t="shared" si="46"/>
        <v>150</v>
      </c>
      <c r="L32" s="359">
        <v>16</v>
      </c>
      <c r="M32" s="10">
        <f t="shared" si="40"/>
        <v>2181.9718309859159</v>
      </c>
      <c r="N32" s="9">
        <f t="shared" si="41"/>
        <v>136.37323943661974</v>
      </c>
      <c r="O32" s="11">
        <f t="shared" si="42"/>
        <v>0</v>
      </c>
      <c r="P32" s="12">
        <f t="shared" si="43"/>
        <v>-13.626760563380259</v>
      </c>
      <c r="Q32" s="353">
        <f t="shared" si="44"/>
        <v>0.90915492957746491</v>
      </c>
      <c r="R32" s="470"/>
      <c r="S32" s="24">
        <v>0.44930555555555546</v>
      </c>
      <c r="T32" s="24">
        <v>0.49861111111111101</v>
      </c>
      <c r="U32" s="351">
        <f t="shared" si="48"/>
        <v>7.9999999999999716</v>
      </c>
      <c r="V32" s="360">
        <f t="shared" si="45"/>
        <v>70.999999999999986</v>
      </c>
      <c r="W32" s="14"/>
      <c r="X32" s="14"/>
      <c r="Y32" s="456"/>
      <c r="Z32" s="456"/>
      <c r="AA32" s="11">
        <f t="shared" si="2"/>
        <v>-218.02816901408414</v>
      </c>
      <c r="AB32" s="353">
        <f t="shared" si="47"/>
        <v>0.90915492957746491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361">
        <v>4759</v>
      </c>
      <c r="G33" s="351">
        <f t="shared" si="39"/>
        <v>148909.10999999999</v>
      </c>
      <c r="H33" s="76" t="s">
        <v>57</v>
      </c>
      <c r="I33" s="359">
        <v>16</v>
      </c>
      <c r="J33" s="18">
        <v>2400</v>
      </c>
      <c r="K33" s="9">
        <f t="shared" si="46"/>
        <v>150</v>
      </c>
      <c r="L33" s="359">
        <v>16</v>
      </c>
      <c r="M33" s="10">
        <f t="shared" si="40"/>
        <v>2179.6946564885493</v>
      </c>
      <c r="N33" s="9">
        <f t="shared" si="41"/>
        <v>136.23091603053433</v>
      </c>
      <c r="O33" s="11">
        <f t="shared" si="42"/>
        <v>0</v>
      </c>
      <c r="P33" s="12">
        <f t="shared" si="43"/>
        <v>-13.769083969465669</v>
      </c>
      <c r="Q33" s="353">
        <f t="shared" si="44"/>
        <v>0.90820610687022885</v>
      </c>
      <c r="R33" s="470"/>
      <c r="S33" s="24">
        <v>0.54097222222222208</v>
      </c>
      <c r="T33" s="24">
        <v>0.63194444444444431</v>
      </c>
      <c r="U33" s="351">
        <f t="shared" si="48"/>
        <v>60.999999999999943</v>
      </c>
      <c r="V33" s="360">
        <f t="shared" si="45"/>
        <v>131</v>
      </c>
      <c r="W33" s="14"/>
      <c r="X33" s="14"/>
      <c r="Y33" s="456"/>
      <c r="Z33" s="456"/>
      <c r="AA33" s="11">
        <f t="shared" si="2"/>
        <v>-220.3053435114507</v>
      </c>
      <c r="AB33" s="353">
        <f t="shared" si="47"/>
        <v>0.90820610687022885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361">
        <v>2255</v>
      </c>
      <c r="G34" s="351">
        <f t="shared" si="39"/>
        <v>54683.75</v>
      </c>
      <c r="H34" s="76" t="s">
        <v>57</v>
      </c>
      <c r="I34" s="359">
        <v>18</v>
      </c>
      <c r="J34" s="18">
        <v>2400</v>
      </c>
      <c r="K34" s="9">
        <f t="shared" si="46"/>
        <v>133.33333333333334</v>
      </c>
      <c r="L34" s="359">
        <v>18</v>
      </c>
      <c r="M34" s="10">
        <f t="shared" si="40"/>
        <v>2182.2580645161311</v>
      </c>
      <c r="N34" s="9">
        <f t="shared" si="41"/>
        <v>121.23655913978506</v>
      </c>
      <c r="O34" s="11">
        <f t="shared" si="42"/>
        <v>0</v>
      </c>
      <c r="P34" s="12">
        <f t="shared" si="43"/>
        <v>-12.096774193548285</v>
      </c>
      <c r="Q34" s="353">
        <f t="shared" si="44"/>
        <v>0.9092741935483879</v>
      </c>
      <c r="R34" s="470"/>
      <c r="S34" s="24">
        <v>0.63611111111111096</v>
      </c>
      <c r="T34" s="24">
        <v>0.67916666666666647</v>
      </c>
      <c r="U34" s="351">
        <f t="shared" si="48"/>
        <v>5.9999999999999787</v>
      </c>
      <c r="V34" s="360">
        <f t="shared" si="45"/>
        <v>61.999999999999943</v>
      </c>
      <c r="W34" s="14"/>
      <c r="X34" s="14"/>
      <c r="Y34" s="456"/>
      <c r="Z34" s="456"/>
      <c r="AA34" s="11">
        <f t="shared" si="2"/>
        <v>-217.74193548386893</v>
      </c>
      <c r="AB34" s="353">
        <f t="shared" si="47"/>
        <v>0.9092741935483879</v>
      </c>
      <c r="AC34" s="470"/>
    </row>
    <row r="35" spans="1:29" ht="15.75" customHeight="1">
      <c r="A35" s="484" t="s">
        <v>8</v>
      </c>
      <c r="B35" s="26" t="s">
        <v>1452</v>
      </c>
      <c r="C35" s="466"/>
      <c r="D35" s="466"/>
      <c r="E35" s="352"/>
      <c r="F35" s="361"/>
      <c r="G35" s="351"/>
      <c r="H35" s="361"/>
      <c r="I35" s="17">
        <v>17.428571428571427</v>
      </c>
      <c r="J35" s="18">
        <v>2400</v>
      </c>
      <c r="K35" s="9">
        <f t="shared" si="46"/>
        <v>137.70491803278691</v>
      </c>
      <c r="L35" s="17">
        <v>17.428571428571427</v>
      </c>
      <c r="M35" s="10">
        <f>AVERAGE(M28:M34)</f>
        <v>2185.0758125988918</v>
      </c>
      <c r="N35" s="9">
        <f>M35/L35</f>
        <v>125.37320236223151</v>
      </c>
      <c r="O35" s="11">
        <f>L35-I35</f>
        <v>0</v>
      </c>
      <c r="P35" s="12">
        <f>N35-K35</f>
        <v>-12.331715670555397</v>
      </c>
      <c r="Q35" s="353">
        <f>N35/K35</f>
        <v>0.91044825524953821</v>
      </c>
      <c r="R35" s="470"/>
      <c r="S35" s="24"/>
      <c r="T35" s="24"/>
      <c r="U35" s="351"/>
      <c r="V35" s="360"/>
      <c r="W35" s="351"/>
      <c r="X35" s="351"/>
      <c r="Y35" s="456"/>
      <c r="Z35" s="456"/>
      <c r="AA35" s="11">
        <f t="shared" si="2"/>
        <v>-214.92418740110816</v>
      </c>
      <c r="AB35" s="353">
        <f>M35/J35</f>
        <v>0.91044825524953832</v>
      </c>
      <c r="AC35" s="470"/>
    </row>
    <row r="36" spans="1:29" ht="15.75" customHeight="1">
      <c r="A36" s="485" t="s">
        <v>1454</v>
      </c>
      <c r="B36" s="26" t="s">
        <v>24</v>
      </c>
      <c r="C36" s="487" t="s">
        <v>29</v>
      </c>
      <c r="D36" s="487"/>
      <c r="E36" s="26">
        <v>26.2</v>
      </c>
      <c r="F36" s="361">
        <v>2500</v>
      </c>
      <c r="G36" s="351">
        <f t="shared" ref="G36:G43" si="49">E36*F36</f>
        <v>65500</v>
      </c>
      <c r="H36" s="76">
        <v>2</v>
      </c>
      <c r="I36" s="359">
        <v>18</v>
      </c>
      <c r="J36" s="18">
        <v>2400</v>
      </c>
      <c r="K36" s="9">
        <f>J36/I36</f>
        <v>133.33333333333334</v>
      </c>
      <c r="L36" s="359">
        <v>18</v>
      </c>
      <c r="M36" s="10">
        <f>F36/V36*60</f>
        <v>2205.8823529411766</v>
      </c>
      <c r="N36" s="9">
        <f>M36/L36</f>
        <v>122.54901960784315</v>
      </c>
      <c r="O36" s="11">
        <f t="shared" ref="O36:O43" si="50">L36-I36</f>
        <v>0</v>
      </c>
      <c r="P36" s="12">
        <f t="shared" ref="P36:P53" si="51">N36-K36</f>
        <v>-10.784313725490193</v>
      </c>
      <c r="Q36" s="353">
        <f t="shared" ref="Q36:Q48" si="52">N36/K36</f>
        <v>0.91911764705882359</v>
      </c>
      <c r="R36" s="470">
        <f>Q44</f>
        <v>0.9115518260783716</v>
      </c>
      <c r="S36" s="24">
        <v>0.125</v>
      </c>
      <c r="T36" s="24">
        <v>0.17222222222222222</v>
      </c>
      <c r="U36" s="351"/>
      <c r="V36" s="360">
        <f t="shared" ref="V36:V43" si="53">(T36-S36)*24*60</f>
        <v>68</v>
      </c>
      <c r="W36" s="15"/>
      <c r="X36" s="15"/>
      <c r="Y36" s="456"/>
      <c r="Z36" s="456"/>
      <c r="AA36" s="11">
        <f t="shared" si="2"/>
        <v>-194.11764705882342</v>
      </c>
      <c r="AB36" s="353">
        <f>M36/J36</f>
        <v>0.91911764705882359</v>
      </c>
      <c r="AC36" s="470">
        <f>AB44</f>
        <v>0.9115518260783716</v>
      </c>
    </row>
    <row r="37" spans="1:29" ht="15.75" customHeight="1">
      <c r="A37" s="485" t="s">
        <v>1455</v>
      </c>
      <c r="B37" s="26" t="s">
        <v>24</v>
      </c>
      <c r="C37" s="487" t="s">
        <v>31</v>
      </c>
      <c r="D37" s="487"/>
      <c r="E37" s="26">
        <v>24.45</v>
      </c>
      <c r="F37" s="361">
        <v>2519</v>
      </c>
      <c r="G37" s="351">
        <f t="shared" si="49"/>
        <v>61589.549999999996</v>
      </c>
      <c r="H37" s="76" t="s">
        <v>57</v>
      </c>
      <c r="I37" s="359">
        <v>20</v>
      </c>
      <c r="J37" s="18">
        <v>2400</v>
      </c>
      <c r="K37" s="9">
        <f t="shared" ref="K37:K52" si="54">J37/I37</f>
        <v>120</v>
      </c>
      <c r="L37" s="359">
        <v>20</v>
      </c>
      <c r="M37" s="10">
        <f t="shared" ref="M37:M43" si="55">F37/V37*60</f>
        <v>2190.4347826086955</v>
      </c>
      <c r="N37" s="9">
        <f t="shared" ref="N37:N43" si="56">M37/L37</f>
        <v>109.52173913043478</v>
      </c>
      <c r="O37" s="11">
        <f t="shared" si="50"/>
        <v>0</v>
      </c>
      <c r="P37" s="12">
        <f t="shared" si="51"/>
        <v>-10.478260869565219</v>
      </c>
      <c r="Q37" s="353">
        <f t="shared" si="52"/>
        <v>0.91268115942028982</v>
      </c>
      <c r="R37" s="470"/>
      <c r="S37" s="24">
        <v>0.19236111111111112</v>
      </c>
      <c r="T37" s="24">
        <v>0.24027777777777778</v>
      </c>
      <c r="U37" s="351">
        <f>(S37-T36)*24*60</f>
        <v>29.000000000000018</v>
      </c>
      <c r="V37" s="360">
        <f t="shared" si="53"/>
        <v>69</v>
      </c>
      <c r="W37" s="351"/>
      <c r="X37" s="351"/>
      <c r="Y37" s="456"/>
      <c r="Z37" s="456"/>
      <c r="AA37" s="11">
        <f t="shared" si="2"/>
        <v>-209.56521739130449</v>
      </c>
      <c r="AB37" s="353">
        <f t="shared" ref="AB37:AB66" si="57">M37/J37</f>
        <v>0.91268115942028982</v>
      </c>
      <c r="AC37" s="470"/>
    </row>
    <row r="38" spans="1:29">
      <c r="A38" s="486" t="s">
        <v>1455</v>
      </c>
      <c r="B38" s="26" t="s">
        <v>24</v>
      </c>
      <c r="C38" s="487" t="s">
        <v>32</v>
      </c>
      <c r="D38" s="487"/>
      <c r="E38" s="26">
        <v>26.2</v>
      </c>
      <c r="F38" s="361">
        <v>3162</v>
      </c>
      <c r="G38" s="351">
        <f t="shared" si="49"/>
        <v>82844.399999999994</v>
      </c>
      <c r="H38" s="76" t="s">
        <v>57</v>
      </c>
      <c r="I38" s="359">
        <v>20</v>
      </c>
      <c r="J38" s="18">
        <v>2400</v>
      </c>
      <c r="K38" s="9">
        <f t="shared" si="54"/>
        <v>120</v>
      </c>
      <c r="L38" s="359">
        <v>20</v>
      </c>
      <c r="M38" s="10">
        <f t="shared" si="55"/>
        <v>2180.6896551724135</v>
      </c>
      <c r="N38" s="9">
        <f t="shared" si="56"/>
        <v>109.03448275862067</v>
      </c>
      <c r="O38" s="11">
        <f t="shared" si="50"/>
        <v>0</v>
      </c>
      <c r="P38" s="12">
        <f t="shared" si="51"/>
        <v>-10.965517241379331</v>
      </c>
      <c r="Q38" s="353">
        <f t="shared" si="52"/>
        <v>0.90862068965517229</v>
      </c>
      <c r="R38" s="470"/>
      <c r="S38" s="24">
        <v>0.24513888888888891</v>
      </c>
      <c r="T38" s="24">
        <v>0.30555555555555558</v>
      </c>
      <c r="U38" s="351">
        <f t="shared" ref="U38:U43" si="58">(S38-T37)*24*60</f>
        <v>7.0000000000000151</v>
      </c>
      <c r="V38" s="360">
        <f t="shared" si="53"/>
        <v>87.000000000000014</v>
      </c>
      <c r="W38" s="351"/>
      <c r="X38" s="351"/>
      <c r="Y38" s="456"/>
      <c r="Z38" s="456"/>
      <c r="AA38" s="11">
        <f t="shared" si="2"/>
        <v>-219.3103448275865</v>
      </c>
      <c r="AB38" s="353">
        <f t="shared" si="57"/>
        <v>0.90862068965517229</v>
      </c>
      <c r="AC38" s="470"/>
    </row>
    <row r="39" spans="1:29">
      <c r="A39" s="486" t="s">
        <v>158</v>
      </c>
      <c r="B39" s="26" t="s">
        <v>24</v>
      </c>
      <c r="C39" s="487" t="s">
        <v>30</v>
      </c>
      <c r="D39" s="487"/>
      <c r="E39" s="26">
        <v>26.39</v>
      </c>
      <c r="F39" s="361">
        <v>3200</v>
      </c>
      <c r="G39" s="351">
        <f t="shared" si="49"/>
        <v>84448</v>
      </c>
      <c r="H39" s="76">
        <v>2</v>
      </c>
      <c r="I39" s="359">
        <v>19</v>
      </c>
      <c r="J39" s="18">
        <v>2400</v>
      </c>
      <c r="K39" s="9">
        <f t="shared" si="54"/>
        <v>126.31578947368421</v>
      </c>
      <c r="L39" s="359">
        <v>19</v>
      </c>
      <c r="M39" s="10">
        <f t="shared" si="55"/>
        <v>2181.818181818182</v>
      </c>
      <c r="N39" s="9">
        <f t="shared" si="56"/>
        <v>114.83253588516747</v>
      </c>
      <c r="O39" s="11">
        <f t="shared" si="50"/>
        <v>0</v>
      </c>
      <c r="P39" s="12">
        <f t="shared" si="51"/>
        <v>-11.483253588516732</v>
      </c>
      <c r="Q39" s="353">
        <f t="shared" si="52"/>
        <v>0.90909090909090917</v>
      </c>
      <c r="R39" s="470"/>
      <c r="S39" s="24">
        <v>0.31041666666666667</v>
      </c>
      <c r="T39" s="24">
        <v>0.37152777777777779</v>
      </c>
      <c r="U39" s="351">
        <f t="shared" si="58"/>
        <v>6.9999999999999751</v>
      </c>
      <c r="V39" s="360">
        <f t="shared" si="53"/>
        <v>88</v>
      </c>
      <c r="W39" s="14"/>
      <c r="X39" s="14"/>
      <c r="Y39" s="456"/>
      <c r="Z39" s="456"/>
      <c r="AA39" s="11">
        <f t="shared" si="2"/>
        <v>-218.18181818181802</v>
      </c>
      <c r="AB39" s="353">
        <f t="shared" si="57"/>
        <v>0.90909090909090917</v>
      </c>
      <c r="AC39" s="470"/>
    </row>
    <row r="40" spans="1:29">
      <c r="A40" s="486" t="s">
        <v>158</v>
      </c>
      <c r="B40" s="26" t="s">
        <v>24</v>
      </c>
      <c r="C40" s="487" t="s">
        <v>27</v>
      </c>
      <c r="D40" s="487"/>
      <c r="E40" s="26">
        <v>20.52</v>
      </c>
      <c r="F40" s="361">
        <v>3221</v>
      </c>
      <c r="G40" s="351">
        <f t="shared" si="49"/>
        <v>66094.92</v>
      </c>
      <c r="H40" s="76" t="s">
        <v>57</v>
      </c>
      <c r="I40" s="359">
        <v>18</v>
      </c>
      <c r="J40" s="18">
        <v>2400</v>
      </c>
      <c r="K40" s="9">
        <f t="shared" si="54"/>
        <v>133.33333333333334</v>
      </c>
      <c r="L40" s="359">
        <v>18</v>
      </c>
      <c r="M40" s="10">
        <f t="shared" si="55"/>
        <v>2196.1363636363635</v>
      </c>
      <c r="N40" s="9">
        <f t="shared" si="56"/>
        <v>122.00757575757575</v>
      </c>
      <c r="O40" s="11">
        <f t="shared" si="50"/>
        <v>0</v>
      </c>
      <c r="P40" s="12">
        <f t="shared" si="51"/>
        <v>-11.325757575757592</v>
      </c>
      <c r="Q40" s="353">
        <f t="shared" si="52"/>
        <v>0.91505681818181805</v>
      </c>
      <c r="R40" s="470"/>
      <c r="S40" s="24">
        <v>0.37708333333333333</v>
      </c>
      <c r="T40" s="24">
        <v>0.43819444444444444</v>
      </c>
      <c r="U40" s="351">
        <f t="shared" si="58"/>
        <v>7.9999999999999716</v>
      </c>
      <c r="V40" s="360">
        <f t="shared" si="53"/>
        <v>88</v>
      </c>
      <c r="W40" s="14"/>
      <c r="X40" s="14"/>
      <c r="Y40" s="456"/>
      <c r="Z40" s="456"/>
      <c r="AA40" s="11">
        <f t="shared" si="2"/>
        <v>-203.86363636363649</v>
      </c>
      <c r="AB40" s="353">
        <f t="shared" si="57"/>
        <v>0.91505681818181817</v>
      </c>
      <c r="AC40" s="470"/>
    </row>
    <row r="41" spans="1:29">
      <c r="A41" s="486" t="s">
        <v>158</v>
      </c>
      <c r="B41" s="26" t="s">
        <v>24</v>
      </c>
      <c r="C41" s="487" t="s">
        <v>55</v>
      </c>
      <c r="D41" s="487"/>
      <c r="E41" s="26">
        <v>26.2</v>
      </c>
      <c r="F41" s="361">
        <v>4272</v>
      </c>
      <c r="G41" s="351">
        <f t="shared" si="49"/>
        <v>111926.39999999999</v>
      </c>
      <c r="H41" s="76" t="s">
        <v>57</v>
      </c>
      <c r="I41" s="359">
        <v>19</v>
      </c>
      <c r="J41" s="18">
        <v>2400</v>
      </c>
      <c r="K41" s="9">
        <f t="shared" si="54"/>
        <v>126.31578947368421</v>
      </c>
      <c r="L41" s="359">
        <v>19</v>
      </c>
      <c r="M41" s="10">
        <f t="shared" si="55"/>
        <v>2190.7692307692296</v>
      </c>
      <c r="N41" s="9">
        <f t="shared" si="56"/>
        <v>115.3036437246963</v>
      </c>
      <c r="O41" s="11">
        <f t="shared" si="50"/>
        <v>0</v>
      </c>
      <c r="P41" s="12">
        <f t="shared" si="51"/>
        <v>-11.012145748987905</v>
      </c>
      <c r="Q41" s="353">
        <f t="shared" si="52"/>
        <v>0.91282051282051246</v>
      </c>
      <c r="R41" s="470"/>
      <c r="S41" s="24">
        <v>0.44236111111111109</v>
      </c>
      <c r="T41" s="24">
        <v>0.52361111111111114</v>
      </c>
      <c r="U41" s="351">
        <f t="shared" si="58"/>
        <v>5.9999999999999787</v>
      </c>
      <c r="V41" s="360">
        <f t="shared" si="53"/>
        <v>117.00000000000006</v>
      </c>
      <c r="W41" s="14"/>
      <c r="X41" s="14"/>
      <c r="Y41" s="456"/>
      <c r="Z41" s="456"/>
      <c r="AA41" s="11">
        <f t="shared" si="2"/>
        <v>-209.23076923077042</v>
      </c>
      <c r="AB41" s="353">
        <f t="shared" si="57"/>
        <v>0.91282051282051235</v>
      </c>
      <c r="AC41" s="470"/>
    </row>
    <row r="42" spans="1:29">
      <c r="A42" s="486" t="s">
        <v>158</v>
      </c>
      <c r="B42" s="26" t="s">
        <v>24</v>
      </c>
      <c r="C42" s="487" t="s">
        <v>29</v>
      </c>
      <c r="D42" s="487"/>
      <c r="E42" s="26">
        <v>26.2</v>
      </c>
      <c r="F42" s="361">
        <v>3746</v>
      </c>
      <c r="G42" s="351">
        <f t="shared" si="49"/>
        <v>98145.2</v>
      </c>
      <c r="H42" s="76" t="s">
        <v>57</v>
      </c>
      <c r="I42" s="359">
        <v>18</v>
      </c>
      <c r="J42" s="18">
        <v>2400</v>
      </c>
      <c r="K42" s="9">
        <f t="shared" si="54"/>
        <v>133.33333333333334</v>
      </c>
      <c r="L42" s="359">
        <v>18</v>
      </c>
      <c r="M42" s="10">
        <f t="shared" si="55"/>
        <v>2182.1359223300983</v>
      </c>
      <c r="N42" s="9">
        <f t="shared" si="56"/>
        <v>121.22977346278324</v>
      </c>
      <c r="O42" s="11">
        <f t="shared" si="50"/>
        <v>0</v>
      </c>
      <c r="P42" s="12">
        <f t="shared" si="51"/>
        <v>-12.1035598705501</v>
      </c>
      <c r="Q42" s="353">
        <f t="shared" si="52"/>
        <v>0.90922330097087423</v>
      </c>
      <c r="R42" s="470"/>
      <c r="S42" s="24">
        <v>0.56319444444444444</v>
      </c>
      <c r="T42" s="24">
        <v>0.63472222222222219</v>
      </c>
      <c r="U42" s="351">
        <f t="shared" si="58"/>
        <v>56.999999999999957</v>
      </c>
      <c r="V42" s="360">
        <f t="shared" si="53"/>
        <v>102.99999999999996</v>
      </c>
      <c r="W42" s="14"/>
      <c r="X42" s="14"/>
      <c r="Y42" s="473"/>
      <c r="Z42" s="474"/>
      <c r="AA42" s="11">
        <f t="shared" si="2"/>
        <v>-217.86407766990169</v>
      </c>
      <c r="AB42" s="353">
        <f t="shared" si="57"/>
        <v>0.90922330097087434</v>
      </c>
      <c r="AC42" s="470"/>
    </row>
    <row r="43" spans="1:29">
      <c r="A43" s="486" t="s">
        <v>158</v>
      </c>
      <c r="B43" s="26" t="s">
        <v>24</v>
      </c>
      <c r="C43" s="487" t="s">
        <v>30</v>
      </c>
      <c r="D43" s="487"/>
      <c r="E43" s="26">
        <v>26.39</v>
      </c>
      <c r="F43" s="361">
        <v>2029</v>
      </c>
      <c r="G43" s="351">
        <f t="shared" si="49"/>
        <v>53545.31</v>
      </c>
      <c r="H43" s="76" t="s">
        <v>57</v>
      </c>
      <c r="I43" s="359">
        <v>19</v>
      </c>
      <c r="J43" s="18">
        <v>2400</v>
      </c>
      <c r="K43" s="9">
        <f t="shared" si="54"/>
        <v>126.31578947368421</v>
      </c>
      <c r="L43" s="359">
        <v>19</v>
      </c>
      <c r="M43" s="10">
        <f t="shared" si="55"/>
        <v>2173.9285714285729</v>
      </c>
      <c r="N43" s="9">
        <f t="shared" si="56"/>
        <v>114.41729323308279</v>
      </c>
      <c r="O43" s="11">
        <f t="shared" si="50"/>
        <v>0</v>
      </c>
      <c r="P43" s="12">
        <f t="shared" si="51"/>
        <v>-11.898496240601418</v>
      </c>
      <c r="Q43" s="353">
        <f t="shared" si="52"/>
        <v>0.90580357142857215</v>
      </c>
      <c r="R43" s="470"/>
      <c r="S43" s="24">
        <v>0.64027777777777772</v>
      </c>
      <c r="T43" s="24">
        <v>0.67916666666666659</v>
      </c>
      <c r="U43" s="351">
        <f t="shared" si="58"/>
        <v>7.9999999999999716</v>
      </c>
      <c r="V43" s="360">
        <f t="shared" si="53"/>
        <v>55.999999999999957</v>
      </c>
      <c r="W43" s="14"/>
      <c r="X43" s="14"/>
      <c r="Y43" s="473"/>
      <c r="Z43" s="474"/>
      <c r="AA43" s="11">
        <f t="shared" si="2"/>
        <v>-226.07142857142708</v>
      </c>
      <c r="AB43" s="353">
        <f t="shared" si="57"/>
        <v>0.90580357142857204</v>
      </c>
      <c r="AC43" s="470"/>
    </row>
    <row r="44" spans="1:29">
      <c r="A44" s="486" t="s">
        <v>158</v>
      </c>
      <c r="B44" s="16" t="s">
        <v>1456</v>
      </c>
      <c r="C44" s="466"/>
      <c r="D44" s="466"/>
      <c r="E44" s="352"/>
      <c r="F44" s="16"/>
      <c r="G44" s="9"/>
      <c r="H44" s="361"/>
      <c r="I44" s="17">
        <v>18.875</v>
      </c>
      <c r="J44" s="18">
        <v>2400</v>
      </c>
      <c r="K44" s="9">
        <f t="shared" si="54"/>
        <v>127.1523178807947</v>
      </c>
      <c r="L44" s="17">
        <v>18.875</v>
      </c>
      <c r="M44" s="10">
        <f>AVERAGE(M36:M43)</f>
        <v>2187.7243825880919</v>
      </c>
      <c r="N44" s="9">
        <f>M44/L44</f>
        <v>115.90592755433599</v>
      </c>
      <c r="O44" s="11">
        <f>L44-I44</f>
        <v>0</v>
      </c>
      <c r="P44" s="12">
        <f t="shared" si="51"/>
        <v>-11.246390326458709</v>
      </c>
      <c r="Q44" s="353">
        <f t="shared" si="52"/>
        <v>0.9115518260783716</v>
      </c>
      <c r="R44" s="470"/>
      <c r="S44" s="24"/>
      <c r="T44" s="24"/>
      <c r="U44" s="9"/>
      <c r="V44" s="360"/>
      <c r="W44" s="9"/>
      <c r="X44" s="9"/>
      <c r="Y44" s="456"/>
      <c r="Z44" s="456"/>
      <c r="AA44" s="11">
        <f t="shared" si="2"/>
        <v>-212.27561741190812</v>
      </c>
      <c r="AB44" s="353">
        <f t="shared" si="57"/>
        <v>0.9115518260783716</v>
      </c>
      <c r="AC44" s="470"/>
    </row>
    <row r="45" spans="1:29" ht="15.75" customHeight="1">
      <c r="A45" s="488" t="s">
        <v>244</v>
      </c>
      <c r="B45" s="26" t="s">
        <v>33</v>
      </c>
      <c r="C45" s="491" t="s">
        <v>34</v>
      </c>
      <c r="D45" s="492"/>
      <c r="E45" s="26">
        <v>27.17</v>
      </c>
      <c r="F45" s="361">
        <v>2800</v>
      </c>
      <c r="G45" s="351">
        <f t="shared" ref="G45:G52" si="59">E45*F45</f>
        <v>76076</v>
      </c>
      <c r="H45" s="76">
        <v>2</v>
      </c>
      <c r="I45" s="359">
        <v>10</v>
      </c>
      <c r="J45" s="18">
        <v>3000</v>
      </c>
      <c r="K45" s="9">
        <f t="shared" si="54"/>
        <v>300</v>
      </c>
      <c r="L45" s="359">
        <v>10</v>
      </c>
      <c r="M45" s="10">
        <f t="shared" ref="M45:M46" si="60">F45/V45*60</f>
        <v>2754.0983606557384</v>
      </c>
      <c r="N45" s="10">
        <f t="shared" ref="N45:N53" si="61">M45/L45</f>
        <v>275.40983606557381</v>
      </c>
      <c r="O45" s="11">
        <f t="shared" ref="O45:O53" si="62">L45-I45</f>
        <v>0</v>
      </c>
      <c r="P45" s="12">
        <f t="shared" si="51"/>
        <v>-24.590163934426187</v>
      </c>
      <c r="Q45" s="353">
        <f t="shared" si="52"/>
        <v>0.91803278688524603</v>
      </c>
      <c r="R45" s="493">
        <f>Q53</f>
        <v>0.91570315744721442</v>
      </c>
      <c r="S45" s="24">
        <v>0.20833333333333334</v>
      </c>
      <c r="T45" s="24">
        <v>0.25069444444444444</v>
      </c>
      <c r="U45" s="15"/>
      <c r="V45" s="360">
        <f t="shared" ref="V45:V52" si="63">(T45-S45)*24*60</f>
        <v>60.999999999999986</v>
      </c>
      <c r="W45" s="351"/>
      <c r="X45" s="351"/>
      <c r="Y45" s="473"/>
      <c r="Z45" s="474"/>
      <c r="AA45" s="11">
        <f t="shared" si="2"/>
        <v>-245.90163934426164</v>
      </c>
      <c r="AB45" s="353">
        <f t="shared" si="57"/>
        <v>0.91803278688524614</v>
      </c>
      <c r="AC45" s="493">
        <f>AB53</f>
        <v>0.91570315744721453</v>
      </c>
    </row>
    <row r="46" spans="1:29" ht="15.75" customHeight="1">
      <c r="A46" s="489" t="s">
        <v>9</v>
      </c>
      <c r="B46" s="26" t="s">
        <v>33</v>
      </c>
      <c r="C46" s="491" t="s">
        <v>35</v>
      </c>
      <c r="D46" s="492"/>
      <c r="E46" s="26">
        <v>21.13</v>
      </c>
      <c r="F46" s="361">
        <v>3000</v>
      </c>
      <c r="G46" s="351">
        <f t="shared" si="59"/>
        <v>63390</v>
      </c>
      <c r="H46" s="76">
        <v>2</v>
      </c>
      <c r="I46" s="359">
        <v>10</v>
      </c>
      <c r="J46" s="18">
        <v>3000</v>
      </c>
      <c r="K46" s="9">
        <f t="shared" si="54"/>
        <v>300</v>
      </c>
      <c r="L46" s="359">
        <v>10</v>
      </c>
      <c r="M46" s="10">
        <f t="shared" si="60"/>
        <v>2727.272727272727</v>
      </c>
      <c r="N46" s="10">
        <f t="shared" si="61"/>
        <v>272.72727272727269</v>
      </c>
      <c r="O46" s="11">
        <f t="shared" si="62"/>
        <v>0</v>
      </c>
      <c r="P46" s="12">
        <f t="shared" si="51"/>
        <v>-27.272727272727309</v>
      </c>
      <c r="Q46" s="353">
        <f t="shared" si="52"/>
        <v>0.90909090909090895</v>
      </c>
      <c r="R46" s="494"/>
      <c r="S46" s="24">
        <v>0.25555555555555554</v>
      </c>
      <c r="T46" s="24">
        <v>0.30138888888888887</v>
      </c>
      <c r="U46" s="351">
        <f>(S46-T45)*24*60</f>
        <v>6.9999999999999751</v>
      </c>
      <c r="V46" s="360">
        <f t="shared" si="63"/>
        <v>66</v>
      </c>
      <c r="W46" s="14"/>
      <c r="X46" s="14"/>
      <c r="Y46" s="473"/>
      <c r="Z46" s="474"/>
      <c r="AA46" s="11">
        <f t="shared" si="2"/>
        <v>-272.72727272727298</v>
      </c>
      <c r="AB46" s="353">
        <f t="shared" si="57"/>
        <v>0.90909090909090906</v>
      </c>
      <c r="AC46" s="494"/>
    </row>
    <row r="47" spans="1:29" ht="15.75" customHeight="1">
      <c r="A47" s="489" t="s">
        <v>9</v>
      </c>
      <c r="B47" s="26" t="s">
        <v>33</v>
      </c>
      <c r="C47" s="491" t="s">
        <v>43</v>
      </c>
      <c r="D47" s="492"/>
      <c r="E47" s="26">
        <v>35.119999999999997</v>
      </c>
      <c r="F47" s="361">
        <v>4543</v>
      </c>
      <c r="G47" s="351">
        <f t="shared" si="59"/>
        <v>159550.15999999997</v>
      </c>
      <c r="H47" s="76" t="s">
        <v>57</v>
      </c>
      <c r="I47" s="359">
        <v>10</v>
      </c>
      <c r="J47" s="18">
        <v>3000</v>
      </c>
      <c r="K47" s="9">
        <f t="shared" si="54"/>
        <v>300</v>
      </c>
      <c r="L47" s="359">
        <v>10</v>
      </c>
      <c r="M47" s="10">
        <f>F47/V47*60</f>
        <v>2725.7999999999988</v>
      </c>
      <c r="N47" s="10">
        <f t="shared" si="61"/>
        <v>272.57999999999987</v>
      </c>
      <c r="O47" s="11">
        <f t="shared" si="62"/>
        <v>0</v>
      </c>
      <c r="P47" s="12">
        <f t="shared" si="51"/>
        <v>-27.42000000000013</v>
      </c>
      <c r="Q47" s="353">
        <f t="shared" si="52"/>
        <v>0.90859999999999952</v>
      </c>
      <c r="R47" s="494"/>
      <c r="S47" s="24">
        <v>0.30694444444444441</v>
      </c>
      <c r="T47" s="24">
        <v>0.37638888888888888</v>
      </c>
      <c r="U47" s="351">
        <f t="shared" ref="U47:U52" si="64">(S47-T46)*24*60</f>
        <v>7.9999999999999716</v>
      </c>
      <c r="V47" s="360">
        <f t="shared" si="63"/>
        <v>100.00000000000004</v>
      </c>
      <c r="W47" s="14"/>
      <c r="X47" s="14"/>
      <c r="Y47" s="473"/>
      <c r="Z47" s="474"/>
      <c r="AA47" s="11">
        <f t="shared" si="2"/>
        <v>-274.20000000000118</v>
      </c>
      <c r="AB47" s="353">
        <f t="shared" si="57"/>
        <v>0.90859999999999963</v>
      </c>
      <c r="AC47" s="494"/>
    </row>
    <row r="48" spans="1:29" ht="15.75" customHeight="1">
      <c r="A48" s="489" t="s">
        <v>9</v>
      </c>
      <c r="B48" s="26" t="s">
        <v>33</v>
      </c>
      <c r="C48" s="491" t="s">
        <v>67</v>
      </c>
      <c r="D48" s="492"/>
      <c r="E48" s="26">
        <v>40.18</v>
      </c>
      <c r="F48" s="361">
        <v>2481</v>
      </c>
      <c r="G48" s="351">
        <f t="shared" si="59"/>
        <v>99686.58</v>
      </c>
      <c r="H48" s="76" t="s">
        <v>57</v>
      </c>
      <c r="I48" s="359">
        <v>10</v>
      </c>
      <c r="J48" s="18">
        <v>3000</v>
      </c>
      <c r="K48" s="9">
        <f t="shared" si="54"/>
        <v>300</v>
      </c>
      <c r="L48" s="359">
        <v>10</v>
      </c>
      <c r="M48" s="10">
        <f t="shared" ref="M48:M52" si="65">F48/V48*60</f>
        <v>2756.6666666666683</v>
      </c>
      <c r="N48" s="10">
        <f t="shared" si="61"/>
        <v>275.66666666666686</v>
      </c>
      <c r="O48" s="11">
        <f t="shared" si="62"/>
        <v>0</v>
      </c>
      <c r="P48" s="12">
        <f t="shared" si="51"/>
        <v>-24.333333333333144</v>
      </c>
      <c r="Q48" s="353">
        <f t="shared" si="52"/>
        <v>0.91888888888888953</v>
      </c>
      <c r="R48" s="494"/>
      <c r="S48" s="24">
        <v>0.38194444444444442</v>
      </c>
      <c r="T48" s="24">
        <v>0.4194444444444444</v>
      </c>
      <c r="U48" s="351">
        <f t="shared" si="64"/>
        <v>7.9999999999999716</v>
      </c>
      <c r="V48" s="360">
        <f t="shared" si="63"/>
        <v>53.999999999999972</v>
      </c>
      <c r="W48" s="14"/>
      <c r="X48" s="14"/>
      <c r="Y48" s="473"/>
      <c r="Z48" s="474"/>
      <c r="AA48" s="11">
        <f t="shared" si="2"/>
        <v>-243.33333333333167</v>
      </c>
      <c r="AB48" s="353">
        <f t="shared" si="57"/>
        <v>0.91888888888888942</v>
      </c>
      <c r="AC48" s="494"/>
    </row>
    <row r="49" spans="1:29" ht="15.75" customHeight="1">
      <c r="A49" s="489" t="s">
        <v>9</v>
      </c>
      <c r="B49" s="26" t="s">
        <v>33</v>
      </c>
      <c r="C49" s="491" t="s">
        <v>73</v>
      </c>
      <c r="D49" s="492"/>
      <c r="E49" s="26">
        <v>28.5</v>
      </c>
      <c r="F49" s="361">
        <v>1750</v>
      </c>
      <c r="G49" s="351">
        <f t="shared" si="59"/>
        <v>49875</v>
      </c>
      <c r="H49" s="76" t="s">
        <v>57</v>
      </c>
      <c r="I49" s="359">
        <v>10</v>
      </c>
      <c r="J49" s="18">
        <v>3000</v>
      </c>
      <c r="K49" s="9">
        <f t="shared" si="54"/>
        <v>300</v>
      </c>
      <c r="L49" s="359">
        <v>10</v>
      </c>
      <c r="M49" s="10">
        <f t="shared" si="65"/>
        <v>2763.1578947368403</v>
      </c>
      <c r="N49" s="10">
        <f t="shared" si="61"/>
        <v>276.31578947368405</v>
      </c>
      <c r="O49" s="11">
        <f t="shared" si="62"/>
        <v>0</v>
      </c>
      <c r="P49" s="12">
        <f t="shared" si="51"/>
        <v>-23.684210526315951</v>
      </c>
      <c r="Q49" s="353">
        <f>N49/K49</f>
        <v>0.92105263157894679</v>
      </c>
      <c r="R49" s="494"/>
      <c r="S49" s="24">
        <v>0.42361111111111105</v>
      </c>
      <c r="T49" s="24">
        <v>0.44999999999999996</v>
      </c>
      <c r="U49" s="351">
        <f t="shared" si="64"/>
        <v>5.9999999999999787</v>
      </c>
      <c r="V49" s="360">
        <f t="shared" si="63"/>
        <v>38.000000000000028</v>
      </c>
      <c r="W49" s="14"/>
      <c r="X49" s="14"/>
      <c r="Y49" s="473"/>
      <c r="Z49" s="474"/>
      <c r="AA49" s="11">
        <f t="shared" si="2"/>
        <v>-236.84210526315974</v>
      </c>
      <c r="AB49" s="353">
        <f t="shared" si="57"/>
        <v>0.92105263157894679</v>
      </c>
      <c r="AC49" s="494"/>
    </row>
    <row r="50" spans="1:29" ht="15.75" customHeight="1">
      <c r="A50" s="489" t="s">
        <v>9</v>
      </c>
      <c r="B50" s="26" t="s">
        <v>33</v>
      </c>
      <c r="C50" s="491" t="s">
        <v>511</v>
      </c>
      <c r="D50" s="492"/>
      <c r="E50" s="26">
        <v>35.869999999999997</v>
      </c>
      <c r="F50" s="361">
        <v>3619</v>
      </c>
      <c r="G50" s="351">
        <f t="shared" si="59"/>
        <v>129813.52999999998</v>
      </c>
      <c r="H50" s="76" t="s">
        <v>57</v>
      </c>
      <c r="I50" s="359">
        <v>10</v>
      </c>
      <c r="J50" s="18">
        <v>3000</v>
      </c>
      <c r="K50" s="9">
        <f t="shared" si="54"/>
        <v>300</v>
      </c>
      <c r="L50" s="359">
        <v>10</v>
      </c>
      <c r="M50" s="10">
        <f t="shared" si="65"/>
        <v>2748.6075949367073</v>
      </c>
      <c r="N50" s="10">
        <f t="shared" si="61"/>
        <v>274.86075949367074</v>
      </c>
      <c r="O50" s="11">
        <f t="shared" si="62"/>
        <v>0</v>
      </c>
      <c r="P50" s="12">
        <f t="shared" si="51"/>
        <v>-25.139240506329259</v>
      </c>
      <c r="Q50" s="353">
        <f t="shared" ref="Q50:Q53" si="66">N50/K50</f>
        <v>0.91620253164556908</v>
      </c>
      <c r="R50" s="494"/>
      <c r="S50" s="24">
        <v>0.45347222222222217</v>
      </c>
      <c r="T50" s="24">
        <v>0.5083333333333333</v>
      </c>
      <c r="U50" s="351">
        <f t="shared" si="64"/>
        <v>4.9999999999999822</v>
      </c>
      <c r="V50" s="360">
        <f t="shared" si="63"/>
        <v>79.000000000000043</v>
      </c>
      <c r="W50" s="14"/>
      <c r="X50" s="14"/>
      <c r="Y50" s="473"/>
      <c r="Z50" s="474"/>
      <c r="AA50" s="11">
        <f t="shared" si="2"/>
        <v>-251.3924050632927</v>
      </c>
      <c r="AB50" s="353">
        <f t="shared" si="57"/>
        <v>0.91620253164556908</v>
      </c>
      <c r="AC50" s="494"/>
    </row>
    <row r="51" spans="1:29" ht="15.75" customHeight="1">
      <c r="A51" s="489" t="s">
        <v>9</v>
      </c>
      <c r="B51" s="26" t="s">
        <v>33</v>
      </c>
      <c r="C51" s="491" t="s">
        <v>34</v>
      </c>
      <c r="D51" s="492"/>
      <c r="E51" s="26">
        <v>27.17</v>
      </c>
      <c r="F51" s="361">
        <v>3139</v>
      </c>
      <c r="G51" s="351">
        <f t="shared" si="59"/>
        <v>85286.63</v>
      </c>
      <c r="H51" s="76" t="s">
        <v>57</v>
      </c>
      <c r="I51" s="359">
        <v>10</v>
      </c>
      <c r="J51" s="18">
        <v>3000</v>
      </c>
      <c r="K51" s="9">
        <f t="shared" si="54"/>
        <v>300</v>
      </c>
      <c r="L51" s="359">
        <v>10</v>
      </c>
      <c r="M51" s="10">
        <f t="shared" si="65"/>
        <v>2729.5652173913013</v>
      </c>
      <c r="N51" s="10">
        <f t="shared" si="61"/>
        <v>272.95652173913015</v>
      </c>
      <c r="O51" s="11">
        <f t="shared" si="62"/>
        <v>0</v>
      </c>
      <c r="P51" s="12">
        <f t="shared" si="51"/>
        <v>-27.043478260869847</v>
      </c>
      <c r="Q51" s="353">
        <f t="shared" si="66"/>
        <v>0.90985507246376718</v>
      </c>
      <c r="R51" s="494"/>
      <c r="S51" s="24">
        <v>0.54861111111111105</v>
      </c>
      <c r="T51" s="24">
        <v>0.59652777777777777</v>
      </c>
      <c r="U51" s="351">
        <f t="shared" si="64"/>
        <v>57.999999999999957</v>
      </c>
      <c r="V51" s="360">
        <f t="shared" si="63"/>
        <v>69.000000000000071</v>
      </c>
      <c r="W51" s="14"/>
      <c r="X51" s="14"/>
      <c r="Y51" s="473"/>
      <c r="Z51" s="474"/>
      <c r="AA51" s="11">
        <f t="shared" si="2"/>
        <v>-270.4347826086987</v>
      </c>
      <c r="AB51" s="353">
        <f t="shared" si="57"/>
        <v>0.90985507246376707</v>
      </c>
      <c r="AC51" s="494"/>
    </row>
    <row r="52" spans="1:29" ht="15.75" customHeight="1">
      <c r="A52" s="489" t="s">
        <v>9</v>
      </c>
      <c r="B52" s="26" t="s">
        <v>33</v>
      </c>
      <c r="C52" s="491" t="s">
        <v>35</v>
      </c>
      <c r="D52" s="492"/>
      <c r="E52" s="26">
        <v>21.13</v>
      </c>
      <c r="F52" s="361">
        <v>1894</v>
      </c>
      <c r="G52" s="351">
        <f t="shared" si="59"/>
        <v>40020.22</v>
      </c>
      <c r="H52" s="76" t="s">
        <v>57</v>
      </c>
      <c r="I52" s="359">
        <v>10</v>
      </c>
      <c r="J52" s="18">
        <v>3000</v>
      </c>
      <c r="K52" s="9">
        <f t="shared" si="54"/>
        <v>300</v>
      </c>
      <c r="L52" s="359">
        <v>10</v>
      </c>
      <c r="M52" s="10">
        <f t="shared" si="65"/>
        <v>2771.7073170731701</v>
      </c>
      <c r="N52" s="10">
        <f t="shared" si="61"/>
        <v>277.17073170731703</v>
      </c>
      <c r="O52" s="11">
        <f t="shared" si="62"/>
        <v>0</v>
      </c>
      <c r="P52" s="12">
        <f t="shared" si="51"/>
        <v>-22.829268292682968</v>
      </c>
      <c r="Q52" s="353">
        <f t="shared" si="66"/>
        <v>0.92390243902439007</v>
      </c>
      <c r="R52" s="494"/>
      <c r="S52" s="24">
        <v>0.6</v>
      </c>
      <c r="T52" s="24">
        <v>0.62847222222222221</v>
      </c>
      <c r="U52" s="351">
        <f t="shared" si="64"/>
        <v>4.9999999999999822</v>
      </c>
      <c r="V52" s="360">
        <f t="shared" si="63"/>
        <v>41.000000000000014</v>
      </c>
      <c r="W52" s="14"/>
      <c r="X52" s="14"/>
      <c r="Y52" s="473"/>
      <c r="Z52" s="474"/>
      <c r="AA52" s="11">
        <f t="shared" si="2"/>
        <v>-228.29268292682991</v>
      </c>
      <c r="AB52" s="353">
        <f t="shared" si="57"/>
        <v>0.92390243902439007</v>
      </c>
      <c r="AC52" s="494"/>
    </row>
    <row r="53" spans="1:29" ht="15.75" customHeight="1">
      <c r="A53" s="490" t="s">
        <v>9</v>
      </c>
      <c r="B53" s="26" t="s">
        <v>81</v>
      </c>
      <c r="C53" s="497"/>
      <c r="D53" s="498"/>
      <c r="E53" s="358"/>
      <c r="F53" s="361"/>
      <c r="G53" s="351"/>
      <c r="H53" s="361"/>
      <c r="I53" s="17">
        <v>10</v>
      </c>
      <c r="J53" s="18">
        <v>3000</v>
      </c>
      <c r="K53" s="9">
        <f>J53/I53</f>
        <v>300</v>
      </c>
      <c r="L53" s="17">
        <v>10</v>
      </c>
      <c r="M53" s="10">
        <f>AVERAGE(M45:M52)</f>
        <v>2747.1094723416436</v>
      </c>
      <c r="N53" s="9">
        <f t="shared" si="61"/>
        <v>274.71094723416434</v>
      </c>
      <c r="O53" s="11">
        <f t="shared" si="62"/>
        <v>0</v>
      </c>
      <c r="P53" s="12">
        <f t="shared" si="51"/>
        <v>-25.289052765835663</v>
      </c>
      <c r="Q53" s="353">
        <f t="shared" si="66"/>
        <v>0.91570315744721442</v>
      </c>
      <c r="R53" s="495"/>
      <c r="S53" s="24"/>
      <c r="T53" s="24"/>
      <c r="U53" s="351"/>
      <c r="V53" s="360"/>
      <c r="W53" s="14"/>
      <c r="X53" s="14"/>
      <c r="Y53" s="473"/>
      <c r="Z53" s="474"/>
      <c r="AA53" s="11">
        <f t="shared" si="2"/>
        <v>-252.8905276583564</v>
      </c>
      <c r="AB53" s="353">
        <f t="shared" si="57"/>
        <v>0.91570315744721453</v>
      </c>
      <c r="AC53" s="495"/>
    </row>
    <row r="54" spans="1:29" ht="15.75" customHeight="1">
      <c r="A54" s="461" t="s">
        <v>1457</v>
      </c>
      <c r="B54" s="26" t="s">
        <v>15</v>
      </c>
      <c r="C54" s="487" t="s">
        <v>20</v>
      </c>
      <c r="D54" s="487"/>
      <c r="E54" s="26">
        <v>46</v>
      </c>
      <c r="F54" s="27">
        <v>3324</v>
      </c>
      <c r="G54" s="351">
        <f t="shared" ref="G54:G57" si="67">E54*F54</f>
        <v>152904</v>
      </c>
      <c r="H54" s="76" t="s">
        <v>57</v>
      </c>
      <c r="I54" s="359">
        <v>17</v>
      </c>
      <c r="J54" s="18">
        <v>1500</v>
      </c>
      <c r="K54" s="9">
        <f t="shared" ref="K54:K57" si="68">J54/I54</f>
        <v>88.235294117647058</v>
      </c>
      <c r="L54" s="359">
        <v>17</v>
      </c>
      <c r="M54" s="10">
        <f t="shared" ref="M54:M57" si="69">F54/V54*60</f>
        <v>1366.0273972602743</v>
      </c>
      <c r="N54" s="10">
        <f>M54/L54</f>
        <v>80.354552780016135</v>
      </c>
      <c r="O54" s="11">
        <f>L54-I54</f>
        <v>0</v>
      </c>
      <c r="P54" s="12">
        <f>N54-K54</f>
        <v>-7.8807413376309228</v>
      </c>
      <c r="Q54" s="353">
        <f>N54/K54</f>
        <v>0.91068493150684959</v>
      </c>
      <c r="R54" s="470">
        <f>Q58</f>
        <v>0.91126842323214452</v>
      </c>
      <c r="S54" s="24">
        <v>0.29166666666666669</v>
      </c>
      <c r="T54" s="24">
        <v>0.39305555555555555</v>
      </c>
      <c r="U54" s="15"/>
      <c r="V54" s="360">
        <f t="shared" ref="V54:V57" si="70">(T54-S54)*24*60</f>
        <v>145.99999999999997</v>
      </c>
      <c r="W54" s="15"/>
      <c r="X54" s="15"/>
      <c r="Y54" s="456"/>
      <c r="Z54" s="456"/>
      <c r="AA54" s="11">
        <f t="shared" si="2"/>
        <v>-133.97260273972574</v>
      </c>
      <c r="AB54" s="353">
        <f t="shared" si="57"/>
        <v>0.91068493150684948</v>
      </c>
      <c r="AC54" s="470">
        <f>AB58</f>
        <v>0.91126842323214441</v>
      </c>
    </row>
    <row r="55" spans="1:29" ht="15.75" customHeight="1">
      <c r="A55" s="461" t="s">
        <v>10</v>
      </c>
      <c r="B55" s="26" t="s">
        <v>15</v>
      </c>
      <c r="C55" s="487" t="s">
        <v>75</v>
      </c>
      <c r="D55" s="487"/>
      <c r="E55" s="26">
        <v>46</v>
      </c>
      <c r="F55" s="27">
        <v>3838</v>
      </c>
      <c r="G55" s="351">
        <f t="shared" si="67"/>
        <v>176548</v>
      </c>
      <c r="H55" s="76" t="s">
        <v>57</v>
      </c>
      <c r="I55" s="359">
        <v>18</v>
      </c>
      <c r="J55" s="18">
        <v>1500</v>
      </c>
      <c r="K55" s="9">
        <f t="shared" si="68"/>
        <v>83.333333333333329</v>
      </c>
      <c r="L55" s="359">
        <v>18</v>
      </c>
      <c r="M55" s="10">
        <f t="shared" si="69"/>
        <v>1362.6035502958582</v>
      </c>
      <c r="N55" s="10">
        <f t="shared" ref="N55:N57" si="71">M55/L55</f>
        <v>75.700197238658788</v>
      </c>
      <c r="O55" s="11">
        <f t="shared" ref="O55:O57" si="72">L55-I55</f>
        <v>0</v>
      </c>
      <c r="P55" s="12">
        <f t="shared" ref="P55:P57" si="73">N55-K55</f>
        <v>-7.6331360946745406</v>
      </c>
      <c r="Q55" s="353">
        <f t="shared" ref="Q55:Q57" si="74">N55/K55</f>
        <v>0.90840236686390552</v>
      </c>
      <c r="R55" s="470"/>
      <c r="S55" s="24">
        <v>0.39652777777777776</v>
      </c>
      <c r="T55" s="24">
        <v>0.51388888888888884</v>
      </c>
      <c r="U55" s="351">
        <f t="shared" ref="U55:U57" si="75">(S55-T54)*24*60</f>
        <v>4.9999999999999822</v>
      </c>
      <c r="V55" s="360">
        <f t="shared" si="70"/>
        <v>168.99999999999997</v>
      </c>
      <c r="W55" s="14"/>
      <c r="X55" s="14"/>
      <c r="Y55" s="456"/>
      <c r="Z55" s="456"/>
      <c r="AA55" s="11">
        <f t="shared" si="2"/>
        <v>-137.39644970414179</v>
      </c>
      <c r="AB55" s="353">
        <f t="shared" si="57"/>
        <v>0.90840236686390552</v>
      </c>
      <c r="AC55" s="470"/>
    </row>
    <row r="56" spans="1:29" ht="15.75" customHeight="1">
      <c r="A56" s="461" t="s">
        <v>10</v>
      </c>
      <c r="B56" s="26" t="s">
        <v>13</v>
      </c>
      <c r="C56" s="491" t="s">
        <v>65</v>
      </c>
      <c r="D56" s="492"/>
      <c r="E56" s="26">
        <v>55.56</v>
      </c>
      <c r="F56" s="27">
        <v>2236</v>
      </c>
      <c r="G56" s="351">
        <f t="shared" si="67"/>
        <v>124232.16</v>
      </c>
      <c r="H56" s="76" t="s">
        <v>57</v>
      </c>
      <c r="I56" s="359">
        <v>17</v>
      </c>
      <c r="J56" s="18">
        <v>1500</v>
      </c>
      <c r="K56" s="9">
        <f t="shared" si="68"/>
        <v>88.235294117647058</v>
      </c>
      <c r="L56" s="359">
        <v>17</v>
      </c>
      <c r="M56" s="10">
        <f t="shared" si="69"/>
        <v>1368.9795918367352</v>
      </c>
      <c r="N56" s="10">
        <f t="shared" si="71"/>
        <v>80.52821128451383</v>
      </c>
      <c r="O56" s="11">
        <f t="shared" si="72"/>
        <v>0</v>
      </c>
      <c r="P56" s="12">
        <f t="shared" si="73"/>
        <v>-7.707082833133228</v>
      </c>
      <c r="Q56" s="353">
        <f t="shared" si="74"/>
        <v>0.91265306122449008</v>
      </c>
      <c r="R56" s="470"/>
      <c r="S56" s="24">
        <v>0.70833333333333337</v>
      </c>
      <c r="T56" s="24">
        <v>0.77638888888888891</v>
      </c>
      <c r="U56" s="351">
        <f t="shared" si="75"/>
        <v>280.00000000000011</v>
      </c>
      <c r="V56" s="360">
        <f t="shared" si="70"/>
        <v>97.999999999999972</v>
      </c>
      <c r="W56" s="14"/>
      <c r="X56" s="14"/>
      <c r="Y56" s="356"/>
      <c r="Z56" s="357"/>
      <c r="AA56" s="11">
        <f t="shared" si="2"/>
        <v>-131.02040816326485</v>
      </c>
      <c r="AB56" s="353">
        <f t="shared" si="57"/>
        <v>0.91265306122449008</v>
      </c>
      <c r="AC56" s="470"/>
    </row>
    <row r="57" spans="1:29" ht="15.75" customHeight="1">
      <c r="A57" s="461" t="s">
        <v>10</v>
      </c>
      <c r="B57" s="26" t="s">
        <v>13</v>
      </c>
      <c r="C57" s="354" t="s">
        <v>64</v>
      </c>
      <c r="D57" s="355"/>
      <c r="E57" s="26">
        <v>55.32</v>
      </c>
      <c r="F57" s="27">
        <v>1781</v>
      </c>
      <c r="G57" s="351">
        <f t="shared" si="67"/>
        <v>98524.92</v>
      </c>
      <c r="H57" s="76" t="s">
        <v>57</v>
      </c>
      <c r="I57" s="359">
        <v>15</v>
      </c>
      <c r="J57" s="18">
        <v>1500</v>
      </c>
      <c r="K57" s="9">
        <f t="shared" si="68"/>
        <v>100</v>
      </c>
      <c r="L57" s="359">
        <v>15</v>
      </c>
      <c r="M57" s="10">
        <f t="shared" si="69"/>
        <v>1369.9999999999993</v>
      </c>
      <c r="N57" s="10">
        <f t="shared" si="71"/>
        <v>91.333333333333286</v>
      </c>
      <c r="O57" s="11">
        <f t="shared" si="72"/>
        <v>0</v>
      </c>
      <c r="P57" s="12">
        <f t="shared" si="73"/>
        <v>-8.666666666666714</v>
      </c>
      <c r="Q57" s="353">
        <f t="shared" si="74"/>
        <v>0.91333333333333289</v>
      </c>
      <c r="R57" s="470"/>
      <c r="S57" s="24">
        <v>0.78194444444444444</v>
      </c>
      <c r="T57" s="24">
        <v>0.83611111111111114</v>
      </c>
      <c r="U57" s="351">
        <f t="shared" si="75"/>
        <v>7.9999999999999716</v>
      </c>
      <c r="V57" s="360">
        <f t="shared" si="70"/>
        <v>78.000000000000043</v>
      </c>
      <c r="W57" s="14"/>
      <c r="X57" s="14"/>
      <c r="Y57" s="356"/>
      <c r="Z57" s="357"/>
      <c r="AA57" s="11">
        <f t="shared" si="2"/>
        <v>-130.00000000000068</v>
      </c>
      <c r="AB57" s="353">
        <f t="shared" si="57"/>
        <v>0.91333333333333289</v>
      </c>
      <c r="AC57" s="470"/>
    </row>
    <row r="58" spans="1:29">
      <c r="A58" s="496" t="s">
        <v>10</v>
      </c>
      <c r="B58" s="26" t="s">
        <v>81</v>
      </c>
      <c r="C58" s="466"/>
      <c r="D58" s="466"/>
      <c r="E58" s="352"/>
      <c r="F58" s="16"/>
      <c r="G58" s="9"/>
      <c r="H58" s="361"/>
      <c r="I58" s="17">
        <v>16.75</v>
      </c>
      <c r="J58" s="18">
        <v>1500</v>
      </c>
      <c r="K58" s="9">
        <f>J58/I58</f>
        <v>89.552238805970148</v>
      </c>
      <c r="L58" s="17">
        <v>16.75</v>
      </c>
      <c r="M58" s="10">
        <f>AVERAGE(M54:M57)</f>
        <v>1366.9026348482166</v>
      </c>
      <c r="N58" s="9">
        <f>M58/L58</f>
        <v>81.606127453624879</v>
      </c>
      <c r="O58" s="11">
        <f>L58-I58</f>
        <v>0</v>
      </c>
      <c r="P58" s="12">
        <f>N58-K58</f>
        <v>-7.9461113523452696</v>
      </c>
      <c r="Q58" s="353">
        <f>N58/K58</f>
        <v>0.91126842323214452</v>
      </c>
      <c r="R58" s="470"/>
      <c r="S58" s="25"/>
      <c r="T58" s="24"/>
      <c r="U58" s="9"/>
      <c r="V58" s="360"/>
      <c r="W58" s="9"/>
      <c r="X58" s="9"/>
      <c r="Y58" s="456"/>
      <c r="Z58" s="456"/>
      <c r="AA58" s="11">
        <f t="shared" si="2"/>
        <v>-133.09736515178338</v>
      </c>
      <c r="AB58" s="353">
        <f t="shared" si="57"/>
        <v>0.91126842323214441</v>
      </c>
      <c r="AC58" s="470"/>
    </row>
    <row r="59" spans="1:29" ht="15.75" customHeight="1">
      <c r="A59" s="499" t="s">
        <v>163</v>
      </c>
      <c r="B59" s="361" t="s">
        <v>33</v>
      </c>
      <c r="C59" s="487" t="s">
        <v>36</v>
      </c>
      <c r="D59" s="487"/>
      <c r="E59" s="26">
        <v>26.78</v>
      </c>
      <c r="F59" s="27">
        <v>2637</v>
      </c>
      <c r="G59" s="351">
        <f t="shared" ref="G59:G65" si="76">E59*F59</f>
        <v>70618.86</v>
      </c>
      <c r="H59" s="76" t="s">
        <v>57</v>
      </c>
      <c r="I59" s="359">
        <v>10</v>
      </c>
      <c r="J59" s="18">
        <v>3000</v>
      </c>
      <c r="K59" s="9">
        <f t="shared" ref="K59:K65" si="77">J59/I59</f>
        <v>300</v>
      </c>
      <c r="L59" s="17">
        <v>10</v>
      </c>
      <c r="M59" s="10">
        <f t="shared" ref="M59:M65" si="78">F59/V59*60</f>
        <v>2727.9310344827591</v>
      </c>
      <c r="N59" s="9">
        <f>M59/L59</f>
        <v>272.79310344827593</v>
      </c>
      <c r="O59" s="11">
        <f t="shared" ref="O59:O65" si="79">L59-I59</f>
        <v>0</v>
      </c>
      <c r="P59" s="12">
        <f t="shared" ref="P59:P65" si="80">N59-K59</f>
        <v>-27.206896551724071</v>
      </c>
      <c r="Q59" s="353">
        <f>N59/K59</f>
        <v>0.90931034482758644</v>
      </c>
      <c r="R59" s="470">
        <f>Q66</f>
        <v>0.91334084481456745</v>
      </c>
      <c r="S59" s="24">
        <v>0.20833333333333334</v>
      </c>
      <c r="T59" s="24">
        <v>0.24861111111111112</v>
      </c>
      <c r="U59" s="351"/>
      <c r="V59" s="360">
        <f t="shared" ref="V59:V65" si="81">(T59-S59)*24*60</f>
        <v>57.999999999999993</v>
      </c>
      <c r="W59" s="15"/>
      <c r="X59" s="15"/>
      <c r="Y59" s="456"/>
      <c r="Z59" s="456"/>
      <c r="AA59" s="11">
        <f t="shared" si="2"/>
        <v>-272.06896551724094</v>
      </c>
      <c r="AB59" s="353">
        <f t="shared" si="57"/>
        <v>0.90931034482758633</v>
      </c>
      <c r="AC59" s="470">
        <f>AB66</f>
        <v>0.91334084481456745</v>
      </c>
    </row>
    <row r="60" spans="1:29" ht="15.75" customHeight="1">
      <c r="A60" s="499" t="s">
        <v>11</v>
      </c>
      <c r="B60" s="361" t="s">
        <v>33</v>
      </c>
      <c r="C60" s="487" t="s">
        <v>42</v>
      </c>
      <c r="D60" s="487"/>
      <c r="E60" s="26">
        <v>35.369999999999997</v>
      </c>
      <c r="F60" s="27">
        <v>1768</v>
      </c>
      <c r="G60" s="351">
        <f t="shared" si="76"/>
        <v>62534.159999999996</v>
      </c>
      <c r="H60" s="76" t="s">
        <v>57</v>
      </c>
      <c r="I60" s="359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2719.9999999999986</v>
      </c>
      <c r="N60" s="9">
        <f t="shared" ref="N60:N65" si="82">M60/L60</f>
        <v>271.99999999999989</v>
      </c>
      <c r="O60" s="11">
        <f t="shared" si="79"/>
        <v>0</v>
      </c>
      <c r="P60" s="12">
        <f t="shared" si="80"/>
        <v>-28.000000000000114</v>
      </c>
      <c r="Q60" s="353">
        <f t="shared" ref="Q60:Q65" si="83">N60/K60</f>
        <v>0.90666666666666629</v>
      </c>
      <c r="R60" s="470"/>
      <c r="S60" s="24">
        <v>0.25347222222222221</v>
      </c>
      <c r="T60" s="24">
        <v>0.28055555555555556</v>
      </c>
      <c r="U60" s="351">
        <f>(S60-T59)*24*60</f>
        <v>6.9999999999999751</v>
      </c>
      <c r="V60" s="360">
        <f t="shared" si="81"/>
        <v>39.000000000000021</v>
      </c>
      <c r="W60" s="351"/>
      <c r="X60" s="351"/>
      <c r="Y60" s="456"/>
      <c r="Z60" s="456"/>
      <c r="AA60" s="11">
        <f t="shared" si="2"/>
        <v>-280.00000000000136</v>
      </c>
      <c r="AB60" s="353">
        <f t="shared" si="57"/>
        <v>0.90666666666666618</v>
      </c>
      <c r="AC60" s="470"/>
    </row>
    <row r="61" spans="1:29" ht="15.75" customHeight="1">
      <c r="A61" s="499" t="s">
        <v>11</v>
      </c>
      <c r="B61" s="361" t="s">
        <v>33</v>
      </c>
      <c r="C61" s="487" t="s">
        <v>41</v>
      </c>
      <c r="D61" s="487"/>
      <c r="E61" s="26">
        <v>34.35</v>
      </c>
      <c r="F61" s="27">
        <v>1530</v>
      </c>
      <c r="G61" s="351">
        <f t="shared" si="76"/>
        <v>52555.5</v>
      </c>
      <c r="H61" s="76" t="s">
        <v>57</v>
      </c>
      <c r="I61" s="359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2781.8181818181783</v>
      </c>
      <c r="N61" s="9">
        <f t="shared" si="82"/>
        <v>278.18181818181785</v>
      </c>
      <c r="O61" s="11">
        <f t="shared" si="79"/>
        <v>0</v>
      </c>
      <c r="P61" s="12">
        <f t="shared" si="80"/>
        <v>-21.818181818182154</v>
      </c>
      <c r="Q61" s="353">
        <f t="shared" si="83"/>
        <v>0.92727272727272614</v>
      </c>
      <c r="R61" s="470"/>
      <c r="S61" s="24">
        <v>0.28611111111111109</v>
      </c>
      <c r="T61" s="24">
        <v>0.30902777777777779</v>
      </c>
      <c r="U61" s="351">
        <f t="shared" ref="U61:U65" si="84">(S61-T60)*24*60</f>
        <v>7.9999999999999716</v>
      </c>
      <c r="V61" s="360">
        <f t="shared" si="81"/>
        <v>33.000000000000043</v>
      </c>
      <c r="W61" s="351"/>
      <c r="X61" s="351"/>
      <c r="Y61" s="456"/>
      <c r="Z61" s="456"/>
      <c r="AA61" s="11">
        <f t="shared" si="2"/>
        <v>-218.18181818182165</v>
      </c>
      <c r="AB61" s="353">
        <f t="shared" si="57"/>
        <v>0.92727272727272614</v>
      </c>
      <c r="AC61" s="470"/>
    </row>
    <row r="62" spans="1:29" ht="15.75" customHeight="1">
      <c r="A62" s="499" t="s">
        <v>11</v>
      </c>
      <c r="B62" s="361" t="s">
        <v>15</v>
      </c>
      <c r="C62" s="487" t="s">
        <v>39</v>
      </c>
      <c r="D62" s="487"/>
      <c r="E62" s="26">
        <v>26.97</v>
      </c>
      <c r="F62" s="27">
        <v>3424</v>
      </c>
      <c r="G62" s="351">
        <f t="shared" si="76"/>
        <v>92345.279999999999</v>
      </c>
      <c r="H62" s="76" t="s">
        <v>57</v>
      </c>
      <c r="I62" s="359">
        <v>8</v>
      </c>
      <c r="J62" s="18">
        <v>1440</v>
      </c>
      <c r="K62" s="9">
        <f t="shared" si="77"/>
        <v>180</v>
      </c>
      <c r="L62" s="17">
        <v>8</v>
      </c>
      <c r="M62" s="10">
        <f t="shared" si="78"/>
        <v>1308.5350318471337</v>
      </c>
      <c r="N62" s="9">
        <f t="shared" si="82"/>
        <v>163.56687898089172</v>
      </c>
      <c r="O62" s="11">
        <f t="shared" si="79"/>
        <v>0</v>
      </c>
      <c r="P62" s="12">
        <f t="shared" si="80"/>
        <v>-16.433121019108285</v>
      </c>
      <c r="Q62" s="353">
        <f t="shared" si="83"/>
        <v>0.90870488322717624</v>
      </c>
      <c r="R62" s="470"/>
      <c r="S62" s="24">
        <v>0.31458333333333333</v>
      </c>
      <c r="T62" s="24">
        <v>0.4236111111111111</v>
      </c>
      <c r="U62" s="351">
        <f t="shared" si="84"/>
        <v>7.9999999999999716</v>
      </c>
      <c r="V62" s="360">
        <f t="shared" si="81"/>
        <v>157</v>
      </c>
      <c r="W62" s="351"/>
      <c r="X62" s="351"/>
      <c r="Y62" s="456"/>
      <c r="Z62" s="456"/>
      <c r="AA62" s="11">
        <f t="shared" si="2"/>
        <v>-131.46496815286628</v>
      </c>
      <c r="AB62" s="353">
        <f t="shared" si="57"/>
        <v>0.90870488322717624</v>
      </c>
      <c r="AC62" s="470"/>
    </row>
    <row r="63" spans="1:29">
      <c r="A63" s="500" t="s">
        <v>11</v>
      </c>
      <c r="B63" s="361" t="s">
        <v>33</v>
      </c>
      <c r="C63" s="487" t="s">
        <v>40</v>
      </c>
      <c r="D63" s="487"/>
      <c r="E63" s="26">
        <v>35.119999999999997</v>
      </c>
      <c r="F63" s="27">
        <v>1307</v>
      </c>
      <c r="G63" s="351">
        <f t="shared" si="76"/>
        <v>45901.84</v>
      </c>
      <c r="H63" s="76" t="s">
        <v>57</v>
      </c>
      <c r="I63" s="359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1823.7209302325577</v>
      </c>
      <c r="N63" s="9">
        <f t="shared" si="82"/>
        <v>140.28622540250444</v>
      </c>
      <c r="O63" s="11">
        <f t="shared" si="79"/>
        <v>0</v>
      </c>
      <c r="P63" s="12">
        <f t="shared" si="80"/>
        <v>-13.559928443649397</v>
      </c>
      <c r="Q63" s="353">
        <f t="shared" si="83"/>
        <v>0.91186046511627894</v>
      </c>
      <c r="R63" s="470"/>
      <c r="S63" s="24">
        <v>0.42708333333333331</v>
      </c>
      <c r="T63" s="24">
        <v>0.45694444444444443</v>
      </c>
      <c r="U63" s="351">
        <f t="shared" si="84"/>
        <v>4.9999999999999822</v>
      </c>
      <c r="V63" s="360">
        <f t="shared" si="81"/>
        <v>43.000000000000007</v>
      </c>
      <c r="W63" s="14"/>
      <c r="X63" s="14"/>
      <c r="Y63" s="456"/>
      <c r="Z63" s="456"/>
      <c r="AA63" s="11">
        <f t="shared" si="2"/>
        <v>-176.27906976744225</v>
      </c>
      <c r="AB63" s="353">
        <f t="shared" si="57"/>
        <v>0.91186046511627883</v>
      </c>
      <c r="AC63" s="470"/>
    </row>
    <row r="64" spans="1:29" ht="15" customHeight="1">
      <c r="A64" s="500" t="s">
        <v>11</v>
      </c>
      <c r="B64" s="361" t="s">
        <v>33</v>
      </c>
      <c r="C64" s="491" t="s">
        <v>1194</v>
      </c>
      <c r="D64" s="492"/>
      <c r="E64" s="26">
        <v>35.869999999999997</v>
      </c>
      <c r="F64" s="27">
        <v>2500</v>
      </c>
      <c r="G64" s="351">
        <f t="shared" si="76"/>
        <v>89675</v>
      </c>
      <c r="H64" s="76">
        <v>2</v>
      </c>
      <c r="I64" s="359">
        <v>13</v>
      </c>
      <c r="J64" s="18">
        <v>3000</v>
      </c>
      <c r="K64" s="9">
        <f t="shared" si="77"/>
        <v>230.76923076923077</v>
      </c>
      <c r="L64" s="17">
        <v>13</v>
      </c>
      <c r="M64" s="10">
        <f t="shared" si="78"/>
        <v>2727.2727272727288</v>
      </c>
      <c r="N64" s="9">
        <f t="shared" si="82"/>
        <v>209.7902097902099</v>
      </c>
      <c r="O64" s="11">
        <f t="shared" si="79"/>
        <v>0</v>
      </c>
      <c r="P64" s="12">
        <f t="shared" si="80"/>
        <v>-20.979020979020873</v>
      </c>
      <c r="Q64" s="353">
        <f t="shared" si="83"/>
        <v>0.9090909090909095</v>
      </c>
      <c r="R64" s="470"/>
      <c r="S64" s="24">
        <v>0.46111111111111108</v>
      </c>
      <c r="T64" s="24">
        <v>0.4993055555555555</v>
      </c>
      <c r="U64" s="351">
        <f t="shared" si="84"/>
        <v>5.9999999999999787</v>
      </c>
      <c r="V64" s="360">
        <f t="shared" si="81"/>
        <v>54.999999999999964</v>
      </c>
      <c r="W64" s="351"/>
      <c r="X64" s="351"/>
      <c r="Y64" s="473"/>
      <c r="Z64" s="474"/>
      <c r="AA64" s="11">
        <f t="shared" si="2"/>
        <v>-272.72727272727116</v>
      </c>
      <c r="AB64" s="353">
        <f t="shared" si="57"/>
        <v>0.90909090909090962</v>
      </c>
      <c r="AC64" s="470"/>
    </row>
    <row r="65" spans="1:29">
      <c r="A65" s="500" t="s">
        <v>11</v>
      </c>
      <c r="B65" s="361" t="s">
        <v>33</v>
      </c>
      <c r="C65" s="354" t="s">
        <v>1194</v>
      </c>
      <c r="D65" s="355"/>
      <c r="E65" s="26">
        <v>35.869999999999997</v>
      </c>
      <c r="F65" s="27">
        <v>3028</v>
      </c>
      <c r="G65" s="351">
        <f t="shared" si="76"/>
        <v>108614.35999999999</v>
      </c>
      <c r="H65" s="76" t="s">
        <v>57</v>
      </c>
      <c r="I65" s="359">
        <v>13</v>
      </c>
      <c r="J65" s="18">
        <v>3000</v>
      </c>
      <c r="K65" s="9">
        <f t="shared" si="77"/>
        <v>230.76923076923077</v>
      </c>
      <c r="L65" s="17">
        <v>13</v>
      </c>
      <c r="M65" s="10">
        <f t="shared" si="78"/>
        <v>2752.7272727272693</v>
      </c>
      <c r="N65" s="9">
        <f t="shared" si="82"/>
        <v>211.74825174825148</v>
      </c>
      <c r="O65" s="11">
        <f t="shared" si="79"/>
        <v>0</v>
      </c>
      <c r="P65" s="12">
        <f t="shared" si="80"/>
        <v>-19.020979020979297</v>
      </c>
      <c r="Q65" s="353">
        <f t="shared" si="83"/>
        <v>0.91757575757575638</v>
      </c>
      <c r="R65" s="470"/>
      <c r="S65" s="24">
        <v>0.5395833333333333</v>
      </c>
      <c r="T65" s="24">
        <v>0.5854166666666667</v>
      </c>
      <c r="U65" s="351">
        <f t="shared" si="84"/>
        <v>58.000000000000036</v>
      </c>
      <c r="V65" s="360">
        <f t="shared" si="81"/>
        <v>66.000000000000085</v>
      </c>
      <c r="W65" s="14"/>
      <c r="X65" s="14"/>
      <c r="Y65" s="356"/>
      <c r="Z65" s="357"/>
      <c r="AA65" s="11">
        <f t="shared" si="2"/>
        <v>-247.27272727273066</v>
      </c>
      <c r="AB65" s="353">
        <f t="shared" si="57"/>
        <v>0.91757575757575649</v>
      </c>
      <c r="AC65" s="470"/>
    </row>
    <row r="66" spans="1:29">
      <c r="A66" s="500" t="s">
        <v>11</v>
      </c>
      <c r="B66" s="26" t="s">
        <v>1456</v>
      </c>
      <c r="C66" s="466"/>
      <c r="D66" s="466"/>
      <c r="E66" s="352"/>
      <c r="F66" s="16"/>
      <c r="G66" s="9"/>
      <c r="H66" s="361"/>
      <c r="I66" s="17">
        <v>11</v>
      </c>
      <c r="J66" s="18">
        <v>2634.2857142857142</v>
      </c>
      <c r="K66" s="9">
        <f>J66/I66</f>
        <v>239.48051948051946</v>
      </c>
      <c r="L66" s="17">
        <v>11</v>
      </c>
      <c r="M66" s="10">
        <f>AVERAGE(M59:M65)</f>
        <v>2406.0007397686604</v>
      </c>
      <c r="N66" s="9">
        <f>M66/L66</f>
        <v>218.72733997896913</v>
      </c>
      <c r="O66" s="11">
        <f>L66-I66</f>
        <v>0</v>
      </c>
      <c r="P66" s="12">
        <f>N66-K66</f>
        <v>-20.753179501550335</v>
      </c>
      <c r="Q66" s="353">
        <f>N66/K66</f>
        <v>0.91334084481456745</v>
      </c>
      <c r="R66" s="470"/>
      <c r="S66" s="24"/>
      <c r="T66" s="24"/>
      <c r="U66" s="9"/>
      <c r="V66" s="360"/>
      <c r="W66" s="9"/>
      <c r="X66" s="9"/>
      <c r="Y66" s="456"/>
      <c r="Z66" s="456"/>
      <c r="AA66" s="11">
        <f t="shared" si="2"/>
        <v>-228.2849745170538</v>
      </c>
      <c r="AB66" s="353">
        <f t="shared" si="57"/>
        <v>0.91334084481456745</v>
      </c>
      <c r="AC66" s="470"/>
    </row>
    <row r="67" spans="1:29" ht="15.75" customHeight="1">
      <c r="A67" s="467" t="s">
        <v>164</v>
      </c>
      <c r="B67" s="361" t="s">
        <v>24</v>
      </c>
      <c r="C67" s="487" t="s">
        <v>83</v>
      </c>
      <c r="D67" s="487"/>
      <c r="E67" s="26">
        <v>32.03</v>
      </c>
      <c r="F67" s="361">
        <v>1472</v>
      </c>
      <c r="G67" s="351">
        <f t="shared" ref="G67:G72" si="85">E67*F67</f>
        <v>47148.160000000003</v>
      </c>
      <c r="H67" s="76" t="s">
        <v>57</v>
      </c>
      <c r="I67" s="359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2207.9999999999995</v>
      </c>
      <c r="N67" s="9">
        <f t="shared" ref="N67:N72" si="87">M67/L67</f>
        <v>116.21052631578945</v>
      </c>
      <c r="O67" s="11">
        <f t="shared" ref="O67:O72" si="88">L67-I67</f>
        <v>0</v>
      </c>
      <c r="P67" s="12">
        <f t="shared" ref="P67:P72" si="89">N67-K67</f>
        <v>-10.105263157894754</v>
      </c>
      <c r="Q67" s="353">
        <f>N67/K67</f>
        <v>0.91999999999999982</v>
      </c>
      <c r="R67" s="470">
        <f>Q73</f>
        <v>0.91030938364537084</v>
      </c>
      <c r="S67" s="24">
        <v>0.125</v>
      </c>
      <c r="T67" s="24">
        <v>0.15277777777777779</v>
      </c>
      <c r="U67" s="15"/>
      <c r="V67" s="360">
        <f t="shared" ref="V67:V72" si="90">(T67-S67)*24*60</f>
        <v>40.000000000000014</v>
      </c>
      <c r="W67" s="14"/>
      <c r="X67" s="14"/>
      <c r="Y67" s="456"/>
      <c r="Z67" s="456"/>
      <c r="AA67" s="11">
        <f t="shared" si="2"/>
        <v>-192.00000000000045</v>
      </c>
      <c r="AB67" s="353">
        <f>M67/J67</f>
        <v>0.91999999999999982</v>
      </c>
      <c r="AC67" s="470">
        <f>AB73</f>
        <v>0.91030938364537084</v>
      </c>
    </row>
    <row r="68" spans="1:29" ht="15.75" customHeight="1">
      <c r="A68" s="467" t="s">
        <v>12</v>
      </c>
      <c r="B68" s="361" t="s">
        <v>24</v>
      </c>
      <c r="C68" s="487" t="s">
        <v>56</v>
      </c>
      <c r="D68" s="487"/>
      <c r="E68" s="26">
        <v>20.2</v>
      </c>
      <c r="F68" s="361">
        <v>2755</v>
      </c>
      <c r="G68" s="351">
        <f t="shared" si="85"/>
        <v>55651</v>
      </c>
      <c r="H68" s="76" t="s">
        <v>57</v>
      </c>
      <c r="I68" s="359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2" si="91">F68/V68*60</f>
        <v>2174.9999999999995</v>
      </c>
      <c r="N68" s="9">
        <f t="shared" si="87"/>
        <v>114.47368421052629</v>
      </c>
      <c r="O68" s="11">
        <f t="shared" si="88"/>
        <v>0</v>
      </c>
      <c r="P68" s="12">
        <f t="shared" si="89"/>
        <v>-11.842105263157919</v>
      </c>
      <c r="Q68" s="353">
        <f t="shared" ref="Q68:Q73" si="92">N68/K68</f>
        <v>0.90624999999999978</v>
      </c>
      <c r="R68" s="470"/>
      <c r="S68" s="24">
        <v>0.17152777777777781</v>
      </c>
      <c r="T68" s="24">
        <v>0.22430555555555559</v>
      </c>
      <c r="U68" s="351">
        <f>(S68-T67)*24*60</f>
        <v>27.000000000000025</v>
      </c>
      <c r="V68" s="360">
        <f t="shared" si="90"/>
        <v>76.000000000000014</v>
      </c>
      <c r="W68" s="14"/>
      <c r="X68" s="14"/>
      <c r="Y68" s="456"/>
      <c r="Z68" s="456"/>
      <c r="AA68" s="11">
        <f t="shared" si="2"/>
        <v>-225.00000000000045</v>
      </c>
      <c r="AB68" s="353">
        <f t="shared" ref="AB68:AB73" si="93">M68/J68</f>
        <v>0.90624999999999978</v>
      </c>
      <c r="AC68" s="470"/>
    </row>
    <row r="69" spans="1:29" ht="15.75" customHeight="1">
      <c r="A69" s="467" t="s">
        <v>12</v>
      </c>
      <c r="B69" s="361" t="s">
        <v>24</v>
      </c>
      <c r="C69" s="487" t="s">
        <v>45</v>
      </c>
      <c r="D69" s="487"/>
      <c r="E69" s="26">
        <v>19.02</v>
      </c>
      <c r="F69" s="361">
        <v>4000</v>
      </c>
      <c r="G69" s="351">
        <f t="shared" si="85"/>
        <v>76080</v>
      </c>
      <c r="H69" s="76">
        <v>2</v>
      </c>
      <c r="I69" s="359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2181.8181818181824</v>
      </c>
      <c r="N69" s="9">
        <f t="shared" si="87"/>
        <v>145.4545454545455</v>
      </c>
      <c r="O69" s="11">
        <f t="shared" si="88"/>
        <v>0</v>
      </c>
      <c r="P69" s="12">
        <f t="shared" si="89"/>
        <v>-14.545454545454504</v>
      </c>
      <c r="Q69" s="353">
        <f t="shared" si="92"/>
        <v>0.90909090909090939</v>
      </c>
      <c r="R69" s="470"/>
      <c r="S69" s="24">
        <v>0.22986111111111115</v>
      </c>
      <c r="T69" s="24">
        <v>0.30625000000000002</v>
      </c>
      <c r="U69" s="351">
        <f t="shared" ref="U69:U72" si="94">(S69-T68)*24*60</f>
        <v>8.0000000000000107</v>
      </c>
      <c r="V69" s="360">
        <f t="shared" si="90"/>
        <v>109.99999999999997</v>
      </c>
      <c r="W69" s="14"/>
      <c r="X69" s="14"/>
      <c r="Y69" s="456"/>
      <c r="Z69" s="456"/>
      <c r="AA69" s="11">
        <f t="shared" ref="AA69:AA73" si="95">M69-J69</f>
        <v>-218.18181818181756</v>
      </c>
      <c r="AB69" s="353">
        <f t="shared" si="93"/>
        <v>0.90909090909090939</v>
      </c>
      <c r="AC69" s="470"/>
    </row>
    <row r="70" spans="1:29" ht="15.75" customHeight="1">
      <c r="A70" s="467" t="s">
        <v>12</v>
      </c>
      <c r="B70" s="361" t="s">
        <v>24</v>
      </c>
      <c r="C70" s="487" t="s">
        <v>46</v>
      </c>
      <c r="D70" s="487"/>
      <c r="E70" s="26">
        <v>25</v>
      </c>
      <c r="F70" s="361">
        <v>4366</v>
      </c>
      <c r="G70" s="351">
        <f t="shared" si="85"/>
        <v>109150</v>
      </c>
      <c r="H70" s="76" t="s">
        <v>57</v>
      </c>
      <c r="I70" s="359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2183.0000000000005</v>
      </c>
      <c r="N70" s="9">
        <f t="shared" si="87"/>
        <v>145.53333333333336</v>
      </c>
      <c r="O70" s="11">
        <f t="shared" si="88"/>
        <v>0</v>
      </c>
      <c r="P70" s="12">
        <f t="shared" si="89"/>
        <v>-14.46666666666664</v>
      </c>
      <c r="Q70" s="353">
        <f t="shared" si="92"/>
        <v>0.90958333333333352</v>
      </c>
      <c r="R70" s="470"/>
      <c r="S70" s="24">
        <v>0.31041666666666667</v>
      </c>
      <c r="T70" s="24">
        <v>0.39374999999999999</v>
      </c>
      <c r="U70" s="351">
        <f t="shared" si="94"/>
        <v>5.9999999999999787</v>
      </c>
      <c r="V70" s="360">
        <f t="shared" si="90"/>
        <v>119.99999999999997</v>
      </c>
      <c r="W70" s="14"/>
      <c r="X70" s="14"/>
      <c r="Y70" s="456"/>
      <c r="Z70" s="456"/>
      <c r="AA70" s="11">
        <f t="shared" si="95"/>
        <v>-216.99999999999955</v>
      </c>
      <c r="AB70" s="353">
        <f t="shared" si="93"/>
        <v>0.90958333333333352</v>
      </c>
      <c r="AC70" s="470"/>
    </row>
    <row r="71" spans="1:29" ht="15.75" customHeight="1">
      <c r="A71" s="467" t="s">
        <v>12</v>
      </c>
      <c r="B71" s="361" t="s">
        <v>24</v>
      </c>
      <c r="C71" s="487" t="s">
        <v>510</v>
      </c>
      <c r="D71" s="487"/>
      <c r="E71" s="26">
        <v>28.51</v>
      </c>
      <c r="F71" s="361">
        <v>5341</v>
      </c>
      <c r="G71" s="351">
        <f t="shared" si="85"/>
        <v>152271.91</v>
      </c>
      <c r="H71" s="76" t="s">
        <v>57</v>
      </c>
      <c r="I71" s="359">
        <v>20</v>
      </c>
      <c r="J71" s="18">
        <v>2400</v>
      </c>
      <c r="K71" s="9">
        <f t="shared" ref="K71:K73" si="96">J71/I71</f>
        <v>120</v>
      </c>
      <c r="L71" s="17">
        <v>20</v>
      </c>
      <c r="M71" s="10">
        <f t="shared" si="91"/>
        <v>2179.9999999999995</v>
      </c>
      <c r="N71" s="9">
        <f t="shared" si="87"/>
        <v>108.99999999999997</v>
      </c>
      <c r="O71" s="11">
        <f t="shared" si="88"/>
        <v>0</v>
      </c>
      <c r="P71" s="12">
        <f t="shared" si="89"/>
        <v>-11.000000000000028</v>
      </c>
      <c r="Q71" s="353">
        <f t="shared" si="92"/>
        <v>0.9083333333333331</v>
      </c>
      <c r="R71" s="470"/>
      <c r="S71" s="24">
        <v>0.39930555555555552</v>
      </c>
      <c r="T71" s="24">
        <v>0.50138888888888888</v>
      </c>
      <c r="U71" s="351">
        <f t="shared" si="94"/>
        <v>7.9999999999999716</v>
      </c>
      <c r="V71" s="360">
        <f t="shared" si="90"/>
        <v>147.00000000000003</v>
      </c>
      <c r="W71" s="14"/>
      <c r="X71" s="14"/>
      <c r="Y71" s="456"/>
      <c r="Z71" s="456"/>
      <c r="AA71" s="11">
        <f t="shared" si="95"/>
        <v>-220.00000000000045</v>
      </c>
      <c r="AB71" s="353">
        <f t="shared" si="93"/>
        <v>0.9083333333333331</v>
      </c>
      <c r="AC71" s="470"/>
    </row>
    <row r="72" spans="1:29" ht="15.75" customHeight="1">
      <c r="A72" s="467" t="s">
        <v>12</v>
      </c>
      <c r="B72" s="361" t="s">
        <v>24</v>
      </c>
      <c r="C72" s="487" t="s">
        <v>45</v>
      </c>
      <c r="D72" s="487"/>
      <c r="E72" s="26">
        <v>19.02</v>
      </c>
      <c r="F72" s="361">
        <v>5706</v>
      </c>
      <c r="G72" s="351">
        <f t="shared" si="85"/>
        <v>108528.12</v>
      </c>
      <c r="H72" s="76" t="s">
        <v>57</v>
      </c>
      <c r="I72" s="359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2180.636942675158</v>
      </c>
      <c r="N72" s="9">
        <f t="shared" si="87"/>
        <v>145.37579617834388</v>
      </c>
      <c r="O72" s="11">
        <f t="shared" si="88"/>
        <v>0</v>
      </c>
      <c r="P72" s="12">
        <f t="shared" si="89"/>
        <v>-14.624203821656124</v>
      </c>
      <c r="Q72" s="353">
        <f t="shared" si="92"/>
        <v>0.9085987261146492</v>
      </c>
      <c r="R72" s="470"/>
      <c r="S72" s="24">
        <v>0.54166666666666663</v>
      </c>
      <c r="T72" s="24">
        <v>0.65069444444444446</v>
      </c>
      <c r="U72" s="351">
        <f t="shared" si="94"/>
        <v>57.999999999999957</v>
      </c>
      <c r="V72" s="360">
        <f t="shared" si="90"/>
        <v>157.00000000000009</v>
      </c>
      <c r="W72" s="14"/>
      <c r="X72" s="14"/>
      <c r="Y72" s="456"/>
      <c r="Z72" s="456"/>
      <c r="AA72" s="11">
        <f t="shared" si="95"/>
        <v>-219.36305732484198</v>
      </c>
      <c r="AB72" s="353">
        <f t="shared" si="93"/>
        <v>0.9085987261146492</v>
      </c>
      <c r="AC72" s="470"/>
    </row>
    <row r="73" spans="1:29" ht="16.5" customHeight="1">
      <c r="A73" s="501" t="s">
        <v>12</v>
      </c>
      <c r="B73" s="26" t="s">
        <v>81</v>
      </c>
      <c r="C73" s="466"/>
      <c r="D73" s="466"/>
      <c r="E73" s="352"/>
      <c r="F73" s="16"/>
      <c r="G73" s="9"/>
      <c r="H73" s="361"/>
      <c r="I73" s="17">
        <v>17.166666666666668</v>
      </c>
      <c r="J73" s="18">
        <v>2400</v>
      </c>
      <c r="K73" s="9">
        <f t="shared" si="96"/>
        <v>139.80582524271844</v>
      </c>
      <c r="L73" s="17">
        <v>17.166666666666668</v>
      </c>
      <c r="M73" s="10">
        <f>AVERAGE(M67:M72)</f>
        <v>2184.74252074889</v>
      </c>
      <c r="N73" s="9">
        <f>M73/L73</f>
        <v>127.26655460673145</v>
      </c>
      <c r="O73" s="11">
        <f>L73-I73</f>
        <v>0</v>
      </c>
      <c r="P73" s="12">
        <f>N73-K73</f>
        <v>-12.539270635986995</v>
      </c>
      <c r="Q73" s="353">
        <f t="shared" si="92"/>
        <v>0.91030938364537084</v>
      </c>
      <c r="R73" s="470"/>
      <c r="S73" s="24"/>
      <c r="T73" s="24"/>
      <c r="U73" s="9"/>
      <c r="V73" s="360"/>
      <c r="W73" s="9"/>
      <c r="X73" s="9"/>
      <c r="Y73" s="456"/>
      <c r="Z73" s="456"/>
      <c r="AA73" s="11">
        <f t="shared" si="95"/>
        <v>-215.25747925111</v>
      </c>
      <c r="AB73" s="353">
        <f t="shared" si="93"/>
        <v>0.91030938364537084</v>
      </c>
      <c r="AC73" s="470"/>
    </row>
    <row r="74" spans="1:29">
      <c r="D74" s="19"/>
      <c r="E74" s="19"/>
    </row>
  </sheetData>
  <mergeCells count="19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28:A35"/>
    <mergeCell ref="C28:D28"/>
    <mergeCell ref="R28:R35"/>
    <mergeCell ref="Y28:Z28"/>
    <mergeCell ref="Y33:Z33"/>
    <mergeCell ref="C34:D34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C35:D35"/>
    <mergeCell ref="Y35:Z35"/>
    <mergeCell ref="A36:A44"/>
    <mergeCell ref="C36:D36"/>
    <mergeCell ref="R36:R44"/>
    <mergeCell ref="Y36:Z36"/>
    <mergeCell ref="Y41:Z41"/>
    <mergeCell ref="C42:D42"/>
    <mergeCell ref="Y42:Z42"/>
    <mergeCell ref="AC36:AC44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3:D43"/>
    <mergeCell ref="Y43:Z43"/>
    <mergeCell ref="C44:D44"/>
    <mergeCell ref="Y44:Z44"/>
    <mergeCell ref="A45:A53"/>
    <mergeCell ref="C45:D45"/>
    <mergeCell ref="R45:R53"/>
    <mergeCell ref="Y45:Z45"/>
    <mergeCell ref="Y50:Z50"/>
    <mergeCell ref="C51:D51"/>
    <mergeCell ref="A54:A58"/>
    <mergeCell ref="C54:D54"/>
    <mergeCell ref="R54:R58"/>
    <mergeCell ref="Y54:Z54"/>
    <mergeCell ref="AC54:AC58"/>
    <mergeCell ref="C55:D55"/>
    <mergeCell ref="Y55:Z55"/>
    <mergeCell ref="C56:D56"/>
    <mergeCell ref="C58:D58"/>
    <mergeCell ref="Y58:Z58"/>
    <mergeCell ref="Y51:Z51"/>
    <mergeCell ref="C52:D52"/>
    <mergeCell ref="Y52:Z52"/>
    <mergeCell ref="C53:D53"/>
    <mergeCell ref="Y53:Z53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59:A66"/>
    <mergeCell ref="C59:D59"/>
    <mergeCell ref="R59:R66"/>
    <mergeCell ref="Y59:Z59"/>
    <mergeCell ref="AC59:AC66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  <mergeCell ref="Y64:Z64"/>
    <mergeCell ref="C66:D66"/>
    <mergeCell ref="Y66:Z66"/>
    <mergeCell ref="Y70:Z70"/>
    <mergeCell ref="C71:D71"/>
    <mergeCell ref="Y71:Z71"/>
    <mergeCell ref="A67:A73"/>
    <mergeCell ref="C67:D67"/>
    <mergeCell ref="R67:R73"/>
    <mergeCell ref="Y67:Z67"/>
    <mergeCell ref="AC67:AC73"/>
    <mergeCell ref="C68:D68"/>
    <mergeCell ref="Y68:Z68"/>
    <mergeCell ref="C69:D69"/>
    <mergeCell ref="Y69:Z69"/>
    <mergeCell ref="C70:D70"/>
    <mergeCell ref="C72:D72"/>
    <mergeCell ref="Y72:Z72"/>
    <mergeCell ref="C73:D73"/>
    <mergeCell ref="Y73:Z73"/>
  </mergeCells>
  <phoneticPr fontId="3" type="noConversion"/>
  <conditionalFormatting sqref="O62:O73 O5:O9 O13:O15 O53:O59 O18:O50">
    <cfRule type="cellIs" dxfId="1952" priority="46" operator="greaterThan">
      <formula>0</formula>
    </cfRule>
  </conditionalFormatting>
  <conditionalFormatting sqref="P5:P7 P62:P65 AA62:AA65 P67:P72 P28:P34 P59 P9 P13:P15 P19:P26 P54:P57 P36:P50 AA5:AA59 AA67:AA73">
    <cfRule type="cellIs" dxfId="1951" priority="50" operator="lessThan">
      <formula>0</formula>
    </cfRule>
  </conditionalFormatting>
  <conditionalFormatting sqref="AB62:AB65 Q62:Q73 Q5:Q9 Q13:Q15 Q53:Q59 Q18:Q50 AB5:AB59 AB67:AB73">
    <cfRule type="cellIs" dxfId="1950" priority="47" operator="greaterThan">
      <formula>1</formula>
    </cfRule>
    <cfRule type="cellIs" dxfId="1949" priority="48" operator="lessThan">
      <formula>0.8</formula>
    </cfRule>
  </conditionalFormatting>
  <conditionalFormatting sqref="AC14:AC15 R14:R15 AC62 R18:R24 AC18:AC24 R62:R73 AC5:AC9 R5:R9 R27:R50 AC27:AC50 AC53:AC59 R53:R59">
    <cfRule type="cellIs" dxfId="1948" priority="52" operator="lessThan">
      <formula>0.8</formula>
    </cfRule>
  </conditionalFormatting>
  <conditionalFormatting sqref="AC45">
    <cfRule type="cellIs" dxfId="1947" priority="54" operator="lessThan">
      <formula>0.8</formula>
    </cfRule>
  </conditionalFormatting>
  <conditionalFormatting sqref="AC19:AC24">
    <cfRule type="cellIs" dxfId="1946" priority="51" operator="lessThan">
      <formula>0.8</formula>
    </cfRule>
  </conditionalFormatting>
  <conditionalFormatting sqref="AC28">
    <cfRule type="cellIs" dxfId="1945" priority="53" operator="lessThan">
      <formula>0.8</formula>
    </cfRule>
  </conditionalFormatting>
  <conditionalFormatting sqref="AC36:AC43">
    <cfRule type="cellIs" dxfId="1944" priority="49" operator="lessThan">
      <formula>0.8</formula>
    </cfRule>
  </conditionalFormatting>
  <conditionalFormatting sqref="AA66">
    <cfRule type="cellIs" dxfId="1943" priority="45" operator="lessThan">
      <formula>0</formula>
    </cfRule>
  </conditionalFormatting>
  <conditionalFormatting sqref="AB66">
    <cfRule type="cellIs" dxfId="1942" priority="43" operator="greaterThan">
      <formula>1</formula>
    </cfRule>
    <cfRule type="cellIs" dxfId="1941" priority="44" operator="lessThan">
      <formula>0.8</formula>
    </cfRule>
  </conditionalFormatting>
  <conditionalFormatting sqref="O16:O17">
    <cfRule type="cellIs" dxfId="1940" priority="38" operator="greaterThan">
      <formula>0</formula>
    </cfRule>
  </conditionalFormatting>
  <conditionalFormatting sqref="P16:P17">
    <cfRule type="cellIs" dxfId="1939" priority="41" operator="lessThan">
      <formula>0</formula>
    </cfRule>
  </conditionalFormatting>
  <conditionalFormatting sqref="Q16:Q17">
    <cfRule type="cellIs" dxfId="1938" priority="39" operator="greaterThan">
      <formula>1</formula>
    </cfRule>
    <cfRule type="cellIs" dxfId="1937" priority="40" operator="lessThan">
      <formula>0.8</formula>
    </cfRule>
  </conditionalFormatting>
  <conditionalFormatting sqref="R16:R17 AC16:AC17">
    <cfRule type="cellIs" dxfId="1936" priority="42" operator="lessThan">
      <formula>0.8</formula>
    </cfRule>
  </conditionalFormatting>
  <conditionalFormatting sqref="O10:O12">
    <cfRule type="cellIs" dxfId="1935" priority="34" operator="greaterThan">
      <formula>0</formula>
    </cfRule>
  </conditionalFormatting>
  <conditionalFormatting sqref="P10:P12">
    <cfRule type="cellIs" dxfId="1934" priority="37" operator="lessThan">
      <formula>0</formula>
    </cfRule>
  </conditionalFormatting>
  <conditionalFormatting sqref="Q10:Q12">
    <cfRule type="cellIs" dxfId="1933" priority="35" operator="greaterThan">
      <formula>1</formula>
    </cfRule>
    <cfRule type="cellIs" dxfId="1932" priority="36" operator="lessThan">
      <formula>0.8</formula>
    </cfRule>
  </conditionalFormatting>
  <conditionalFormatting sqref="AC26 R26">
    <cfRule type="cellIs" dxfId="1931" priority="33" operator="lessThan">
      <formula>0.8</formula>
    </cfRule>
  </conditionalFormatting>
  <conditionalFormatting sqref="O61">
    <cfRule type="cellIs" dxfId="1930" priority="28" operator="greaterThan">
      <formula>0</formula>
    </cfRule>
  </conditionalFormatting>
  <conditionalFormatting sqref="P61 AA61">
    <cfRule type="cellIs" dxfId="1929" priority="31" operator="lessThan">
      <formula>0</formula>
    </cfRule>
  </conditionalFormatting>
  <conditionalFormatting sqref="Q61 AB61">
    <cfRule type="cellIs" dxfId="1928" priority="29" operator="greaterThan">
      <formula>1</formula>
    </cfRule>
    <cfRule type="cellIs" dxfId="1927" priority="30" operator="lessThan">
      <formula>0.8</formula>
    </cfRule>
  </conditionalFormatting>
  <conditionalFormatting sqref="R61 AC61">
    <cfRule type="cellIs" dxfId="1926" priority="32" operator="lessThan">
      <formula>0.8</formula>
    </cfRule>
  </conditionalFormatting>
  <conditionalFormatting sqref="O51">
    <cfRule type="cellIs" dxfId="1925" priority="22" operator="greaterThan">
      <formula>0</formula>
    </cfRule>
  </conditionalFormatting>
  <conditionalFormatting sqref="P51">
    <cfRule type="cellIs" dxfId="1924" priority="26" operator="lessThan">
      <formula>0</formula>
    </cfRule>
  </conditionalFormatting>
  <conditionalFormatting sqref="Q51">
    <cfRule type="cellIs" dxfId="1923" priority="23" operator="greaterThan">
      <formula>1</formula>
    </cfRule>
    <cfRule type="cellIs" dxfId="1922" priority="24" operator="lessThan">
      <formula>0.8</formula>
    </cfRule>
  </conditionalFormatting>
  <conditionalFormatting sqref="R51 AC51">
    <cfRule type="cellIs" dxfId="1921" priority="27" operator="lessThan">
      <formula>0.8</formula>
    </cfRule>
  </conditionalFormatting>
  <conditionalFormatting sqref="AC51">
    <cfRule type="cellIs" dxfId="1920" priority="25" operator="lessThan">
      <formula>0.8</formula>
    </cfRule>
  </conditionalFormatting>
  <conditionalFormatting sqref="O52">
    <cfRule type="cellIs" dxfId="1919" priority="16" operator="greaterThan">
      <formula>0</formula>
    </cfRule>
  </conditionalFormatting>
  <conditionalFormatting sqref="P52">
    <cfRule type="cellIs" dxfId="1918" priority="20" operator="lessThan">
      <formula>0</formula>
    </cfRule>
  </conditionalFormatting>
  <conditionalFormatting sqref="Q52">
    <cfRule type="cellIs" dxfId="1917" priority="17" operator="greaterThan">
      <formula>1</formula>
    </cfRule>
    <cfRule type="cellIs" dxfId="1916" priority="18" operator="lessThan">
      <formula>0.8</formula>
    </cfRule>
  </conditionalFormatting>
  <conditionalFormatting sqref="R52 AC52">
    <cfRule type="cellIs" dxfId="1915" priority="21" operator="lessThan">
      <formula>0.8</formula>
    </cfRule>
  </conditionalFormatting>
  <conditionalFormatting sqref="AC52">
    <cfRule type="cellIs" dxfId="1914" priority="19" operator="lessThan">
      <formula>0.8</formula>
    </cfRule>
  </conditionalFormatting>
  <conditionalFormatting sqref="R25 AC25">
    <cfRule type="cellIs" dxfId="1913" priority="15" operator="lessThan">
      <formula>0.8</formula>
    </cfRule>
  </conditionalFormatting>
  <conditionalFormatting sqref="AC25">
    <cfRule type="cellIs" dxfId="1912" priority="14" operator="lessThan">
      <formula>0.8</formula>
    </cfRule>
  </conditionalFormatting>
  <conditionalFormatting sqref="O60">
    <cfRule type="cellIs" dxfId="1911" priority="9" operator="greaterThan">
      <formula>0</formula>
    </cfRule>
  </conditionalFormatting>
  <conditionalFormatting sqref="P60 AA60">
    <cfRule type="cellIs" dxfId="1910" priority="12" operator="lessThan">
      <formula>0</formula>
    </cfRule>
  </conditionalFormatting>
  <conditionalFormatting sqref="Q60 AB60">
    <cfRule type="cellIs" dxfId="1909" priority="10" operator="greaterThan">
      <formula>1</formula>
    </cfRule>
    <cfRule type="cellIs" dxfId="1908" priority="11" operator="lessThan">
      <formula>0.8</formula>
    </cfRule>
  </conditionalFormatting>
  <conditionalFormatting sqref="R60 AC60">
    <cfRule type="cellIs" dxfId="1907" priority="13" operator="lessThan">
      <formula>0.8</formula>
    </cfRule>
  </conditionalFormatting>
  <conditionalFormatting sqref="P8">
    <cfRule type="cellIs" dxfId="1906" priority="8" operator="lessThan">
      <formula>0</formula>
    </cfRule>
  </conditionalFormatting>
  <conditionalFormatting sqref="P18">
    <cfRule type="cellIs" dxfId="1905" priority="7" operator="lessThan">
      <formula>0</formula>
    </cfRule>
  </conditionalFormatting>
  <conditionalFormatting sqref="P27">
    <cfRule type="cellIs" dxfId="1904" priority="6" operator="lessThan">
      <formula>0</formula>
    </cfRule>
  </conditionalFormatting>
  <conditionalFormatting sqref="P35">
    <cfRule type="cellIs" dxfId="1903" priority="5" operator="lessThan">
      <formula>0</formula>
    </cfRule>
  </conditionalFormatting>
  <conditionalFormatting sqref="P53">
    <cfRule type="cellIs" dxfId="1902" priority="4" operator="lessThan">
      <formula>0</formula>
    </cfRule>
  </conditionalFormatting>
  <conditionalFormatting sqref="P58">
    <cfRule type="cellIs" dxfId="1901" priority="3" operator="lessThan">
      <formula>0</formula>
    </cfRule>
  </conditionalFormatting>
  <conditionalFormatting sqref="P66">
    <cfRule type="cellIs" dxfId="1900" priority="2" operator="lessThan">
      <formula>0</formula>
    </cfRule>
  </conditionalFormatting>
  <conditionalFormatting sqref="P73">
    <cfRule type="cellIs" dxfId="1899" priority="1" operator="lessThan">
      <formula>0</formula>
    </cfRule>
  </conditionalFormatting>
  <dataValidations count="1">
    <dataValidation type="list" allowBlank="1" showInputMessage="1" showErrorMessage="1" sqref="Z8 Z63:Z65 Y5:Z7 Y8:Y65 Z10:Z59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36" t="s">
        <v>166</v>
      </c>
      <c r="C3" s="421" t="str">
        <f>TEXT('0726 4度C'!A2,"yyyy.mm.ddaaaa")</f>
        <v>2025.07.26星期六</v>
      </c>
      <c r="D3" s="421"/>
      <c r="E3" s="336" t="s">
        <v>329</v>
      </c>
      <c r="F3" s="422">
        <f>'0726 4度C'!D1</f>
        <v>129063</v>
      </c>
      <c r="G3" s="422"/>
      <c r="H3" s="336" t="s">
        <v>1407</v>
      </c>
      <c r="I3" s="423">
        <f>'0726 4度C'!F1</f>
        <v>4482337.3000000007</v>
      </c>
      <c r="J3" s="423"/>
      <c r="K3" s="31"/>
      <c r="L3" s="32"/>
      <c r="M3" s="33"/>
      <c r="N3" s="33"/>
    </row>
    <row r="4" spans="2:17" ht="28.5" customHeight="1">
      <c r="B4" s="424" t="s">
        <v>1408</v>
      </c>
      <c r="C4" s="424" t="s">
        <v>128</v>
      </c>
      <c r="D4" s="424"/>
      <c r="E4" s="425" t="s">
        <v>1409</v>
      </c>
      <c r="F4" s="425"/>
      <c r="G4" s="425" t="s">
        <v>1410</v>
      </c>
      <c r="H4" s="425"/>
      <c r="I4" s="425" t="s">
        <v>1411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130</v>
      </c>
      <c r="F5" s="424"/>
      <c r="G5" s="426" t="s">
        <v>94</v>
      </c>
      <c r="H5" s="426"/>
      <c r="I5" s="427" t="s">
        <v>1412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140.07091987191217</v>
      </c>
      <c r="F6" s="424">
        <f>AVERAGE(D27:O27,D13:J13)</f>
        <v>143.09516235973788</v>
      </c>
      <c r="G6" s="429">
        <f>AVERAGE(D13:J13)</f>
        <v>143.09516235973788</v>
      </c>
      <c r="H6" s="429"/>
      <c r="I6" s="429">
        <f>AVERAGE(K13:M13)</f>
        <v>133.01435406698565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128.08089281777552</v>
      </c>
      <c r="F7" s="434">
        <f>AVERAGE(D28:O28,D14:J14)</f>
        <v>130.97997954330236</v>
      </c>
      <c r="G7" s="435">
        <f>AVERAGE(D14:J14)</f>
        <v>130.97997954330236</v>
      </c>
      <c r="H7" s="435"/>
      <c r="I7" s="435">
        <f>AVERAGE(K14:M14)</f>
        <v>121.31635712487952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0.91405569897159344</v>
      </c>
      <c r="F8" s="432">
        <f>AVERAGE(D15:J15,D29:O29)</f>
        <v>0.91488518373303596</v>
      </c>
      <c r="G8" s="437">
        <f>AVERAGE(D15:J15)</f>
        <v>0.91488518373303596</v>
      </c>
      <c r="H8" s="437"/>
      <c r="I8" s="437">
        <f>AVERAGE(K15:M15)</f>
        <v>0.91212023452822766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181</v>
      </c>
      <c r="E12" s="42" t="s">
        <v>86</v>
      </c>
      <c r="F12" s="42" t="s">
        <v>132</v>
      </c>
      <c r="G12" s="42" t="s">
        <v>99</v>
      </c>
      <c r="H12" s="42" t="s">
        <v>100</v>
      </c>
      <c r="I12" s="42" t="s">
        <v>101</v>
      </c>
      <c r="J12" s="43" t="s">
        <v>133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255</v>
      </c>
      <c r="C13" s="44" t="s">
        <v>187</v>
      </c>
      <c r="D13" s="45">
        <f>SUMIFS('0726 4度C'!$K:$K,'0726 4度C'!$A:$A,"燴飯線",'0726 4度C'!$B:$B,"平均")</f>
        <v>105.88235294117646</v>
      </c>
      <c r="E13" s="46">
        <f>SUMIFS('0726 4度C'!$K:$K,'0726 4度C'!$A:$A,"沙拉線一線",'0726 4度C'!$B:$B,"平均")</f>
        <v>80.357142857142847</v>
      </c>
      <c r="F13" s="47">
        <f>SUMIFS('0726 4度C'!$K:$K,'0726 4度C'!$A:$A,"沙拉線二線",'0726 4度C'!$B:$B,"平均")</f>
        <v>80.078947368421055</v>
      </c>
      <c r="G13" s="47">
        <f>SUMIFS('0726 4度C'!$K:$K,'0726 4度C'!$A:$A,"沙拉線三線",'0726 4度C'!$B:$B,"平均")</f>
        <v>104.54545454545455</v>
      </c>
      <c r="H13" s="47">
        <f>SUMIFS('0726 4度C'!$K:$K,'0726 4度C'!$A:$A,"自動包裝線",'0726 4度C'!$B:$B,"平均")</f>
        <v>300</v>
      </c>
      <c r="I13" s="47">
        <f>SUMIFS('0726 4度C'!$K:$K,'0726 4度C'!$A:$A,"涼麵一線",'0726 4度C'!$B:$B,"平均")</f>
        <v>89.552238805970148</v>
      </c>
      <c r="J13" s="48">
        <f>SUMIFS('0726 4度C'!$K:$K,'0726 4度C'!$A:$A,"三明治四線",'0726 4度C'!$B:$B,"平均")</f>
        <v>241.25000000000003</v>
      </c>
      <c r="K13" s="49">
        <f>SUMIFS('0726 4度C'!$K:$K,'0726 4度C'!$A:$A,"三明治一線",'0726 4度C'!$B:$B,"平均")</f>
        <v>136.36363636363635</v>
      </c>
      <c r="L13" s="50">
        <f>SUMIFS('0726 4度C'!$K:$K,'0726 4度C'!$A:$A,"三明治二線",'0726 4度C'!$B:$B,"平均")</f>
        <v>126.31578947368421</v>
      </c>
      <c r="M13" s="48">
        <f>SUMIFS('0726 4度C'!$K:$K,'0726 4度C'!$A:$A,"自動包裝二線",'0726 4度C'!$B:$B,"平均")</f>
        <v>136.36363636363635</v>
      </c>
    </row>
    <row r="14" spans="2:17" ht="39.6" customHeight="1">
      <c r="B14" s="447"/>
      <c r="C14" s="51" t="s">
        <v>284</v>
      </c>
      <c r="D14" s="52">
        <f>SUMIFS('0726 4度C'!$N:$N,'0726 4度C'!$A:$A,"燴飯線",'0726 4度C'!$B:$B,"平均")</f>
        <v>96.869261776004905</v>
      </c>
      <c r="E14" s="53">
        <f>SUMIFS('0726 4度C'!$N:$N,'0726 4度C'!$A:$A,"沙拉線一線",'0726 4度C'!$B:$B,"平均")</f>
        <v>73.113388252117772</v>
      </c>
      <c r="F14" s="53">
        <f>SUMIFS('0726 4度C'!$N:$N,'0726 4度C'!$A:$A,"沙拉線二線",'0726 4度C'!$B:$B,"平均")</f>
        <v>73.264335332248336</v>
      </c>
      <c r="G14" s="53">
        <f>SUMIFS('0726 4度C'!$N:$N,'0726 4度C'!$A:$A,"沙拉線三線",'0726 4度C'!$B:$B,"平均")</f>
        <v>96.21350441179834</v>
      </c>
      <c r="H14" s="53">
        <f>SUMIFS('0726 4度C'!$N:$N,'0726 4度C'!$A:$A,"自動包裝線",'0726 4度C'!$B:$B,"平均")</f>
        <v>275.06116412381658</v>
      </c>
      <c r="I14" s="53">
        <f>SUMIFS('0726 4度C'!$N:$N,'0726 4度C'!$A:$A,"涼麵一線",'0726 4度C'!$B:$B,"平均")</f>
        <v>81.772675807103269</v>
      </c>
      <c r="J14" s="54">
        <f>SUMIFS('0726 4度C'!$N:$N,'0726 4度C'!$A:$A,"三明治四線",'0726 4度C'!$B:$B,"平均")</f>
        <v>220.5655271000274</v>
      </c>
      <c r="K14" s="55">
        <f>SUMIFS('0726 4度C'!$N:$N,'0726 4度C'!$A:$A,"三明治一線",'0726 4度C'!$B:$B,"平均")</f>
        <v>124.16027184134661</v>
      </c>
      <c r="L14" s="56">
        <f>SUMIFS('0726 4度C'!$N:$N,'0726 4度C'!$A:$A,"三明治二線",'0726 4度C'!$B:$B,"平均")</f>
        <v>115.54430886399953</v>
      </c>
      <c r="M14" s="54">
        <f>SUMIFS('0726 4度C'!$N:$N,'0726 4度C'!$A:$A,"自動包裝二線",'0726 4度C'!$B:$B,"平均")</f>
        <v>124.24449066929243</v>
      </c>
    </row>
    <row r="15" spans="2:17" ht="40.15" customHeight="1">
      <c r="B15" s="447"/>
      <c r="C15" s="57" t="s">
        <v>102</v>
      </c>
      <c r="D15" s="58">
        <f>D14/D13</f>
        <v>0.91487636121782412</v>
      </c>
      <c r="E15" s="59">
        <f t="shared" ref="E15:M15" si="0">E14/E13</f>
        <v>0.90985549824857681</v>
      </c>
      <c r="F15" s="59">
        <f t="shared" si="0"/>
        <v>0.91490132849997918</v>
      </c>
      <c r="G15" s="59">
        <f t="shared" si="0"/>
        <v>0.92030308567807106</v>
      </c>
      <c r="H15" s="59">
        <f>H14/H13</f>
        <v>0.91687054707938864</v>
      </c>
      <c r="I15" s="59">
        <f>I14/I13</f>
        <v>0.9131282131793198</v>
      </c>
      <c r="J15" s="60">
        <f>J14/J13</f>
        <v>0.91426125222809274</v>
      </c>
      <c r="K15" s="58">
        <f>K14/K13</f>
        <v>0.91050866016987531</v>
      </c>
      <c r="L15" s="59">
        <f>L14/L13</f>
        <v>0.91472577850666303</v>
      </c>
      <c r="M15" s="60">
        <f t="shared" si="0"/>
        <v>0.91112626490814463</v>
      </c>
    </row>
    <row r="16" spans="2:17" ht="17.25" customHeight="1">
      <c r="B16" s="430" t="s">
        <v>136</v>
      </c>
      <c r="C16" s="335" t="s">
        <v>103</v>
      </c>
      <c r="D16" s="61">
        <f>VLOOKUP("燴飯線",'0726 4度C'!$A:$T,19,0)</f>
        <v>0.70833333333333337</v>
      </c>
      <c r="E16" s="24">
        <f>VLOOKUP("沙拉線一線",'0726 4度C'!$A:$T,19,0)</f>
        <v>0.12986111111111112</v>
      </c>
      <c r="F16" s="24">
        <f>VLOOKUP("沙拉線二線",'0726 4度C'!$A:$T,19,0)</f>
        <v>0.25</v>
      </c>
      <c r="G16" s="24">
        <f>VLOOKUP("沙拉線三線",'0726 4度C'!$A:$T,19,0)</f>
        <v>0.16666666666666666</v>
      </c>
      <c r="H16" s="24">
        <f>VLOOKUP("自動包裝線",'0726 4度C'!$A:$T,19,0)</f>
        <v>0.20833333333333334</v>
      </c>
      <c r="I16" s="24">
        <f>VLOOKUP("涼麵一線",'0726 4度C'!$A:$T,19,0)</f>
        <v>0.29166666666666669</v>
      </c>
      <c r="J16" s="62">
        <f>VLOOKUP("三明治四線",'0726 4度C'!$A:$T,19,0)</f>
        <v>0.20833333333333334</v>
      </c>
      <c r="K16" s="63">
        <f>VLOOKUP("三明治一線",'0726 4度C'!$A:$T,19,0)</f>
        <v>0.125</v>
      </c>
      <c r="L16" s="64">
        <f>VLOOKUP("三明治二線",'0726 4度C'!$A:$T,19,0)</f>
        <v>0.125</v>
      </c>
      <c r="M16" s="65">
        <f>VLOOKUP("自動包裝二線",'0726 4度C'!$A:$T,19,0)</f>
        <v>0.125</v>
      </c>
    </row>
    <row r="17" spans="2:13" ht="17.25" customHeight="1">
      <c r="B17" s="431"/>
      <c r="C17" s="335" t="s">
        <v>137</v>
      </c>
      <c r="D17" s="63">
        <f>LOOKUP(2,1/(('0726 4度C'!$A:$A="燴飯線")*('0726 4度C'!$T:$T&lt;&gt;"")),'0726 4度C'!$T:$T)</f>
        <v>0.85486111111111118</v>
      </c>
      <c r="E17" s="24">
        <f>LOOKUP(2,1/(('0726 4度C'!$A:$A="沙拉線一線")*('0726 4度C'!$T:$T&lt;&gt;"")),'0726 4度C'!$T:$T)</f>
        <v>0.52083333333333326</v>
      </c>
      <c r="F17" s="24">
        <f>LOOKUP(2,1/(('0726 4度C'!$A:$A="沙拉線二線")*('0726 4度C'!$T:$T&lt;&gt;"")),'0726 4度C'!$T:$T)</f>
        <v>0.82430555555555562</v>
      </c>
      <c r="G17" s="24">
        <f>LOOKUP(2,1/(('0726 4度C'!$A:$A="沙拉線三線")*('0726 4度C'!$T:$T&lt;&gt;"")),'0726 4度C'!$T:$T)</f>
        <v>0.81805555555555554</v>
      </c>
      <c r="H17" s="24">
        <f>LOOKUP(2,1/(('0726 4度C'!$A:$A="自動包裝線")*('0726 4度C'!$T:$T&lt;&gt;"")),'0726 4度C'!$T:$T)</f>
        <v>0.50208333333333333</v>
      </c>
      <c r="I17" s="24">
        <f>LOOKUP(2,1/(('0726 4度C'!$A:$A="涼麵一線")*('0726 4度C'!$T:$T&lt;&gt;"")),'0726 4度C'!$T:$T)</f>
        <v>0.81805555555555554</v>
      </c>
      <c r="J17" s="62">
        <f>LOOKUP(2,1/(('0726 4度C'!$A:$A="三明治四線")*('0726 4度C'!$T:$T&lt;&gt;"")),'0726 4度C'!$T:$T)</f>
        <v>0.47430555555555554</v>
      </c>
      <c r="K17" s="61">
        <f>LOOKUP(2,1/(('0726 4度C'!$A:$A="三明治一線")*('0726 4度C'!$T:$T&lt;&gt;"")),'0726 4度C'!$T:$T)</f>
        <v>0.4909722222222222</v>
      </c>
      <c r="L17" s="24">
        <f>LOOKUP(2,1/(('0726 4度C'!$A:$A="三明治二線")*('0726 4度C'!$T:$T&lt;&gt;"")),'0726 4度C'!$T:$T)</f>
        <v>0.48749999999999993</v>
      </c>
      <c r="M17" s="62">
        <f>LOOKUP(2,1/(('0726 4度C'!$A:$A="自動包裝二線")*('0726 4度C'!$T:$T&lt;&gt;"")),'0726 4度C'!$T:$T)</f>
        <v>0.47430555555555554</v>
      </c>
    </row>
    <row r="18" spans="2:13" ht="17.25" customHeight="1">
      <c r="B18" s="431" t="s">
        <v>138</v>
      </c>
      <c r="C18" s="446"/>
      <c r="D18" s="66">
        <f>SUMIFS('0726 4度C'!$I:$I,'0726 4度C'!$A:$A,"燴飯線",'0726 4度C'!$B:$B,"平均")</f>
        <v>17</v>
      </c>
      <c r="E18" s="67">
        <f>SUMIFS('0726 4度C'!$I:$I,'0726 4度C'!$A:$A,"沙拉線一線",'0726 4度C'!$B:$B,"平均")</f>
        <v>18.666666666666668</v>
      </c>
      <c r="F18" s="67">
        <f>SUMIFS('0726 4度C'!$I:$I,'0726 4度C'!$A:$A,"沙拉線二線",'0726 4度C'!$B:$B,"平均")</f>
        <v>19</v>
      </c>
      <c r="G18" s="67">
        <f>SUMIFS('0726 4度C'!$I:$I,'0726 4度C'!$A:$A,"沙拉線三線",'0726 4度C'!$B:$B,"平均")</f>
        <v>16.5</v>
      </c>
      <c r="H18" s="67">
        <f>SUMIFS('0726 4度C'!$I:$I,'0726 4度C'!$A:$A,"自動包裝線",'0726 4度C'!$B:$B,"平均")</f>
        <v>10</v>
      </c>
      <c r="I18" s="67">
        <f>SUMIFS('0726 4度C'!$I:$I,'0726 4度C'!$A:$A,"涼麵一線",'0726 4度C'!$B:$B,"平均")</f>
        <v>16.75</v>
      </c>
      <c r="J18" s="68">
        <f>SUMIFS('0726 4度C'!$I:$I,'0726 4度C'!$A:$A,"三明治四線",'0726 4度C'!$B:$B,"平均")</f>
        <v>10.666666666666666</v>
      </c>
      <c r="K18" s="66">
        <f>SUMIFS('0726 4度C'!$I:$I,'0726 4度C'!$A:$A,"三明治一線",'0726 4度C'!$B:$B,"平均")</f>
        <v>17.600000000000001</v>
      </c>
      <c r="L18" s="67">
        <f>SUMIFS('0726 4度C'!$I:$I,'0726 4度C'!$A:$A,"三明治二線",'0726 4度C'!$B:$B,"平均")</f>
        <v>19</v>
      </c>
      <c r="M18" s="68">
        <f>SUMIFS('0726 4度C'!$I:$I,'0726 4度C'!$A:$A,"自動包裝二線",'0726 4度C'!$B:$B,"平均")</f>
        <v>17.600000000000001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1413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198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201</v>
      </c>
      <c r="G21" s="453"/>
      <c r="H21" s="73" t="s">
        <v>202</v>
      </c>
      <c r="I21" s="73" t="s">
        <v>291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89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5"/>
  <sheetViews>
    <sheetView zoomScale="80" zoomScaleNormal="80" workbookViewId="0">
      <pane ySplit="4" topLeftCell="A5" activePane="bottomLeft" state="frozen"/>
      <selection activeCell="C3" sqref="C3:J3"/>
      <selection pane="bottomLeft" activeCell="C3" sqref="C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204</v>
      </c>
      <c r="B1" s="1"/>
      <c r="C1" s="2" t="s">
        <v>110</v>
      </c>
      <c r="D1" s="3">
        <f>SUM(F5:F64)</f>
        <v>129063</v>
      </c>
      <c r="E1" s="337" t="s">
        <v>206</v>
      </c>
      <c r="F1" s="1">
        <f>SUM(G5:G64)</f>
        <v>4482337.3000000007</v>
      </c>
      <c r="G1" s="1" t="s">
        <v>207</v>
      </c>
      <c r="H1" s="4">
        <f>L8+L12+L46+L51+L17+L58+L32+L39+L26+L64</f>
        <v>162.78333333333333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45864</v>
      </c>
      <c r="B2" s="23" t="s">
        <v>355</v>
      </c>
      <c r="C2" s="2" t="s">
        <v>255</v>
      </c>
      <c r="D2" s="6">
        <f>AVERAGE(N8,N12,N46,N51,N17,N58,N26,N32,N39,N64)</f>
        <v>128.08089281777552</v>
      </c>
      <c r="E2" s="7" t="s">
        <v>0</v>
      </c>
      <c r="F2" s="8">
        <f>F1/D1</f>
        <v>34.729839690693701</v>
      </c>
      <c r="G2" s="1" t="s">
        <v>146</v>
      </c>
      <c r="H2" s="348">
        <f>COUNT(H5:H64)</f>
        <v>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262</v>
      </c>
      <c r="B3" s="456" t="s">
        <v>116</v>
      </c>
      <c r="C3" s="456" t="s">
        <v>147</v>
      </c>
      <c r="D3" s="456"/>
      <c r="E3" s="457" t="s">
        <v>117</v>
      </c>
      <c r="F3" s="456" t="s">
        <v>118</v>
      </c>
      <c r="G3" s="457" t="s">
        <v>148</v>
      </c>
      <c r="H3" s="463" t="s">
        <v>223</v>
      </c>
      <c r="I3" s="464" t="s">
        <v>224</v>
      </c>
      <c r="J3" s="465" t="s">
        <v>149</v>
      </c>
      <c r="K3" s="459" t="s">
        <v>255</v>
      </c>
      <c r="L3" s="464" t="s">
        <v>224</v>
      </c>
      <c r="M3" s="465" t="s">
        <v>149</v>
      </c>
      <c r="N3" s="459" t="s">
        <v>255</v>
      </c>
      <c r="O3" s="464" t="s">
        <v>224</v>
      </c>
      <c r="P3" s="459" t="s">
        <v>255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150</v>
      </c>
      <c r="X3" s="456"/>
      <c r="Y3" s="475" t="s">
        <v>120</v>
      </c>
      <c r="Z3" s="476"/>
      <c r="AA3" s="465" t="s">
        <v>149</v>
      </c>
      <c r="AB3" s="460" t="s">
        <v>121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47" t="s">
        <v>3</v>
      </c>
      <c r="T4" s="347" t="s">
        <v>4</v>
      </c>
      <c r="U4" s="463"/>
      <c r="V4" s="463"/>
      <c r="W4" s="337" t="s">
        <v>151</v>
      </c>
      <c r="X4" s="337" t="s">
        <v>122</v>
      </c>
      <c r="Y4" s="476"/>
      <c r="Z4" s="476"/>
      <c r="AA4" s="465"/>
      <c r="AB4" s="460"/>
      <c r="AC4" s="461"/>
    </row>
    <row r="5" spans="1:29">
      <c r="A5" s="471" t="s">
        <v>153</v>
      </c>
      <c r="B5" s="26" t="s">
        <v>13</v>
      </c>
      <c r="C5" s="472" t="s">
        <v>58</v>
      </c>
      <c r="D5" s="472"/>
      <c r="E5" s="26">
        <v>46.93</v>
      </c>
      <c r="F5" s="347">
        <v>1076</v>
      </c>
      <c r="G5" s="337">
        <f>E5*F5</f>
        <v>50496.68</v>
      </c>
      <c r="H5" s="76" t="s">
        <v>57</v>
      </c>
      <c r="I5" s="345">
        <v>17</v>
      </c>
      <c r="J5" s="18">
        <v>1800</v>
      </c>
      <c r="K5" s="9">
        <f>J5/I5</f>
        <v>105.88235294117646</v>
      </c>
      <c r="L5" s="345">
        <v>17</v>
      </c>
      <c r="M5" s="10">
        <f>F5/V5*60</f>
        <v>1655.3846153846143</v>
      </c>
      <c r="N5" s="9">
        <f>M5/L5</f>
        <v>97.375565610859667</v>
      </c>
      <c r="O5" s="11">
        <f t="shared" ref="O5:O7" si="0">L5-I5</f>
        <v>0</v>
      </c>
      <c r="P5" s="12">
        <f t="shared" ref="P5:P7" si="1">N5-K5</f>
        <v>-8.5067873303167971</v>
      </c>
      <c r="Q5" s="339">
        <f>N5/K5</f>
        <v>0.91965811965811917</v>
      </c>
      <c r="R5" s="470">
        <f>Q8</f>
        <v>0.91487636121782412</v>
      </c>
      <c r="S5" s="24">
        <v>0.70833333333333337</v>
      </c>
      <c r="T5" s="24">
        <v>0.73541666666666672</v>
      </c>
      <c r="U5" s="337"/>
      <c r="V5" s="346">
        <f>(T5-S5)*24*60</f>
        <v>39.000000000000021</v>
      </c>
      <c r="W5" s="13"/>
      <c r="X5" s="13"/>
      <c r="Y5" s="456"/>
      <c r="Z5" s="456"/>
      <c r="AA5" s="11">
        <f t="shared" ref="AA5:AA64" si="2">M5-J5</f>
        <v>-144.61538461538566</v>
      </c>
      <c r="AB5" s="339">
        <f t="shared" ref="AB5:AB7" si="3">M5/J5</f>
        <v>0.91965811965811906</v>
      </c>
      <c r="AC5" s="470">
        <f>AB8</f>
        <v>0.91487636121782401</v>
      </c>
    </row>
    <row r="6" spans="1:29">
      <c r="A6" s="464" t="s">
        <v>153</v>
      </c>
      <c r="B6" s="26" t="s">
        <v>13</v>
      </c>
      <c r="C6" s="472" t="s">
        <v>60</v>
      </c>
      <c r="D6" s="472"/>
      <c r="E6" s="26">
        <v>50.49</v>
      </c>
      <c r="F6" s="347">
        <v>2101</v>
      </c>
      <c r="G6" s="337">
        <f t="shared" ref="G6:G7" si="4">E6*F6</f>
        <v>106079.49</v>
      </c>
      <c r="H6" s="76" t="s">
        <v>57</v>
      </c>
      <c r="I6" s="345">
        <v>16</v>
      </c>
      <c r="J6" s="18">
        <v>1800</v>
      </c>
      <c r="K6" s="9">
        <f t="shared" ref="K6:K7" si="5">J6/I6</f>
        <v>112.5</v>
      </c>
      <c r="L6" s="345">
        <v>16</v>
      </c>
      <c r="M6" s="10">
        <f>F6/V6*60</f>
        <v>1637.1428571428562</v>
      </c>
      <c r="N6" s="9">
        <f t="shared" ref="N6:N7" si="6">M6/L6</f>
        <v>102.32142857142851</v>
      </c>
      <c r="O6" s="11">
        <f t="shared" si="0"/>
        <v>0</v>
      </c>
      <c r="P6" s="12">
        <f t="shared" si="1"/>
        <v>-10.178571428571487</v>
      </c>
      <c r="Q6" s="339">
        <f t="shared" ref="Q6:Q7" si="7">N6/K6</f>
        <v>0.90952380952380896</v>
      </c>
      <c r="R6" s="470"/>
      <c r="S6" s="24">
        <v>0.73888888888888893</v>
      </c>
      <c r="T6" s="24">
        <v>0.79236111111111118</v>
      </c>
      <c r="U6" s="337">
        <f>(S6-T5)*24*60</f>
        <v>4.9999999999999822</v>
      </c>
      <c r="V6" s="346">
        <f>(T6-S6)*24*60</f>
        <v>77.000000000000043</v>
      </c>
      <c r="W6" s="14"/>
      <c r="X6" s="14"/>
      <c r="Y6" s="456"/>
      <c r="Z6" s="456"/>
      <c r="AA6" s="11">
        <f t="shared" si="2"/>
        <v>-162.8571428571438</v>
      </c>
      <c r="AB6" s="339">
        <f t="shared" si="3"/>
        <v>0.90952380952380896</v>
      </c>
      <c r="AC6" s="470"/>
    </row>
    <row r="7" spans="1:29">
      <c r="A7" s="464" t="s">
        <v>153</v>
      </c>
      <c r="B7" s="26" t="s">
        <v>13</v>
      </c>
      <c r="C7" s="468" t="s">
        <v>448</v>
      </c>
      <c r="D7" s="469"/>
      <c r="E7" s="26">
        <v>50.67</v>
      </c>
      <c r="F7" s="347">
        <v>2252</v>
      </c>
      <c r="G7" s="337">
        <f t="shared" si="4"/>
        <v>114108.84000000001</v>
      </c>
      <c r="H7" s="76" t="s">
        <v>57</v>
      </c>
      <c r="I7" s="345">
        <v>18</v>
      </c>
      <c r="J7" s="18">
        <v>1800</v>
      </c>
      <c r="K7" s="9">
        <f t="shared" si="5"/>
        <v>100</v>
      </c>
      <c r="L7" s="345">
        <v>18</v>
      </c>
      <c r="M7" s="10">
        <f t="shared" ref="M7" si="8">F7/V7*60</f>
        <v>1647.80487804878</v>
      </c>
      <c r="N7" s="9">
        <f t="shared" si="6"/>
        <v>91.544715447154445</v>
      </c>
      <c r="O7" s="11">
        <f t="shared" si="0"/>
        <v>0</v>
      </c>
      <c r="P7" s="12">
        <f t="shared" si="1"/>
        <v>-8.4552845528455549</v>
      </c>
      <c r="Q7" s="339">
        <f t="shared" si="7"/>
        <v>0.91544715447154446</v>
      </c>
      <c r="R7" s="470"/>
      <c r="S7" s="24">
        <v>0.79791666666666672</v>
      </c>
      <c r="T7" s="24">
        <v>0.85486111111111118</v>
      </c>
      <c r="U7" s="337">
        <f t="shared" ref="U7" si="9">(S7-T6)*24*60</f>
        <v>7.9999999999999716</v>
      </c>
      <c r="V7" s="346">
        <f t="shared" ref="V7" si="10">(T7-S7)*24*60</f>
        <v>82.000000000000028</v>
      </c>
      <c r="W7" s="14"/>
      <c r="X7" s="14"/>
      <c r="Y7" s="473"/>
      <c r="Z7" s="474"/>
      <c r="AA7" s="11">
        <f t="shared" si="2"/>
        <v>-152.19512195122002</v>
      </c>
      <c r="AB7" s="339">
        <f t="shared" si="3"/>
        <v>0.91544715447154446</v>
      </c>
      <c r="AC7" s="470"/>
    </row>
    <row r="8" spans="1:29">
      <c r="A8" s="464" t="s">
        <v>153</v>
      </c>
      <c r="B8" s="26" t="s">
        <v>154</v>
      </c>
      <c r="C8" s="466"/>
      <c r="D8" s="466"/>
      <c r="E8" s="338"/>
      <c r="F8" s="16"/>
      <c r="G8" s="9"/>
      <c r="H8" s="347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1646.7774501920833</v>
      </c>
      <c r="N8" s="9">
        <f>M8/L8</f>
        <v>96.869261776004905</v>
      </c>
      <c r="O8" s="11">
        <f>L8-I8</f>
        <v>0</v>
      </c>
      <c r="P8" s="12">
        <f>N8-K8</f>
        <v>-9.0130911651715593</v>
      </c>
      <c r="Q8" s="339">
        <f>N8/K8</f>
        <v>0.91487636121782412</v>
      </c>
      <c r="R8" s="470"/>
      <c r="S8" s="24"/>
      <c r="T8" s="24"/>
      <c r="U8" s="337"/>
      <c r="V8" s="346"/>
      <c r="W8" s="9"/>
      <c r="X8" s="9"/>
      <c r="Y8" s="456"/>
      <c r="Z8" s="456"/>
      <c r="AA8" s="11">
        <f t="shared" si="2"/>
        <v>-153.22254980791672</v>
      </c>
      <c r="AB8" s="339">
        <f>M8/J8</f>
        <v>0.91487636121782401</v>
      </c>
      <c r="AC8" s="470"/>
    </row>
    <row r="9" spans="1:29" ht="15.75" customHeight="1">
      <c r="A9" s="467" t="s">
        <v>1414</v>
      </c>
      <c r="B9" s="26" t="s">
        <v>15</v>
      </c>
      <c r="C9" s="468" t="s">
        <v>16</v>
      </c>
      <c r="D9" s="469"/>
      <c r="E9" s="26">
        <v>39.619999999999997</v>
      </c>
      <c r="F9" s="347">
        <v>3532</v>
      </c>
      <c r="G9" s="337">
        <f t="shared" ref="G9:G11" si="11">E9*F9</f>
        <v>139937.84</v>
      </c>
      <c r="H9" s="76" t="s">
        <v>57</v>
      </c>
      <c r="I9" s="345">
        <v>19</v>
      </c>
      <c r="J9" s="18">
        <v>1500</v>
      </c>
      <c r="K9" s="9">
        <f t="shared" ref="K9:K11" si="12">J9/I9</f>
        <v>78.94736842105263</v>
      </c>
      <c r="L9" s="345">
        <v>19</v>
      </c>
      <c r="M9" s="10">
        <f t="shared" ref="M9:M11" si="13">F9/V9*60</f>
        <v>1367.2258064516127</v>
      </c>
      <c r="N9" s="9">
        <f t="shared" ref="N9:N11" si="14">M9/L9</f>
        <v>71.959252971137516</v>
      </c>
      <c r="O9" s="11">
        <f t="shared" ref="O9:O11" si="15">L9-I9</f>
        <v>0</v>
      </c>
      <c r="P9" s="12">
        <f>N9-K9</f>
        <v>-6.9881154499151137</v>
      </c>
      <c r="Q9" s="339">
        <f>N9/K9</f>
        <v>0.91148387096774186</v>
      </c>
      <c r="R9" s="470">
        <f>Q12</f>
        <v>0.90985549824857681</v>
      </c>
      <c r="S9" s="24">
        <v>0.12986111111111112</v>
      </c>
      <c r="T9" s="24">
        <v>0.23750000000000002</v>
      </c>
      <c r="U9" s="337"/>
      <c r="V9" s="346">
        <f t="shared" ref="V9:V11" si="16">(T9-S9)*24*60</f>
        <v>155</v>
      </c>
      <c r="W9" s="9"/>
      <c r="X9" s="9"/>
      <c r="Y9" s="456"/>
      <c r="Z9" s="456"/>
      <c r="AA9" s="11">
        <f t="shared" si="2"/>
        <v>-132.7741935483873</v>
      </c>
      <c r="AB9" s="339">
        <f>M9/J9</f>
        <v>0.91148387096774175</v>
      </c>
      <c r="AC9" s="470">
        <f>AB12</f>
        <v>0.90985549824857681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47">
        <v>4765</v>
      </c>
      <c r="G10" s="337">
        <f t="shared" si="11"/>
        <v>189647</v>
      </c>
      <c r="H10" s="76" t="s">
        <v>57</v>
      </c>
      <c r="I10" s="345">
        <v>18</v>
      </c>
      <c r="J10" s="18">
        <v>1500</v>
      </c>
      <c r="K10" s="9">
        <f t="shared" si="12"/>
        <v>83.333333333333329</v>
      </c>
      <c r="L10" s="345">
        <v>18</v>
      </c>
      <c r="M10" s="10">
        <f t="shared" si="13"/>
        <v>1361.4285714285716</v>
      </c>
      <c r="N10" s="9">
        <f t="shared" si="14"/>
        <v>75.634920634920647</v>
      </c>
      <c r="O10" s="11">
        <f t="shared" si="15"/>
        <v>0</v>
      </c>
      <c r="P10" s="12">
        <f t="shared" ref="P10:P11" si="17">N10-K10</f>
        <v>-7.6984126984126817</v>
      </c>
      <c r="Q10" s="339">
        <f t="shared" ref="Q10:Q11" si="18">N10/K10</f>
        <v>0.90761904761904777</v>
      </c>
      <c r="R10" s="470"/>
      <c r="S10" s="24">
        <v>0.26180555555555557</v>
      </c>
      <c r="T10" s="24">
        <v>0.40763888888888888</v>
      </c>
      <c r="U10" s="337">
        <f>(S10-T9)*24*60</f>
        <v>34.999999999999993</v>
      </c>
      <c r="V10" s="346">
        <f t="shared" si="16"/>
        <v>209.99999999999997</v>
      </c>
      <c r="W10" s="14"/>
      <c r="X10" s="14"/>
      <c r="Y10" s="456"/>
      <c r="Z10" s="456"/>
      <c r="AA10" s="11">
        <f t="shared" si="2"/>
        <v>-138.57142857142844</v>
      </c>
      <c r="AB10" s="339">
        <f t="shared" ref="AB10:AB26" si="19">M10/J10</f>
        <v>0.90761904761904766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47">
        <v>3437</v>
      </c>
      <c r="G11" s="337">
        <f t="shared" si="11"/>
        <v>135039.73000000001</v>
      </c>
      <c r="H11" s="76" t="s">
        <v>57</v>
      </c>
      <c r="I11" s="345">
        <v>19</v>
      </c>
      <c r="J11" s="18">
        <v>1500</v>
      </c>
      <c r="K11" s="9">
        <f t="shared" si="12"/>
        <v>78.94736842105263</v>
      </c>
      <c r="L11" s="345">
        <v>19</v>
      </c>
      <c r="M11" s="10">
        <f t="shared" si="13"/>
        <v>1365.6953642384112</v>
      </c>
      <c r="N11" s="9">
        <f t="shared" si="14"/>
        <v>71.878703380969014</v>
      </c>
      <c r="O11" s="11">
        <f t="shared" si="15"/>
        <v>0</v>
      </c>
      <c r="P11" s="12">
        <f t="shared" si="17"/>
        <v>-7.0686650400836157</v>
      </c>
      <c r="Q11" s="339">
        <f t="shared" si="18"/>
        <v>0.91046357615894091</v>
      </c>
      <c r="R11" s="470"/>
      <c r="S11" s="24">
        <v>0.41597222222222219</v>
      </c>
      <c r="T11" s="24">
        <v>0.52083333333333326</v>
      </c>
      <c r="U11" s="337">
        <f t="shared" ref="U11" si="20">(S11-T10)*24*60</f>
        <v>11.999999999999957</v>
      </c>
      <c r="V11" s="346">
        <f t="shared" si="16"/>
        <v>150.99999999999994</v>
      </c>
      <c r="W11" s="14"/>
      <c r="X11" s="14"/>
      <c r="Y11" s="456"/>
      <c r="Z11" s="456"/>
      <c r="AA11" s="11">
        <f t="shared" si="2"/>
        <v>-134.30463576158877</v>
      </c>
      <c r="AB11" s="339">
        <f t="shared" si="19"/>
        <v>0.9104635761589408</v>
      </c>
      <c r="AC11" s="470"/>
    </row>
    <row r="12" spans="1:29" ht="16.5" customHeight="1">
      <c r="A12" s="467" t="s">
        <v>5</v>
      </c>
      <c r="B12" s="26" t="s">
        <v>154</v>
      </c>
      <c r="C12" s="466"/>
      <c r="D12" s="466"/>
      <c r="E12" s="338"/>
      <c r="F12" s="18"/>
      <c r="G12" s="10"/>
      <c r="H12" s="347"/>
      <c r="I12" s="17">
        <v>18.666666666666668</v>
      </c>
      <c r="J12" s="18">
        <v>1500</v>
      </c>
      <c r="K12" s="9">
        <f>J12/I12</f>
        <v>80.357142857142847</v>
      </c>
      <c r="L12" s="17">
        <v>18.666666666666668</v>
      </c>
      <c r="M12" s="10">
        <f>AVERAGE(M9:M11)</f>
        <v>1364.7832473728652</v>
      </c>
      <c r="N12" s="9">
        <f>M12/L12</f>
        <v>73.113388252117772</v>
      </c>
      <c r="O12" s="11">
        <f>L12-I12</f>
        <v>0</v>
      </c>
      <c r="P12" s="12">
        <f>N12-K12</f>
        <v>-7.2437546050250745</v>
      </c>
      <c r="Q12" s="339">
        <f>N12/K12</f>
        <v>0.90985549824857681</v>
      </c>
      <c r="R12" s="470"/>
      <c r="S12" s="24"/>
      <c r="T12" s="24"/>
      <c r="U12" s="9"/>
      <c r="V12" s="346"/>
      <c r="W12" s="9"/>
      <c r="X12" s="9"/>
      <c r="Y12" s="456"/>
      <c r="Z12" s="456"/>
      <c r="AA12" s="11">
        <f t="shared" si="2"/>
        <v>-135.21675262713484</v>
      </c>
      <c r="AB12" s="339">
        <f t="shared" si="19"/>
        <v>0.90985549824857681</v>
      </c>
      <c r="AC12" s="470"/>
    </row>
    <row r="13" spans="1:29" ht="16.5" customHeight="1">
      <c r="A13" s="480" t="s">
        <v>124</v>
      </c>
      <c r="B13" s="347" t="s">
        <v>18</v>
      </c>
      <c r="C13" s="477" t="s">
        <v>19</v>
      </c>
      <c r="D13" s="477"/>
      <c r="E13" s="26">
        <v>41</v>
      </c>
      <c r="F13" s="347">
        <v>1666</v>
      </c>
      <c r="G13" s="337">
        <f t="shared" ref="G13:G16" si="21">E13*F13</f>
        <v>68306</v>
      </c>
      <c r="H13" s="76" t="s">
        <v>57</v>
      </c>
      <c r="I13" s="345">
        <v>26</v>
      </c>
      <c r="J13" s="18">
        <v>1286</v>
      </c>
      <c r="K13" s="9">
        <f>J13/I13</f>
        <v>49.46153846153846</v>
      </c>
      <c r="L13" s="345">
        <v>26</v>
      </c>
      <c r="M13" s="10">
        <f>F13/V13*60</f>
        <v>1175.9999999999998</v>
      </c>
      <c r="N13" s="9">
        <f t="shared" ref="N13:N25" si="22">M13/L13</f>
        <v>45.230769230769219</v>
      </c>
      <c r="O13" s="11">
        <f t="shared" ref="O13" si="23">L13-I13</f>
        <v>0</v>
      </c>
      <c r="P13" s="12">
        <f t="shared" ref="P13" si="24">N13-K13</f>
        <v>-4.2307692307692406</v>
      </c>
      <c r="Q13" s="339">
        <f>N13/K13</f>
        <v>0.91446345256609618</v>
      </c>
      <c r="R13" s="470">
        <f>Q17</f>
        <v>0.91490132849997918</v>
      </c>
      <c r="S13" s="24">
        <v>0.25</v>
      </c>
      <c r="T13" s="24">
        <v>0.30902777777777779</v>
      </c>
      <c r="U13" s="337"/>
      <c r="V13" s="346">
        <f>(T13-S13)*24*60</f>
        <v>85.000000000000014</v>
      </c>
      <c r="W13" s="15"/>
      <c r="X13" s="15"/>
      <c r="Y13" s="456"/>
      <c r="Z13" s="456"/>
      <c r="AA13" s="11">
        <f t="shared" si="2"/>
        <v>-110.00000000000023</v>
      </c>
      <c r="AB13" s="339">
        <f t="shared" si="19"/>
        <v>0.91446345256609629</v>
      </c>
      <c r="AC13" s="470">
        <f>AB17</f>
        <v>0.91490132849997918</v>
      </c>
    </row>
    <row r="14" spans="1:29" ht="16.5" customHeight="1">
      <c r="A14" s="481" t="s">
        <v>6</v>
      </c>
      <c r="B14" s="347" t="s">
        <v>15</v>
      </c>
      <c r="C14" s="477" t="s">
        <v>54</v>
      </c>
      <c r="D14" s="477"/>
      <c r="E14" s="26">
        <v>39.29</v>
      </c>
      <c r="F14" s="347">
        <v>2755</v>
      </c>
      <c r="G14" s="337">
        <f t="shared" si="21"/>
        <v>108243.95</v>
      </c>
      <c r="H14" s="76" t="s">
        <v>57</v>
      </c>
      <c r="I14" s="345">
        <v>17</v>
      </c>
      <c r="J14" s="18">
        <v>1500</v>
      </c>
      <c r="K14" s="9">
        <f>J14/I14</f>
        <v>88.235294117647058</v>
      </c>
      <c r="L14" s="345">
        <v>17</v>
      </c>
      <c r="M14" s="10">
        <f>F14/V14*60</f>
        <v>1366.1157024793392</v>
      </c>
      <c r="N14" s="9">
        <f t="shared" si="22"/>
        <v>80.359747204667016</v>
      </c>
      <c r="O14" s="11">
        <f>L14-I14</f>
        <v>0</v>
      </c>
      <c r="P14" s="12">
        <f>N14-K14</f>
        <v>-7.8755469129800417</v>
      </c>
      <c r="Q14" s="339">
        <f>N14/K14</f>
        <v>0.91074380165289281</v>
      </c>
      <c r="R14" s="470"/>
      <c r="S14" s="24">
        <v>0.31944444444444442</v>
      </c>
      <c r="T14" s="24">
        <v>0.40347222222222218</v>
      </c>
      <c r="U14" s="337">
        <f>(S14-T13)*24*60</f>
        <v>14.999999999999947</v>
      </c>
      <c r="V14" s="346">
        <f>(T14-S14)*24*60</f>
        <v>120.99999999999997</v>
      </c>
      <c r="W14" s="14"/>
      <c r="X14" s="14"/>
      <c r="Y14" s="456"/>
      <c r="Z14" s="456"/>
      <c r="AA14" s="11">
        <f t="shared" si="2"/>
        <v>-133.88429752066077</v>
      </c>
      <c r="AB14" s="339">
        <f t="shared" si="19"/>
        <v>0.91074380165289281</v>
      </c>
      <c r="AC14" s="470"/>
    </row>
    <row r="15" spans="1:29" ht="16.5" customHeight="1">
      <c r="A15" s="481" t="s">
        <v>6</v>
      </c>
      <c r="B15" s="347" t="s">
        <v>13</v>
      </c>
      <c r="C15" s="477" t="s">
        <v>63</v>
      </c>
      <c r="D15" s="477"/>
      <c r="E15" s="26">
        <v>50.98</v>
      </c>
      <c r="F15" s="347">
        <v>2444</v>
      </c>
      <c r="G15" s="337">
        <f t="shared" si="21"/>
        <v>124595.12</v>
      </c>
      <c r="H15" s="76" t="s">
        <v>57</v>
      </c>
      <c r="I15" s="345">
        <v>17</v>
      </c>
      <c r="J15" s="18">
        <v>1800</v>
      </c>
      <c r="K15" s="9">
        <f t="shared" ref="K15:K16" si="25">J15/I15</f>
        <v>105.88235294117646</v>
      </c>
      <c r="L15" s="345">
        <v>17</v>
      </c>
      <c r="M15" s="10">
        <f t="shared" ref="M15:M16" si="26">F15/V15*60</f>
        <v>1647.6404494382023</v>
      </c>
      <c r="N15" s="9">
        <f t="shared" si="22"/>
        <v>96.92002643754131</v>
      </c>
      <c r="O15" s="11">
        <f t="shared" ref="O15:O16" si="27">L15-I15</f>
        <v>0</v>
      </c>
      <c r="P15" s="12">
        <f t="shared" ref="P15:P16" si="28">N15-K15</f>
        <v>-8.962326503635154</v>
      </c>
      <c r="Q15" s="339">
        <f t="shared" ref="Q15:Q25" si="29">N15/K15</f>
        <v>0.91535580524344573</v>
      </c>
      <c r="R15" s="470"/>
      <c r="S15" s="24">
        <v>0.70833333333333337</v>
      </c>
      <c r="T15" s="24">
        <v>0.77013888888888893</v>
      </c>
      <c r="U15" s="337">
        <f t="shared" ref="U15:U16" si="30">(S15-T14)*24*60</f>
        <v>439.00000000000011</v>
      </c>
      <c r="V15" s="346">
        <f t="shared" ref="V15:V16" si="31">(T15-S15)*24*60</f>
        <v>89</v>
      </c>
      <c r="W15" s="14"/>
      <c r="X15" s="14"/>
      <c r="Y15" s="456"/>
      <c r="Z15" s="456"/>
      <c r="AA15" s="11">
        <f t="shared" si="2"/>
        <v>-152.35955056179773</v>
      </c>
      <c r="AB15" s="339">
        <f t="shared" si="19"/>
        <v>0.91535580524344573</v>
      </c>
      <c r="AC15" s="470"/>
    </row>
    <row r="16" spans="1:29" ht="16.5" customHeight="1">
      <c r="A16" s="481" t="s">
        <v>6</v>
      </c>
      <c r="B16" s="347" t="s">
        <v>13</v>
      </c>
      <c r="C16" s="477" t="s">
        <v>66</v>
      </c>
      <c r="D16" s="477"/>
      <c r="E16" s="26">
        <v>57.73</v>
      </c>
      <c r="F16" s="347">
        <v>1654</v>
      </c>
      <c r="G16" s="337">
        <f t="shared" si="21"/>
        <v>95485.42</v>
      </c>
      <c r="H16" s="76" t="s">
        <v>57</v>
      </c>
      <c r="I16" s="345">
        <v>16</v>
      </c>
      <c r="J16" s="18">
        <v>1500</v>
      </c>
      <c r="K16" s="9">
        <f t="shared" si="25"/>
        <v>93.75</v>
      </c>
      <c r="L16" s="345">
        <v>16</v>
      </c>
      <c r="M16" s="10">
        <f t="shared" si="26"/>
        <v>1378.3333333333321</v>
      </c>
      <c r="N16" s="9">
        <f t="shared" si="22"/>
        <v>86.145833333333258</v>
      </c>
      <c r="O16" s="11">
        <f t="shared" si="27"/>
        <v>0</v>
      </c>
      <c r="P16" s="12">
        <f t="shared" si="28"/>
        <v>-7.6041666666667425</v>
      </c>
      <c r="Q16" s="339">
        <f t="shared" si="29"/>
        <v>0.91888888888888809</v>
      </c>
      <c r="R16" s="470"/>
      <c r="S16" s="24">
        <v>0.77430555555555558</v>
      </c>
      <c r="T16" s="24">
        <v>0.82430555555555562</v>
      </c>
      <c r="U16" s="337">
        <f t="shared" si="30"/>
        <v>5.9999999999999787</v>
      </c>
      <c r="V16" s="346">
        <f t="shared" si="31"/>
        <v>72.000000000000057</v>
      </c>
      <c r="W16" s="14"/>
      <c r="X16" s="14"/>
      <c r="Y16" s="456"/>
      <c r="Z16" s="456"/>
      <c r="AA16" s="11">
        <f t="shared" si="2"/>
        <v>-121.66666666666788</v>
      </c>
      <c r="AB16" s="339">
        <f t="shared" si="19"/>
        <v>0.91888888888888809</v>
      </c>
      <c r="AC16" s="470"/>
    </row>
    <row r="17" spans="1:29" ht="16.5" customHeight="1">
      <c r="A17" s="481" t="s">
        <v>6</v>
      </c>
      <c r="B17" s="26" t="s">
        <v>154</v>
      </c>
      <c r="C17" s="466"/>
      <c r="D17" s="466"/>
      <c r="E17" s="338"/>
      <c r="F17" s="16"/>
      <c r="G17" s="9"/>
      <c r="H17" s="347"/>
      <c r="I17" s="17">
        <v>19</v>
      </c>
      <c r="J17" s="18">
        <v>1521.5</v>
      </c>
      <c r="K17" s="9">
        <f>J17/I17</f>
        <v>80.078947368421055</v>
      </c>
      <c r="L17" s="17">
        <v>19</v>
      </c>
      <c r="M17" s="10">
        <f>AVERAGE(M13:M16)</f>
        <v>1392.0223713127184</v>
      </c>
      <c r="N17" s="9">
        <f t="shared" si="22"/>
        <v>73.264335332248336</v>
      </c>
      <c r="O17" s="11">
        <f>L17-I17</f>
        <v>0</v>
      </c>
      <c r="P17" s="12">
        <f>N17-K17</f>
        <v>-6.8146120361727185</v>
      </c>
      <c r="Q17" s="339">
        <f t="shared" si="29"/>
        <v>0.91490132849997918</v>
      </c>
      <c r="R17" s="470"/>
      <c r="S17" s="24"/>
      <c r="T17" s="24"/>
      <c r="U17" s="337"/>
      <c r="V17" s="346"/>
      <c r="W17" s="9"/>
      <c r="X17" s="9"/>
      <c r="Y17" s="456"/>
      <c r="Z17" s="456"/>
      <c r="AA17" s="11">
        <f t="shared" si="2"/>
        <v>-129.47762868728159</v>
      </c>
      <c r="AB17" s="339">
        <f t="shared" si="19"/>
        <v>0.91490132849997918</v>
      </c>
      <c r="AC17" s="470"/>
    </row>
    <row r="18" spans="1:29" ht="15.75" customHeight="1">
      <c r="A18" s="478" t="s">
        <v>240</v>
      </c>
      <c r="B18" s="26" t="s">
        <v>21</v>
      </c>
      <c r="C18" s="477" t="s">
        <v>22</v>
      </c>
      <c r="D18" s="477"/>
      <c r="E18" s="26">
        <v>43.14</v>
      </c>
      <c r="F18" s="347">
        <v>1027</v>
      </c>
      <c r="G18" s="337">
        <f t="shared" ref="G18:G25" si="32">E18*F18</f>
        <v>44304.78</v>
      </c>
      <c r="H18" s="76" t="s">
        <v>57</v>
      </c>
      <c r="I18" s="345">
        <v>17</v>
      </c>
      <c r="J18" s="18">
        <v>1200</v>
      </c>
      <c r="K18" s="9">
        <f t="shared" ref="K18:K26" si="33">J18/I18</f>
        <v>70.588235294117652</v>
      </c>
      <c r="L18" s="345">
        <v>17</v>
      </c>
      <c r="M18" s="10">
        <f t="shared" ref="M18:M25" si="34">F18/V18*60</f>
        <v>1100.3571428571429</v>
      </c>
      <c r="N18" s="9">
        <f t="shared" si="22"/>
        <v>64.726890756302524</v>
      </c>
      <c r="O18" s="11">
        <f t="shared" ref="O18:O25" si="35">L18-I18</f>
        <v>0</v>
      </c>
      <c r="P18" s="12">
        <f t="shared" ref="P18:P25" si="36">N18-K18</f>
        <v>-5.8613445378151283</v>
      </c>
      <c r="Q18" s="339">
        <f t="shared" si="29"/>
        <v>0.91696428571428568</v>
      </c>
      <c r="R18" s="470">
        <f>Q26</f>
        <v>0.92030308567807106</v>
      </c>
      <c r="S18" s="24">
        <v>0.16666666666666666</v>
      </c>
      <c r="T18" s="24">
        <v>0.20555555555555555</v>
      </c>
      <c r="U18" s="337"/>
      <c r="V18" s="346">
        <f>(T18-S18)*24*60</f>
        <v>56</v>
      </c>
      <c r="W18" s="15"/>
      <c r="X18" s="15"/>
      <c r="Y18" s="456"/>
      <c r="Z18" s="456"/>
      <c r="AA18" s="11">
        <f t="shared" si="2"/>
        <v>-99.64285714285711</v>
      </c>
      <c r="AB18" s="339">
        <f t="shared" si="19"/>
        <v>0.91696428571428579</v>
      </c>
      <c r="AC18" s="470">
        <f>AB26</f>
        <v>0.92030308567807106</v>
      </c>
    </row>
    <row r="19" spans="1:29" ht="15.75" customHeight="1">
      <c r="A19" s="479" t="s">
        <v>7</v>
      </c>
      <c r="B19" s="26" t="s">
        <v>13</v>
      </c>
      <c r="C19" s="477" t="s">
        <v>23</v>
      </c>
      <c r="D19" s="477"/>
      <c r="E19" s="26">
        <v>57.73</v>
      </c>
      <c r="F19" s="347">
        <v>2188</v>
      </c>
      <c r="G19" s="337">
        <f t="shared" si="32"/>
        <v>126313.23999999999</v>
      </c>
      <c r="H19" s="76" t="s">
        <v>57</v>
      </c>
      <c r="I19" s="345">
        <v>16</v>
      </c>
      <c r="J19" s="18">
        <v>1800</v>
      </c>
      <c r="K19" s="9">
        <f t="shared" si="33"/>
        <v>112.5</v>
      </c>
      <c r="L19" s="345">
        <v>16</v>
      </c>
      <c r="M19" s="10">
        <f t="shared" si="34"/>
        <v>1641</v>
      </c>
      <c r="N19" s="9">
        <f t="shared" si="22"/>
        <v>102.5625</v>
      </c>
      <c r="O19" s="11">
        <f t="shared" si="35"/>
        <v>0</v>
      </c>
      <c r="P19" s="12">
        <f t="shared" si="36"/>
        <v>-9.9375</v>
      </c>
      <c r="Q19" s="339">
        <f t="shared" si="29"/>
        <v>0.91166666666666663</v>
      </c>
      <c r="R19" s="470"/>
      <c r="S19" s="24">
        <v>0.22500000000000001</v>
      </c>
      <c r="T19" s="24">
        <v>0.28055555555555556</v>
      </c>
      <c r="U19" s="337">
        <f>(S19-T18)*24*60</f>
        <v>28.000000000000021</v>
      </c>
      <c r="V19" s="346">
        <f t="shared" ref="V19:V25" si="37">(T19-S19)*24*60</f>
        <v>80</v>
      </c>
      <c r="W19" s="14"/>
      <c r="X19" s="337"/>
      <c r="Y19" s="456"/>
      <c r="Z19" s="456"/>
      <c r="AA19" s="11">
        <f t="shared" si="2"/>
        <v>-159</v>
      </c>
      <c r="AB19" s="339">
        <f t="shared" si="19"/>
        <v>0.91166666666666663</v>
      </c>
      <c r="AC19" s="470"/>
    </row>
    <row r="20" spans="1:29" ht="15.75" customHeight="1">
      <c r="A20" s="479" t="s">
        <v>7</v>
      </c>
      <c r="B20" s="26" t="s">
        <v>13</v>
      </c>
      <c r="C20" s="477" t="s">
        <v>14</v>
      </c>
      <c r="D20" s="477"/>
      <c r="E20" s="26">
        <v>53.68</v>
      </c>
      <c r="F20" s="347">
        <v>1479</v>
      </c>
      <c r="G20" s="337">
        <f t="shared" si="32"/>
        <v>79392.72</v>
      </c>
      <c r="H20" s="76" t="s">
        <v>57</v>
      </c>
      <c r="I20" s="345">
        <v>17</v>
      </c>
      <c r="J20" s="18">
        <v>1800</v>
      </c>
      <c r="K20" s="9">
        <f t="shared" si="33"/>
        <v>105.88235294117646</v>
      </c>
      <c r="L20" s="345">
        <v>17</v>
      </c>
      <c r="M20" s="10">
        <f t="shared" si="34"/>
        <v>1643.3333333333342</v>
      </c>
      <c r="N20" s="9">
        <f t="shared" si="22"/>
        <v>96.666666666666714</v>
      </c>
      <c r="O20" s="11">
        <f t="shared" si="35"/>
        <v>0</v>
      </c>
      <c r="P20" s="12">
        <f t="shared" si="36"/>
        <v>-9.2156862745097499</v>
      </c>
      <c r="Q20" s="339">
        <f t="shared" si="29"/>
        <v>0.91296296296296342</v>
      </c>
      <c r="R20" s="470"/>
      <c r="S20" s="24">
        <v>0.28541666666666665</v>
      </c>
      <c r="T20" s="24">
        <v>0.32291666666666663</v>
      </c>
      <c r="U20" s="337">
        <f t="shared" ref="U20:U25" si="38">(S20-T19)*24*60</f>
        <v>6.9999999999999751</v>
      </c>
      <c r="V20" s="346">
        <f t="shared" si="37"/>
        <v>53.999999999999972</v>
      </c>
      <c r="W20" s="14"/>
      <c r="X20" s="337"/>
      <c r="Y20" s="456"/>
      <c r="Z20" s="456"/>
      <c r="AA20" s="11">
        <f t="shared" si="2"/>
        <v>-156.66666666666583</v>
      </c>
      <c r="AB20" s="339">
        <f t="shared" si="19"/>
        <v>0.91296296296296342</v>
      </c>
      <c r="AC20" s="470"/>
    </row>
    <row r="21" spans="1:29" ht="15.75" customHeight="1">
      <c r="A21" s="479" t="s">
        <v>7</v>
      </c>
      <c r="B21" s="26" t="s">
        <v>13</v>
      </c>
      <c r="C21" s="477" t="s">
        <v>72</v>
      </c>
      <c r="D21" s="477"/>
      <c r="E21" s="26">
        <v>50.67</v>
      </c>
      <c r="F21" s="347">
        <v>950</v>
      </c>
      <c r="G21" s="337">
        <f t="shared" si="32"/>
        <v>48136.5</v>
      </c>
      <c r="H21" s="76" t="s">
        <v>57</v>
      </c>
      <c r="I21" s="345">
        <v>16</v>
      </c>
      <c r="J21" s="18">
        <v>1800</v>
      </c>
      <c r="K21" s="9">
        <f t="shared" si="33"/>
        <v>112.5</v>
      </c>
      <c r="L21" s="345">
        <v>16</v>
      </c>
      <c r="M21" s="10">
        <f t="shared" si="34"/>
        <v>1676.4705882352921</v>
      </c>
      <c r="N21" s="9">
        <f t="shared" si="22"/>
        <v>104.77941176470576</v>
      </c>
      <c r="O21" s="11">
        <f t="shared" si="35"/>
        <v>0</v>
      </c>
      <c r="P21" s="12">
        <f t="shared" si="36"/>
        <v>-7.7205882352942439</v>
      </c>
      <c r="Q21" s="339">
        <f t="shared" si="29"/>
        <v>0.93137254901960675</v>
      </c>
      <c r="R21" s="470"/>
      <c r="S21" s="24">
        <v>0.32708333333333328</v>
      </c>
      <c r="T21" s="24">
        <v>0.35069444444444442</v>
      </c>
      <c r="U21" s="337">
        <f t="shared" si="38"/>
        <v>5.9999999999999787</v>
      </c>
      <c r="V21" s="346">
        <f t="shared" si="37"/>
        <v>34.000000000000043</v>
      </c>
      <c r="W21" s="14"/>
      <c r="X21" s="337"/>
      <c r="Y21" s="456"/>
      <c r="Z21" s="456"/>
      <c r="AA21" s="11">
        <f t="shared" si="2"/>
        <v>-123.5294117647079</v>
      </c>
      <c r="AB21" s="339">
        <f t="shared" si="19"/>
        <v>0.93137254901960675</v>
      </c>
      <c r="AC21" s="470"/>
    </row>
    <row r="22" spans="1:29" ht="15.75" customHeight="1">
      <c r="A22" s="479" t="s">
        <v>7</v>
      </c>
      <c r="B22" s="26" t="s">
        <v>13</v>
      </c>
      <c r="C22" s="477" t="s">
        <v>784</v>
      </c>
      <c r="D22" s="477"/>
      <c r="E22" s="26">
        <v>58.17</v>
      </c>
      <c r="F22" s="347">
        <v>2980</v>
      </c>
      <c r="G22" s="337">
        <f t="shared" si="32"/>
        <v>173346.6</v>
      </c>
      <c r="H22" s="76" t="s">
        <v>57</v>
      </c>
      <c r="I22" s="345">
        <v>18</v>
      </c>
      <c r="J22" s="18">
        <v>1800</v>
      </c>
      <c r="K22" s="9">
        <f t="shared" si="33"/>
        <v>100</v>
      </c>
      <c r="L22" s="345">
        <v>18</v>
      </c>
      <c r="M22" s="10">
        <f t="shared" si="34"/>
        <v>1640.3669724770639</v>
      </c>
      <c r="N22" s="9">
        <f t="shared" si="22"/>
        <v>91.131498470947989</v>
      </c>
      <c r="O22" s="11">
        <f t="shared" si="35"/>
        <v>0</v>
      </c>
      <c r="P22" s="12">
        <f t="shared" si="36"/>
        <v>-8.8685015290520113</v>
      </c>
      <c r="Q22" s="339">
        <f t="shared" si="29"/>
        <v>0.91131498470947991</v>
      </c>
      <c r="R22" s="470"/>
      <c r="S22" s="24">
        <v>0.35555555555555551</v>
      </c>
      <c r="T22" s="24">
        <v>0.43124999999999997</v>
      </c>
      <c r="U22" s="337">
        <f t="shared" si="38"/>
        <v>6.9999999999999751</v>
      </c>
      <c r="V22" s="346">
        <f t="shared" si="37"/>
        <v>109.00000000000001</v>
      </c>
      <c r="W22" s="14"/>
      <c r="X22" s="337"/>
      <c r="Y22" s="456"/>
      <c r="Z22" s="456"/>
      <c r="AA22" s="11">
        <f t="shared" si="2"/>
        <v>-159.63302752293612</v>
      </c>
      <c r="AB22" s="339">
        <f t="shared" si="19"/>
        <v>0.91131498470947991</v>
      </c>
      <c r="AC22" s="470"/>
    </row>
    <row r="23" spans="1:29" ht="15.75" customHeight="1">
      <c r="A23" s="479" t="s">
        <v>7</v>
      </c>
      <c r="B23" s="26" t="s">
        <v>13</v>
      </c>
      <c r="C23" s="477" t="s">
        <v>59</v>
      </c>
      <c r="D23" s="477"/>
      <c r="E23" s="26">
        <v>50.92</v>
      </c>
      <c r="F23" s="347">
        <v>2747</v>
      </c>
      <c r="G23" s="337">
        <f t="shared" si="32"/>
        <v>139877.24</v>
      </c>
      <c r="H23" s="76" t="s">
        <v>57</v>
      </c>
      <c r="I23" s="345">
        <v>16</v>
      </c>
      <c r="J23" s="18">
        <v>1800</v>
      </c>
      <c r="K23" s="9">
        <f t="shared" si="33"/>
        <v>112.5</v>
      </c>
      <c r="L23" s="345">
        <v>16</v>
      </c>
      <c r="M23" s="10">
        <f t="shared" si="34"/>
        <v>1648.2000000000005</v>
      </c>
      <c r="N23" s="9">
        <f t="shared" si="22"/>
        <v>103.01250000000003</v>
      </c>
      <c r="O23" s="11">
        <f t="shared" si="35"/>
        <v>0</v>
      </c>
      <c r="P23" s="12">
        <f t="shared" si="36"/>
        <v>-9.4874999999999687</v>
      </c>
      <c r="Q23" s="339">
        <f t="shared" si="29"/>
        <v>0.91566666666666696</v>
      </c>
      <c r="R23" s="470"/>
      <c r="S23" s="24">
        <v>0.70833333333333337</v>
      </c>
      <c r="T23" s="24">
        <v>0.77777777777777779</v>
      </c>
      <c r="U23" s="337">
        <f t="shared" si="38"/>
        <v>399.00000000000011</v>
      </c>
      <c r="V23" s="346">
        <f t="shared" si="37"/>
        <v>99.999999999999972</v>
      </c>
      <c r="W23" s="14"/>
      <c r="X23" s="15"/>
      <c r="Y23" s="456"/>
      <c r="Z23" s="456"/>
      <c r="AA23" s="11">
        <f t="shared" si="2"/>
        <v>-151.7999999999995</v>
      </c>
      <c r="AB23" s="339">
        <f t="shared" si="19"/>
        <v>0.91566666666666696</v>
      </c>
      <c r="AC23" s="470"/>
    </row>
    <row r="24" spans="1:29" ht="15.75" customHeight="1">
      <c r="A24" s="479" t="s">
        <v>7</v>
      </c>
      <c r="B24" s="26" t="s">
        <v>13</v>
      </c>
      <c r="C24" s="477" t="s">
        <v>62</v>
      </c>
      <c r="D24" s="477"/>
      <c r="E24" s="26">
        <v>53.27</v>
      </c>
      <c r="F24" s="347">
        <v>618</v>
      </c>
      <c r="G24" s="337">
        <f t="shared" si="32"/>
        <v>32920.86</v>
      </c>
      <c r="H24" s="76" t="s">
        <v>57</v>
      </c>
      <c r="I24" s="345">
        <v>15</v>
      </c>
      <c r="J24" s="18">
        <v>1800</v>
      </c>
      <c r="K24" s="9">
        <f t="shared" si="33"/>
        <v>120</v>
      </c>
      <c r="L24" s="345">
        <v>15</v>
      </c>
      <c r="M24" s="10">
        <f t="shared" si="34"/>
        <v>1685.4545454545514</v>
      </c>
      <c r="N24" s="9">
        <f t="shared" si="22"/>
        <v>112.36363636363676</v>
      </c>
      <c r="O24" s="11">
        <f t="shared" si="35"/>
        <v>0</v>
      </c>
      <c r="P24" s="12">
        <f t="shared" si="36"/>
        <v>-7.6363636363632423</v>
      </c>
      <c r="Q24" s="339">
        <f t="shared" si="29"/>
        <v>0.93636363636363962</v>
      </c>
      <c r="R24" s="470"/>
      <c r="S24" s="24">
        <v>0.78194444444444444</v>
      </c>
      <c r="T24" s="24">
        <v>0.79722222222222217</v>
      </c>
      <c r="U24" s="337">
        <f t="shared" si="38"/>
        <v>5.9999999999999787</v>
      </c>
      <c r="V24" s="346">
        <f t="shared" si="37"/>
        <v>21.999999999999922</v>
      </c>
      <c r="W24" s="14"/>
      <c r="X24" s="15"/>
      <c r="Y24" s="473"/>
      <c r="Z24" s="474"/>
      <c r="AA24" s="11">
        <f t="shared" si="2"/>
        <v>-114.54545454544859</v>
      </c>
      <c r="AB24" s="339">
        <f t="shared" si="19"/>
        <v>0.93636363636363962</v>
      </c>
      <c r="AC24" s="470"/>
    </row>
    <row r="25" spans="1:29" ht="15.75" customHeight="1">
      <c r="A25" s="479" t="s">
        <v>7</v>
      </c>
      <c r="B25" s="26" t="s">
        <v>13</v>
      </c>
      <c r="C25" s="482" t="s">
        <v>1162</v>
      </c>
      <c r="D25" s="483"/>
      <c r="E25" s="26">
        <v>49.91</v>
      </c>
      <c r="F25" s="347">
        <v>666</v>
      </c>
      <c r="G25" s="337">
        <f t="shared" si="32"/>
        <v>33240.06</v>
      </c>
      <c r="H25" s="76" t="s">
        <v>57</v>
      </c>
      <c r="I25" s="345">
        <v>17</v>
      </c>
      <c r="J25" s="18">
        <v>1800</v>
      </c>
      <c r="K25" s="9">
        <f t="shared" si="33"/>
        <v>105.88235294117646</v>
      </c>
      <c r="L25" s="345">
        <v>17</v>
      </c>
      <c r="M25" s="10">
        <f t="shared" si="34"/>
        <v>1664.999999999995</v>
      </c>
      <c r="N25" s="9">
        <f t="shared" si="22"/>
        <v>97.941176470587948</v>
      </c>
      <c r="O25" s="11">
        <f t="shared" si="35"/>
        <v>0</v>
      </c>
      <c r="P25" s="12">
        <f t="shared" si="36"/>
        <v>-7.9411764705885162</v>
      </c>
      <c r="Q25" s="339">
        <f t="shared" si="29"/>
        <v>0.92499999999999738</v>
      </c>
      <c r="R25" s="470"/>
      <c r="S25" s="24">
        <v>0.80138888888888882</v>
      </c>
      <c r="T25" s="24">
        <v>0.81805555555555554</v>
      </c>
      <c r="U25" s="337">
        <f t="shared" si="38"/>
        <v>5.9999999999999787</v>
      </c>
      <c r="V25" s="346">
        <f t="shared" si="37"/>
        <v>24.000000000000075</v>
      </c>
      <c r="W25" s="14"/>
      <c r="X25" s="14"/>
      <c r="Y25" s="473"/>
      <c r="Z25" s="474"/>
      <c r="AA25" s="11">
        <f t="shared" si="2"/>
        <v>-135.000000000005</v>
      </c>
      <c r="AB25" s="339">
        <f t="shared" si="19"/>
        <v>0.92499999999999727</v>
      </c>
      <c r="AC25" s="470"/>
    </row>
    <row r="26" spans="1:29" ht="15.75" customHeight="1">
      <c r="A26" s="479" t="s">
        <v>7</v>
      </c>
      <c r="B26" s="26" t="s">
        <v>154</v>
      </c>
      <c r="C26" s="466"/>
      <c r="D26" s="466"/>
      <c r="E26" s="338"/>
      <c r="F26" s="347"/>
      <c r="G26" s="337"/>
      <c r="H26" s="347"/>
      <c r="I26" s="17">
        <v>16.5</v>
      </c>
      <c r="J26" s="18">
        <v>1725</v>
      </c>
      <c r="K26" s="9">
        <f t="shared" si="33"/>
        <v>104.54545454545455</v>
      </c>
      <c r="L26" s="17">
        <v>16.5</v>
      </c>
      <c r="M26" s="10">
        <f>AVERAGE(M18:M25)</f>
        <v>1587.5228227946725</v>
      </c>
      <c r="N26" s="9">
        <f>M26/L26</f>
        <v>96.21350441179834</v>
      </c>
      <c r="O26" s="11">
        <f>L26-I26</f>
        <v>0</v>
      </c>
      <c r="P26" s="12">
        <f>N26-K26</f>
        <v>-8.331950133656207</v>
      </c>
      <c r="Q26" s="339">
        <f>N26/K26</f>
        <v>0.92030308567807106</v>
      </c>
      <c r="R26" s="470"/>
      <c r="S26" s="24"/>
      <c r="T26" s="24"/>
      <c r="U26" s="9"/>
      <c r="V26" s="346"/>
      <c r="W26" s="9"/>
      <c r="X26" s="9"/>
      <c r="Y26" s="456"/>
      <c r="Z26" s="456"/>
      <c r="AA26" s="11">
        <f t="shared" si="2"/>
        <v>-137.47717720532751</v>
      </c>
      <c r="AB26" s="339">
        <f t="shared" si="19"/>
        <v>0.92030308567807106</v>
      </c>
      <c r="AC26" s="470"/>
    </row>
    <row r="27" spans="1:29" ht="15.75" customHeight="1">
      <c r="A27" s="484" t="s">
        <v>157</v>
      </c>
      <c r="B27" s="26" t="s">
        <v>24</v>
      </c>
      <c r="C27" s="477" t="s">
        <v>26</v>
      </c>
      <c r="D27" s="477"/>
      <c r="E27" s="26">
        <v>26.2</v>
      </c>
      <c r="F27" s="347">
        <v>2937</v>
      </c>
      <c r="G27" s="337">
        <f t="shared" ref="G27:G31" si="39">E27*F27</f>
        <v>76949.399999999994</v>
      </c>
      <c r="H27" s="76" t="s">
        <v>57</v>
      </c>
      <c r="I27" s="345">
        <v>20</v>
      </c>
      <c r="J27" s="18">
        <v>2400</v>
      </c>
      <c r="K27" s="9">
        <f>J27/I27</f>
        <v>120</v>
      </c>
      <c r="L27" s="345">
        <v>20</v>
      </c>
      <c r="M27" s="10">
        <f t="shared" ref="M27:M31" si="40">F27/V27*60</f>
        <v>2175.5555555555561</v>
      </c>
      <c r="N27" s="9">
        <f t="shared" ref="N27:N31" si="41">M27/L27</f>
        <v>108.7777777777778</v>
      </c>
      <c r="O27" s="11">
        <f t="shared" ref="O27:O31" si="42">L27-I27</f>
        <v>0</v>
      </c>
      <c r="P27" s="12">
        <f t="shared" ref="P27:P31" si="43">N27-K27</f>
        <v>-11.2222222222222</v>
      </c>
      <c r="Q27" s="339">
        <f t="shared" ref="Q27:Q31" si="44">N27/K27</f>
        <v>0.90648148148148167</v>
      </c>
      <c r="R27" s="470">
        <f>Q32</f>
        <v>0.91050866016987531</v>
      </c>
      <c r="S27" s="24">
        <v>0.125</v>
      </c>
      <c r="T27" s="24">
        <v>0.18124999999999999</v>
      </c>
      <c r="U27" s="337"/>
      <c r="V27" s="346">
        <f t="shared" ref="V27:V31" si="45">(T27-S27)*24*60</f>
        <v>80.999999999999986</v>
      </c>
      <c r="W27" s="14"/>
      <c r="X27" s="14"/>
      <c r="Y27" s="456"/>
      <c r="Z27" s="456"/>
      <c r="AA27" s="11">
        <f t="shared" si="2"/>
        <v>-224.44444444444389</v>
      </c>
      <c r="AB27" s="339">
        <f>M27/J27</f>
        <v>0.90648148148148167</v>
      </c>
      <c r="AC27" s="470">
        <f>AB32</f>
        <v>0.91050866016987531</v>
      </c>
    </row>
    <row r="28" spans="1:29" ht="15.75" customHeight="1">
      <c r="A28" s="484" t="s">
        <v>8</v>
      </c>
      <c r="B28" s="26" t="s">
        <v>24</v>
      </c>
      <c r="C28" s="477" t="s">
        <v>25</v>
      </c>
      <c r="D28" s="477"/>
      <c r="E28" s="26">
        <v>20.52</v>
      </c>
      <c r="F28" s="347">
        <v>2937</v>
      </c>
      <c r="G28" s="337">
        <f t="shared" si="39"/>
        <v>60267.24</v>
      </c>
      <c r="H28" s="76" t="s">
        <v>57</v>
      </c>
      <c r="I28" s="345">
        <v>18</v>
      </c>
      <c r="J28" s="18">
        <v>2400</v>
      </c>
      <c r="K28" s="9">
        <f t="shared" ref="K28:K32" si="46">J28/I28</f>
        <v>133.33333333333334</v>
      </c>
      <c r="L28" s="345">
        <v>18</v>
      </c>
      <c r="M28" s="10">
        <f t="shared" si="40"/>
        <v>2175.5555555555547</v>
      </c>
      <c r="N28" s="9">
        <f t="shared" si="41"/>
        <v>120.86419753086415</v>
      </c>
      <c r="O28" s="11">
        <f t="shared" si="42"/>
        <v>0</v>
      </c>
      <c r="P28" s="12">
        <f t="shared" si="43"/>
        <v>-12.469135802469197</v>
      </c>
      <c r="Q28" s="339">
        <f t="shared" si="44"/>
        <v>0.906481481481481</v>
      </c>
      <c r="R28" s="470"/>
      <c r="S28" s="24">
        <v>0.20208333333333334</v>
      </c>
      <c r="T28" s="24">
        <v>0.25833333333333336</v>
      </c>
      <c r="U28" s="337">
        <f>(S28-T27)*24*60</f>
        <v>30.000000000000014</v>
      </c>
      <c r="V28" s="346">
        <f t="shared" si="45"/>
        <v>81.000000000000028</v>
      </c>
      <c r="W28" s="14"/>
      <c r="X28" s="14"/>
      <c r="Y28" s="456"/>
      <c r="Z28" s="456"/>
      <c r="AA28" s="11">
        <f t="shared" si="2"/>
        <v>-224.44444444444525</v>
      </c>
      <c r="AB28" s="339">
        <f t="shared" ref="AB28:AB31" si="47">M28/J28</f>
        <v>0.90648148148148111</v>
      </c>
      <c r="AC28" s="470"/>
    </row>
    <row r="29" spans="1:29" ht="15.75" customHeight="1">
      <c r="A29" s="484" t="s">
        <v>8</v>
      </c>
      <c r="B29" s="26" t="s">
        <v>24</v>
      </c>
      <c r="C29" s="477" t="s">
        <v>513</v>
      </c>
      <c r="D29" s="477"/>
      <c r="E29" s="26">
        <v>31.29</v>
      </c>
      <c r="F29" s="347">
        <v>5679</v>
      </c>
      <c r="G29" s="337">
        <f t="shared" si="39"/>
        <v>177695.91</v>
      </c>
      <c r="H29" s="76" t="s">
        <v>57</v>
      </c>
      <c r="I29" s="345">
        <v>16</v>
      </c>
      <c r="J29" s="18">
        <v>2400</v>
      </c>
      <c r="K29" s="9">
        <f t="shared" si="46"/>
        <v>150</v>
      </c>
      <c r="L29" s="345">
        <v>16</v>
      </c>
      <c r="M29" s="10">
        <f t="shared" si="40"/>
        <v>2184.2307692307691</v>
      </c>
      <c r="N29" s="9">
        <f t="shared" si="41"/>
        <v>136.51442307692307</v>
      </c>
      <c r="O29" s="11">
        <f t="shared" si="42"/>
        <v>0</v>
      </c>
      <c r="P29" s="12">
        <f t="shared" si="43"/>
        <v>-13.485576923076934</v>
      </c>
      <c r="Q29" s="339">
        <f t="shared" si="44"/>
        <v>0.91009615384615372</v>
      </c>
      <c r="R29" s="470"/>
      <c r="S29" s="24">
        <v>0.26180555555555557</v>
      </c>
      <c r="T29" s="24">
        <v>0.37013888888888891</v>
      </c>
      <c r="U29" s="337">
        <f t="shared" ref="U29:U31" si="48">(S29-T28)*24*60</f>
        <v>4.9999999999999822</v>
      </c>
      <c r="V29" s="346">
        <f t="shared" si="45"/>
        <v>156</v>
      </c>
      <c r="W29" s="14"/>
      <c r="X29" s="14"/>
      <c r="Y29" s="456"/>
      <c r="Z29" s="456"/>
      <c r="AA29" s="11">
        <f t="shared" si="2"/>
        <v>-215.76923076923094</v>
      </c>
      <c r="AB29" s="339">
        <f t="shared" si="47"/>
        <v>0.91009615384615372</v>
      </c>
      <c r="AC29" s="470"/>
    </row>
    <row r="30" spans="1:29" ht="15.75" customHeight="1">
      <c r="A30" s="484" t="s">
        <v>8</v>
      </c>
      <c r="B30" s="26" t="s">
        <v>24</v>
      </c>
      <c r="C30" s="477" t="s">
        <v>84</v>
      </c>
      <c r="D30" s="477"/>
      <c r="E30" s="26">
        <v>24.25</v>
      </c>
      <c r="F30" s="347">
        <v>3900</v>
      </c>
      <c r="G30" s="337">
        <f t="shared" si="39"/>
        <v>94575</v>
      </c>
      <c r="H30" s="76" t="s">
        <v>57</v>
      </c>
      <c r="I30" s="345">
        <v>18</v>
      </c>
      <c r="J30" s="18">
        <v>2400</v>
      </c>
      <c r="K30" s="9">
        <f t="shared" si="46"/>
        <v>133.33333333333334</v>
      </c>
      <c r="L30" s="345">
        <v>18</v>
      </c>
      <c r="M30" s="10">
        <f t="shared" si="40"/>
        <v>2186.9158878504672</v>
      </c>
      <c r="N30" s="9">
        <f t="shared" si="41"/>
        <v>121.49532710280374</v>
      </c>
      <c r="O30" s="11">
        <f t="shared" si="42"/>
        <v>0</v>
      </c>
      <c r="P30" s="12">
        <f t="shared" si="43"/>
        <v>-11.838006230529601</v>
      </c>
      <c r="Q30" s="339">
        <f t="shared" si="44"/>
        <v>0.91121495327102797</v>
      </c>
      <c r="R30" s="470"/>
      <c r="S30" s="24">
        <v>0.37569444444444444</v>
      </c>
      <c r="T30" s="24">
        <v>0.45</v>
      </c>
      <c r="U30" s="337">
        <f t="shared" si="48"/>
        <v>7.9999999999999716</v>
      </c>
      <c r="V30" s="346">
        <f t="shared" si="45"/>
        <v>107.00000000000001</v>
      </c>
      <c r="W30" s="14"/>
      <c r="X30" s="14"/>
      <c r="Y30" s="456"/>
      <c r="Z30" s="456"/>
      <c r="AA30" s="11">
        <f t="shared" si="2"/>
        <v>-213.08411214953276</v>
      </c>
      <c r="AB30" s="339">
        <f t="shared" si="47"/>
        <v>0.91121495327102797</v>
      </c>
      <c r="AC30" s="470"/>
    </row>
    <row r="31" spans="1:29" ht="15.75" customHeight="1">
      <c r="A31" s="484" t="s">
        <v>8</v>
      </c>
      <c r="B31" s="26" t="s">
        <v>24</v>
      </c>
      <c r="C31" s="477" t="s">
        <v>69</v>
      </c>
      <c r="D31" s="477"/>
      <c r="E31" s="26">
        <v>22.35</v>
      </c>
      <c r="F31" s="347">
        <v>1910</v>
      </c>
      <c r="G31" s="337">
        <f t="shared" si="39"/>
        <v>42688.5</v>
      </c>
      <c r="H31" s="76" t="s">
        <v>57</v>
      </c>
      <c r="I31" s="345">
        <v>16</v>
      </c>
      <c r="J31" s="18">
        <v>2400</v>
      </c>
      <c r="K31" s="9">
        <f t="shared" si="46"/>
        <v>150</v>
      </c>
      <c r="L31" s="345">
        <v>16</v>
      </c>
      <c r="M31" s="10">
        <f t="shared" si="40"/>
        <v>2203.8461538461547</v>
      </c>
      <c r="N31" s="9">
        <f t="shared" si="41"/>
        <v>137.74038461538467</v>
      </c>
      <c r="O31" s="11">
        <f t="shared" si="42"/>
        <v>0</v>
      </c>
      <c r="P31" s="12">
        <f t="shared" si="43"/>
        <v>-12.25961538461533</v>
      </c>
      <c r="Q31" s="339">
        <f t="shared" si="44"/>
        <v>0.91826923076923117</v>
      </c>
      <c r="R31" s="470"/>
      <c r="S31" s="24">
        <v>0.4548611111111111</v>
      </c>
      <c r="T31" s="24">
        <v>0.4909722222222222</v>
      </c>
      <c r="U31" s="337">
        <f t="shared" si="48"/>
        <v>6.9999999999999751</v>
      </c>
      <c r="V31" s="346">
        <f t="shared" si="45"/>
        <v>51.999999999999972</v>
      </c>
      <c r="W31" s="14"/>
      <c r="X31" s="14"/>
      <c r="Y31" s="456"/>
      <c r="Z31" s="456"/>
      <c r="AA31" s="11">
        <f t="shared" si="2"/>
        <v>-196.15384615384528</v>
      </c>
      <c r="AB31" s="339">
        <f t="shared" si="47"/>
        <v>0.91826923076923117</v>
      </c>
      <c r="AC31" s="470"/>
    </row>
    <row r="32" spans="1:29" ht="15.75" customHeight="1">
      <c r="A32" s="484" t="s">
        <v>8</v>
      </c>
      <c r="B32" s="26" t="s">
        <v>154</v>
      </c>
      <c r="C32" s="466"/>
      <c r="D32" s="466"/>
      <c r="E32" s="338"/>
      <c r="F32" s="347"/>
      <c r="G32" s="337"/>
      <c r="H32" s="347"/>
      <c r="I32" s="17">
        <v>17.600000000000001</v>
      </c>
      <c r="J32" s="18">
        <v>2400</v>
      </c>
      <c r="K32" s="9">
        <f t="shared" si="46"/>
        <v>136.36363636363635</v>
      </c>
      <c r="L32" s="17">
        <v>17.600000000000001</v>
      </c>
      <c r="M32" s="10">
        <f>AVERAGE(M27:M31)</f>
        <v>2185.2207844077006</v>
      </c>
      <c r="N32" s="9">
        <f>M32/L32</f>
        <v>124.16027184134661</v>
      </c>
      <c r="O32" s="11">
        <f>L32-I32</f>
        <v>0</v>
      </c>
      <c r="P32" s="12">
        <f>N32-K32</f>
        <v>-12.203364522289732</v>
      </c>
      <c r="Q32" s="339">
        <f>N32/K32</f>
        <v>0.91050866016987531</v>
      </c>
      <c r="R32" s="470"/>
      <c r="S32" s="24"/>
      <c r="T32" s="24"/>
      <c r="U32" s="337"/>
      <c r="V32" s="346"/>
      <c r="W32" s="337"/>
      <c r="X32" s="337"/>
      <c r="Y32" s="456"/>
      <c r="Z32" s="456"/>
      <c r="AA32" s="11">
        <f t="shared" si="2"/>
        <v>-214.77921559229935</v>
      </c>
      <c r="AB32" s="339">
        <f>M32/J32</f>
        <v>0.91050866016987531</v>
      </c>
      <c r="AC32" s="470"/>
    </row>
    <row r="33" spans="1:29" ht="15.75" customHeight="1">
      <c r="A33" s="485" t="s">
        <v>158</v>
      </c>
      <c r="B33" s="26" t="s">
        <v>24</v>
      </c>
      <c r="C33" s="487" t="s">
        <v>29</v>
      </c>
      <c r="D33" s="487"/>
      <c r="E33" s="26">
        <v>26.2</v>
      </c>
      <c r="F33" s="347">
        <v>4241</v>
      </c>
      <c r="G33" s="337">
        <f t="shared" ref="G33:G38" si="49">E33*F33</f>
        <v>111114.2</v>
      </c>
      <c r="H33" s="76" t="s">
        <v>57</v>
      </c>
      <c r="I33" s="345">
        <v>18</v>
      </c>
      <c r="J33" s="18">
        <v>2400</v>
      </c>
      <c r="K33" s="9">
        <f>J33/I33</f>
        <v>133.33333333333334</v>
      </c>
      <c r="L33" s="345">
        <v>18</v>
      </c>
      <c r="M33" s="10">
        <f>F33/V33*60</f>
        <v>2193.620689655173</v>
      </c>
      <c r="N33" s="9">
        <f>M33/L33</f>
        <v>121.86781609195405</v>
      </c>
      <c r="O33" s="11">
        <f t="shared" ref="O33:O38" si="50">L33-I33</f>
        <v>0</v>
      </c>
      <c r="P33" s="12">
        <f t="shared" ref="P33:P46" si="51">N33-K33</f>
        <v>-11.465517241379288</v>
      </c>
      <c r="Q33" s="339">
        <f t="shared" ref="Q33:Q43" si="52">N33/K33</f>
        <v>0.91400862068965538</v>
      </c>
      <c r="R33" s="470">
        <f>Q39</f>
        <v>0.91472577850666303</v>
      </c>
      <c r="S33" s="24">
        <v>0.125</v>
      </c>
      <c r="T33" s="24">
        <v>0.20555555555555555</v>
      </c>
      <c r="U33" s="337"/>
      <c r="V33" s="346">
        <f t="shared" ref="V33:V38" si="53">(T33-S33)*24*60</f>
        <v>115.99999999999999</v>
      </c>
      <c r="W33" s="15"/>
      <c r="X33" s="15"/>
      <c r="Y33" s="456"/>
      <c r="Z33" s="456"/>
      <c r="AA33" s="11">
        <f t="shared" si="2"/>
        <v>-206.37931034482699</v>
      </c>
      <c r="AB33" s="339">
        <f>M33/J33</f>
        <v>0.91400862068965538</v>
      </c>
      <c r="AC33" s="470">
        <f>AB39</f>
        <v>0.91472577850666292</v>
      </c>
    </row>
    <row r="34" spans="1:29" ht="15.75" customHeight="1">
      <c r="A34" s="485" t="s">
        <v>158</v>
      </c>
      <c r="B34" s="26" t="s">
        <v>24</v>
      </c>
      <c r="C34" s="487" t="s">
        <v>31</v>
      </c>
      <c r="D34" s="487"/>
      <c r="E34" s="26">
        <v>24.45</v>
      </c>
      <c r="F34" s="347">
        <v>1761</v>
      </c>
      <c r="G34" s="337">
        <f t="shared" si="49"/>
        <v>43056.45</v>
      </c>
      <c r="H34" s="76" t="s">
        <v>57</v>
      </c>
      <c r="I34" s="345">
        <v>20</v>
      </c>
      <c r="J34" s="18">
        <v>2400</v>
      </c>
      <c r="K34" s="9">
        <f t="shared" ref="K34:K45" si="54">J34/I34</f>
        <v>120</v>
      </c>
      <c r="L34" s="345">
        <v>20</v>
      </c>
      <c r="M34" s="10">
        <f t="shared" ref="M34:M38" si="55">F34/V34*60</f>
        <v>2201.2499999999986</v>
      </c>
      <c r="N34" s="9">
        <f t="shared" ref="N34:N38" si="56">M34/L34</f>
        <v>110.06249999999993</v>
      </c>
      <c r="O34" s="11">
        <f t="shared" si="50"/>
        <v>0</v>
      </c>
      <c r="P34" s="12">
        <f t="shared" si="51"/>
        <v>-9.9375000000000711</v>
      </c>
      <c r="Q34" s="339">
        <f t="shared" si="52"/>
        <v>0.91718749999999938</v>
      </c>
      <c r="R34" s="470"/>
      <c r="S34" s="24">
        <v>0.22638888888888889</v>
      </c>
      <c r="T34" s="24">
        <v>0.25972222222222224</v>
      </c>
      <c r="U34" s="337">
        <f>(S34-T33)*24*60</f>
        <v>30.000000000000014</v>
      </c>
      <c r="V34" s="346">
        <f t="shared" si="53"/>
        <v>48.000000000000028</v>
      </c>
      <c r="W34" s="337"/>
      <c r="X34" s="337"/>
      <c r="Y34" s="456"/>
      <c r="Z34" s="456"/>
      <c r="AA34" s="11">
        <f t="shared" si="2"/>
        <v>-198.75000000000136</v>
      </c>
      <c r="AB34" s="339">
        <f t="shared" ref="AB34:AB58" si="57">M34/J34</f>
        <v>0.91718749999999938</v>
      </c>
      <c r="AC34" s="470"/>
    </row>
    <row r="35" spans="1:29">
      <c r="A35" s="486" t="s">
        <v>158</v>
      </c>
      <c r="B35" s="26" t="s">
        <v>24</v>
      </c>
      <c r="C35" s="487" t="s">
        <v>32</v>
      </c>
      <c r="D35" s="487"/>
      <c r="E35" s="26">
        <v>26.2</v>
      </c>
      <c r="F35" s="347">
        <v>2089</v>
      </c>
      <c r="G35" s="337">
        <f t="shared" si="49"/>
        <v>54731.799999999996</v>
      </c>
      <c r="H35" s="76" t="s">
        <v>57</v>
      </c>
      <c r="I35" s="345">
        <v>20</v>
      </c>
      <c r="J35" s="18">
        <v>2400</v>
      </c>
      <c r="K35" s="9">
        <f t="shared" si="54"/>
        <v>120</v>
      </c>
      <c r="L35" s="345">
        <v>20</v>
      </c>
      <c r="M35" s="10">
        <f t="shared" si="55"/>
        <v>2198.9473684210511</v>
      </c>
      <c r="N35" s="9">
        <f t="shared" si="56"/>
        <v>109.94736842105256</v>
      </c>
      <c r="O35" s="11">
        <f t="shared" si="50"/>
        <v>0</v>
      </c>
      <c r="P35" s="12">
        <f t="shared" si="51"/>
        <v>-10.052631578947441</v>
      </c>
      <c r="Q35" s="339">
        <f t="shared" si="52"/>
        <v>0.91622807017543795</v>
      </c>
      <c r="R35" s="470"/>
      <c r="S35" s="24">
        <v>0.26319444444444445</v>
      </c>
      <c r="T35" s="24">
        <v>0.30277777777777781</v>
      </c>
      <c r="U35" s="337">
        <f t="shared" ref="U35:U38" si="58">(S35-T34)*24*60</f>
        <v>4.9999999999999822</v>
      </c>
      <c r="V35" s="346">
        <f t="shared" si="53"/>
        <v>57.000000000000036</v>
      </c>
      <c r="W35" s="337"/>
      <c r="X35" s="337"/>
      <c r="Y35" s="456"/>
      <c r="Z35" s="456"/>
      <c r="AA35" s="11">
        <f t="shared" si="2"/>
        <v>-201.05263157894888</v>
      </c>
      <c r="AB35" s="339">
        <f t="shared" si="57"/>
        <v>0.91622807017543795</v>
      </c>
      <c r="AC35" s="470"/>
    </row>
    <row r="36" spans="1:29">
      <c r="A36" s="486" t="s">
        <v>158</v>
      </c>
      <c r="B36" s="26" t="s">
        <v>24</v>
      </c>
      <c r="C36" s="487" t="s">
        <v>30</v>
      </c>
      <c r="D36" s="487"/>
      <c r="E36" s="26">
        <v>26.39</v>
      </c>
      <c r="F36" s="347">
        <v>3617</v>
      </c>
      <c r="G36" s="337">
        <f t="shared" si="49"/>
        <v>95452.63</v>
      </c>
      <c r="H36" s="76" t="s">
        <v>57</v>
      </c>
      <c r="I36" s="345">
        <v>19</v>
      </c>
      <c r="J36" s="18">
        <v>2400</v>
      </c>
      <c r="K36" s="9">
        <f t="shared" si="54"/>
        <v>126.31578947368421</v>
      </c>
      <c r="L36" s="345">
        <v>19</v>
      </c>
      <c r="M36" s="10">
        <f t="shared" si="55"/>
        <v>2192.1212121212125</v>
      </c>
      <c r="N36" s="9">
        <f t="shared" si="56"/>
        <v>115.37480063795856</v>
      </c>
      <c r="O36" s="11">
        <f t="shared" si="50"/>
        <v>0</v>
      </c>
      <c r="P36" s="12">
        <f t="shared" si="51"/>
        <v>-10.940988835725648</v>
      </c>
      <c r="Q36" s="339">
        <f t="shared" si="52"/>
        <v>0.91338383838383863</v>
      </c>
      <c r="R36" s="470"/>
      <c r="S36" s="24">
        <v>0.30833333333333335</v>
      </c>
      <c r="T36" s="24">
        <v>0.37708333333333333</v>
      </c>
      <c r="U36" s="337">
        <f t="shared" si="58"/>
        <v>7.9999999999999716</v>
      </c>
      <c r="V36" s="346">
        <f t="shared" si="53"/>
        <v>98.999999999999972</v>
      </c>
      <c r="W36" s="14"/>
      <c r="X36" s="14"/>
      <c r="Y36" s="456"/>
      <c r="Z36" s="456"/>
      <c r="AA36" s="11">
        <f t="shared" si="2"/>
        <v>-207.87878787878753</v>
      </c>
      <c r="AB36" s="339">
        <f t="shared" si="57"/>
        <v>0.91338383838383852</v>
      </c>
      <c r="AC36" s="470"/>
    </row>
    <row r="37" spans="1:29">
      <c r="A37" s="486" t="s">
        <v>158</v>
      </c>
      <c r="B37" s="26" t="s">
        <v>24</v>
      </c>
      <c r="C37" s="487" t="s">
        <v>27</v>
      </c>
      <c r="D37" s="487"/>
      <c r="E37" s="26">
        <v>20.52</v>
      </c>
      <c r="F37" s="347">
        <v>2454</v>
      </c>
      <c r="G37" s="337">
        <f t="shared" si="49"/>
        <v>50356.08</v>
      </c>
      <c r="H37" s="76" t="s">
        <v>57</v>
      </c>
      <c r="I37" s="345">
        <v>18</v>
      </c>
      <c r="J37" s="18">
        <v>2400</v>
      </c>
      <c r="K37" s="9">
        <f t="shared" si="54"/>
        <v>133.33333333333334</v>
      </c>
      <c r="L37" s="345">
        <v>18</v>
      </c>
      <c r="M37" s="10">
        <f t="shared" si="55"/>
        <v>2197.6119402985073</v>
      </c>
      <c r="N37" s="9">
        <f t="shared" si="56"/>
        <v>122.08955223880596</v>
      </c>
      <c r="O37" s="11">
        <f t="shared" si="50"/>
        <v>0</v>
      </c>
      <c r="P37" s="12">
        <f t="shared" si="51"/>
        <v>-11.243781094527378</v>
      </c>
      <c r="Q37" s="339">
        <f t="shared" si="52"/>
        <v>0.91567164179104465</v>
      </c>
      <c r="R37" s="470"/>
      <c r="S37" s="24">
        <v>0.38194444444444442</v>
      </c>
      <c r="T37" s="24">
        <v>0.4284722222222222</v>
      </c>
      <c r="U37" s="337">
        <f t="shared" si="58"/>
        <v>6.9999999999999751</v>
      </c>
      <c r="V37" s="346">
        <f t="shared" si="53"/>
        <v>67</v>
      </c>
      <c r="W37" s="14"/>
      <c r="X37" s="14"/>
      <c r="Y37" s="456"/>
      <c r="Z37" s="456"/>
      <c r="AA37" s="11">
        <f t="shared" si="2"/>
        <v>-202.38805970149269</v>
      </c>
      <c r="AB37" s="339">
        <f t="shared" si="57"/>
        <v>0.91567164179104477</v>
      </c>
      <c r="AC37" s="470"/>
    </row>
    <row r="38" spans="1:29">
      <c r="A38" s="486" t="s">
        <v>158</v>
      </c>
      <c r="B38" s="26" t="s">
        <v>24</v>
      </c>
      <c r="C38" s="487" t="s">
        <v>55</v>
      </c>
      <c r="D38" s="487"/>
      <c r="E38" s="26">
        <v>26.2</v>
      </c>
      <c r="F38" s="347">
        <v>2918</v>
      </c>
      <c r="G38" s="337">
        <f t="shared" si="49"/>
        <v>76451.599999999991</v>
      </c>
      <c r="H38" s="76" t="s">
        <v>57</v>
      </c>
      <c r="I38" s="345">
        <v>19</v>
      </c>
      <c r="J38" s="18">
        <v>2400</v>
      </c>
      <c r="K38" s="9">
        <f t="shared" si="54"/>
        <v>126.31578947368421</v>
      </c>
      <c r="L38" s="345">
        <v>19</v>
      </c>
      <c r="M38" s="10">
        <f t="shared" si="55"/>
        <v>2188.5000000000014</v>
      </c>
      <c r="N38" s="9">
        <f t="shared" si="56"/>
        <v>115.18421052631587</v>
      </c>
      <c r="O38" s="11">
        <f t="shared" si="50"/>
        <v>0</v>
      </c>
      <c r="P38" s="12">
        <f t="shared" si="51"/>
        <v>-11.13157894736834</v>
      </c>
      <c r="Q38" s="339">
        <f t="shared" si="52"/>
        <v>0.91187500000000066</v>
      </c>
      <c r="R38" s="470"/>
      <c r="S38" s="24">
        <v>0.43194444444444441</v>
      </c>
      <c r="T38" s="24">
        <v>0.48749999999999993</v>
      </c>
      <c r="U38" s="337">
        <f t="shared" si="58"/>
        <v>4.9999999999999822</v>
      </c>
      <c r="V38" s="346">
        <f t="shared" si="53"/>
        <v>79.999999999999957</v>
      </c>
      <c r="W38" s="14"/>
      <c r="X38" s="14"/>
      <c r="Y38" s="456"/>
      <c r="Z38" s="456"/>
      <c r="AA38" s="11">
        <f t="shared" si="2"/>
        <v>-211.49999999999864</v>
      </c>
      <c r="AB38" s="339">
        <f t="shared" si="57"/>
        <v>0.91187500000000055</v>
      </c>
      <c r="AC38" s="470"/>
    </row>
    <row r="39" spans="1:29">
      <c r="A39" s="486" t="s">
        <v>158</v>
      </c>
      <c r="B39" s="16" t="s">
        <v>154</v>
      </c>
      <c r="C39" s="466"/>
      <c r="D39" s="466"/>
      <c r="E39" s="338"/>
      <c r="F39" s="16"/>
      <c r="G39" s="9"/>
      <c r="H39" s="347"/>
      <c r="I39" s="17">
        <v>19</v>
      </c>
      <c r="J39" s="18">
        <v>2400</v>
      </c>
      <c r="K39" s="9">
        <f t="shared" si="54"/>
        <v>126.31578947368421</v>
      </c>
      <c r="L39" s="17">
        <v>19</v>
      </c>
      <c r="M39" s="10">
        <f>AVERAGE(M33:M38)</f>
        <v>2195.341868415991</v>
      </c>
      <c r="N39" s="9">
        <f>M39/L39</f>
        <v>115.54430886399953</v>
      </c>
      <c r="O39" s="11">
        <f>L39-I39</f>
        <v>0</v>
      </c>
      <c r="P39" s="12">
        <f t="shared" si="51"/>
        <v>-10.771480609684673</v>
      </c>
      <c r="Q39" s="339">
        <f t="shared" si="52"/>
        <v>0.91472577850666303</v>
      </c>
      <c r="R39" s="470"/>
      <c r="S39" s="24"/>
      <c r="T39" s="24"/>
      <c r="U39" s="9"/>
      <c r="V39" s="346"/>
      <c r="W39" s="9"/>
      <c r="X39" s="9"/>
      <c r="Y39" s="456"/>
      <c r="Z39" s="456"/>
      <c r="AA39" s="11">
        <f t="shared" si="2"/>
        <v>-204.65813158400897</v>
      </c>
      <c r="AB39" s="339">
        <f t="shared" si="57"/>
        <v>0.91472577850666292</v>
      </c>
      <c r="AC39" s="470"/>
    </row>
    <row r="40" spans="1:29" ht="15.75" customHeight="1">
      <c r="A40" s="488" t="s">
        <v>381</v>
      </c>
      <c r="B40" s="26" t="s">
        <v>33</v>
      </c>
      <c r="C40" s="491" t="s">
        <v>34</v>
      </c>
      <c r="D40" s="492"/>
      <c r="E40" s="26">
        <v>27.17</v>
      </c>
      <c r="F40" s="347">
        <v>4522</v>
      </c>
      <c r="G40" s="337">
        <f t="shared" ref="G40:G45" si="59">E40*F40</f>
        <v>122862.74</v>
      </c>
      <c r="H40" s="76" t="s">
        <v>57</v>
      </c>
      <c r="I40" s="345">
        <v>10</v>
      </c>
      <c r="J40" s="18">
        <v>3000</v>
      </c>
      <c r="K40" s="9">
        <f t="shared" si="54"/>
        <v>300</v>
      </c>
      <c r="L40" s="345">
        <v>10</v>
      </c>
      <c r="M40" s="10">
        <f t="shared" ref="M40:M41" si="60">F40/V40*60</f>
        <v>2740.6060606060601</v>
      </c>
      <c r="N40" s="10">
        <f t="shared" ref="N40:N46" si="61">M40/L40</f>
        <v>274.06060606060601</v>
      </c>
      <c r="O40" s="11">
        <f t="shared" ref="O40:O46" si="62">L40-I40</f>
        <v>0</v>
      </c>
      <c r="P40" s="12">
        <f t="shared" si="51"/>
        <v>-25.939393939393995</v>
      </c>
      <c r="Q40" s="339">
        <f t="shared" si="52"/>
        <v>0.91353535353535331</v>
      </c>
      <c r="R40" s="493">
        <f>Q46</f>
        <v>0.91687054707938864</v>
      </c>
      <c r="S40" s="24">
        <v>0.20833333333333334</v>
      </c>
      <c r="T40" s="24">
        <v>0.27708333333333335</v>
      </c>
      <c r="U40" s="15"/>
      <c r="V40" s="346">
        <f t="shared" ref="V40:V45" si="63">(T40-S40)*24*60</f>
        <v>99.000000000000014</v>
      </c>
      <c r="W40" s="337"/>
      <c r="X40" s="337"/>
      <c r="Y40" s="473"/>
      <c r="Z40" s="474"/>
      <c r="AA40" s="11">
        <f t="shared" si="2"/>
        <v>-259.39393939393995</v>
      </c>
      <c r="AB40" s="339">
        <f t="shared" si="57"/>
        <v>0.91353535353535331</v>
      </c>
      <c r="AC40" s="493">
        <f>AB46</f>
        <v>0.91687054707938853</v>
      </c>
    </row>
    <row r="41" spans="1:29" ht="15.75" customHeight="1">
      <c r="A41" s="489" t="s">
        <v>9</v>
      </c>
      <c r="B41" s="26" t="s">
        <v>33</v>
      </c>
      <c r="C41" s="491" t="s">
        <v>35</v>
      </c>
      <c r="D41" s="492"/>
      <c r="E41" s="26">
        <v>21.13</v>
      </c>
      <c r="F41" s="347">
        <v>3756</v>
      </c>
      <c r="G41" s="337">
        <f t="shared" si="59"/>
        <v>79364.28</v>
      </c>
      <c r="H41" s="76" t="s">
        <v>57</v>
      </c>
      <c r="I41" s="345">
        <v>10</v>
      </c>
      <c r="J41" s="18">
        <v>3000</v>
      </c>
      <c r="K41" s="9">
        <f t="shared" si="54"/>
        <v>300</v>
      </c>
      <c r="L41" s="345">
        <v>10</v>
      </c>
      <c r="M41" s="10">
        <f t="shared" si="60"/>
        <v>2748.2926829268285</v>
      </c>
      <c r="N41" s="10">
        <f t="shared" si="61"/>
        <v>274.82926829268285</v>
      </c>
      <c r="O41" s="11">
        <f t="shared" si="62"/>
        <v>0</v>
      </c>
      <c r="P41" s="12">
        <f t="shared" si="51"/>
        <v>-25.170731707317145</v>
      </c>
      <c r="Q41" s="339">
        <f t="shared" si="52"/>
        <v>0.91609756097560957</v>
      </c>
      <c r="R41" s="494"/>
      <c r="S41" s="24">
        <v>0.28125</v>
      </c>
      <c r="T41" s="24">
        <v>0.33819444444444446</v>
      </c>
      <c r="U41" s="337">
        <f>(S41-T40)*24*60</f>
        <v>5.9999999999999787</v>
      </c>
      <c r="V41" s="346">
        <f t="shared" si="63"/>
        <v>82.000000000000028</v>
      </c>
      <c r="W41" s="14"/>
      <c r="X41" s="14"/>
      <c r="Y41" s="473"/>
      <c r="Z41" s="474"/>
      <c r="AA41" s="11">
        <f t="shared" si="2"/>
        <v>-251.70731707317145</v>
      </c>
      <c r="AB41" s="339">
        <f t="shared" si="57"/>
        <v>0.91609756097560957</v>
      </c>
      <c r="AC41" s="494"/>
    </row>
    <row r="42" spans="1:29" ht="15.75" customHeight="1">
      <c r="A42" s="489" t="s">
        <v>9</v>
      </c>
      <c r="B42" s="26" t="s">
        <v>33</v>
      </c>
      <c r="C42" s="491" t="s">
        <v>43</v>
      </c>
      <c r="D42" s="492"/>
      <c r="E42" s="26">
        <v>35.119999999999997</v>
      </c>
      <c r="F42" s="347">
        <v>3512</v>
      </c>
      <c r="G42" s="337">
        <f t="shared" si="59"/>
        <v>123341.43999999999</v>
      </c>
      <c r="H42" s="76" t="s">
        <v>57</v>
      </c>
      <c r="I42" s="345">
        <v>10</v>
      </c>
      <c r="J42" s="18">
        <v>3000</v>
      </c>
      <c r="K42" s="9">
        <f t="shared" si="54"/>
        <v>300</v>
      </c>
      <c r="L42" s="345">
        <v>10</v>
      </c>
      <c r="M42" s="10">
        <f>F42/V42*60</f>
        <v>2736.623376623375</v>
      </c>
      <c r="N42" s="10">
        <f t="shared" si="61"/>
        <v>273.66233766233751</v>
      </c>
      <c r="O42" s="11">
        <f t="shared" si="62"/>
        <v>0</v>
      </c>
      <c r="P42" s="12">
        <f t="shared" si="51"/>
        <v>-26.337662337662493</v>
      </c>
      <c r="Q42" s="339">
        <f t="shared" si="52"/>
        <v>0.91220779220779169</v>
      </c>
      <c r="R42" s="494"/>
      <c r="S42" s="24">
        <v>0.34236111111111112</v>
      </c>
      <c r="T42" s="24">
        <v>0.39583333333333337</v>
      </c>
      <c r="U42" s="337">
        <f t="shared" ref="U42:U45" si="64">(S42-T41)*24*60</f>
        <v>5.9999999999999787</v>
      </c>
      <c r="V42" s="346">
        <f t="shared" si="63"/>
        <v>77.000000000000043</v>
      </c>
      <c r="W42" s="14"/>
      <c r="X42" s="14"/>
      <c r="Y42" s="473"/>
      <c r="Z42" s="474"/>
      <c r="AA42" s="11">
        <f t="shared" si="2"/>
        <v>-263.37662337662505</v>
      </c>
      <c r="AB42" s="339">
        <f t="shared" si="57"/>
        <v>0.91220779220779169</v>
      </c>
      <c r="AC42" s="494"/>
    </row>
    <row r="43" spans="1:29" ht="15.75" customHeight="1">
      <c r="A43" s="489" t="s">
        <v>9</v>
      </c>
      <c r="B43" s="26" t="s">
        <v>33</v>
      </c>
      <c r="C43" s="491" t="s">
        <v>67</v>
      </c>
      <c r="D43" s="492"/>
      <c r="E43" s="26">
        <v>40.18</v>
      </c>
      <c r="F43" s="347">
        <v>2011</v>
      </c>
      <c r="G43" s="337">
        <f t="shared" si="59"/>
        <v>80801.98</v>
      </c>
      <c r="H43" s="76" t="s">
        <v>57</v>
      </c>
      <c r="I43" s="345">
        <v>10</v>
      </c>
      <c r="J43" s="18">
        <v>3000</v>
      </c>
      <c r="K43" s="9">
        <f t="shared" si="54"/>
        <v>300</v>
      </c>
      <c r="L43" s="345">
        <v>10</v>
      </c>
      <c r="M43" s="10">
        <f t="shared" ref="M43:M45" si="65">F43/V43*60</f>
        <v>2742.272727272727</v>
      </c>
      <c r="N43" s="10">
        <f t="shared" si="61"/>
        <v>274.22727272727269</v>
      </c>
      <c r="O43" s="11">
        <f t="shared" si="62"/>
        <v>0</v>
      </c>
      <c r="P43" s="12">
        <f t="shared" si="51"/>
        <v>-25.772727272727309</v>
      </c>
      <c r="Q43" s="339">
        <f t="shared" si="52"/>
        <v>0.91409090909090895</v>
      </c>
      <c r="R43" s="494"/>
      <c r="S43" s="24">
        <v>0.39930555555555558</v>
      </c>
      <c r="T43" s="24">
        <v>0.42986111111111114</v>
      </c>
      <c r="U43" s="337">
        <f t="shared" si="64"/>
        <v>4.9999999999999822</v>
      </c>
      <c r="V43" s="346">
        <f t="shared" si="63"/>
        <v>44</v>
      </c>
      <c r="W43" s="14"/>
      <c r="X43" s="14"/>
      <c r="Y43" s="473"/>
      <c r="Z43" s="474"/>
      <c r="AA43" s="11">
        <f t="shared" si="2"/>
        <v>-257.72727272727298</v>
      </c>
      <c r="AB43" s="339">
        <f t="shared" si="57"/>
        <v>0.91409090909090895</v>
      </c>
      <c r="AC43" s="494"/>
    </row>
    <row r="44" spans="1:29" ht="15.75" customHeight="1">
      <c r="A44" s="489" t="s">
        <v>9</v>
      </c>
      <c r="B44" s="26" t="s">
        <v>33</v>
      </c>
      <c r="C44" s="491" t="s">
        <v>73</v>
      </c>
      <c r="D44" s="492"/>
      <c r="E44" s="26">
        <v>28.5</v>
      </c>
      <c r="F44" s="347">
        <v>1402</v>
      </c>
      <c r="G44" s="337">
        <f t="shared" si="59"/>
        <v>39957</v>
      </c>
      <c r="H44" s="76" t="s">
        <v>57</v>
      </c>
      <c r="I44" s="345">
        <v>10</v>
      </c>
      <c r="J44" s="18">
        <v>3000</v>
      </c>
      <c r="K44" s="9">
        <f t="shared" si="54"/>
        <v>300</v>
      </c>
      <c r="L44" s="345">
        <v>10</v>
      </c>
      <c r="M44" s="10">
        <f t="shared" si="65"/>
        <v>2804.0000000000027</v>
      </c>
      <c r="N44" s="10">
        <f t="shared" si="61"/>
        <v>280.40000000000026</v>
      </c>
      <c r="O44" s="11">
        <f t="shared" si="62"/>
        <v>0</v>
      </c>
      <c r="P44" s="12">
        <f t="shared" si="51"/>
        <v>-19.599999999999739</v>
      </c>
      <c r="Q44" s="339">
        <f>N44/K44</f>
        <v>0.93466666666666753</v>
      </c>
      <c r="R44" s="494"/>
      <c r="S44" s="24">
        <v>0.43333333333333335</v>
      </c>
      <c r="T44" s="24">
        <v>0.45416666666666666</v>
      </c>
      <c r="U44" s="337">
        <f t="shared" si="64"/>
        <v>4.9999999999999822</v>
      </c>
      <c r="V44" s="346">
        <f t="shared" si="63"/>
        <v>29.999999999999972</v>
      </c>
      <c r="W44" s="14"/>
      <c r="X44" s="14"/>
      <c r="Y44" s="473"/>
      <c r="Z44" s="474"/>
      <c r="AA44" s="11">
        <f t="shared" si="2"/>
        <v>-195.99999999999727</v>
      </c>
      <c r="AB44" s="339">
        <f t="shared" si="57"/>
        <v>0.93466666666666753</v>
      </c>
      <c r="AC44" s="494"/>
    </row>
    <row r="45" spans="1:29" ht="15.75" customHeight="1">
      <c r="A45" s="489" t="s">
        <v>9</v>
      </c>
      <c r="B45" s="26" t="s">
        <v>33</v>
      </c>
      <c r="C45" s="491" t="s">
        <v>511</v>
      </c>
      <c r="D45" s="492"/>
      <c r="E45" s="26">
        <v>35.869999999999997</v>
      </c>
      <c r="F45" s="347">
        <v>2914</v>
      </c>
      <c r="G45" s="337">
        <f t="shared" si="59"/>
        <v>104525.18</v>
      </c>
      <c r="H45" s="76" t="s">
        <v>57</v>
      </c>
      <c r="I45" s="345">
        <v>10</v>
      </c>
      <c r="J45" s="18">
        <v>3000</v>
      </c>
      <c r="K45" s="9">
        <f t="shared" si="54"/>
        <v>300</v>
      </c>
      <c r="L45" s="345">
        <v>10</v>
      </c>
      <c r="M45" s="10">
        <f t="shared" si="65"/>
        <v>2731.8749999999995</v>
      </c>
      <c r="N45" s="10">
        <f t="shared" si="61"/>
        <v>273.18749999999994</v>
      </c>
      <c r="O45" s="11">
        <f t="shared" si="62"/>
        <v>0</v>
      </c>
      <c r="P45" s="12">
        <f t="shared" si="51"/>
        <v>-26.812500000000057</v>
      </c>
      <c r="Q45" s="339">
        <f t="shared" ref="Q45:Q46" si="66">N45/K45</f>
        <v>0.9106249999999998</v>
      </c>
      <c r="R45" s="494"/>
      <c r="S45" s="24">
        <v>0.45763888888888887</v>
      </c>
      <c r="T45" s="24">
        <v>0.50208333333333333</v>
      </c>
      <c r="U45" s="337">
        <f t="shared" si="64"/>
        <v>4.9999999999999822</v>
      </c>
      <c r="V45" s="346">
        <f t="shared" si="63"/>
        <v>64.000000000000014</v>
      </c>
      <c r="W45" s="14"/>
      <c r="X45" s="14"/>
      <c r="Y45" s="473"/>
      <c r="Z45" s="474"/>
      <c r="AA45" s="11">
        <f t="shared" si="2"/>
        <v>-268.12500000000045</v>
      </c>
      <c r="AB45" s="339">
        <f t="shared" si="57"/>
        <v>0.9106249999999998</v>
      </c>
      <c r="AC45" s="494"/>
    </row>
    <row r="46" spans="1:29" ht="15.75" customHeight="1">
      <c r="A46" s="490" t="s">
        <v>9</v>
      </c>
      <c r="B46" s="26" t="s">
        <v>154</v>
      </c>
      <c r="C46" s="497"/>
      <c r="D46" s="498"/>
      <c r="E46" s="344"/>
      <c r="F46" s="347"/>
      <c r="G46" s="337"/>
      <c r="H46" s="347"/>
      <c r="I46" s="17">
        <v>10</v>
      </c>
      <c r="J46" s="18">
        <v>3000</v>
      </c>
      <c r="K46" s="9">
        <f>J46/I46</f>
        <v>300</v>
      </c>
      <c r="L46" s="17">
        <v>10</v>
      </c>
      <c r="M46" s="10">
        <f>AVERAGE(M40:M45)</f>
        <v>2750.6116412381657</v>
      </c>
      <c r="N46" s="9">
        <f t="shared" si="61"/>
        <v>275.06116412381658</v>
      </c>
      <c r="O46" s="11">
        <f t="shared" si="62"/>
        <v>0</v>
      </c>
      <c r="P46" s="12">
        <f t="shared" si="51"/>
        <v>-24.938835876183418</v>
      </c>
      <c r="Q46" s="339">
        <f t="shared" si="66"/>
        <v>0.91687054707938864</v>
      </c>
      <c r="R46" s="495"/>
      <c r="S46" s="24"/>
      <c r="T46" s="24"/>
      <c r="U46" s="337"/>
      <c r="V46" s="346"/>
      <c r="W46" s="14"/>
      <c r="X46" s="14"/>
      <c r="Y46" s="473"/>
      <c r="Z46" s="474"/>
      <c r="AA46" s="11">
        <f t="shared" si="2"/>
        <v>-249.3883587618343</v>
      </c>
      <c r="AB46" s="339">
        <f t="shared" si="57"/>
        <v>0.91687054707938853</v>
      </c>
      <c r="AC46" s="495"/>
    </row>
    <row r="47" spans="1:29" ht="15.75" customHeight="1">
      <c r="A47" s="461" t="s">
        <v>125</v>
      </c>
      <c r="B47" s="26" t="s">
        <v>15</v>
      </c>
      <c r="C47" s="487" t="s">
        <v>20</v>
      </c>
      <c r="D47" s="487"/>
      <c r="E47" s="26">
        <v>46</v>
      </c>
      <c r="F47" s="27">
        <v>2492</v>
      </c>
      <c r="G47" s="337">
        <f t="shared" ref="G47:G50" si="67">E47*F47</f>
        <v>114632</v>
      </c>
      <c r="H47" s="76" t="s">
        <v>57</v>
      </c>
      <c r="I47" s="345">
        <v>17</v>
      </c>
      <c r="J47" s="18">
        <v>1500</v>
      </c>
      <c r="K47" s="9">
        <f t="shared" ref="K47:K50" si="68">J47/I47</f>
        <v>88.235294117647058</v>
      </c>
      <c r="L47" s="345">
        <v>17</v>
      </c>
      <c r="M47" s="10">
        <f t="shared" ref="M47:M50" si="69">F47/V47*60</f>
        <v>1371.7431192660547</v>
      </c>
      <c r="N47" s="10">
        <f>M47/L47</f>
        <v>80.690771721532627</v>
      </c>
      <c r="O47" s="11">
        <f>L47-I47</f>
        <v>0</v>
      </c>
      <c r="P47" s="12">
        <f>N47-K47</f>
        <v>-7.5445223961144308</v>
      </c>
      <c r="Q47" s="339">
        <f>N47/K47</f>
        <v>0.91449541284403646</v>
      </c>
      <c r="R47" s="470">
        <f>Q51</f>
        <v>0.9131282131793198</v>
      </c>
      <c r="S47" s="24">
        <v>0.29166666666666669</v>
      </c>
      <c r="T47" s="24">
        <v>0.36736111111111114</v>
      </c>
      <c r="U47" s="15"/>
      <c r="V47" s="346">
        <f t="shared" ref="V47:V50" si="70">(T47-S47)*24*60</f>
        <v>109.00000000000001</v>
      </c>
      <c r="W47" s="15"/>
      <c r="X47" s="15"/>
      <c r="Y47" s="456"/>
      <c r="Z47" s="456"/>
      <c r="AA47" s="11">
        <f t="shared" si="2"/>
        <v>-128.25688073394531</v>
      </c>
      <c r="AB47" s="339">
        <f t="shared" si="57"/>
        <v>0.91449541284403646</v>
      </c>
      <c r="AC47" s="470">
        <f>AB51</f>
        <v>0.91312821317931991</v>
      </c>
    </row>
    <row r="48" spans="1:29" ht="15.75" customHeight="1">
      <c r="A48" s="461" t="s">
        <v>10</v>
      </c>
      <c r="B48" s="26" t="s">
        <v>15</v>
      </c>
      <c r="C48" s="487" t="s">
        <v>75</v>
      </c>
      <c r="D48" s="487"/>
      <c r="E48" s="26">
        <v>46</v>
      </c>
      <c r="F48" s="27">
        <v>2986</v>
      </c>
      <c r="G48" s="337">
        <f t="shared" si="67"/>
        <v>137356</v>
      </c>
      <c r="H48" s="76" t="s">
        <v>57</v>
      </c>
      <c r="I48" s="345">
        <v>18</v>
      </c>
      <c r="J48" s="18">
        <v>1500</v>
      </c>
      <c r="K48" s="9">
        <f t="shared" si="68"/>
        <v>83.333333333333329</v>
      </c>
      <c r="L48" s="345">
        <v>18</v>
      </c>
      <c r="M48" s="10">
        <f t="shared" si="69"/>
        <v>1367.6335877862596</v>
      </c>
      <c r="N48" s="10">
        <f t="shared" ref="N48:N50" si="71">M48/L48</f>
        <v>75.979643765903305</v>
      </c>
      <c r="O48" s="11">
        <f t="shared" ref="O48:O50" si="72">L48-I48</f>
        <v>0</v>
      </c>
      <c r="P48" s="12">
        <f t="shared" ref="P48:P50" si="73">N48-K48</f>
        <v>-7.353689567430024</v>
      </c>
      <c r="Q48" s="339">
        <f t="shared" ref="Q48:Q50" si="74">N48/K48</f>
        <v>0.91175572519083969</v>
      </c>
      <c r="R48" s="470"/>
      <c r="S48" s="24">
        <v>0.37291666666666667</v>
      </c>
      <c r="T48" s="24">
        <v>0.46388888888888891</v>
      </c>
      <c r="U48" s="337">
        <f t="shared" ref="U48:U50" si="75">(S48-T47)*24*60</f>
        <v>7.9999999999999716</v>
      </c>
      <c r="V48" s="346">
        <f t="shared" si="70"/>
        <v>131</v>
      </c>
      <c r="W48" s="14"/>
      <c r="X48" s="14"/>
      <c r="Y48" s="456"/>
      <c r="Z48" s="456"/>
      <c r="AA48" s="11">
        <f t="shared" si="2"/>
        <v>-132.36641221374043</v>
      </c>
      <c r="AB48" s="339">
        <f t="shared" si="57"/>
        <v>0.91175572519083969</v>
      </c>
      <c r="AC48" s="470"/>
    </row>
    <row r="49" spans="1:29" ht="15.75" customHeight="1">
      <c r="A49" s="461" t="s">
        <v>10</v>
      </c>
      <c r="B49" s="26" t="s">
        <v>13</v>
      </c>
      <c r="C49" s="491" t="s">
        <v>65</v>
      </c>
      <c r="D49" s="492"/>
      <c r="E49" s="26">
        <v>55.56</v>
      </c>
      <c r="F49" s="27">
        <v>1969</v>
      </c>
      <c r="G49" s="337">
        <f t="shared" si="67"/>
        <v>109397.64</v>
      </c>
      <c r="H49" s="76" t="s">
        <v>57</v>
      </c>
      <c r="I49" s="345">
        <v>17</v>
      </c>
      <c r="J49" s="18">
        <v>1500</v>
      </c>
      <c r="K49" s="9">
        <f t="shared" si="68"/>
        <v>88.235294117647058</v>
      </c>
      <c r="L49" s="345">
        <v>17</v>
      </c>
      <c r="M49" s="10">
        <f t="shared" si="69"/>
        <v>1373.7209302325577</v>
      </c>
      <c r="N49" s="10">
        <f t="shared" si="71"/>
        <v>80.807113543091631</v>
      </c>
      <c r="O49" s="11">
        <f t="shared" si="72"/>
        <v>0</v>
      </c>
      <c r="P49" s="12">
        <f t="shared" si="73"/>
        <v>-7.4281805745554266</v>
      </c>
      <c r="Q49" s="339">
        <f t="shared" si="74"/>
        <v>0.9158139534883718</v>
      </c>
      <c r="R49" s="470"/>
      <c r="S49" s="24">
        <v>0.70833333333333337</v>
      </c>
      <c r="T49" s="24">
        <v>0.7680555555555556</v>
      </c>
      <c r="U49" s="337">
        <f t="shared" si="75"/>
        <v>352</v>
      </c>
      <c r="V49" s="346">
        <f t="shared" si="70"/>
        <v>86.000000000000014</v>
      </c>
      <c r="W49" s="14"/>
      <c r="X49" s="14"/>
      <c r="Y49" s="342"/>
      <c r="Z49" s="343"/>
      <c r="AA49" s="11">
        <f t="shared" si="2"/>
        <v>-126.27906976744225</v>
      </c>
      <c r="AB49" s="339">
        <f t="shared" si="57"/>
        <v>0.9158139534883718</v>
      </c>
      <c r="AC49" s="470"/>
    </row>
    <row r="50" spans="1:29" ht="15.75" customHeight="1">
      <c r="A50" s="461" t="s">
        <v>10</v>
      </c>
      <c r="B50" s="26" t="s">
        <v>13</v>
      </c>
      <c r="C50" s="340" t="s">
        <v>64</v>
      </c>
      <c r="D50" s="341"/>
      <c r="E50" s="26">
        <v>55.32</v>
      </c>
      <c r="F50" s="27">
        <v>1525</v>
      </c>
      <c r="G50" s="337">
        <f t="shared" si="67"/>
        <v>84363</v>
      </c>
      <c r="H50" s="76" t="s">
        <v>57</v>
      </c>
      <c r="I50" s="345">
        <v>15</v>
      </c>
      <c r="J50" s="18">
        <v>1500</v>
      </c>
      <c r="K50" s="9">
        <f t="shared" si="68"/>
        <v>100</v>
      </c>
      <c r="L50" s="345">
        <v>15</v>
      </c>
      <c r="M50" s="10">
        <f t="shared" si="69"/>
        <v>1365.6716417910463</v>
      </c>
      <c r="N50" s="10">
        <f t="shared" si="71"/>
        <v>91.044776119403096</v>
      </c>
      <c r="O50" s="11">
        <f t="shared" si="72"/>
        <v>0</v>
      </c>
      <c r="P50" s="12">
        <f t="shared" si="73"/>
        <v>-8.955223880596904</v>
      </c>
      <c r="Q50" s="339">
        <f t="shared" si="74"/>
        <v>0.91044776119403092</v>
      </c>
      <c r="R50" s="470"/>
      <c r="S50" s="24">
        <v>0.77152777777777781</v>
      </c>
      <c r="T50" s="24">
        <v>0.81805555555555554</v>
      </c>
      <c r="U50" s="337">
        <f t="shared" si="75"/>
        <v>4.9999999999999822</v>
      </c>
      <c r="V50" s="346">
        <f t="shared" si="70"/>
        <v>66.999999999999915</v>
      </c>
      <c r="W50" s="14"/>
      <c r="X50" s="14"/>
      <c r="Y50" s="342"/>
      <c r="Z50" s="343"/>
      <c r="AA50" s="11">
        <f t="shared" si="2"/>
        <v>-134.32835820895366</v>
      </c>
      <c r="AB50" s="339">
        <f t="shared" si="57"/>
        <v>0.91044776119403092</v>
      </c>
      <c r="AC50" s="470"/>
    </row>
    <row r="51" spans="1:29">
      <c r="A51" s="496" t="s">
        <v>10</v>
      </c>
      <c r="B51" s="26" t="s">
        <v>154</v>
      </c>
      <c r="C51" s="466"/>
      <c r="D51" s="466"/>
      <c r="E51" s="338"/>
      <c r="F51" s="16"/>
      <c r="G51" s="9"/>
      <c r="H51" s="347"/>
      <c r="I51" s="17">
        <v>16.75</v>
      </c>
      <c r="J51" s="18">
        <v>1500</v>
      </c>
      <c r="K51" s="9">
        <f>J51/I51</f>
        <v>89.552238805970148</v>
      </c>
      <c r="L51" s="17">
        <v>16.75</v>
      </c>
      <c r="M51" s="10">
        <f>AVERAGE(M47:M50)</f>
        <v>1369.6923197689798</v>
      </c>
      <c r="N51" s="9">
        <f>M51/L51</f>
        <v>81.772675807103269</v>
      </c>
      <c r="O51" s="11">
        <f>L51-I51</f>
        <v>0</v>
      </c>
      <c r="P51" s="12">
        <f>N51-K51</f>
        <v>-7.7795629988668793</v>
      </c>
      <c r="Q51" s="339">
        <f>N51/K51</f>
        <v>0.9131282131793198</v>
      </c>
      <c r="R51" s="470"/>
      <c r="S51" s="25"/>
      <c r="T51" s="24"/>
      <c r="U51" s="9"/>
      <c r="V51" s="346"/>
      <c r="W51" s="9"/>
      <c r="X51" s="9"/>
      <c r="Y51" s="456"/>
      <c r="Z51" s="456"/>
      <c r="AA51" s="11">
        <f t="shared" si="2"/>
        <v>-130.30768023102019</v>
      </c>
      <c r="AB51" s="339">
        <f t="shared" si="57"/>
        <v>0.91312821317931991</v>
      </c>
      <c r="AC51" s="470"/>
    </row>
    <row r="52" spans="1:29" ht="15.75" customHeight="1">
      <c r="A52" s="499" t="s">
        <v>163</v>
      </c>
      <c r="B52" s="347" t="s">
        <v>33</v>
      </c>
      <c r="C52" s="487" t="s">
        <v>36</v>
      </c>
      <c r="D52" s="487"/>
      <c r="E52" s="26">
        <v>26.78</v>
      </c>
      <c r="F52" s="27">
        <v>2122</v>
      </c>
      <c r="G52" s="337">
        <f t="shared" ref="G52:G57" si="76">E52*F52</f>
        <v>56827.16</v>
      </c>
      <c r="H52" s="76" t="s">
        <v>57</v>
      </c>
      <c r="I52" s="345">
        <v>10</v>
      </c>
      <c r="J52" s="18">
        <v>3000</v>
      </c>
      <c r="K52" s="9">
        <f t="shared" ref="K52:K57" si="77">J52/I52</f>
        <v>300</v>
      </c>
      <c r="L52" s="17">
        <v>10</v>
      </c>
      <c r="M52" s="10">
        <f t="shared" ref="M52:M57" si="78">F52/V52*60</f>
        <v>2767.8260869565215</v>
      </c>
      <c r="N52" s="9">
        <f>M52/L52</f>
        <v>276.78260869565213</v>
      </c>
      <c r="O52" s="11">
        <f t="shared" ref="O52:O57" si="79">L52-I52</f>
        <v>0</v>
      </c>
      <c r="P52" s="12">
        <f t="shared" ref="P52:P57" si="80">N52-K52</f>
        <v>-23.217391304347871</v>
      </c>
      <c r="Q52" s="339">
        <f>N52/K52</f>
        <v>0.92260869565217374</v>
      </c>
      <c r="R52" s="470">
        <f>Q58</f>
        <v>0.91426125222809274</v>
      </c>
      <c r="S52" s="24">
        <v>0.20833333333333334</v>
      </c>
      <c r="T52" s="24">
        <v>0.24027777777777778</v>
      </c>
      <c r="U52" s="337"/>
      <c r="V52" s="346">
        <f t="shared" ref="V52:V57" si="81">(T52-S52)*24*60</f>
        <v>46</v>
      </c>
      <c r="W52" s="15"/>
      <c r="X52" s="15"/>
      <c r="Y52" s="456"/>
      <c r="Z52" s="456"/>
      <c r="AA52" s="11">
        <f t="shared" si="2"/>
        <v>-232.17391304347848</v>
      </c>
      <c r="AB52" s="339">
        <f t="shared" si="57"/>
        <v>0.92260869565217385</v>
      </c>
      <c r="AC52" s="470">
        <f>AB58</f>
        <v>0.91426125222809274</v>
      </c>
    </row>
    <row r="53" spans="1:29" ht="15.75" customHeight="1">
      <c r="A53" s="499" t="s">
        <v>11</v>
      </c>
      <c r="B53" s="347" t="s">
        <v>33</v>
      </c>
      <c r="C53" s="487" t="s">
        <v>42</v>
      </c>
      <c r="D53" s="487"/>
      <c r="E53" s="26">
        <v>35.369999999999997</v>
      </c>
      <c r="F53" s="27">
        <v>1323</v>
      </c>
      <c r="G53" s="337">
        <f t="shared" si="76"/>
        <v>46794.509999999995</v>
      </c>
      <c r="H53" s="76" t="s">
        <v>57</v>
      </c>
      <c r="I53" s="345">
        <v>10</v>
      </c>
      <c r="J53" s="18">
        <v>3000</v>
      </c>
      <c r="K53" s="9">
        <f t="shared" si="77"/>
        <v>300</v>
      </c>
      <c r="L53" s="17">
        <v>10</v>
      </c>
      <c r="M53" s="10">
        <f t="shared" si="78"/>
        <v>2737.2413793103433</v>
      </c>
      <c r="N53" s="9">
        <f t="shared" ref="N53:N57" si="82">M53/L53</f>
        <v>273.72413793103431</v>
      </c>
      <c r="O53" s="11">
        <f t="shared" si="79"/>
        <v>0</v>
      </c>
      <c r="P53" s="12">
        <f t="shared" si="80"/>
        <v>-26.275862068965694</v>
      </c>
      <c r="Q53" s="339">
        <f t="shared" ref="Q53:Q57" si="83">N53/K53</f>
        <v>0.91241379310344772</v>
      </c>
      <c r="R53" s="470"/>
      <c r="S53" s="24">
        <v>0.24374999999999999</v>
      </c>
      <c r="T53" s="24">
        <v>0.2638888888888889</v>
      </c>
      <c r="U53" s="337">
        <f>(S53-T52)*24*60</f>
        <v>4.9999999999999822</v>
      </c>
      <c r="V53" s="346">
        <f t="shared" si="81"/>
        <v>29.000000000000018</v>
      </c>
      <c r="W53" s="337"/>
      <c r="X53" s="337"/>
      <c r="Y53" s="456"/>
      <c r="Z53" s="456"/>
      <c r="AA53" s="11">
        <f t="shared" si="2"/>
        <v>-262.75862068965671</v>
      </c>
      <c r="AB53" s="339">
        <f t="shared" si="57"/>
        <v>0.91241379310344772</v>
      </c>
      <c r="AC53" s="470"/>
    </row>
    <row r="54" spans="1:29" ht="15.75" customHeight="1">
      <c r="A54" s="499" t="s">
        <v>11</v>
      </c>
      <c r="B54" s="347" t="s">
        <v>33</v>
      </c>
      <c r="C54" s="487" t="s">
        <v>41</v>
      </c>
      <c r="D54" s="487"/>
      <c r="E54" s="26">
        <v>34.35</v>
      </c>
      <c r="F54" s="27">
        <v>1150</v>
      </c>
      <c r="G54" s="337">
        <f t="shared" si="76"/>
        <v>39502.5</v>
      </c>
      <c r="H54" s="76" t="s">
        <v>57</v>
      </c>
      <c r="I54" s="345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2760.0000000000009</v>
      </c>
      <c r="N54" s="9">
        <f t="shared" si="82"/>
        <v>276.00000000000011</v>
      </c>
      <c r="O54" s="11">
        <f t="shared" si="79"/>
        <v>0</v>
      </c>
      <c r="P54" s="12">
        <f t="shared" si="80"/>
        <v>-23.999999999999886</v>
      </c>
      <c r="Q54" s="339">
        <f t="shared" si="83"/>
        <v>0.92000000000000037</v>
      </c>
      <c r="R54" s="470"/>
      <c r="S54" s="24">
        <v>0.26874999999999999</v>
      </c>
      <c r="T54" s="24">
        <v>0.28611111111111109</v>
      </c>
      <c r="U54" s="337">
        <f t="shared" ref="U54:U57" si="84">(S54-T53)*24*60</f>
        <v>6.9999999999999751</v>
      </c>
      <c r="V54" s="346">
        <f t="shared" si="81"/>
        <v>24.999999999999993</v>
      </c>
      <c r="W54" s="337"/>
      <c r="X54" s="337"/>
      <c r="Y54" s="456"/>
      <c r="Z54" s="456"/>
      <c r="AA54" s="11">
        <f t="shared" si="2"/>
        <v>-239.99999999999909</v>
      </c>
      <c r="AB54" s="339">
        <f t="shared" si="57"/>
        <v>0.92000000000000026</v>
      </c>
      <c r="AC54" s="470"/>
    </row>
    <row r="55" spans="1:29" ht="15.75" customHeight="1">
      <c r="A55" s="499" t="s">
        <v>11</v>
      </c>
      <c r="B55" s="347" t="s">
        <v>15</v>
      </c>
      <c r="C55" s="487" t="s">
        <v>39</v>
      </c>
      <c r="D55" s="487"/>
      <c r="E55" s="26">
        <v>26.97</v>
      </c>
      <c r="F55" s="27">
        <v>2771</v>
      </c>
      <c r="G55" s="337">
        <f t="shared" si="76"/>
        <v>74733.87</v>
      </c>
      <c r="H55" s="76" t="s">
        <v>57</v>
      </c>
      <c r="I55" s="345">
        <v>8</v>
      </c>
      <c r="J55" s="18">
        <v>1440</v>
      </c>
      <c r="K55" s="9">
        <f t="shared" si="77"/>
        <v>180</v>
      </c>
      <c r="L55" s="17">
        <v>8</v>
      </c>
      <c r="M55" s="10">
        <f t="shared" si="78"/>
        <v>1309.1338582677163</v>
      </c>
      <c r="N55" s="9">
        <f t="shared" si="82"/>
        <v>163.64173228346453</v>
      </c>
      <c r="O55" s="11">
        <f t="shared" si="79"/>
        <v>0</v>
      </c>
      <c r="P55" s="12">
        <f t="shared" si="80"/>
        <v>-16.358267716535465</v>
      </c>
      <c r="Q55" s="339">
        <f t="shared" si="83"/>
        <v>0.90912073490813627</v>
      </c>
      <c r="R55" s="470"/>
      <c r="S55" s="24">
        <v>0.29027777777777775</v>
      </c>
      <c r="T55" s="24">
        <v>0.37847222222222221</v>
      </c>
      <c r="U55" s="337">
        <f t="shared" si="84"/>
        <v>5.9999999999999787</v>
      </c>
      <c r="V55" s="346">
        <f t="shared" si="81"/>
        <v>127.00000000000003</v>
      </c>
      <c r="W55" s="337"/>
      <c r="X55" s="337"/>
      <c r="Y55" s="456"/>
      <c r="Z55" s="456"/>
      <c r="AA55" s="11">
        <f t="shared" si="2"/>
        <v>-130.86614173228372</v>
      </c>
      <c r="AB55" s="339">
        <f t="shared" si="57"/>
        <v>0.90912073490813627</v>
      </c>
      <c r="AC55" s="470"/>
    </row>
    <row r="56" spans="1:29">
      <c r="A56" s="500" t="s">
        <v>11</v>
      </c>
      <c r="B56" s="347" t="s">
        <v>33</v>
      </c>
      <c r="C56" s="487" t="s">
        <v>40</v>
      </c>
      <c r="D56" s="487"/>
      <c r="E56" s="26">
        <v>35.119999999999997</v>
      </c>
      <c r="F56" s="27">
        <v>1031</v>
      </c>
      <c r="G56" s="337">
        <f t="shared" si="76"/>
        <v>36208.719999999994</v>
      </c>
      <c r="H56" s="76" t="s">
        <v>57</v>
      </c>
      <c r="I56" s="345">
        <v>13</v>
      </c>
      <c r="J56" s="18">
        <v>2000</v>
      </c>
      <c r="K56" s="9">
        <f t="shared" si="77"/>
        <v>153.84615384615384</v>
      </c>
      <c r="L56" s="17">
        <v>13</v>
      </c>
      <c r="M56" s="10">
        <f t="shared" si="78"/>
        <v>1819.4117647058802</v>
      </c>
      <c r="N56" s="9">
        <f t="shared" si="82"/>
        <v>139.95475113122154</v>
      </c>
      <c r="O56" s="11">
        <f t="shared" si="79"/>
        <v>0</v>
      </c>
      <c r="P56" s="12">
        <f t="shared" si="80"/>
        <v>-13.891402714932298</v>
      </c>
      <c r="Q56" s="339">
        <f t="shared" si="83"/>
        <v>0.90970588235294003</v>
      </c>
      <c r="R56" s="470"/>
      <c r="S56" s="24">
        <v>0.38194444444444442</v>
      </c>
      <c r="T56" s="24">
        <v>0.40555555555555556</v>
      </c>
      <c r="U56" s="337">
        <f t="shared" si="84"/>
        <v>4.9999999999999822</v>
      </c>
      <c r="V56" s="346">
        <f t="shared" si="81"/>
        <v>34.000000000000043</v>
      </c>
      <c r="W56" s="14"/>
      <c r="X56" s="14"/>
      <c r="Y56" s="456"/>
      <c r="Z56" s="456"/>
      <c r="AA56" s="11">
        <f t="shared" si="2"/>
        <v>-180.58823529411984</v>
      </c>
      <c r="AB56" s="339">
        <f t="shared" si="57"/>
        <v>0.90970588235294003</v>
      </c>
      <c r="AC56" s="470"/>
    </row>
    <row r="57" spans="1:29" ht="15" customHeight="1">
      <c r="A57" s="500" t="s">
        <v>11</v>
      </c>
      <c r="B57" s="347" t="s">
        <v>33</v>
      </c>
      <c r="C57" s="491" t="s">
        <v>1194</v>
      </c>
      <c r="D57" s="492"/>
      <c r="E57" s="26">
        <v>35.869999999999997</v>
      </c>
      <c r="F57" s="27">
        <v>4220</v>
      </c>
      <c r="G57" s="337">
        <f t="shared" si="76"/>
        <v>151371.4</v>
      </c>
      <c r="H57" s="76" t="s">
        <v>57</v>
      </c>
      <c r="I57" s="345">
        <v>13</v>
      </c>
      <c r="J57" s="18">
        <v>3000</v>
      </c>
      <c r="K57" s="9">
        <f t="shared" si="77"/>
        <v>230.76923076923077</v>
      </c>
      <c r="L57" s="17">
        <v>13</v>
      </c>
      <c r="M57" s="10">
        <f t="shared" si="78"/>
        <v>2722.5806451612907</v>
      </c>
      <c r="N57" s="9">
        <f t="shared" si="82"/>
        <v>209.42928039702235</v>
      </c>
      <c r="O57" s="11">
        <f t="shared" si="79"/>
        <v>0</v>
      </c>
      <c r="P57" s="12">
        <f t="shared" si="80"/>
        <v>-21.339950372208421</v>
      </c>
      <c r="Q57" s="339">
        <f t="shared" si="83"/>
        <v>0.90752688172043017</v>
      </c>
      <c r="R57" s="470"/>
      <c r="S57" s="24">
        <v>0.40972222222222221</v>
      </c>
      <c r="T57" s="24">
        <v>0.47430555555555554</v>
      </c>
      <c r="U57" s="337">
        <f t="shared" si="84"/>
        <v>5.9999999999999787</v>
      </c>
      <c r="V57" s="346">
        <f t="shared" si="81"/>
        <v>92.999999999999986</v>
      </c>
      <c r="W57" s="337"/>
      <c r="X57" s="337"/>
      <c r="Y57" s="473"/>
      <c r="Z57" s="474"/>
      <c r="AA57" s="11">
        <f t="shared" si="2"/>
        <v>-277.4193548387093</v>
      </c>
      <c r="AB57" s="339">
        <f t="shared" si="57"/>
        <v>0.90752688172043028</v>
      </c>
      <c r="AC57" s="470"/>
    </row>
    <row r="58" spans="1:29">
      <c r="A58" s="500" t="s">
        <v>11</v>
      </c>
      <c r="B58" s="26" t="s">
        <v>154</v>
      </c>
      <c r="C58" s="466"/>
      <c r="D58" s="466"/>
      <c r="E58" s="338"/>
      <c r="F58" s="16"/>
      <c r="G58" s="9"/>
      <c r="H58" s="347"/>
      <c r="I58" s="17">
        <v>10.666666666666666</v>
      </c>
      <c r="J58" s="18">
        <v>2573.3333333333335</v>
      </c>
      <c r="K58" s="9">
        <f>J58/I58</f>
        <v>241.25000000000003</v>
      </c>
      <c r="L58" s="17">
        <v>10.666666666666666</v>
      </c>
      <c r="M58" s="10">
        <f>AVERAGE(M52:M57)</f>
        <v>2352.6989557336256</v>
      </c>
      <c r="N58" s="9">
        <f>M58/L58</f>
        <v>220.5655271000274</v>
      </c>
      <c r="O58" s="11">
        <f>L58-I58</f>
        <v>0</v>
      </c>
      <c r="P58" s="12">
        <f>N58-K58</f>
        <v>-20.684472899972633</v>
      </c>
      <c r="Q58" s="339">
        <f>N58/K58</f>
        <v>0.91426125222809274</v>
      </c>
      <c r="R58" s="470"/>
      <c r="S58" s="24"/>
      <c r="T58" s="24"/>
      <c r="U58" s="9"/>
      <c r="V58" s="346"/>
      <c r="W58" s="9"/>
      <c r="X58" s="9"/>
      <c r="Y58" s="456"/>
      <c r="Z58" s="456"/>
      <c r="AA58" s="11">
        <f t="shared" si="2"/>
        <v>-220.63437759970793</v>
      </c>
      <c r="AB58" s="339">
        <f t="shared" si="57"/>
        <v>0.91426125222809274</v>
      </c>
      <c r="AC58" s="470"/>
    </row>
    <row r="59" spans="1:29" ht="15.75" customHeight="1">
      <c r="A59" s="467" t="s">
        <v>164</v>
      </c>
      <c r="B59" s="347" t="s">
        <v>24</v>
      </c>
      <c r="C59" s="487" t="s">
        <v>83</v>
      </c>
      <c r="D59" s="487"/>
      <c r="E59" s="26">
        <v>32.03</v>
      </c>
      <c r="F59" s="347">
        <v>995</v>
      </c>
      <c r="G59" s="337">
        <f t="shared" ref="G59:G63" si="85">E59*F59</f>
        <v>31869.850000000002</v>
      </c>
      <c r="H59" s="76" t="s">
        <v>57</v>
      </c>
      <c r="I59" s="345">
        <v>19</v>
      </c>
      <c r="J59" s="18">
        <v>2400</v>
      </c>
      <c r="K59" s="9">
        <f t="shared" ref="K59:K61" si="86">J59/I59</f>
        <v>126.31578947368421</v>
      </c>
      <c r="L59" s="17">
        <v>19</v>
      </c>
      <c r="M59" s="10">
        <f>F59/V59*60</f>
        <v>2211.1111111111122</v>
      </c>
      <c r="N59" s="9">
        <f t="shared" ref="N59:N63" si="87">M59/L59</f>
        <v>116.37426900584801</v>
      </c>
      <c r="O59" s="11">
        <f t="shared" ref="O59:O63" si="88">L59-I59</f>
        <v>0</v>
      </c>
      <c r="P59" s="12">
        <f t="shared" ref="P59:P63" si="89">N59-K59</f>
        <v>-9.9415204678361988</v>
      </c>
      <c r="Q59" s="339">
        <f>N59/K59</f>
        <v>0.92129629629629672</v>
      </c>
      <c r="R59" s="470">
        <f>Q64</f>
        <v>0.91112626490814463</v>
      </c>
      <c r="S59" s="24">
        <v>0.125</v>
      </c>
      <c r="T59" s="24">
        <v>0.14374999999999999</v>
      </c>
      <c r="U59" s="15"/>
      <c r="V59" s="346">
        <f t="shared" ref="V59:V63" si="90">(T59-S59)*24*60</f>
        <v>26.999999999999986</v>
      </c>
      <c r="W59" s="14"/>
      <c r="X59" s="14"/>
      <c r="Y59" s="456"/>
      <c r="Z59" s="456"/>
      <c r="AA59" s="11">
        <f t="shared" si="2"/>
        <v>-188.88888888888778</v>
      </c>
      <c r="AB59" s="339">
        <f>M59/J59</f>
        <v>0.92129629629629672</v>
      </c>
      <c r="AC59" s="470">
        <f>AB64</f>
        <v>0.91112626490814463</v>
      </c>
    </row>
    <row r="60" spans="1:29" ht="15.75" customHeight="1">
      <c r="A60" s="467" t="s">
        <v>12</v>
      </c>
      <c r="B60" s="347" t="s">
        <v>24</v>
      </c>
      <c r="C60" s="487" t="s">
        <v>56</v>
      </c>
      <c r="D60" s="487"/>
      <c r="E60" s="26">
        <v>20.2</v>
      </c>
      <c r="F60" s="347">
        <v>1899</v>
      </c>
      <c r="G60" s="337">
        <f t="shared" si="85"/>
        <v>38359.799999999996</v>
      </c>
      <c r="H60" s="76" t="s">
        <v>57</v>
      </c>
      <c r="I60" s="345">
        <v>19</v>
      </c>
      <c r="J60" s="18">
        <v>2400</v>
      </c>
      <c r="K60" s="9">
        <f t="shared" si="86"/>
        <v>126.31578947368421</v>
      </c>
      <c r="L60" s="17">
        <v>19</v>
      </c>
      <c r="M60" s="10">
        <f t="shared" ref="M60:M63" si="91">F60/V60*60</f>
        <v>2191.1538461538457</v>
      </c>
      <c r="N60" s="9">
        <f t="shared" si="87"/>
        <v>115.32388663967609</v>
      </c>
      <c r="O60" s="11">
        <f t="shared" si="88"/>
        <v>0</v>
      </c>
      <c r="P60" s="12">
        <f t="shared" si="89"/>
        <v>-10.991902834008116</v>
      </c>
      <c r="Q60" s="339">
        <f t="shared" ref="Q60:Q64" si="92">N60/K60</f>
        <v>0.9129807692307691</v>
      </c>
      <c r="R60" s="470"/>
      <c r="S60" s="24">
        <v>0.16388888888888889</v>
      </c>
      <c r="T60" s="24">
        <v>0.2</v>
      </c>
      <c r="U60" s="337">
        <f>(S60-T59)*24*60</f>
        <v>29.000000000000018</v>
      </c>
      <c r="V60" s="346">
        <f t="shared" si="90"/>
        <v>52.000000000000014</v>
      </c>
      <c r="W60" s="14"/>
      <c r="X60" s="14"/>
      <c r="Y60" s="456"/>
      <c r="Z60" s="456"/>
      <c r="AA60" s="11">
        <f t="shared" si="2"/>
        <v>-208.84615384615427</v>
      </c>
      <c r="AB60" s="339">
        <f t="shared" ref="AB60:AB64" si="93">M60/J60</f>
        <v>0.9129807692307691</v>
      </c>
      <c r="AC60" s="470"/>
    </row>
    <row r="61" spans="1:29" ht="15.75" customHeight="1">
      <c r="A61" s="467" t="s">
        <v>12</v>
      </c>
      <c r="B61" s="347" t="s">
        <v>24</v>
      </c>
      <c r="C61" s="487" t="s">
        <v>45</v>
      </c>
      <c r="D61" s="487"/>
      <c r="E61" s="26">
        <v>19.02</v>
      </c>
      <c r="F61" s="347">
        <v>6576</v>
      </c>
      <c r="G61" s="337">
        <f t="shared" si="85"/>
        <v>125075.52</v>
      </c>
      <c r="H61" s="76" t="s">
        <v>57</v>
      </c>
      <c r="I61" s="345">
        <v>15</v>
      </c>
      <c r="J61" s="18">
        <v>2400</v>
      </c>
      <c r="K61" s="9">
        <f t="shared" si="86"/>
        <v>160</v>
      </c>
      <c r="L61" s="17">
        <v>15</v>
      </c>
      <c r="M61" s="10">
        <f t="shared" si="91"/>
        <v>2179.8895027624312</v>
      </c>
      <c r="N61" s="9">
        <f t="shared" si="87"/>
        <v>145.32596685082873</v>
      </c>
      <c r="O61" s="11">
        <f t="shared" si="88"/>
        <v>0</v>
      </c>
      <c r="P61" s="12">
        <f t="shared" si="89"/>
        <v>-14.674033149171265</v>
      </c>
      <c r="Q61" s="339">
        <f t="shared" si="92"/>
        <v>0.90828729281767961</v>
      </c>
      <c r="R61" s="470"/>
      <c r="S61" s="24">
        <v>0.20347222222222222</v>
      </c>
      <c r="T61" s="24">
        <v>0.32916666666666666</v>
      </c>
      <c r="U61" s="337">
        <f t="shared" ref="U61:U63" si="94">(S61-T60)*24*60</f>
        <v>4.9999999999999822</v>
      </c>
      <c r="V61" s="346">
        <f t="shared" si="90"/>
        <v>181</v>
      </c>
      <c r="W61" s="14"/>
      <c r="X61" s="14"/>
      <c r="Y61" s="456"/>
      <c r="Z61" s="456"/>
      <c r="AA61" s="11">
        <f t="shared" si="2"/>
        <v>-220.11049723756878</v>
      </c>
      <c r="AB61" s="339">
        <f t="shared" si="93"/>
        <v>0.90828729281767973</v>
      </c>
      <c r="AC61" s="470"/>
    </row>
    <row r="62" spans="1:29" ht="15.75" customHeight="1">
      <c r="A62" s="467" t="s">
        <v>12</v>
      </c>
      <c r="B62" s="347" t="s">
        <v>24</v>
      </c>
      <c r="C62" s="487" t="s">
        <v>46</v>
      </c>
      <c r="D62" s="487"/>
      <c r="E62" s="26">
        <v>25</v>
      </c>
      <c r="F62" s="347">
        <v>2974</v>
      </c>
      <c r="G62" s="337">
        <f t="shared" si="85"/>
        <v>74350</v>
      </c>
      <c r="H62" s="76" t="s">
        <v>57</v>
      </c>
      <c r="I62" s="345">
        <v>15</v>
      </c>
      <c r="J62" s="18">
        <v>2400</v>
      </c>
      <c r="K62" s="9">
        <f>J62/I62</f>
        <v>160</v>
      </c>
      <c r="L62" s="17">
        <v>15</v>
      </c>
      <c r="M62" s="10">
        <f t="shared" si="91"/>
        <v>2176.0975609756092</v>
      </c>
      <c r="N62" s="9">
        <f t="shared" si="87"/>
        <v>145.07317073170728</v>
      </c>
      <c r="O62" s="11">
        <f t="shared" si="88"/>
        <v>0</v>
      </c>
      <c r="P62" s="12">
        <f t="shared" si="89"/>
        <v>-14.926829268292721</v>
      </c>
      <c r="Q62" s="339">
        <f t="shared" si="92"/>
        <v>0.90670731707317054</v>
      </c>
      <c r="R62" s="470"/>
      <c r="S62" s="24">
        <v>0.33333333333333331</v>
      </c>
      <c r="T62" s="24">
        <v>0.39027777777777778</v>
      </c>
      <c r="U62" s="337">
        <f t="shared" si="94"/>
        <v>5.9999999999999787</v>
      </c>
      <c r="V62" s="346">
        <f t="shared" si="90"/>
        <v>82.000000000000028</v>
      </c>
      <c r="W62" s="14"/>
      <c r="X62" s="14"/>
      <c r="Y62" s="456"/>
      <c r="Z62" s="456"/>
      <c r="AA62" s="11">
        <f t="shared" si="2"/>
        <v>-223.90243902439079</v>
      </c>
      <c r="AB62" s="339">
        <f t="shared" si="93"/>
        <v>0.90670731707317054</v>
      </c>
      <c r="AC62" s="470"/>
    </row>
    <row r="63" spans="1:29" ht="15.75" customHeight="1">
      <c r="A63" s="467" t="s">
        <v>12</v>
      </c>
      <c r="B63" s="347" t="s">
        <v>24</v>
      </c>
      <c r="C63" s="487" t="s">
        <v>510</v>
      </c>
      <c r="D63" s="487"/>
      <c r="E63" s="26">
        <v>28.51</v>
      </c>
      <c r="F63" s="347">
        <v>4133</v>
      </c>
      <c r="G63" s="337">
        <f t="shared" si="85"/>
        <v>117831.83</v>
      </c>
      <c r="H63" s="76" t="s">
        <v>57</v>
      </c>
      <c r="I63" s="345">
        <v>20</v>
      </c>
      <c r="J63" s="18">
        <v>2400</v>
      </c>
      <c r="K63" s="9">
        <f t="shared" ref="K63:K64" si="95">J63/I63</f>
        <v>120</v>
      </c>
      <c r="L63" s="17">
        <v>20</v>
      </c>
      <c r="M63" s="10">
        <f t="shared" si="91"/>
        <v>2175.2631578947367</v>
      </c>
      <c r="N63" s="9">
        <f t="shared" si="87"/>
        <v>108.76315789473684</v>
      </c>
      <c r="O63" s="11">
        <f t="shared" si="88"/>
        <v>0</v>
      </c>
      <c r="P63" s="12">
        <f t="shared" si="89"/>
        <v>-11.236842105263165</v>
      </c>
      <c r="Q63" s="339">
        <f t="shared" si="92"/>
        <v>0.90635964912280698</v>
      </c>
      <c r="R63" s="470"/>
      <c r="S63" s="24">
        <v>0.39513888888888887</v>
      </c>
      <c r="T63" s="24">
        <v>0.47430555555555554</v>
      </c>
      <c r="U63" s="337">
        <f t="shared" si="94"/>
        <v>6.9999999999999751</v>
      </c>
      <c r="V63" s="346">
        <f t="shared" si="90"/>
        <v>114</v>
      </c>
      <c r="W63" s="14"/>
      <c r="X63" s="14"/>
      <c r="Y63" s="456"/>
      <c r="Z63" s="456"/>
      <c r="AA63" s="11">
        <f t="shared" si="2"/>
        <v>-224.73684210526335</v>
      </c>
      <c r="AB63" s="339">
        <f t="shared" si="93"/>
        <v>0.90635964912280698</v>
      </c>
      <c r="AC63" s="470"/>
    </row>
    <row r="64" spans="1:29" ht="16.5" customHeight="1">
      <c r="A64" s="501" t="s">
        <v>12</v>
      </c>
      <c r="B64" s="26" t="s">
        <v>154</v>
      </c>
      <c r="C64" s="466"/>
      <c r="D64" s="466"/>
      <c r="E64" s="338"/>
      <c r="F64" s="16"/>
      <c r="G64" s="9"/>
      <c r="H64" s="347"/>
      <c r="I64" s="17">
        <v>17.600000000000001</v>
      </c>
      <c r="J64" s="18">
        <v>2400</v>
      </c>
      <c r="K64" s="9">
        <f t="shared" si="95"/>
        <v>136.36363636363635</v>
      </c>
      <c r="L64" s="17">
        <v>17.600000000000001</v>
      </c>
      <c r="M64" s="10">
        <f>AVERAGE(M59:M63)</f>
        <v>2186.703035779547</v>
      </c>
      <c r="N64" s="9">
        <f>M64/L64</f>
        <v>124.24449066929243</v>
      </c>
      <c r="O64" s="11">
        <f>L64-I64</f>
        <v>0</v>
      </c>
      <c r="P64" s="12">
        <f>N64-K64</f>
        <v>-12.119145694343914</v>
      </c>
      <c r="Q64" s="339">
        <f t="shared" si="92"/>
        <v>0.91112626490814463</v>
      </c>
      <c r="R64" s="470"/>
      <c r="S64" s="24"/>
      <c r="T64" s="24"/>
      <c r="U64" s="9"/>
      <c r="V64" s="346"/>
      <c r="W64" s="9"/>
      <c r="X64" s="9"/>
      <c r="Y64" s="456"/>
      <c r="Z64" s="456"/>
      <c r="AA64" s="11">
        <f t="shared" si="2"/>
        <v>-213.29696422045299</v>
      </c>
      <c r="AB64" s="339">
        <f t="shared" si="93"/>
        <v>0.91112626490814463</v>
      </c>
      <c r="AC64" s="470"/>
    </row>
    <row r="65" spans="4:5">
      <c r="D65" s="19"/>
      <c r="E65" s="19"/>
    </row>
  </sheetData>
  <mergeCells count="178">
    <mergeCell ref="Y62:Z62"/>
    <mergeCell ref="C63:D63"/>
    <mergeCell ref="Y63:Z63"/>
    <mergeCell ref="A59:A64"/>
    <mergeCell ref="C59:D59"/>
    <mergeCell ref="R59:R64"/>
    <mergeCell ref="Y59:Z59"/>
    <mergeCell ref="AC59:AC64"/>
    <mergeCell ref="C60:D60"/>
    <mergeCell ref="Y60:Z60"/>
    <mergeCell ref="C61:D61"/>
    <mergeCell ref="Y61:Z61"/>
    <mergeCell ref="C62:D62"/>
    <mergeCell ref="C64:D64"/>
    <mergeCell ref="Y64:Z64"/>
    <mergeCell ref="A52:A58"/>
    <mergeCell ref="C52:D52"/>
    <mergeCell ref="R52:R58"/>
    <mergeCell ref="Y52:Z52"/>
    <mergeCell ref="AC52:AC58"/>
    <mergeCell ref="C53:D53"/>
    <mergeCell ref="Y53:Z53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AC47:AC51"/>
    <mergeCell ref="C48:D48"/>
    <mergeCell ref="Y48:Z48"/>
    <mergeCell ref="C49:D49"/>
    <mergeCell ref="C51:D51"/>
    <mergeCell ref="Y51:Z51"/>
    <mergeCell ref="AC40:AC46"/>
    <mergeCell ref="C41:D41"/>
    <mergeCell ref="Y41:Z41"/>
    <mergeCell ref="C42:D42"/>
    <mergeCell ref="Y42:Z42"/>
    <mergeCell ref="C43:D43"/>
    <mergeCell ref="C45:D45"/>
    <mergeCell ref="Y45:Z45"/>
    <mergeCell ref="C46:D46"/>
    <mergeCell ref="Y46:Z46"/>
    <mergeCell ref="Y43:Z43"/>
    <mergeCell ref="C44:D44"/>
    <mergeCell ref="Y44:Z44"/>
    <mergeCell ref="A40:A46"/>
    <mergeCell ref="C40:D40"/>
    <mergeCell ref="R40:R46"/>
    <mergeCell ref="Y40:Z40"/>
    <mergeCell ref="A47:A51"/>
    <mergeCell ref="C47:D47"/>
    <mergeCell ref="R47:R51"/>
    <mergeCell ref="Y47:Z47"/>
    <mergeCell ref="A33:A39"/>
    <mergeCell ref="C33:D33"/>
    <mergeCell ref="R33:R39"/>
    <mergeCell ref="Y33:Z33"/>
    <mergeCell ref="AC33:AC39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39:Z39"/>
    <mergeCell ref="A27:A32"/>
    <mergeCell ref="C27:D27"/>
    <mergeCell ref="R27:R32"/>
    <mergeCell ref="Y27:Z27"/>
    <mergeCell ref="Y32:Z32"/>
    <mergeCell ref="AC27:AC32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25:D25"/>
    <mergeCell ref="Y25:Z25"/>
    <mergeCell ref="C26:D26"/>
    <mergeCell ref="Y26:Z26"/>
    <mergeCell ref="A18:A26"/>
    <mergeCell ref="C18:D18"/>
    <mergeCell ref="R18:R26"/>
    <mergeCell ref="Y18:Z18"/>
    <mergeCell ref="Y23:Z23"/>
    <mergeCell ref="C24:D24"/>
    <mergeCell ref="Y24:Z24"/>
    <mergeCell ref="A13:A17"/>
    <mergeCell ref="C13:D13"/>
    <mergeCell ref="R13:R17"/>
    <mergeCell ref="Y13:Z13"/>
    <mergeCell ref="AC13:AC17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5:O64 O5:O9 O12:O14 O17:O52">
    <cfRule type="cellIs" dxfId="1897" priority="34" operator="greaterThan">
      <formula>0</formula>
    </cfRule>
  </conditionalFormatting>
  <conditionalFormatting sqref="P5:P7 P55:P57 AA55:AA57 P59:P63 P27:P31 P52 P9 P12:P14 P18:P25 P47:P50 P33:P45 AA5:AA52 AA59:AA64">
    <cfRule type="cellIs" dxfId="1896" priority="38" operator="lessThan">
      <formula>0</formula>
    </cfRule>
  </conditionalFormatting>
  <conditionalFormatting sqref="AB55:AB57 Q55:Q64 Q5:Q9 Q12:Q14 Q17:Q52 AB5:AB52 AB59:AB64">
    <cfRule type="cellIs" dxfId="1895" priority="35" operator="greaterThan">
      <formula>1</formula>
    </cfRule>
    <cfRule type="cellIs" dxfId="1894" priority="36" operator="lessThan">
      <formula>0.8</formula>
    </cfRule>
  </conditionalFormatting>
  <conditionalFormatting sqref="AC13:AC14 R13:R14 AC55 R17:R23 AC17:AC23 R55:R64 AC5:AC9 R5:R9 AC26:AC52 R26:R52">
    <cfRule type="cellIs" dxfId="1893" priority="40" operator="lessThan">
      <formula>0.8</formula>
    </cfRule>
  </conditionalFormatting>
  <conditionalFormatting sqref="AC40">
    <cfRule type="cellIs" dxfId="1892" priority="42" operator="lessThan">
      <formula>0.8</formula>
    </cfRule>
  </conditionalFormatting>
  <conditionalFormatting sqref="AC18:AC23">
    <cfRule type="cellIs" dxfId="1891" priority="39" operator="lessThan">
      <formula>0.8</formula>
    </cfRule>
  </conditionalFormatting>
  <conditionalFormatting sqref="AC27">
    <cfRule type="cellIs" dxfId="1890" priority="41" operator="lessThan">
      <formula>0.8</formula>
    </cfRule>
  </conditionalFormatting>
  <conditionalFormatting sqref="AC33:AC38">
    <cfRule type="cellIs" dxfId="1889" priority="37" operator="lessThan">
      <formula>0.8</formula>
    </cfRule>
  </conditionalFormatting>
  <conditionalFormatting sqref="AA58">
    <cfRule type="cellIs" dxfId="1888" priority="33" operator="lessThan">
      <formula>0</formula>
    </cfRule>
  </conditionalFormatting>
  <conditionalFormatting sqref="AB58">
    <cfRule type="cellIs" dxfId="1887" priority="31" operator="greaterThan">
      <formula>1</formula>
    </cfRule>
    <cfRule type="cellIs" dxfId="1886" priority="32" operator="lessThan">
      <formula>0.8</formula>
    </cfRule>
  </conditionalFormatting>
  <conditionalFormatting sqref="O15:O16">
    <cfRule type="cellIs" dxfId="1885" priority="26" operator="greaterThan">
      <formula>0</formula>
    </cfRule>
  </conditionalFormatting>
  <conditionalFormatting sqref="P15:P16">
    <cfRule type="cellIs" dxfId="1884" priority="29" operator="lessThan">
      <formula>0</formula>
    </cfRule>
  </conditionalFormatting>
  <conditionalFormatting sqref="Q15:Q16">
    <cfRule type="cellIs" dxfId="1883" priority="27" operator="greaterThan">
      <formula>1</formula>
    </cfRule>
    <cfRule type="cellIs" dxfId="1882" priority="28" operator="lessThan">
      <formula>0.8</formula>
    </cfRule>
  </conditionalFormatting>
  <conditionalFormatting sqref="R15:R16 AC15:AC16">
    <cfRule type="cellIs" dxfId="1881" priority="30" operator="lessThan">
      <formula>0.8</formula>
    </cfRule>
  </conditionalFormatting>
  <conditionalFormatting sqref="O10:O11">
    <cfRule type="cellIs" dxfId="1880" priority="22" operator="greaterThan">
      <formula>0</formula>
    </cfRule>
  </conditionalFormatting>
  <conditionalFormatting sqref="P10:P11">
    <cfRule type="cellIs" dxfId="1879" priority="25" operator="lessThan">
      <formula>0</formula>
    </cfRule>
  </conditionalFormatting>
  <conditionalFormatting sqref="Q10:Q11">
    <cfRule type="cellIs" dxfId="1878" priority="23" operator="greaterThan">
      <formula>1</formula>
    </cfRule>
    <cfRule type="cellIs" dxfId="1877" priority="24" operator="lessThan">
      <formula>0.8</formula>
    </cfRule>
  </conditionalFormatting>
  <conditionalFormatting sqref="AC25 R25">
    <cfRule type="cellIs" dxfId="1876" priority="21" operator="lessThan">
      <formula>0.8</formula>
    </cfRule>
  </conditionalFormatting>
  <conditionalFormatting sqref="O54">
    <cfRule type="cellIs" dxfId="1875" priority="16" operator="greaterThan">
      <formula>0</formula>
    </cfRule>
  </conditionalFormatting>
  <conditionalFormatting sqref="P54 AA54">
    <cfRule type="cellIs" dxfId="1874" priority="19" operator="lessThan">
      <formula>0</formula>
    </cfRule>
  </conditionalFormatting>
  <conditionalFormatting sqref="Q54 AB54">
    <cfRule type="cellIs" dxfId="1873" priority="17" operator="greaterThan">
      <formula>1</formula>
    </cfRule>
    <cfRule type="cellIs" dxfId="1872" priority="18" operator="lessThan">
      <formula>0.8</formula>
    </cfRule>
  </conditionalFormatting>
  <conditionalFormatting sqref="R54 AC54">
    <cfRule type="cellIs" dxfId="1871" priority="20" operator="lessThan">
      <formula>0.8</formula>
    </cfRule>
  </conditionalFormatting>
  <conditionalFormatting sqref="R24 AC24">
    <cfRule type="cellIs" dxfId="1870" priority="15" operator="lessThan">
      <formula>0.8</formula>
    </cfRule>
  </conditionalFormatting>
  <conditionalFormatting sqref="AC24">
    <cfRule type="cellIs" dxfId="1869" priority="14" operator="lessThan">
      <formula>0.8</formula>
    </cfRule>
  </conditionalFormatting>
  <conditionalFormatting sqref="O53">
    <cfRule type="cellIs" dxfId="1868" priority="9" operator="greaterThan">
      <formula>0</formula>
    </cfRule>
  </conditionalFormatting>
  <conditionalFormatting sqref="P53 AA53">
    <cfRule type="cellIs" dxfId="1867" priority="12" operator="lessThan">
      <formula>0</formula>
    </cfRule>
  </conditionalFormatting>
  <conditionalFormatting sqref="Q53 AB53">
    <cfRule type="cellIs" dxfId="1866" priority="10" operator="greaterThan">
      <formula>1</formula>
    </cfRule>
    <cfRule type="cellIs" dxfId="1865" priority="11" operator="lessThan">
      <formula>0.8</formula>
    </cfRule>
  </conditionalFormatting>
  <conditionalFormatting sqref="R53 AC53">
    <cfRule type="cellIs" dxfId="1864" priority="13" operator="lessThan">
      <formula>0.8</formula>
    </cfRule>
  </conditionalFormatting>
  <conditionalFormatting sqref="P8">
    <cfRule type="cellIs" dxfId="1863" priority="8" operator="lessThan">
      <formula>0</formula>
    </cfRule>
  </conditionalFormatting>
  <conditionalFormatting sqref="P17">
    <cfRule type="cellIs" dxfId="1862" priority="7" operator="lessThan">
      <formula>0</formula>
    </cfRule>
  </conditionalFormatting>
  <conditionalFormatting sqref="P26">
    <cfRule type="cellIs" dxfId="1861" priority="6" operator="lessThan">
      <formula>0</formula>
    </cfRule>
  </conditionalFormatting>
  <conditionalFormatting sqref="P32">
    <cfRule type="cellIs" dxfId="1860" priority="5" operator="lessThan">
      <formula>0</formula>
    </cfRule>
  </conditionalFormatting>
  <conditionalFormatting sqref="P46">
    <cfRule type="cellIs" dxfId="1859" priority="4" operator="lessThan">
      <formula>0</formula>
    </cfRule>
  </conditionalFormatting>
  <conditionalFormatting sqref="P51">
    <cfRule type="cellIs" dxfId="1858" priority="3" operator="lessThan">
      <formula>0</formula>
    </cfRule>
  </conditionalFormatting>
  <conditionalFormatting sqref="P58">
    <cfRule type="cellIs" dxfId="1857" priority="2" operator="lessThan">
      <formula>0</formula>
    </cfRule>
  </conditionalFormatting>
  <conditionalFormatting sqref="P64">
    <cfRule type="cellIs" dxfId="1856" priority="1" operator="lessThan">
      <formula>0</formula>
    </cfRule>
  </conditionalFormatting>
  <dataValidations count="1">
    <dataValidation type="list" allowBlank="1" showInputMessage="1" showErrorMessage="1" sqref="Z8 Z56:Z57 Y5:Z7 Y8:Y57 Z10:Z52 Y58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O7" sqref="O7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1325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22" t="s">
        <v>1326</v>
      </c>
      <c r="C3" s="421" t="str">
        <f>TEXT('0725 4度C'!A2,"yyyy.mm.ddaaaa")</f>
        <v>2025.07.25星期五</v>
      </c>
      <c r="D3" s="421"/>
      <c r="E3" s="322" t="s">
        <v>1327</v>
      </c>
      <c r="F3" s="422">
        <f>'0725 4度C'!D1</f>
        <v>130481</v>
      </c>
      <c r="G3" s="422"/>
      <c r="H3" s="322" t="s">
        <v>1328</v>
      </c>
      <c r="I3" s="423">
        <f>'0725 4度C'!F1</f>
        <v>4459410.4399999995</v>
      </c>
      <c r="J3" s="423"/>
      <c r="K3" s="31"/>
      <c r="L3" s="32"/>
      <c r="M3" s="33"/>
      <c r="N3" s="33"/>
    </row>
    <row r="4" spans="2:17" ht="28.5" customHeight="1">
      <c r="B4" s="424" t="s">
        <v>1329</v>
      </c>
      <c r="C4" s="424" t="s">
        <v>1330</v>
      </c>
      <c r="D4" s="424"/>
      <c r="E4" s="425" t="s">
        <v>1331</v>
      </c>
      <c r="F4" s="425"/>
      <c r="G4" s="425" t="s">
        <v>1332</v>
      </c>
      <c r="H4" s="425"/>
      <c r="I4" s="425" t="s">
        <v>1333</v>
      </c>
      <c r="J4" s="425"/>
      <c r="L4" s="33"/>
      <c r="M4" s="33"/>
      <c r="N4" s="33"/>
    </row>
    <row r="5" spans="2:17" ht="28.5" customHeight="1">
      <c r="B5" s="424"/>
      <c r="C5" s="424" t="s">
        <v>1334</v>
      </c>
      <c r="D5" s="424"/>
      <c r="E5" s="424" t="s">
        <v>1335</v>
      </c>
      <c r="F5" s="424"/>
      <c r="G5" s="426" t="s">
        <v>1336</v>
      </c>
      <c r="H5" s="426"/>
      <c r="I5" s="427" t="s">
        <v>1337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140.13323790102751</v>
      </c>
      <c r="F6" s="424">
        <f>AVERAGE(D27:O27,D13:J13)</f>
        <v>143.18418811561693</v>
      </c>
      <c r="G6" s="429">
        <f>AVERAGE(D13:J13)</f>
        <v>143.18418811561693</v>
      </c>
      <c r="H6" s="429"/>
      <c r="I6" s="429">
        <f>AVERAGE(K13:M13)</f>
        <v>133.01435406698565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128.16514337477128</v>
      </c>
      <c r="F7" s="434">
        <f>AVERAGE(D28:O28,D14:J14)</f>
        <v>131.16101843491361</v>
      </c>
      <c r="G7" s="435">
        <f>AVERAGE(D14:J14)</f>
        <v>131.16101843491361</v>
      </c>
      <c r="H7" s="435"/>
      <c r="I7" s="435">
        <f>AVERAGE(K14:M14)</f>
        <v>121.17476823443916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0.913879624632426</v>
      </c>
      <c r="F8" s="432">
        <f>AVERAGE(D15:J15,D29:O29)</f>
        <v>0.91512500458008528</v>
      </c>
      <c r="G8" s="437">
        <f>AVERAGE(D15:J15)</f>
        <v>0.91512500458008528</v>
      </c>
      <c r="H8" s="437"/>
      <c r="I8" s="437">
        <f>AVERAGE(K15:M15)</f>
        <v>0.91097373808788795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1338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1339</v>
      </c>
      <c r="L10" s="444"/>
      <c r="M10" s="445"/>
      <c r="P10" s="37"/>
      <c r="Q10" s="37"/>
    </row>
    <row r="11" spans="2:17" ht="17.25" customHeight="1">
      <c r="B11" s="431" t="s">
        <v>1340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1341</v>
      </c>
      <c r="F12" s="42" t="s">
        <v>1342</v>
      </c>
      <c r="G12" s="42" t="s">
        <v>1343</v>
      </c>
      <c r="H12" s="42" t="s">
        <v>1344</v>
      </c>
      <c r="I12" s="42" t="s">
        <v>1345</v>
      </c>
      <c r="J12" s="43" t="s">
        <v>1346</v>
      </c>
      <c r="K12" s="41" t="s">
        <v>1347</v>
      </c>
      <c r="L12" s="42" t="s">
        <v>1348</v>
      </c>
      <c r="M12" s="43" t="s">
        <v>1349</v>
      </c>
    </row>
    <row r="13" spans="2:17" ht="40.15" customHeight="1">
      <c r="B13" s="447" t="s">
        <v>1350</v>
      </c>
      <c r="C13" s="44" t="s">
        <v>1351</v>
      </c>
      <c r="D13" s="45">
        <f>SUMIFS('0725 4度C'!$K:$K,'0725 4度C'!$A:$A,"燴飯線",'0725 4度C'!$B:$B,"平均")</f>
        <v>105.88235294117646</v>
      </c>
      <c r="E13" s="46">
        <f>SUMIFS('0725 4度C'!$K:$K,'0725 4度C'!$A:$A,"沙拉線一線",'0725 4度C'!$B:$B,"平均")</f>
        <v>80.357142857142847</v>
      </c>
      <c r="F13" s="47">
        <f>SUMIFS('0725 4度C'!$K:$K,'0725 4度C'!$A:$A,"沙拉線二線",'0725 4度C'!$B:$B,"平均")</f>
        <v>80.702127659574472</v>
      </c>
      <c r="G13" s="47">
        <f>SUMIFS('0725 4度C'!$K:$K,'0725 4度C'!$A:$A,"沙拉線三線",'0725 4度C'!$B:$B,"平均")</f>
        <v>104.54545454545455</v>
      </c>
      <c r="H13" s="47">
        <f>SUMIFS('0725 4度C'!$K:$K,'0725 4度C'!$A:$A,"自動包裝線",'0725 4度C'!$B:$B,"平均")</f>
        <v>300</v>
      </c>
      <c r="I13" s="47">
        <f>SUMIFS('0725 4度C'!$K:$K,'0725 4度C'!$A:$A,"涼麵一線",'0725 4度C'!$B:$B,"平均")</f>
        <v>89.552238805970148</v>
      </c>
      <c r="J13" s="48">
        <f>SUMIFS('0725 4度C'!$K:$K,'0725 4度C'!$A:$A,"三明治四線",'0725 4度C'!$B:$B,"平均")</f>
        <v>241.25000000000003</v>
      </c>
      <c r="K13" s="49">
        <f>SUMIFS('0725 4度C'!$K:$K,'0725 4度C'!$A:$A,"三明治一線",'0725 4度C'!$B:$B,"平均")</f>
        <v>136.36363636363635</v>
      </c>
      <c r="L13" s="50">
        <f>SUMIFS('0725 4度C'!$K:$K,'0725 4度C'!$A:$A,"三明治二線",'0725 4度C'!$B:$B,"平均")</f>
        <v>126.31578947368421</v>
      </c>
      <c r="M13" s="48">
        <f>SUMIFS('0725 4度C'!$K:$K,'0725 4度C'!$A:$A,"自動包裝二線",'0725 4度C'!$B:$B,"平均")</f>
        <v>136.36363636363635</v>
      </c>
    </row>
    <row r="14" spans="2:17" ht="39.6" customHeight="1">
      <c r="B14" s="447"/>
      <c r="C14" s="51" t="s">
        <v>1352</v>
      </c>
      <c r="D14" s="52">
        <f>SUMIFS('0725 4度C'!$N:$N,'0725 4度C'!$A:$A,"燴飯線",'0725 4度C'!$B:$B,"平均")</f>
        <v>97.295192049422454</v>
      </c>
      <c r="E14" s="53">
        <f>SUMIFS('0725 4度C'!$N:$N,'0725 4度C'!$A:$A,"沙拉線一線",'0725 4度C'!$B:$B,"平均")</f>
        <v>72.966560658718493</v>
      </c>
      <c r="F14" s="53">
        <f>SUMIFS('0725 4度C'!$N:$N,'0725 4度C'!$A:$A,"沙拉線二線",'0725 4度C'!$B:$B,"平均")</f>
        <v>73.787054453758174</v>
      </c>
      <c r="G14" s="53">
        <f>SUMIFS('0725 4度C'!$N:$N,'0725 4度C'!$A:$A,"沙拉線三線",'0725 4度C'!$B:$B,"平均")</f>
        <v>95.669168505925526</v>
      </c>
      <c r="H14" s="53">
        <f>SUMIFS('0725 4度C'!$N:$N,'0725 4度C'!$A:$A,"自動包裝線",'0725 4度C'!$B:$B,"平均")</f>
        <v>275.2333934322059</v>
      </c>
      <c r="I14" s="53">
        <f>SUMIFS('0725 4度C'!$N:$N,'0725 4度C'!$A:$A,"涼麵一線",'0725 4度C'!$B:$B,"平均")</f>
        <v>81.948109370533473</v>
      </c>
      <c r="J14" s="54">
        <f>SUMIFS('0725 4度C'!$N:$N,'0725 4度C'!$A:$A,"三明治四線",'0725 4度C'!$B:$B,"平均")</f>
        <v>221.2276505738314</v>
      </c>
      <c r="K14" s="55">
        <f>SUMIFS('0725 4度C'!$N:$N,'0725 4度C'!$A:$A,"三明治一線",'0725 4度C'!$B:$B,"平均")</f>
        <v>124.35146003815584</v>
      </c>
      <c r="L14" s="56">
        <f>SUMIFS('0725 4度C'!$N:$N,'0725 4度C'!$A:$A,"三明治二線",'0725 4度C'!$B:$B,"平均")</f>
        <v>114.9879653245753</v>
      </c>
      <c r="M14" s="54">
        <f>SUMIFS('0725 4度C'!$N:$N,'0725 4度C'!$A:$A,"自動包裝二線",'0725 4度C'!$B:$B,"平均")</f>
        <v>124.18487934058632</v>
      </c>
    </row>
    <row r="15" spans="2:17" ht="40.15" customHeight="1">
      <c r="B15" s="447"/>
      <c r="C15" s="57" t="s">
        <v>1353</v>
      </c>
      <c r="D15" s="58">
        <f>D14/D13</f>
        <v>0.91889903602232326</v>
      </c>
      <c r="E15" s="59">
        <f t="shared" ref="E15:M15" si="0">E14/E13</f>
        <v>0.90802831041960808</v>
      </c>
      <c r="F15" s="59">
        <f t="shared" si="0"/>
        <v>0.91431361964846669</v>
      </c>
      <c r="G15" s="59">
        <f t="shared" si="0"/>
        <v>0.91509639440450508</v>
      </c>
      <c r="H15" s="59">
        <f>H14/H13</f>
        <v>0.91744464477401966</v>
      </c>
      <c r="I15" s="59">
        <f>I14/I13</f>
        <v>0.91508722130429043</v>
      </c>
      <c r="J15" s="60">
        <f>J14/J13</f>
        <v>0.91700580548738397</v>
      </c>
      <c r="K15" s="58">
        <f>K14/K13</f>
        <v>0.91191070694647625</v>
      </c>
      <c r="L15" s="59">
        <f>L14/L13</f>
        <v>0.91032139215288788</v>
      </c>
      <c r="M15" s="60">
        <f t="shared" si="0"/>
        <v>0.91068911516429984</v>
      </c>
    </row>
    <row r="16" spans="2:17" ht="17.25" customHeight="1">
      <c r="B16" s="430" t="s">
        <v>1354</v>
      </c>
      <c r="C16" s="321" t="s">
        <v>1355</v>
      </c>
      <c r="D16" s="61">
        <f>VLOOKUP("燴飯線",'0725 4度C'!$A:$T,19,0)</f>
        <v>0.70833333333333337</v>
      </c>
      <c r="E16" s="24">
        <f>VLOOKUP("沙拉線一線",'0725 4度C'!$A:$T,19,0)</f>
        <v>0.12986111111111112</v>
      </c>
      <c r="F16" s="24">
        <f>VLOOKUP("沙拉線二線",'0725 4度C'!$A:$T,19,0)</f>
        <v>0.25</v>
      </c>
      <c r="G16" s="24">
        <f>VLOOKUP("沙拉線三線",'0725 4度C'!$A:$T,19,0)</f>
        <v>0.16666666666666666</v>
      </c>
      <c r="H16" s="24">
        <f>VLOOKUP("自動包裝線",'0725 4度C'!$A:$T,19,0)</f>
        <v>0.20833333333333334</v>
      </c>
      <c r="I16" s="24">
        <f>VLOOKUP("涼麵一線",'0725 4度C'!$A:$T,19,0)</f>
        <v>0.29305555555555557</v>
      </c>
      <c r="J16" s="62">
        <f>VLOOKUP("三明治四線",'0725 4度C'!$A:$T,19,0)</f>
        <v>0.20833333333333334</v>
      </c>
      <c r="K16" s="63">
        <f>VLOOKUP("三明治一線",'0725 4度C'!$A:$T,19,0)</f>
        <v>0.125</v>
      </c>
      <c r="L16" s="64">
        <f>VLOOKUP("三明治二線",'0725 4度C'!$A:$T,19,0)</f>
        <v>0.125</v>
      </c>
      <c r="M16" s="65">
        <f>VLOOKUP("自動包裝二線",'0725 4度C'!$A:$T,19,0)</f>
        <v>0.125</v>
      </c>
    </row>
    <row r="17" spans="2:13" ht="17.25" customHeight="1">
      <c r="B17" s="431"/>
      <c r="C17" s="321" t="s">
        <v>137</v>
      </c>
      <c r="D17" s="63">
        <f>LOOKUP(2,1/(('0725 4度C'!$A:$A="燴飯線")*('0725 4度C'!$T:$T&lt;&gt;"")),'0725 4度C'!$T:$T)</f>
        <v>0.83125000000000004</v>
      </c>
      <c r="E17" s="24">
        <f>LOOKUP(2,1/(('0725 4度C'!$A:$A="沙拉線一線")*('0725 4度C'!$T:$T&lt;&gt;"")),'0725 4度C'!$T:$T)</f>
        <v>0.52013888888888882</v>
      </c>
      <c r="F17" s="24">
        <f>LOOKUP(2,1/(('0725 4度C'!$A:$A="沙拉線二線")*('0725 4度C'!$T:$T&lt;&gt;"")),'0725 4度C'!$T:$T)</f>
        <v>0.80902777777777779</v>
      </c>
      <c r="G17" s="24">
        <f>LOOKUP(2,1/(('0725 4度C'!$A:$A="沙拉線三線")*('0725 4度C'!$T:$T&lt;&gt;"")),'0725 4度C'!$T:$T)</f>
        <v>0.8027777777777777</v>
      </c>
      <c r="H17" s="24">
        <f>LOOKUP(2,1/(('0725 4度C'!$A:$A="自動包裝線")*('0725 4度C'!$T:$T&lt;&gt;"")),'0725 4度C'!$T:$T)</f>
        <v>0.51944444444444438</v>
      </c>
      <c r="I17" s="24">
        <f>LOOKUP(2,1/(('0725 4度C'!$A:$A="涼麵一線")*('0725 4度C'!$T:$T&lt;&gt;"")),'0725 4度C'!$T:$T)</f>
        <v>0.80208333333333337</v>
      </c>
      <c r="J17" s="62">
        <f>LOOKUP(2,1/(('0725 4度C'!$A:$A="三明治四線")*('0725 4度C'!$T:$T&lt;&gt;"")),'0725 4度C'!$T:$T)</f>
        <v>0.47083333333333333</v>
      </c>
      <c r="K17" s="61">
        <f>LOOKUP(2,1/(('0725 4度C'!$A:$A="三明治一線")*('0725 4度C'!$T:$T&lt;&gt;"")),'0725 4度C'!$T:$T)</f>
        <v>0.50486111111111109</v>
      </c>
      <c r="L17" s="24">
        <f>LOOKUP(2,1/(('0725 4度C'!$A:$A="三明治二線")*('0725 4度C'!$T:$T&lt;&gt;"")),'0725 4度C'!$T:$T)</f>
        <v>0.50277777777777766</v>
      </c>
      <c r="M17" s="62">
        <f>LOOKUP(2,1/(('0725 4度C'!$A:$A="自動包裝二線")*('0725 4度C'!$T:$T&lt;&gt;"")),'0725 4度C'!$T:$T)</f>
        <v>0.49027777777777776</v>
      </c>
    </row>
    <row r="18" spans="2:13" ht="17.25" customHeight="1">
      <c r="B18" s="431" t="s">
        <v>1356</v>
      </c>
      <c r="C18" s="446"/>
      <c r="D18" s="66">
        <f>SUMIFS('0725 4度C'!$I:$I,'0725 4度C'!$A:$A,"燴飯線",'0725 4度C'!$B:$B,"平均")</f>
        <v>17</v>
      </c>
      <c r="E18" s="67">
        <f>SUMIFS('0725 4度C'!$I:$I,'0725 4度C'!$A:$A,"沙拉線一線",'0725 4度C'!$B:$B,"平均")</f>
        <v>18.666666666666668</v>
      </c>
      <c r="F18" s="67">
        <f>SUMIFS('0725 4度C'!$I:$I,'0725 4度C'!$A:$A,"沙拉線二線",'0725 4度C'!$B:$B,"平均")</f>
        <v>18.8</v>
      </c>
      <c r="G18" s="67">
        <f>SUMIFS('0725 4度C'!$I:$I,'0725 4度C'!$A:$A,"沙拉線三線",'0725 4度C'!$B:$B,"平均")</f>
        <v>16.5</v>
      </c>
      <c r="H18" s="67">
        <f>SUMIFS('0725 4度C'!$I:$I,'0725 4度C'!$A:$A,"自動包裝線",'0725 4度C'!$B:$B,"平均")</f>
        <v>10</v>
      </c>
      <c r="I18" s="67">
        <f>SUMIFS('0725 4度C'!$I:$I,'0725 4度C'!$A:$A,"涼麵一線",'0725 4度C'!$B:$B,"平均")</f>
        <v>16.75</v>
      </c>
      <c r="J18" s="68">
        <f>SUMIFS('0725 4度C'!$I:$I,'0725 4度C'!$A:$A,"三明治四線",'0725 4度C'!$B:$B,"平均")</f>
        <v>10.666666666666666</v>
      </c>
      <c r="K18" s="66">
        <f>SUMIFS('0725 4度C'!$I:$I,'0725 4度C'!$A:$A,"三明治一線",'0725 4度C'!$B:$B,"平均")</f>
        <v>17.600000000000001</v>
      </c>
      <c r="L18" s="67">
        <f>SUMIFS('0725 4度C'!$I:$I,'0725 4度C'!$A:$A,"三明治二線",'0725 4度C'!$B:$B,"平均")</f>
        <v>19</v>
      </c>
      <c r="M18" s="68">
        <f>SUMIFS('0725 4度C'!$I:$I,'0725 4度C'!$A:$A,"自動包裝二線",'0725 4度C'!$B:$B,"平均")</f>
        <v>17.600000000000001</v>
      </c>
    </row>
    <row r="19" spans="2:13" ht="17.25" customHeight="1">
      <c r="B19" s="448" t="s">
        <v>1357</v>
      </c>
      <c r="C19" s="449"/>
      <c r="D19" s="69" t="s">
        <v>50</v>
      </c>
      <c r="E19" s="70" t="s">
        <v>51</v>
      </c>
      <c r="F19" s="70" t="s">
        <v>1358</v>
      </c>
      <c r="G19" s="70" t="s">
        <v>1359</v>
      </c>
      <c r="H19" s="70" t="s">
        <v>52</v>
      </c>
      <c r="I19" s="70" t="s">
        <v>50</v>
      </c>
      <c r="J19" s="71" t="s">
        <v>52</v>
      </c>
      <c r="K19" s="69" t="s">
        <v>1360</v>
      </c>
      <c r="L19" s="70" t="s">
        <v>1360</v>
      </c>
      <c r="M19" s="71" t="s">
        <v>1360</v>
      </c>
    </row>
    <row r="20" spans="2:13" ht="17.25" customHeight="1">
      <c r="B20" s="448" t="s">
        <v>1361</v>
      </c>
      <c r="C20" s="449"/>
      <c r="D20" s="69"/>
      <c r="E20" s="70"/>
      <c r="F20" s="70" t="s">
        <v>1362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1363</v>
      </c>
      <c r="C21" s="451"/>
      <c r="D21" s="72"/>
      <c r="E21" s="73" t="s">
        <v>1364</v>
      </c>
      <c r="F21" s="452" t="s">
        <v>1365</v>
      </c>
      <c r="G21" s="453"/>
      <c r="H21" s="73" t="s">
        <v>107</v>
      </c>
      <c r="I21" s="73" t="s">
        <v>1366</v>
      </c>
      <c r="J21" s="74" t="s">
        <v>1367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8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6"/>
  <sheetViews>
    <sheetView zoomScale="80" zoomScaleNormal="80" workbookViewId="0">
      <pane ySplit="4" topLeftCell="A5" activePane="bottomLeft" state="frozen"/>
      <selection activeCell="O7" sqref="O7"/>
      <selection pane="bottomLeft" activeCell="O7" sqref="O7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1368</v>
      </c>
      <c r="D1" s="3">
        <f>SUM(F5:F65)</f>
        <v>130481</v>
      </c>
      <c r="E1" s="323" t="s">
        <v>1369</v>
      </c>
      <c r="F1" s="1">
        <f>SUM(G5:G65)</f>
        <v>4459410.4399999995</v>
      </c>
      <c r="G1" s="1" t="s">
        <v>1370</v>
      </c>
      <c r="H1" s="4">
        <f>L8+L12+L47+L52+L18+L59+L33+L40+L27+L65</f>
        <v>162.58333333333334</v>
      </c>
      <c r="I1" s="454" t="s">
        <v>1371</v>
      </c>
      <c r="J1" s="454"/>
      <c r="K1" s="454"/>
      <c r="L1" s="454" t="s">
        <v>1372</v>
      </c>
      <c r="M1" s="454"/>
      <c r="N1" s="454"/>
      <c r="O1" s="454" t="s">
        <v>1373</v>
      </c>
      <c r="P1" s="454"/>
      <c r="Q1" s="454"/>
      <c r="R1" s="454"/>
      <c r="S1" s="454" t="s">
        <v>1374</v>
      </c>
      <c r="T1" s="454"/>
      <c r="U1" s="454"/>
      <c r="V1" s="454"/>
      <c r="W1" s="454"/>
      <c r="X1" s="454"/>
      <c r="Y1" s="454" t="s">
        <v>1375</v>
      </c>
      <c r="Z1" s="454"/>
      <c r="AA1" s="454" t="s">
        <v>1376</v>
      </c>
      <c r="AB1" s="455"/>
      <c r="AC1" s="455"/>
    </row>
    <row r="2" spans="1:29" ht="26.25" customHeight="1">
      <c r="A2" s="22">
        <v>45863</v>
      </c>
      <c r="B2" s="23" t="s">
        <v>303</v>
      </c>
      <c r="C2" s="2" t="s">
        <v>1377</v>
      </c>
      <c r="D2" s="6">
        <f>AVERAGE(N8,N12,N47,N52,N18,N59,N27,N33,N40,N65)</f>
        <v>128.16514337477128</v>
      </c>
      <c r="E2" s="7" t="s">
        <v>0</v>
      </c>
      <c r="F2" s="8">
        <f>F1/D1</f>
        <v>34.176703428085311</v>
      </c>
      <c r="G2" s="1" t="s">
        <v>1378</v>
      </c>
      <c r="H2" s="334">
        <f>COUNT(H5:H65)</f>
        <v>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1379</v>
      </c>
      <c r="B3" s="456" t="s">
        <v>1380</v>
      </c>
      <c r="C3" s="456" t="s">
        <v>1381</v>
      </c>
      <c r="D3" s="456"/>
      <c r="E3" s="457" t="s">
        <v>1382</v>
      </c>
      <c r="F3" s="456" t="s">
        <v>1383</v>
      </c>
      <c r="G3" s="457" t="s">
        <v>1384</v>
      </c>
      <c r="H3" s="463" t="s">
        <v>1385</v>
      </c>
      <c r="I3" s="464" t="s">
        <v>1386</v>
      </c>
      <c r="J3" s="465" t="s">
        <v>1387</v>
      </c>
      <c r="K3" s="459" t="s">
        <v>1377</v>
      </c>
      <c r="L3" s="464" t="s">
        <v>1386</v>
      </c>
      <c r="M3" s="465" t="s">
        <v>1387</v>
      </c>
      <c r="N3" s="459" t="s">
        <v>1377</v>
      </c>
      <c r="O3" s="464" t="s">
        <v>1386</v>
      </c>
      <c r="P3" s="459" t="s">
        <v>1377</v>
      </c>
      <c r="Q3" s="460" t="s">
        <v>1388</v>
      </c>
      <c r="R3" s="461" t="s">
        <v>1389</v>
      </c>
      <c r="S3" s="462" t="s">
        <v>1</v>
      </c>
      <c r="T3" s="462"/>
      <c r="U3" s="463" t="s">
        <v>2</v>
      </c>
      <c r="V3" s="463" t="s">
        <v>1390</v>
      </c>
      <c r="W3" s="456" t="s">
        <v>1391</v>
      </c>
      <c r="X3" s="456"/>
      <c r="Y3" s="475" t="s">
        <v>1392</v>
      </c>
      <c r="Z3" s="476"/>
      <c r="AA3" s="465" t="s">
        <v>1387</v>
      </c>
      <c r="AB3" s="460" t="s">
        <v>1388</v>
      </c>
      <c r="AC3" s="461" t="s">
        <v>1389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33" t="s">
        <v>3</v>
      </c>
      <c r="T4" s="333" t="s">
        <v>4</v>
      </c>
      <c r="U4" s="463"/>
      <c r="V4" s="463"/>
      <c r="W4" s="323" t="s">
        <v>1393</v>
      </c>
      <c r="X4" s="323" t="s">
        <v>1394</v>
      </c>
      <c r="Y4" s="476"/>
      <c r="Z4" s="476"/>
      <c r="AA4" s="465"/>
      <c r="AB4" s="460"/>
      <c r="AC4" s="461"/>
    </row>
    <row r="5" spans="1:29">
      <c r="A5" s="471" t="s">
        <v>1395</v>
      </c>
      <c r="B5" s="26" t="s">
        <v>13</v>
      </c>
      <c r="C5" s="472" t="s">
        <v>58</v>
      </c>
      <c r="D5" s="472"/>
      <c r="E5" s="26">
        <v>46.93</v>
      </c>
      <c r="F5" s="333">
        <v>827</v>
      </c>
      <c r="G5" s="323">
        <f>E5*F5</f>
        <v>38811.11</v>
      </c>
      <c r="H5" s="76" t="s">
        <v>57</v>
      </c>
      <c r="I5" s="331">
        <v>17</v>
      </c>
      <c r="J5" s="18">
        <v>1800</v>
      </c>
      <c r="K5" s="9">
        <f>J5/I5</f>
        <v>105.88235294117646</v>
      </c>
      <c r="L5" s="331">
        <v>17</v>
      </c>
      <c r="M5" s="10">
        <f>F5/V5*60</f>
        <v>1653.999999999997</v>
      </c>
      <c r="N5" s="9">
        <f>M5/L5</f>
        <v>97.294117647058656</v>
      </c>
      <c r="O5" s="11">
        <f t="shared" ref="O5:O7" si="0">L5-I5</f>
        <v>0</v>
      </c>
      <c r="P5" s="12">
        <f t="shared" ref="P5:P7" si="1">N5-K5</f>
        <v>-8.5882352941178084</v>
      </c>
      <c r="Q5" s="325">
        <f>N5/K5</f>
        <v>0.91888888888888731</v>
      </c>
      <c r="R5" s="470">
        <f>Q8</f>
        <v>0.91889903602232326</v>
      </c>
      <c r="S5" s="24">
        <v>0.70833333333333337</v>
      </c>
      <c r="T5" s="24">
        <v>0.72916666666666674</v>
      </c>
      <c r="U5" s="323"/>
      <c r="V5" s="332">
        <f>(T5-S5)*24*60</f>
        <v>30.000000000000053</v>
      </c>
      <c r="W5" s="13"/>
      <c r="X5" s="13"/>
      <c r="Y5" s="456"/>
      <c r="Z5" s="456"/>
      <c r="AA5" s="11">
        <f t="shared" ref="AA5:AA65" si="2">M5-J5</f>
        <v>-146.00000000000296</v>
      </c>
      <c r="AB5" s="325">
        <f t="shared" ref="AB5:AB7" si="3">M5/J5</f>
        <v>0.9188888888888872</v>
      </c>
      <c r="AC5" s="470">
        <f>AB8</f>
        <v>0.91889903602232315</v>
      </c>
    </row>
    <row r="6" spans="1:29">
      <c r="A6" s="464" t="s">
        <v>1396</v>
      </c>
      <c r="B6" s="26" t="s">
        <v>13</v>
      </c>
      <c r="C6" s="472" t="s">
        <v>60</v>
      </c>
      <c r="D6" s="472"/>
      <c r="E6" s="26">
        <v>50.49</v>
      </c>
      <c r="F6" s="333">
        <v>1656</v>
      </c>
      <c r="G6" s="323">
        <f t="shared" ref="G6:G7" si="4">E6*F6</f>
        <v>83611.44</v>
      </c>
      <c r="H6" s="76" t="s">
        <v>57</v>
      </c>
      <c r="I6" s="331">
        <v>16</v>
      </c>
      <c r="J6" s="18">
        <v>1800</v>
      </c>
      <c r="K6" s="9">
        <f t="shared" ref="K6:K7" si="5">J6/I6</f>
        <v>112.5</v>
      </c>
      <c r="L6" s="331">
        <v>16</v>
      </c>
      <c r="M6" s="10">
        <f>F6/V6*60</f>
        <v>1656.0000000000016</v>
      </c>
      <c r="N6" s="9">
        <f t="shared" ref="N6:N7" si="6">M6/L6</f>
        <v>103.5000000000001</v>
      </c>
      <c r="O6" s="11">
        <f t="shared" si="0"/>
        <v>0</v>
      </c>
      <c r="P6" s="12">
        <f t="shared" si="1"/>
        <v>-8.9999999999999005</v>
      </c>
      <c r="Q6" s="325">
        <f t="shared" ref="Q6:Q7" si="7">N6/K6</f>
        <v>0.92000000000000093</v>
      </c>
      <c r="R6" s="470"/>
      <c r="S6" s="24">
        <v>0.73402777777777783</v>
      </c>
      <c r="T6" s="24">
        <v>0.77569444444444446</v>
      </c>
      <c r="U6" s="323">
        <f>(S6-T5)*24*60</f>
        <v>6.9999999999999751</v>
      </c>
      <c r="V6" s="332">
        <f>(T6-S6)*24*60</f>
        <v>59.999999999999943</v>
      </c>
      <c r="W6" s="14"/>
      <c r="X6" s="14"/>
      <c r="Y6" s="456"/>
      <c r="Z6" s="456"/>
      <c r="AA6" s="11">
        <f t="shared" si="2"/>
        <v>-143.99999999999841</v>
      </c>
      <c r="AB6" s="325">
        <f t="shared" si="3"/>
        <v>0.92000000000000093</v>
      </c>
      <c r="AC6" s="470"/>
    </row>
    <row r="7" spans="1:29">
      <c r="A7" s="464" t="s">
        <v>1396</v>
      </c>
      <c r="B7" s="26" t="s">
        <v>13</v>
      </c>
      <c r="C7" s="468" t="s">
        <v>448</v>
      </c>
      <c r="D7" s="469"/>
      <c r="E7" s="26">
        <v>50.67</v>
      </c>
      <c r="F7" s="333">
        <v>2010</v>
      </c>
      <c r="G7" s="323">
        <f t="shared" si="4"/>
        <v>101846.7</v>
      </c>
      <c r="H7" s="76" t="s">
        <v>57</v>
      </c>
      <c r="I7" s="331">
        <v>18</v>
      </c>
      <c r="J7" s="18">
        <v>1800</v>
      </c>
      <c r="K7" s="9">
        <f t="shared" si="5"/>
        <v>100</v>
      </c>
      <c r="L7" s="331">
        <v>18</v>
      </c>
      <c r="M7" s="10">
        <f t="shared" ref="M7" si="8">F7/V7*60</f>
        <v>1652.0547945205467</v>
      </c>
      <c r="N7" s="9">
        <f t="shared" si="6"/>
        <v>91.780821917808154</v>
      </c>
      <c r="O7" s="11">
        <f t="shared" si="0"/>
        <v>0</v>
      </c>
      <c r="P7" s="12">
        <f t="shared" si="1"/>
        <v>-8.2191780821918456</v>
      </c>
      <c r="Q7" s="325">
        <f t="shared" si="7"/>
        <v>0.91780821917808153</v>
      </c>
      <c r="R7" s="470"/>
      <c r="S7" s="24">
        <v>0.78055555555555556</v>
      </c>
      <c r="T7" s="24">
        <v>0.83125000000000004</v>
      </c>
      <c r="U7" s="323">
        <f t="shared" ref="U7" si="9">(S7-T6)*24*60</f>
        <v>6.9999999999999751</v>
      </c>
      <c r="V7" s="332">
        <f t="shared" ref="V7" si="10">(T7-S7)*24*60</f>
        <v>73.000000000000057</v>
      </c>
      <c r="W7" s="14"/>
      <c r="X7" s="14"/>
      <c r="Y7" s="473"/>
      <c r="Z7" s="474"/>
      <c r="AA7" s="11">
        <f t="shared" si="2"/>
        <v>-147.94520547945331</v>
      </c>
      <c r="AB7" s="325">
        <f t="shared" si="3"/>
        <v>0.91780821917808153</v>
      </c>
      <c r="AC7" s="470"/>
    </row>
    <row r="8" spans="1:29">
      <c r="A8" s="464" t="s">
        <v>1396</v>
      </c>
      <c r="B8" s="26" t="s">
        <v>1397</v>
      </c>
      <c r="C8" s="466"/>
      <c r="D8" s="466"/>
      <c r="E8" s="324"/>
      <c r="F8" s="16"/>
      <c r="G8" s="9"/>
      <c r="H8" s="33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1654.0182648401817</v>
      </c>
      <c r="N8" s="9">
        <f>M8/L8</f>
        <v>97.295192049422454</v>
      </c>
      <c r="O8" s="11">
        <f>L8-I8</f>
        <v>0</v>
      </c>
      <c r="P8" s="12">
        <f>N8-K8</f>
        <v>-8.5871608917540101</v>
      </c>
      <c r="Q8" s="325">
        <f>N8/K8</f>
        <v>0.91889903602232326</v>
      </c>
      <c r="R8" s="470"/>
      <c r="S8" s="24"/>
      <c r="T8" s="24"/>
      <c r="U8" s="323"/>
      <c r="V8" s="332"/>
      <c r="W8" s="9"/>
      <c r="X8" s="9"/>
      <c r="Y8" s="456"/>
      <c r="Z8" s="456"/>
      <c r="AA8" s="11">
        <f t="shared" si="2"/>
        <v>-145.9817351598183</v>
      </c>
      <c r="AB8" s="325">
        <f>M8/J8</f>
        <v>0.91889903602232315</v>
      </c>
      <c r="AC8" s="470"/>
    </row>
    <row r="9" spans="1:29" ht="15.75" customHeight="1">
      <c r="A9" s="467" t="s">
        <v>1398</v>
      </c>
      <c r="B9" s="26" t="s">
        <v>15</v>
      </c>
      <c r="C9" s="468" t="s">
        <v>16</v>
      </c>
      <c r="D9" s="469"/>
      <c r="E9" s="26">
        <v>39.619999999999997</v>
      </c>
      <c r="F9" s="333">
        <v>3546</v>
      </c>
      <c r="G9" s="323">
        <f t="shared" ref="G9:G11" si="11">E9*F9</f>
        <v>140492.51999999999</v>
      </c>
      <c r="H9" s="76" t="s">
        <v>57</v>
      </c>
      <c r="I9" s="331">
        <v>19</v>
      </c>
      <c r="J9" s="18">
        <v>1500</v>
      </c>
      <c r="K9" s="9">
        <f t="shared" ref="K9:K11" si="12">J9/I9</f>
        <v>78.94736842105263</v>
      </c>
      <c r="L9" s="331">
        <v>19</v>
      </c>
      <c r="M9" s="10">
        <f t="shared" ref="M9:M11" si="13">F9/V9*60</f>
        <v>1363.8461538461538</v>
      </c>
      <c r="N9" s="9">
        <f t="shared" ref="N9:N11" si="14">M9/L9</f>
        <v>71.781376518218622</v>
      </c>
      <c r="O9" s="11">
        <f t="shared" ref="O9:O11" si="15">L9-I9</f>
        <v>0</v>
      </c>
      <c r="P9" s="12">
        <f>N9-K9</f>
        <v>-7.1659919028340084</v>
      </c>
      <c r="Q9" s="325">
        <f>N9/K9</f>
        <v>0.90923076923076918</v>
      </c>
      <c r="R9" s="470">
        <f>Q12</f>
        <v>0.90802831041960808</v>
      </c>
      <c r="S9" s="24">
        <v>0.12986111111111112</v>
      </c>
      <c r="T9" s="24">
        <v>0.23819444444444446</v>
      </c>
      <c r="U9" s="323"/>
      <c r="V9" s="332">
        <f t="shared" ref="V9:V11" si="16">(T9-S9)*24*60</f>
        <v>156</v>
      </c>
      <c r="W9" s="9"/>
      <c r="X9" s="9"/>
      <c r="Y9" s="456"/>
      <c r="Z9" s="456"/>
      <c r="AA9" s="11">
        <f t="shared" si="2"/>
        <v>-136.15384615384619</v>
      </c>
      <c r="AB9" s="325">
        <f>M9/J9</f>
        <v>0.90923076923076918</v>
      </c>
      <c r="AC9" s="470">
        <f>AB12</f>
        <v>0.90802831041960796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33">
        <v>4777</v>
      </c>
      <c r="G10" s="323">
        <f t="shared" si="11"/>
        <v>190124.59999999998</v>
      </c>
      <c r="H10" s="76" t="s">
        <v>57</v>
      </c>
      <c r="I10" s="331">
        <v>18</v>
      </c>
      <c r="J10" s="18">
        <v>1500</v>
      </c>
      <c r="K10" s="9">
        <f t="shared" si="12"/>
        <v>83.333333333333329</v>
      </c>
      <c r="L10" s="331">
        <v>18</v>
      </c>
      <c r="M10" s="10">
        <f t="shared" si="13"/>
        <v>1358.3886255924172</v>
      </c>
      <c r="N10" s="9">
        <f t="shared" si="14"/>
        <v>75.466034755134288</v>
      </c>
      <c r="O10" s="11">
        <f t="shared" si="15"/>
        <v>0</v>
      </c>
      <c r="P10" s="12">
        <f t="shared" ref="P10:P11" si="17">N10-K10</f>
        <v>-7.8672985781990405</v>
      </c>
      <c r="Q10" s="325">
        <f t="shared" ref="Q10:Q11" si="18">N10/K10</f>
        <v>0.90559241706161153</v>
      </c>
      <c r="R10" s="470"/>
      <c r="S10" s="24">
        <v>0.26319444444444445</v>
      </c>
      <c r="T10" s="24">
        <v>0.40972222222222221</v>
      </c>
      <c r="U10" s="323">
        <f>(S10-T9)*24*60</f>
        <v>35.999999999999993</v>
      </c>
      <c r="V10" s="332">
        <f t="shared" si="16"/>
        <v>210.99999999999997</v>
      </c>
      <c r="W10" s="14"/>
      <c r="X10" s="14"/>
      <c r="Y10" s="456"/>
      <c r="Z10" s="456"/>
      <c r="AA10" s="11">
        <f t="shared" si="2"/>
        <v>-141.61137440758284</v>
      </c>
      <c r="AB10" s="325">
        <f t="shared" ref="AB10:AB27" si="19">M10/J10</f>
        <v>0.90559241706161142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33">
        <v>3387</v>
      </c>
      <c r="G11" s="323">
        <f t="shared" si="11"/>
        <v>133075.23000000001</v>
      </c>
      <c r="H11" s="76" t="s">
        <v>57</v>
      </c>
      <c r="I11" s="331">
        <v>19</v>
      </c>
      <c r="J11" s="18">
        <v>1500</v>
      </c>
      <c r="K11" s="9">
        <f t="shared" si="12"/>
        <v>78.94736842105263</v>
      </c>
      <c r="L11" s="331">
        <v>19</v>
      </c>
      <c r="M11" s="10">
        <f t="shared" si="13"/>
        <v>1363.8926174496651</v>
      </c>
      <c r="N11" s="9">
        <f t="shared" si="14"/>
        <v>71.78382197103501</v>
      </c>
      <c r="O11" s="11">
        <f t="shared" si="15"/>
        <v>0</v>
      </c>
      <c r="P11" s="12">
        <f t="shared" si="17"/>
        <v>-7.1635464500176198</v>
      </c>
      <c r="Q11" s="325">
        <f t="shared" si="18"/>
        <v>0.90926174496644352</v>
      </c>
      <c r="R11" s="470"/>
      <c r="S11" s="24">
        <v>0.41666666666666663</v>
      </c>
      <c r="T11" s="24">
        <v>0.52013888888888882</v>
      </c>
      <c r="U11" s="323">
        <f t="shared" ref="U11" si="20">(S11-T10)*24*60</f>
        <v>9.9999999999999645</v>
      </c>
      <c r="V11" s="332">
        <f t="shared" si="16"/>
        <v>148.99999999999994</v>
      </c>
      <c r="W11" s="14"/>
      <c r="X11" s="14"/>
      <c r="Y11" s="456"/>
      <c r="Z11" s="456"/>
      <c r="AA11" s="11">
        <f t="shared" si="2"/>
        <v>-136.10738255033493</v>
      </c>
      <c r="AB11" s="325">
        <f t="shared" si="19"/>
        <v>0.90926174496644341</v>
      </c>
      <c r="AC11" s="470"/>
    </row>
    <row r="12" spans="1:29" ht="16.5" customHeight="1">
      <c r="A12" s="467" t="s">
        <v>5</v>
      </c>
      <c r="B12" s="26" t="s">
        <v>1397</v>
      </c>
      <c r="C12" s="466"/>
      <c r="D12" s="466"/>
      <c r="E12" s="324"/>
      <c r="F12" s="18"/>
      <c r="G12" s="10"/>
      <c r="H12" s="333"/>
      <c r="I12" s="17">
        <v>18.666666666666668</v>
      </c>
      <c r="J12" s="18">
        <v>1500</v>
      </c>
      <c r="K12" s="9">
        <f>J12/I12</f>
        <v>80.357142857142847</v>
      </c>
      <c r="L12" s="17">
        <v>18.666666666666668</v>
      </c>
      <c r="M12" s="10">
        <f>AVERAGE(M9:M11)</f>
        <v>1362.0424656294119</v>
      </c>
      <c r="N12" s="9">
        <f>M12/L12</f>
        <v>72.966560658718493</v>
      </c>
      <c r="O12" s="11">
        <f>L12-I12</f>
        <v>0</v>
      </c>
      <c r="P12" s="12">
        <f>N12-K12</f>
        <v>-7.3905821984243545</v>
      </c>
      <c r="Q12" s="325">
        <f>N12/K12</f>
        <v>0.90802831041960808</v>
      </c>
      <c r="R12" s="470"/>
      <c r="S12" s="24"/>
      <c r="T12" s="24"/>
      <c r="U12" s="9"/>
      <c r="V12" s="332"/>
      <c r="W12" s="9"/>
      <c r="X12" s="9"/>
      <c r="Y12" s="456"/>
      <c r="Z12" s="456"/>
      <c r="AA12" s="11">
        <f t="shared" si="2"/>
        <v>-137.95753437058806</v>
      </c>
      <c r="AB12" s="325">
        <f t="shared" si="19"/>
        <v>0.90802831041960796</v>
      </c>
      <c r="AC12" s="470"/>
    </row>
    <row r="13" spans="1:29" ht="16.5" customHeight="1">
      <c r="A13" s="480" t="s">
        <v>1399</v>
      </c>
      <c r="B13" s="333" t="s">
        <v>18</v>
      </c>
      <c r="C13" s="477" t="s">
        <v>19</v>
      </c>
      <c r="D13" s="477"/>
      <c r="E13" s="26">
        <v>41</v>
      </c>
      <c r="F13" s="333">
        <v>1512</v>
      </c>
      <c r="G13" s="323">
        <f t="shared" ref="G13:G17" si="21">E13*F13</f>
        <v>61992</v>
      </c>
      <c r="H13" s="76" t="s">
        <v>57</v>
      </c>
      <c r="I13" s="331">
        <v>26</v>
      </c>
      <c r="J13" s="18">
        <v>1286</v>
      </c>
      <c r="K13" s="9">
        <f>J13/I13</f>
        <v>49.46153846153846</v>
      </c>
      <c r="L13" s="331">
        <v>26</v>
      </c>
      <c r="M13" s="10">
        <f>F13/V13*60</f>
        <v>1178.1818181818176</v>
      </c>
      <c r="N13" s="9">
        <f t="shared" ref="N13:N26" si="22">M13/L13</f>
        <v>45.314685314685292</v>
      </c>
      <c r="O13" s="11">
        <f t="shared" ref="O13" si="23">L13-I13</f>
        <v>0</v>
      </c>
      <c r="P13" s="12">
        <f t="shared" ref="P13" si="24">N13-K13</f>
        <v>-4.146853146853168</v>
      </c>
      <c r="Q13" s="325">
        <f>N13/K13</f>
        <v>0.91616004524247097</v>
      </c>
      <c r="R13" s="470">
        <f>Q18</f>
        <v>0.91431361964846669</v>
      </c>
      <c r="S13" s="24">
        <v>0.25</v>
      </c>
      <c r="T13" s="24">
        <v>0.30347222222222225</v>
      </c>
      <c r="U13" s="323"/>
      <c r="V13" s="332">
        <f>(T13-S13)*24*60</f>
        <v>77.000000000000043</v>
      </c>
      <c r="W13" s="15"/>
      <c r="X13" s="15"/>
      <c r="Y13" s="456"/>
      <c r="Z13" s="456"/>
      <c r="AA13" s="11">
        <f t="shared" si="2"/>
        <v>-107.81818181818244</v>
      </c>
      <c r="AB13" s="325">
        <f t="shared" si="19"/>
        <v>0.91616004524247086</v>
      </c>
      <c r="AC13" s="470">
        <f>AB18</f>
        <v>0.91431361964846669</v>
      </c>
    </row>
    <row r="14" spans="1:29" ht="16.5" customHeight="1">
      <c r="A14" s="481" t="s">
        <v>6</v>
      </c>
      <c r="B14" s="333" t="s">
        <v>15</v>
      </c>
      <c r="C14" s="477" t="s">
        <v>68</v>
      </c>
      <c r="D14" s="477"/>
      <c r="E14" s="26">
        <v>39.29</v>
      </c>
      <c r="F14" s="333">
        <v>1615</v>
      </c>
      <c r="G14" s="323">
        <f t="shared" si="21"/>
        <v>63453.35</v>
      </c>
      <c r="H14" s="76" t="s">
        <v>57</v>
      </c>
      <c r="I14" s="331">
        <v>18</v>
      </c>
      <c r="J14" s="18">
        <v>1500</v>
      </c>
      <c r="K14" s="9">
        <f>J14/I14</f>
        <v>83.333333333333329</v>
      </c>
      <c r="L14" s="331">
        <v>18</v>
      </c>
      <c r="M14" s="10">
        <f>F14/V14*60</f>
        <v>1364.7887323943664</v>
      </c>
      <c r="N14" s="9">
        <f t="shared" si="22"/>
        <v>75.82159624413147</v>
      </c>
      <c r="O14" s="11">
        <f>L14-I14</f>
        <v>0</v>
      </c>
      <c r="P14" s="12">
        <f>N14-K14</f>
        <v>-7.5117370892018585</v>
      </c>
      <c r="Q14" s="325">
        <f>N14/K14</f>
        <v>0.9098591549295777</v>
      </c>
      <c r="R14" s="470"/>
      <c r="S14" s="24">
        <v>0.31388888888888888</v>
      </c>
      <c r="T14" s="24">
        <v>0.36319444444444443</v>
      </c>
      <c r="U14" s="323">
        <f>(S14-T13)*24*60</f>
        <v>14.999999999999947</v>
      </c>
      <c r="V14" s="332">
        <f>(T14-S14)*24*60</f>
        <v>70.999999999999986</v>
      </c>
      <c r="W14" s="14"/>
      <c r="X14" s="14"/>
      <c r="Y14" s="456"/>
      <c r="Z14" s="456"/>
      <c r="AA14" s="11">
        <f t="shared" si="2"/>
        <v>-135.21126760563357</v>
      </c>
      <c r="AB14" s="325">
        <f t="shared" si="19"/>
        <v>0.90985915492957758</v>
      </c>
      <c r="AC14" s="470"/>
    </row>
    <row r="15" spans="1:29" ht="16.5" customHeight="1">
      <c r="A15" s="481" t="s">
        <v>6</v>
      </c>
      <c r="B15" s="333" t="s">
        <v>15</v>
      </c>
      <c r="C15" s="477" t="s">
        <v>54</v>
      </c>
      <c r="D15" s="477"/>
      <c r="E15" s="26">
        <v>39.29</v>
      </c>
      <c r="F15" s="333">
        <v>2726</v>
      </c>
      <c r="G15" s="323">
        <f t="shared" si="21"/>
        <v>107104.54</v>
      </c>
      <c r="H15" s="76" t="s">
        <v>57</v>
      </c>
      <c r="I15" s="331">
        <v>17</v>
      </c>
      <c r="J15" s="18">
        <v>1500</v>
      </c>
      <c r="K15" s="9">
        <f t="shared" ref="K15:K17" si="25">J15/I15</f>
        <v>88.235294117647058</v>
      </c>
      <c r="L15" s="331">
        <v>17</v>
      </c>
      <c r="M15" s="10">
        <f t="shared" ref="M15:M17" si="26">F15/V15*60</f>
        <v>1363.0000000000002</v>
      </c>
      <c r="N15" s="9">
        <f t="shared" si="22"/>
        <v>80.176470588235304</v>
      </c>
      <c r="O15" s="11">
        <f t="shared" ref="O15:O17" si="27">L15-I15</f>
        <v>0</v>
      </c>
      <c r="P15" s="12">
        <f t="shared" ref="P15:P17" si="28">N15-K15</f>
        <v>-8.0588235294117538</v>
      </c>
      <c r="Q15" s="325">
        <f t="shared" ref="Q15:Q26" si="29">N15/K15</f>
        <v>0.90866666666666673</v>
      </c>
      <c r="R15" s="470"/>
      <c r="S15" s="24">
        <v>0.37222222222222218</v>
      </c>
      <c r="T15" s="24">
        <v>0.45555555555555549</v>
      </c>
      <c r="U15" s="323">
        <f t="shared" ref="U15:U17" si="30">(S15-T14)*24*60</f>
        <v>12.999999999999954</v>
      </c>
      <c r="V15" s="332">
        <f t="shared" ref="V15:V17" si="31">(T15-S15)*24*60</f>
        <v>119.99999999999997</v>
      </c>
      <c r="W15" s="14"/>
      <c r="X15" s="14"/>
      <c r="Y15" s="456"/>
      <c r="Z15" s="456"/>
      <c r="AA15" s="11">
        <f t="shared" si="2"/>
        <v>-136.99999999999977</v>
      </c>
      <c r="AB15" s="325">
        <f t="shared" si="19"/>
        <v>0.90866666666666684</v>
      </c>
      <c r="AC15" s="470"/>
    </row>
    <row r="16" spans="1:29" ht="16.5" customHeight="1">
      <c r="A16" s="481" t="s">
        <v>6</v>
      </c>
      <c r="B16" s="333" t="s">
        <v>13</v>
      </c>
      <c r="C16" s="477" t="s">
        <v>63</v>
      </c>
      <c r="D16" s="477"/>
      <c r="E16" s="26">
        <v>50.98</v>
      </c>
      <c r="F16" s="333">
        <v>2120</v>
      </c>
      <c r="G16" s="323">
        <f t="shared" si="21"/>
        <v>108077.59999999999</v>
      </c>
      <c r="H16" s="76" t="s">
        <v>57</v>
      </c>
      <c r="I16" s="331">
        <v>17</v>
      </c>
      <c r="J16" s="18">
        <v>1800</v>
      </c>
      <c r="K16" s="9">
        <f t="shared" si="25"/>
        <v>105.88235294117646</v>
      </c>
      <c r="L16" s="331">
        <v>17</v>
      </c>
      <c r="M16" s="10">
        <f t="shared" si="26"/>
        <v>1651.948051948051</v>
      </c>
      <c r="N16" s="9">
        <f t="shared" si="22"/>
        <v>97.173414820473582</v>
      </c>
      <c r="O16" s="11">
        <f t="shared" si="27"/>
        <v>0</v>
      </c>
      <c r="P16" s="12">
        <f t="shared" si="28"/>
        <v>-8.7089381207028822</v>
      </c>
      <c r="Q16" s="325">
        <f t="shared" si="29"/>
        <v>0.9177489177489172</v>
      </c>
      <c r="R16" s="470"/>
      <c r="S16" s="24">
        <v>0.70833333333333337</v>
      </c>
      <c r="T16" s="24">
        <v>0.76180555555555562</v>
      </c>
      <c r="U16" s="323">
        <f t="shared" si="30"/>
        <v>364.00000000000017</v>
      </c>
      <c r="V16" s="332">
        <f t="shared" si="31"/>
        <v>77.000000000000043</v>
      </c>
      <c r="W16" s="14"/>
      <c r="X16" s="14"/>
      <c r="Y16" s="456"/>
      <c r="Z16" s="456"/>
      <c r="AA16" s="11">
        <f t="shared" si="2"/>
        <v>-148.05194805194901</v>
      </c>
      <c r="AB16" s="325">
        <f t="shared" si="19"/>
        <v>0.9177489177489172</v>
      </c>
      <c r="AC16" s="470"/>
    </row>
    <row r="17" spans="1:29" ht="16.5" customHeight="1">
      <c r="A17" s="481" t="s">
        <v>6</v>
      </c>
      <c r="B17" s="333" t="s">
        <v>13</v>
      </c>
      <c r="C17" s="477" t="s">
        <v>66</v>
      </c>
      <c r="D17" s="477"/>
      <c r="E17" s="26">
        <v>57.73</v>
      </c>
      <c r="F17" s="333">
        <v>1424</v>
      </c>
      <c r="G17" s="323">
        <f t="shared" si="21"/>
        <v>82207.51999999999</v>
      </c>
      <c r="H17" s="76" t="s">
        <v>57</v>
      </c>
      <c r="I17" s="331">
        <v>16</v>
      </c>
      <c r="J17" s="18">
        <v>1500</v>
      </c>
      <c r="K17" s="9">
        <f t="shared" si="25"/>
        <v>93.75</v>
      </c>
      <c r="L17" s="331">
        <v>16</v>
      </c>
      <c r="M17" s="10">
        <f t="shared" si="26"/>
        <v>1378.0645161290336</v>
      </c>
      <c r="N17" s="9">
        <f t="shared" si="22"/>
        <v>86.129032258064598</v>
      </c>
      <c r="O17" s="11">
        <f t="shared" si="27"/>
        <v>0</v>
      </c>
      <c r="P17" s="12">
        <f t="shared" si="28"/>
        <v>-7.6209677419354023</v>
      </c>
      <c r="Q17" s="325">
        <f t="shared" si="29"/>
        <v>0.91870967741935572</v>
      </c>
      <c r="R17" s="470"/>
      <c r="S17" s="24">
        <v>0.76597222222222228</v>
      </c>
      <c r="T17" s="24">
        <v>0.80902777777777779</v>
      </c>
      <c r="U17" s="323">
        <f t="shared" si="30"/>
        <v>5.9999999999999787</v>
      </c>
      <c r="V17" s="332">
        <f t="shared" si="31"/>
        <v>61.999999999999943</v>
      </c>
      <c r="W17" s="14"/>
      <c r="X17" s="14"/>
      <c r="Y17" s="456"/>
      <c r="Z17" s="456"/>
      <c r="AA17" s="11">
        <f t="shared" si="2"/>
        <v>-121.93548387096644</v>
      </c>
      <c r="AB17" s="325">
        <f t="shared" si="19"/>
        <v>0.91870967741935572</v>
      </c>
      <c r="AC17" s="470"/>
    </row>
    <row r="18" spans="1:29" ht="16.5" customHeight="1">
      <c r="A18" s="481" t="s">
        <v>6</v>
      </c>
      <c r="B18" s="26" t="s">
        <v>1397</v>
      </c>
      <c r="C18" s="466"/>
      <c r="D18" s="466"/>
      <c r="E18" s="324"/>
      <c r="F18" s="16"/>
      <c r="G18" s="9"/>
      <c r="H18" s="333"/>
      <c r="I18" s="17">
        <v>18.8</v>
      </c>
      <c r="J18" s="18">
        <v>1517.2</v>
      </c>
      <c r="K18" s="9">
        <f>J18/I18</f>
        <v>80.702127659574472</v>
      </c>
      <c r="L18" s="17">
        <v>18.8</v>
      </c>
      <c r="M18" s="10">
        <f>AVERAGE(M13:M17)</f>
        <v>1387.1966237306538</v>
      </c>
      <c r="N18" s="9">
        <f t="shared" si="22"/>
        <v>73.787054453758174</v>
      </c>
      <c r="O18" s="11">
        <f>L18-I18</f>
        <v>0</v>
      </c>
      <c r="P18" s="12">
        <f>N18-K18</f>
        <v>-6.9150732058162987</v>
      </c>
      <c r="Q18" s="325">
        <f t="shared" si="29"/>
        <v>0.91431361964846669</v>
      </c>
      <c r="R18" s="470"/>
      <c r="S18" s="24"/>
      <c r="T18" s="24"/>
      <c r="U18" s="323"/>
      <c r="V18" s="332"/>
      <c r="W18" s="9"/>
      <c r="X18" s="9"/>
      <c r="Y18" s="456"/>
      <c r="Z18" s="456"/>
      <c r="AA18" s="11">
        <f t="shared" si="2"/>
        <v>-130.00337626934629</v>
      </c>
      <c r="AB18" s="325">
        <f t="shared" si="19"/>
        <v>0.91431361964846669</v>
      </c>
      <c r="AC18" s="470"/>
    </row>
    <row r="19" spans="1:29" ht="15.75" customHeight="1">
      <c r="A19" s="478" t="s">
        <v>1400</v>
      </c>
      <c r="B19" s="26" t="s">
        <v>21</v>
      </c>
      <c r="C19" s="477" t="s">
        <v>22</v>
      </c>
      <c r="D19" s="477"/>
      <c r="E19" s="26">
        <v>43.14</v>
      </c>
      <c r="F19" s="333">
        <v>967</v>
      </c>
      <c r="G19" s="323">
        <f t="shared" ref="G19:G26" si="32">E19*F19</f>
        <v>41716.379999999997</v>
      </c>
      <c r="H19" s="76" t="s">
        <v>57</v>
      </c>
      <c r="I19" s="331">
        <v>17</v>
      </c>
      <c r="J19" s="18">
        <v>1200</v>
      </c>
      <c r="K19" s="9">
        <f t="shared" ref="K19:K27" si="33">J19/I19</f>
        <v>70.588235294117652</v>
      </c>
      <c r="L19" s="331">
        <v>17</v>
      </c>
      <c r="M19" s="10">
        <f t="shared" ref="M19:M26" si="34">F19/V19*60</f>
        <v>1094.7169811320753</v>
      </c>
      <c r="N19" s="9">
        <f t="shared" si="22"/>
        <v>64.395116537180897</v>
      </c>
      <c r="O19" s="11">
        <f t="shared" ref="O19:O26" si="35">L19-I19</f>
        <v>0</v>
      </c>
      <c r="P19" s="12">
        <f t="shared" ref="P19:P26" si="36">N19-K19</f>
        <v>-6.1931187569367552</v>
      </c>
      <c r="Q19" s="325">
        <f t="shared" si="29"/>
        <v>0.91226415094339597</v>
      </c>
      <c r="R19" s="470">
        <f>Q27</f>
        <v>0.91509639440450508</v>
      </c>
      <c r="S19" s="24">
        <v>0.16666666666666666</v>
      </c>
      <c r="T19" s="24">
        <v>0.20347222222222222</v>
      </c>
      <c r="U19" s="323"/>
      <c r="V19" s="332">
        <f>(T19-S19)*24*60</f>
        <v>53.000000000000014</v>
      </c>
      <c r="W19" s="15"/>
      <c r="X19" s="15"/>
      <c r="Y19" s="456"/>
      <c r="Z19" s="456"/>
      <c r="AA19" s="11">
        <f t="shared" si="2"/>
        <v>-105.28301886792474</v>
      </c>
      <c r="AB19" s="325">
        <f t="shared" si="19"/>
        <v>0.91226415094339608</v>
      </c>
      <c r="AC19" s="470">
        <f>AB27</f>
        <v>0.91509639440450496</v>
      </c>
    </row>
    <row r="20" spans="1:29" ht="15.75" customHeight="1">
      <c r="A20" s="479" t="s">
        <v>7</v>
      </c>
      <c r="B20" s="26" t="s">
        <v>13</v>
      </c>
      <c r="C20" s="477" t="s">
        <v>23</v>
      </c>
      <c r="D20" s="477"/>
      <c r="E20" s="26">
        <v>57.73</v>
      </c>
      <c r="F20" s="333">
        <v>2171</v>
      </c>
      <c r="G20" s="323">
        <f t="shared" si="32"/>
        <v>125331.82999999999</v>
      </c>
      <c r="H20" s="76" t="s">
        <v>57</v>
      </c>
      <c r="I20" s="331">
        <v>16</v>
      </c>
      <c r="J20" s="18">
        <v>1800</v>
      </c>
      <c r="K20" s="9">
        <f t="shared" si="33"/>
        <v>112.5</v>
      </c>
      <c r="L20" s="331">
        <v>16</v>
      </c>
      <c r="M20" s="10">
        <f t="shared" si="34"/>
        <v>1648.86075949367</v>
      </c>
      <c r="N20" s="9">
        <f t="shared" si="22"/>
        <v>103.05379746835438</v>
      </c>
      <c r="O20" s="11">
        <f t="shared" si="35"/>
        <v>0</v>
      </c>
      <c r="P20" s="12">
        <f t="shared" si="36"/>
        <v>-9.4462025316456248</v>
      </c>
      <c r="Q20" s="325">
        <f t="shared" si="29"/>
        <v>0.91603375527426112</v>
      </c>
      <c r="R20" s="470"/>
      <c r="S20" s="24">
        <v>0.22152777777777777</v>
      </c>
      <c r="T20" s="24">
        <v>0.27638888888888891</v>
      </c>
      <c r="U20" s="323">
        <f>(S20-T19)*24*60</f>
        <v>25.999999999999986</v>
      </c>
      <c r="V20" s="332">
        <f t="shared" ref="V20:V26" si="37">(T20-S20)*24*60</f>
        <v>79.000000000000043</v>
      </c>
      <c r="W20" s="14"/>
      <c r="X20" s="323"/>
      <c r="Y20" s="456"/>
      <c r="Z20" s="456"/>
      <c r="AA20" s="11">
        <f t="shared" si="2"/>
        <v>-151.13924050633</v>
      </c>
      <c r="AB20" s="325">
        <f t="shared" si="19"/>
        <v>0.91603375527426112</v>
      </c>
      <c r="AC20" s="470"/>
    </row>
    <row r="21" spans="1:29" ht="15.75" customHeight="1">
      <c r="A21" s="479" t="s">
        <v>7</v>
      </c>
      <c r="B21" s="26" t="s">
        <v>13</v>
      </c>
      <c r="C21" s="477" t="s">
        <v>14</v>
      </c>
      <c r="D21" s="477"/>
      <c r="E21" s="26">
        <v>53.68</v>
      </c>
      <c r="F21" s="333">
        <v>1451</v>
      </c>
      <c r="G21" s="323">
        <f t="shared" si="32"/>
        <v>77889.679999999993</v>
      </c>
      <c r="H21" s="76" t="s">
        <v>57</v>
      </c>
      <c r="I21" s="331">
        <v>17</v>
      </c>
      <c r="J21" s="18">
        <v>1800</v>
      </c>
      <c r="K21" s="9">
        <f t="shared" si="33"/>
        <v>105.88235294117646</v>
      </c>
      <c r="L21" s="331">
        <v>17</v>
      </c>
      <c r="M21" s="10">
        <f t="shared" si="34"/>
        <v>1642.6415094339632</v>
      </c>
      <c r="N21" s="9">
        <f t="shared" si="22"/>
        <v>96.625971143174297</v>
      </c>
      <c r="O21" s="11">
        <f t="shared" si="35"/>
        <v>0</v>
      </c>
      <c r="P21" s="12">
        <f t="shared" si="36"/>
        <v>-9.2563817980021668</v>
      </c>
      <c r="Q21" s="325">
        <f t="shared" si="29"/>
        <v>0.91257861635220172</v>
      </c>
      <c r="R21" s="470"/>
      <c r="S21" s="24">
        <v>0.27986111111111112</v>
      </c>
      <c r="T21" s="24">
        <v>0.31666666666666665</v>
      </c>
      <c r="U21" s="323">
        <f t="shared" ref="U21:U26" si="38">(S21-T20)*24*60</f>
        <v>4.9999999999999822</v>
      </c>
      <c r="V21" s="332">
        <f t="shared" si="37"/>
        <v>52.999999999999972</v>
      </c>
      <c r="W21" s="14"/>
      <c r="X21" s="323"/>
      <c r="Y21" s="456"/>
      <c r="Z21" s="456"/>
      <c r="AA21" s="11">
        <f t="shared" si="2"/>
        <v>-157.35849056603683</v>
      </c>
      <c r="AB21" s="325">
        <f t="shared" si="19"/>
        <v>0.91257861635220172</v>
      </c>
      <c r="AC21" s="470"/>
    </row>
    <row r="22" spans="1:29" ht="15.75" customHeight="1">
      <c r="A22" s="479" t="s">
        <v>7</v>
      </c>
      <c r="B22" s="26" t="s">
        <v>13</v>
      </c>
      <c r="C22" s="477" t="s">
        <v>72</v>
      </c>
      <c r="D22" s="477"/>
      <c r="E22" s="26">
        <v>50.67</v>
      </c>
      <c r="F22" s="333">
        <v>890</v>
      </c>
      <c r="G22" s="323">
        <f t="shared" si="32"/>
        <v>45096.3</v>
      </c>
      <c r="H22" s="76" t="s">
        <v>57</v>
      </c>
      <c r="I22" s="331">
        <v>16</v>
      </c>
      <c r="J22" s="18">
        <v>1800</v>
      </c>
      <c r="K22" s="9">
        <f t="shared" si="33"/>
        <v>112.5</v>
      </c>
      <c r="L22" s="331">
        <v>16</v>
      </c>
      <c r="M22" s="10">
        <f t="shared" si="34"/>
        <v>1668.7500000000018</v>
      </c>
      <c r="N22" s="9">
        <f t="shared" si="22"/>
        <v>104.29687500000011</v>
      </c>
      <c r="O22" s="11">
        <f t="shared" si="35"/>
        <v>0</v>
      </c>
      <c r="P22" s="12">
        <f t="shared" si="36"/>
        <v>-8.2031249999998863</v>
      </c>
      <c r="Q22" s="325">
        <f t="shared" si="29"/>
        <v>0.92708333333333437</v>
      </c>
      <c r="R22" s="470"/>
      <c r="S22" s="24">
        <v>0.32222222222222219</v>
      </c>
      <c r="T22" s="24">
        <v>0.34444444444444439</v>
      </c>
      <c r="U22" s="323">
        <f t="shared" si="38"/>
        <v>7.9999999999999716</v>
      </c>
      <c r="V22" s="332">
        <f t="shared" si="37"/>
        <v>31.999999999999964</v>
      </c>
      <c r="W22" s="14"/>
      <c r="X22" s="323"/>
      <c r="Y22" s="456"/>
      <c r="Z22" s="456"/>
      <c r="AA22" s="11">
        <f t="shared" si="2"/>
        <v>-131.24999999999818</v>
      </c>
      <c r="AB22" s="325">
        <f t="shared" si="19"/>
        <v>0.92708333333333437</v>
      </c>
      <c r="AC22" s="470"/>
    </row>
    <row r="23" spans="1:29" ht="15.75" customHeight="1">
      <c r="A23" s="479" t="s">
        <v>7</v>
      </c>
      <c r="B23" s="26" t="s">
        <v>13</v>
      </c>
      <c r="C23" s="477" t="s">
        <v>784</v>
      </c>
      <c r="D23" s="477"/>
      <c r="E23" s="26">
        <v>58.17</v>
      </c>
      <c r="F23" s="333">
        <v>3051</v>
      </c>
      <c r="G23" s="323">
        <f t="shared" si="32"/>
        <v>177476.67</v>
      </c>
      <c r="H23" s="76" t="s">
        <v>57</v>
      </c>
      <c r="I23" s="331">
        <v>18</v>
      </c>
      <c r="J23" s="18">
        <v>1800</v>
      </c>
      <c r="K23" s="9">
        <f t="shared" si="33"/>
        <v>100</v>
      </c>
      <c r="L23" s="331">
        <v>18</v>
      </c>
      <c r="M23" s="10">
        <f t="shared" si="34"/>
        <v>1634.4642857142856</v>
      </c>
      <c r="N23" s="9">
        <f t="shared" si="22"/>
        <v>90.803571428571416</v>
      </c>
      <c r="O23" s="11">
        <f t="shared" si="35"/>
        <v>0</v>
      </c>
      <c r="P23" s="12">
        <f t="shared" si="36"/>
        <v>-9.1964285714285836</v>
      </c>
      <c r="Q23" s="325">
        <f t="shared" si="29"/>
        <v>0.90803571428571417</v>
      </c>
      <c r="R23" s="470"/>
      <c r="S23" s="24">
        <v>0.3479166666666666</v>
      </c>
      <c r="T23" s="24">
        <v>0.42569444444444438</v>
      </c>
      <c r="U23" s="323">
        <f t="shared" si="38"/>
        <v>4.9999999999999822</v>
      </c>
      <c r="V23" s="332">
        <f t="shared" si="37"/>
        <v>112</v>
      </c>
      <c r="W23" s="14"/>
      <c r="X23" s="323"/>
      <c r="Y23" s="456"/>
      <c r="Z23" s="456"/>
      <c r="AA23" s="11">
        <f t="shared" si="2"/>
        <v>-165.53571428571445</v>
      </c>
      <c r="AB23" s="325">
        <f t="shared" si="19"/>
        <v>0.90803571428571417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333">
        <v>2392</v>
      </c>
      <c r="G24" s="323">
        <f t="shared" si="32"/>
        <v>121800.64</v>
      </c>
      <c r="H24" s="76" t="s">
        <v>57</v>
      </c>
      <c r="I24" s="331">
        <v>16</v>
      </c>
      <c r="J24" s="18">
        <v>1800</v>
      </c>
      <c r="K24" s="9">
        <f t="shared" si="33"/>
        <v>112.5</v>
      </c>
      <c r="L24" s="331">
        <v>16</v>
      </c>
      <c r="M24" s="10">
        <f t="shared" si="34"/>
        <v>1630.909090909091</v>
      </c>
      <c r="N24" s="9">
        <f t="shared" si="22"/>
        <v>101.93181818181819</v>
      </c>
      <c r="O24" s="11">
        <f t="shared" si="35"/>
        <v>0</v>
      </c>
      <c r="P24" s="12">
        <f t="shared" si="36"/>
        <v>-10.568181818181813</v>
      </c>
      <c r="Q24" s="325">
        <f t="shared" si="29"/>
        <v>0.90606060606060612</v>
      </c>
      <c r="R24" s="470"/>
      <c r="S24" s="24">
        <v>0.70833333333333337</v>
      </c>
      <c r="T24" s="24">
        <v>0.76944444444444449</v>
      </c>
      <c r="U24" s="323">
        <f t="shared" si="38"/>
        <v>407.00000000000017</v>
      </c>
      <c r="V24" s="332">
        <f t="shared" si="37"/>
        <v>88</v>
      </c>
      <c r="W24" s="14"/>
      <c r="X24" s="15"/>
      <c r="Y24" s="456"/>
      <c r="Z24" s="456"/>
      <c r="AA24" s="11">
        <f t="shared" si="2"/>
        <v>-169.09090909090901</v>
      </c>
      <c r="AB24" s="325">
        <f t="shared" si="19"/>
        <v>0.90606060606060612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333">
        <v>472</v>
      </c>
      <c r="G25" s="323">
        <f t="shared" si="32"/>
        <v>25143.440000000002</v>
      </c>
      <c r="H25" s="76" t="s">
        <v>57</v>
      </c>
      <c r="I25" s="331">
        <v>15</v>
      </c>
      <c r="J25" s="18">
        <v>1800</v>
      </c>
      <c r="K25" s="9">
        <f t="shared" si="33"/>
        <v>120</v>
      </c>
      <c r="L25" s="331">
        <v>15</v>
      </c>
      <c r="M25" s="10">
        <f t="shared" si="34"/>
        <v>1665.8823529411825</v>
      </c>
      <c r="N25" s="9">
        <f t="shared" si="22"/>
        <v>111.05882352941217</v>
      </c>
      <c r="O25" s="11">
        <f t="shared" si="35"/>
        <v>0</v>
      </c>
      <c r="P25" s="12">
        <f t="shared" si="36"/>
        <v>-8.941176470587834</v>
      </c>
      <c r="Q25" s="325">
        <f t="shared" si="29"/>
        <v>0.92549019607843475</v>
      </c>
      <c r="R25" s="470"/>
      <c r="S25" s="24">
        <v>0.77361111111111114</v>
      </c>
      <c r="T25" s="24">
        <v>0.78541666666666665</v>
      </c>
      <c r="U25" s="323">
        <f t="shared" si="38"/>
        <v>5.9999999999999787</v>
      </c>
      <c r="V25" s="332">
        <f t="shared" si="37"/>
        <v>16.99999999999994</v>
      </c>
      <c r="W25" s="14"/>
      <c r="X25" s="15"/>
      <c r="Y25" s="473"/>
      <c r="Z25" s="474"/>
      <c r="AA25" s="11">
        <f t="shared" si="2"/>
        <v>-134.11764705881751</v>
      </c>
      <c r="AB25" s="325">
        <f t="shared" si="19"/>
        <v>0.92549019607843475</v>
      </c>
      <c r="AC25" s="470"/>
    </row>
    <row r="26" spans="1:29" ht="15.75" customHeight="1">
      <c r="A26" s="479" t="s">
        <v>7</v>
      </c>
      <c r="B26" s="26" t="s">
        <v>13</v>
      </c>
      <c r="C26" s="482" t="s">
        <v>1162</v>
      </c>
      <c r="D26" s="483"/>
      <c r="E26" s="26">
        <v>49.91</v>
      </c>
      <c r="F26" s="333">
        <v>520</v>
      </c>
      <c r="G26" s="323">
        <f t="shared" si="32"/>
        <v>25953.199999999997</v>
      </c>
      <c r="H26" s="76" t="s">
        <v>57</v>
      </c>
      <c r="I26" s="331">
        <v>17</v>
      </c>
      <c r="J26" s="18">
        <v>1800</v>
      </c>
      <c r="K26" s="9">
        <f t="shared" si="33"/>
        <v>105.88235294117646</v>
      </c>
      <c r="L26" s="331">
        <v>17</v>
      </c>
      <c r="M26" s="10">
        <f t="shared" si="34"/>
        <v>1642.1052631579005</v>
      </c>
      <c r="N26" s="9">
        <f t="shared" si="22"/>
        <v>96.594427244582377</v>
      </c>
      <c r="O26" s="11">
        <f t="shared" si="35"/>
        <v>0</v>
      </c>
      <c r="P26" s="12">
        <f t="shared" si="36"/>
        <v>-9.2879256965940868</v>
      </c>
      <c r="Q26" s="325">
        <f t="shared" si="29"/>
        <v>0.91228070175438913</v>
      </c>
      <c r="R26" s="470"/>
      <c r="S26" s="24">
        <v>0.7895833333333333</v>
      </c>
      <c r="T26" s="24">
        <v>0.8027777777777777</v>
      </c>
      <c r="U26" s="323">
        <f t="shared" si="38"/>
        <v>5.9999999999999787</v>
      </c>
      <c r="V26" s="332">
        <f t="shared" si="37"/>
        <v>18.999999999999932</v>
      </c>
      <c r="W26" s="14"/>
      <c r="X26" s="14"/>
      <c r="Y26" s="473"/>
      <c r="Z26" s="474"/>
      <c r="AA26" s="11">
        <f t="shared" si="2"/>
        <v>-157.89473684209952</v>
      </c>
      <c r="AB26" s="325">
        <f t="shared" si="19"/>
        <v>0.91228070175438913</v>
      </c>
      <c r="AC26" s="470"/>
    </row>
    <row r="27" spans="1:29" ht="15.75" customHeight="1">
      <c r="A27" s="479" t="s">
        <v>7</v>
      </c>
      <c r="B27" s="26" t="s">
        <v>1397</v>
      </c>
      <c r="C27" s="466"/>
      <c r="D27" s="466"/>
      <c r="E27" s="324"/>
      <c r="F27" s="333"/>
      <c r="G27" s="323"/>
      <c r="H27" s="333"/>
      <c r="I27" s="17">
        <v>16.5</v>
      </c>
      <c r="J27" s="18">
        <v>1725</v>
      </c>
      <c r="K27" s="9">
        <f t="shared" si="33"/>
        <v>104.54545454545455</v>
      </c>
      <c r="L27" s="17">
        <v>16.5</v>
      </c>
      <c r="M27" s="10">
        <f>AVERAGE(M19:M26)</f>
        <v>1578.5412803477711</v>
      </c>
      <c r="N27" s="9">
        <f>M27/L27</f>
        <v>95.669168505925526</v>
      </c>
      <c r="O27" s="11">
        <f>L27-I27</f>
        <v>0</v>
      </c>
      <c r="P27" s="12">
        <f>N27-K27</f>
        <v>-8.8762860395290204</v>
      </c>
      <c r="Q27" s="325">
        <f>N27/K27</f>
        <v>0.91509639440450508</v>
      </c>
      <c r="R27" s="470"/>
      <c r="S27" s="24"/>
      <c r="T27" s="24"/>
      <c r="U27" s="9"/>
      <c r="V27" s="332"/>
      <c r="W27" s="9"/>
      <c r="X27" s="9"/>
      <c r="Y27" s="456"/>
      <c r="Z27" s="456"/>
      <c r="AA27" s="11">
        <f t="shared" si="2"/>
        <v>-146.45871965222887</v>
      </c>
      <c r="AB27" s="325">
        <f t="shared" si="19"/>
        <v>0.91509639440450496</v>
      </c>
      <c r="AC27" s="470"/>
    </row>
    <row r="28" spans="1:29" ht="15.75" customHeight="1">
      <c r="A28" s="484" t="s">
        <v>1401</v>
      </c>
      <c r="B28" s="26" t="s">
        <v>24</v>
      </c>
      <c r="C28" s="477" t="s">
        <v>26</v>
      </c>
      <c r="D28" s="477"/>
      <c r="E28" s="26">
        <v>26.2</v>
      </c>
      <c r="F28" s="333">
        <v>3199</v>
      </c>
      <c r="G28" s="323">
        <f t="shared" ref="G28:G32" si="39">E28*F28</f>
        <v>83813.8</v>
      </c>
      <c r="H28" s="76" t="s">
        <v>57</v>
      </c>
      <c r="I28" s="331">
        <v>20</v>
      </c>
      <c r="J28" s="18">
        <v>2400</v>
      </c>
      <c r="K28" s="9">
        <f>J28/I28</f>
        <v>120</v>
      </c>
      <c r="L28" s="331">
        <v>20</v>
      </c>
      <c r="M28" s="10">
        <f t="shared" ref="M28:M32" si="40">F28/V28*60</f>
        <v>2181.1363636363635</v>
      </c>
      <c r="N28" s="9">
        <f t="shared" ref="N28:N32" si="41">M28/L28</f>
        <v>109.05681818181817</v>
      </c>
      <c r="O28" s="11">
        <f t="shared" ref="O28:O32" si="42">L28-I28</f>
        <v>0</v>
      </c>
      <c r="P28" s="12">
        <f t="shared" ref="P28:P32" si="43">N28-K28</f>
        <v>-10.943181818181827</v>
      </c>
      <c r="Q28" s="325">
        <f t="shared" ref="Q28:Q32" si="44">N28/K28</f>
        <v>0.90880681818181808</v>
      </c>
      <c r="R28" s="470">
        <f>Q33</f>
        <v>0.91191070694647625</v>
      </c>
      <c r="S28" s="24">
        <v>0.125</v>
      </c>
      <c r="T28" s="24">
        <v>0.18611111111111112</v>
      </c>
      <c r="U28" s="323"/>
      <c r="V28" s="332">
        <f t="shared" ref="V28:V32" si="45">(T28-S28)*24*60</f>
        <v>88</v>
      </c>
      <c r="W28" s="14"/>
      <c r="X28" s="14"/>
      <c r="Y28" s="456"/>
      <c r="Z28" s="456"/>
      <c r="AA28" s="11">
        <f t="shared" si="2"/>
        <v>-218.86363636363649</v>
      </c>
      <c r="AB28" s="325">
        <f>M28/J28</f>
        <v>0.90880681818181808</v>
      </c>
      <c r="AC28" s="470">
        <f>AB33</f>
        <v>0.91191070694647614</v>
      </c>
    </row>
    <row r="29" spans="1:29" ht="15.75" customHeight="1">
      <c r="A29" s="484" t="s">
        <v>8</v>
      </c>
      <c r="B29" s="26" t="s">
        <v>24</v>
      </c>
      <c r="C29" s="477" t="s">
        <v>25</v>
      </c>
      <c r="D29" s="477"/>
      <c r="E29" s="26">
        <v>20.52</v>
      </c>
      <c r="F29" s="333">
        <v>3097</v>
      </c>
      <c r="G29" s="323">
        <f t="shared" si="39"/>
        <v>63550.439999999995</v>
      </c>
      <c r="H29" s="76" t="s">
        <v>57</v>
      </c>
      <c r="I29" s="331">
        <v>18</v>
      </c>
      <c r="J29" s="18">
        <v>2400</v>
      </c>
      <c r="K29" s="9">
        <f t="shared" ref="K29:K33" si="46">J29/I29</f>
        <v>133.33333333333334</v>
      </c>
      <c r="L29" s="331">
        <v>18</v>
      </c>
      <c r="M29" s="10">
        <f t="shared" si="40"/>
        <v>2186.1176470588234</v>
      </c>
      <c r="N29" s="9">
        <f t="shared" si="41"/>
        <v>121.45098039215685</v>
      </c>
      <c r="O29" s="11">
        <f t="shared" si="42"/>
        <v>0</v>
      </c>
      <c r="P29" s="12">
        <f t="shared" si="43"/>
        <v>-11.882352941176492</v>
      </c>
      <c r="Q29" s="325">
        <f t="shared" si="44"/>
        <v>0.91088235294117637</v>
      </c>
      <c r="R29" s="470"/>
      <c r="S29" s="24">
        <v>0.2048611111111111</v>
      </c>
      <c r="T29" s="24">
        <v>0.2638888888888889</v>
      </c>
      <c r="U29" s="323">
        <f>(S29-T28)*24*60</f>
        <v>26.999999999999986</v>
      </c>
      <c r="V29" s="332">
        <f t="shared" si="45"/>
        <v>85.000000000000014</v>
      </c>
      <c r="W29" s="14"/>
      <c r="X29" s="14"/>
      <c r="Y29" s="456"/>
      <c r="Z29" s="456"/>
      <c r="AA29" s="11">
        <f t="shared" si="2"/>
        <v>-213.88235294117658</v>
      </c>
      <c r="AB29" s="325">
        <f t="shared" ref="AB29:AB32" si="47">M29/J29</f>
        <v>0.91088235294117648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333">
        <v>6120</v>
      </c>
      <c r="G30" s="323">
        <f t="shared" si="39"/>
        <v>191494.8</v>
      </c>
      <c r="H30" s="76" t="s">
        <v>57</v>
      </c>
      <c r="I30" s="331">
        <v>16</v>
      </c>
      <c r="J30" s="18">
        <v>2400</v>
      </c>
      <c r="K30" s="9">
        <f t="shared" si="46"/>
        <v>150</v>
      </c>
      <c r="L30" s="331">
        <v>16</v>
      </c>
      <c r="M30" s="10">
        <f t="shared" si="40"/>
        <v>2185.7142857142862</v>
      </c>
      <c r="N30" s="9">
        <f t="shared" si="41"/>
        <v>136.60714285714289</v>
      </c>
      <c r="O30" s="11">
        <f t="shared" si="42"/>
        <v>0</v>
      </c>
      <c r="P30" s="12">
        <f t="shared" si="43"/>
        <v>-13.39285714285711</v>
      </c>
      <c r="Q30" s="325">
        <f t="shared" si="44"/>
        <v>0.91071428571428592</v>
      </c>
      <c r="R30" s="470"/>
      <c r="S30" s="24">
        <v>0.2673611111111111</v>
      </c>
      <c r="T30" s="24">
        <v>0.38402777777777775</v>
      </c>
      <c r="U30" s="323">
        <f t="shared" ref="U30:U32" si="48">(S30-T29)*24*60</f>
        <v>4.9999999999999822</v>
      </c>
      <c r="V30" s="332">
        <f t="shared" si="45"/>
        <v>167.99999999999997</v>
      </c>
      <c r="W30" s="14"/>
      <c r="X30" s="14"/>
      <c r="Y30" s="456"/>
      <c r="Z30" s="456"/>
      <c r="AA30" s="11">
        <f t="shared" si="2"/>
        <v>-214.28571428571377</v>
      </c>
      <c r="AB30" s="325">
        <f t="shared" si="47"/>
        <v>0.91071428571428592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333">
        <v>3975</v>
      </c>
      <c r="G31" s="323">
        <f t="shared" si="39"/>
        <v>96393.75</v>
      </c>
      <c r="H31" s="76" t="s">
        <v>57</v>
      </c>
      <c r="I31" s="331">
        <v>18</v>
      </c>
      <c r="J31" s="18">
        <v>2400</v>
      </c>
      <c r="K31" s="9">
        <f t="shared" si="46"/>
        <v>133.33333333333334</v>
      </c>
      <c r="L31" s="331">
        <v>18</v>
      </c>
      <c r="M31" s="10">
        <f t="shared" si="40"/>
        <v>2188.0733944954127</v>
      </c>
      <c r="N31" s="9">
        <f t="shared" si="41"/>
        <v>121.55963302752292</v>
      </c>
      <c r="O31" s="11">
        <f t="shared" si="42"/>
        <v>0</v>
      </c>
      <c r="P31" s="12">
        <f t="shared" si="43"/>
        <v>-11.773700305810422</v>
      </c>
      <c r="Q31" s="325">
        <f t="shared" si="44"/>
        <v>0.9116972477064218</v>
      </c>
      <c r="R31" s="470"/>
      <c r="S31" s="24">
        <v>0.3881944444444444</v>
      </c>
      <c r="T31" s="24">
        <v>0.46388888888888885</v>
      </c>
      <c r="U31" s="323">
        <f t="shared" si="48"/>
        <v>5.9999999999999787</v>
      </c>
      <c r="V31" s="332">
        <f t="shared" si="45"/>
        <v>109.00000000000001</v>
      </c>
      <c r="W31" s="14"/>
      <c r="X31" s="14"/>
      <c r="Y31" s="456"/>
      <c r="Z31" s="456"/>
      <c r="AA31" s="11">
        <f t="shared" si="2"/>
        <v>-211.92660550458731</v>
      </c>
      <c r="AB31" s="325">
        <f t="shared" si="47"/>
        <v>0.91169724770642191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333">
        <v>1945</v>
      </c>
      <c r="G32" s="323">
        <f t="shared" si="39"/>
        <v>43470.75</v>
      </c>
      <c r="H32" s="76" t="s">
        <v>57</v>
      </c>
      <c r="I32" s="331">
        <v>16</v>
      </c>
      <c r="J32" s="18">
        <v>2400</v>
      </c>
      <c r="K32" s="9">
        <f t="shared" si="46"/>
        <v>150</v>
      </c>
      <c r="L32" s="331">
        <v>16</v>
      </c>
      <c r="M32" s="10">
        <f t="shared" si="40"/>
        <v>2201.8867924528281</v>
      </c>
      <c r="N32" s="9">
        <f t="shared" si="41"/>
        <v>137.61792452830176</v>
      </c>
      <c r="O32" s="11">
        <f t="shared" si="42"/>
        <v>0</v>
      </c>
      <c r="P32" s="12">
        <f t="shared" si="43"/>
        <v>-12.382075471698244</v>
      </c>
      <c r="Q32" s="325">
        <f t="shared" si="44"/>
        <v>0.9174528301886784</v>
      </c>
      <c r="R32" s="470"/>
      <c r="S32" s="24">
        <v>0.4680555555555555</v>
      </c>
      <c r="T32" s="24">
        <v>0.50486111111111109</v>
      </c>
      <c r="U32" s="323">
        <f t="shared" si="48"/>
        <v>5.9999999999999787</v>
      </c>
      <c r="V32" s="332">
        <f t="shared" si="45"/>
        <v>53.00000000000005</v>
      </c>
      <c r="W32" s="14"/>
      <c r="X32" s="14"/>
      <c r="Y32" s="456"/>
      <c r="Z32" s="456"/>
      <c r="AA32" s="11">
        <f t="shared" si="2"/>
        <v>-198.1132075471719</v>
      </c>
      <c r="AB32" s="325">
        <f t="shared" si="47"/>
        <v>0.9174528301886784</v>
      </c>
      <c r="AC32" s="470"/>
    </row>
    <row r="33" spans="1:29" ht="15.75" customHeight="1">
      <c r="A33" s="484" t="s">
        <v>8</v>
      </c>
      <c r="B33" s="26" t="s">
        <v>1397</v>
      </c>
      <c r="C33" s="466"/>
      <c r="D33" s="466"/>
      <c r="E33" s="324"/>
      <c r="F33" s="333"/>
      <c r="G33" s="323"/>
      <c r="H33" s="333"/>
      <c r="I33" s="17">
        <v>17.600000000000001</v>
      </c>
      <c r="J33" s="18">
        <v>2400</v>
      </c>
      <c r="K33" s="9">
        <f t="shared" si="46"/>
        <v>136.36363636363635</v>
      </c>
      <c r="L33" s="17">
        <v>17.600000000000001</v>
      </c>
      <c r="M33" s="10">
        <f>AVERAGE(M28:M32)</f>
        <v>2188.5856966715428</v>
      </c>
      <c r="N33" s="9">
        <f>M33/L33</f>
        <v>124.35146003815584</v>
      </c>
      <c r="O33" s="11">
        <f>L33-I33</f>
        <v>0</v>
      </c>
      <c r="P33" s="12">
        <f>N33-K33</f>
        <v>-12.01217632548051</v>
      </c>
      <c r="Q33" s="325">
        <f>N33/K33</f>
        <v>0.91191070694647625</v>
      </c>
      <c r="R33" s="470"/>
      <c r="S33" s="24"/>
      <c r="T33" s="24"/>
      <c r="U33" s="323"/>
      <c r="V33" s="332"/>
      <c r="W33" s="323"/>
      <c r="X33" s="323"/>
      <c r="Y33" s="456"/>
      <c r="Z33" s="456"/>
      <c r="AA33" s="11">
        <f t="shared" si="2"/>
        <v>-211.41430332845721</v>
      </c>
      <c r="AB33" s="325">
        <f>M33/J33</f>
        <v>0.91191070694647614</v>
      </c>
      <c r="AC33" s="470"/>
    </row>
    <row r="34" spans="1:29" ht="15.75" customHeight="1">
      <c r="A34" s="485" t="s">
        <v>1402</v>
      </c>
      <c r="B34" s="26" t="s">
        <v>24</v>
      </c>
      <c r="C34" s="487" t="s">
        <v>29</v>
      </c>
      <c r="D34" s="487"/>
      <c r="E34" s="26">
        <v>26.2</v>
      </c>
      <c r="F34" s="333">
        <v>4346</v>
      </c>
      <c r="G34" s="323">
        <f t="shared" ref="G34:G39" si="49">E34*F34</f>
        <v>113865.2</v>
      </c>
      <c r="H34" s="76" t="s">
        <v>57</v>
      </c>
      <c r="I34" s="331">
        <v>18</v>
      </c>
      <c r="J34" s="18">
        <v>2400</v>
      </c>
      <c r="K34" s="9">
        <f>J34/I34</f>
        <v>133.33333333333334</v>
      </c>
      <c r="L34" s="331">
        <v>18</v>
      </c>
      <c r="M34" s="10">
        <f>F34/V34*60</f>
        <v>2191.2605042016812</v>
      </c>
      <c r="N34" s="9">
        <f>M34/L34</f>
        <v>121.73669467787118</v>
      </c>
      <c r="O34" s="11">
        <f t="shared" ref="O34:O39" si="50">L34-I34</f>
        <v>0</v>
      </c>
      <c r="P34" s="12">
        <f t="shared" ref="P34:P47" si="51">N34-K34</f>
        <v>-11.596638655462158</v>
      </c>
      <c r="Q34" s="325">
        <f t="shared" ref="Q34:Q44" si="52">N34/K34</f>
        <v>0.91302521008403381</v>
      </c>
      <c r="R34" s="470">
        <f>Q40</f>
        <v>0.91032139215288788</v>
      </c>
      <c r="S34" s="24">
        <v>0.125</v>
      </c>
      <c r="T34" s="24">
        <v>0.20763888888888887</v>
      </c>
      <c r="U34" s="323"/>
      <c r="V34" s="332">
        <f t="shared" ref="V34:V39" si="53">(T34-S34)*24*60</f>
        <v>118.99999999999997</v>
      </c>
      <c r="W34" s="15"/>
      <c r="X34" s="15"/>
      <c r="Y34" s="456"/>
      <c r="Z34" s="456"/>
      <c r="AA34" s="11">
        <f t="shared" si="2"/>
        <v>-208.73949579831879</v>
      </c>
      <c r="AB34" s="325">
        <f>M34/J34</f>
        <v>0.91302521008403381</v>
      </c>
      <c r="AC34" s="470">
        <f>AB40</f>
        <v>0.91032139215288777</v>
      </c>
    </row>
    <row r="35" spans="1:29" ht="15.75" customHeight="1">
      <c r="A35" s="485" t="s">
        <v>1402</v>
      </c>
      <c r="B35" s="26" t="s">
        <v>24</v>
      </c>
      <c r="C35" s="487" t="s">
        <v>31</v>
      </c>
      <c r="D35" s="487"/>
      <c r="E35" s="26">
        <v>24.45</v>
      </c>
      <c r="F35" s="333">
        <v>1819</v>
      </c>
      <c r="G35" s="323">
        <f t="shared" si="49"/>
        <v>44474.549999999996</v>
      </c>
      <c r="H35" s="76" t="s">
        <v>57</v>
      </c>
      <c r="I35" s="331">
        <v>20</v>
      </c>
      <c r="J35" s="18">
        <v>2400</v>
      </c>
      <c r="K35" s="9">
        <f t="shared" ref="K35:K46" si="54">J35/I35</f>
        <v>120</v>
      </c>
      <c r="L35" s="331">
        <v>20</v>
      </c>
      <c r="M35" s="10">
        <f t="shared" ref="M35:M39" si="55">F35/V35*60</f>
        <v>2182.8000000000006</v>
      </c>
      <c r="N35" s="9">
        <f t="shared" ref="N35:N39" si="56">M35/L35</f>
        <v>109.14000000000003</v>
      </c>
      <c r="O35" s="11">
        <f t="shared" si="50"/>
        <v>0</v>
      </c>
      <c r="P35" s="12">
        <f t="shared" si="51"/>
        <v>-10.859999999999971</v>
      </c>
      <c r="Q35" s="325">
        <f t="shared" si="52"/>
        <v>0.9095000000000002</v>
      </c>
      <c r="R35" s="470"/>
      <c r="S35" s="24">
        <v>0.22569444444444442</v>
      </c>
      <c r="T35" s="24">
        <v>0.26041666666666663</v>
      </c>
      <c r="U35" s="323">
        <f>(S35-T34)*24*60</f>
        <v>25.999999999999986</v>
      </c>
      <c r="V35" s="332">
        <f t="shared" si="53"/>
        <v>49.999999999999986</v>
      </c>
      <c r="W35" s="323"/>
      <c r="X35" s="323"/>
      <c r="Y35" s="456"/>
      <c r="Z35" s="456"/>
      <c r="AA35" s="11">
        <f t="shared" si="2"/>
        <v>-217.19999999999936</v>
      </c>
      <c r="AB35" s="325">
        <f t="shared" ref="AB35:AB59" si="57">M35/J35</f>
        <v>0.90950000000000031</v>
      </c>
      <c r="AC35" s="470"/>
    </row>
    <row r="36" spans="1:29">
      <c r="A36" s="486" t="s">
        <v>1402</v>
      </c>
      <c r="B36" s="26" t="s">
        <v>24</v>
      </c>
      <c r="C36" s="487" t="s">
        <v>32</v>
      </c>
      <c r="D36" s="487"/>
      <c r="E36" s="26">
        <v>26.2</v>
      </c>
      <c r="F36" s="333">
        <v>2213</v>
      </c>
      <c r="G36" s="323">
        <f t="shared" si="49"/>
        <v>57980.6</v>
      </c>
      <c r="H36" s="76" t="s">
        <v>57</v>
      </c>
      <c r="I36" s="331">
        <v>20</v>
      </c>
      <c r="J36" s="18">
        <v>2400</v>
      </c>
      <c r="K36" s="9">
        <f t="shared" si="54"/>
        <v>120</v>
      </c>
      <c r="L36" s="331">
        <v>20</v>
      </c>
      <c r="M36" s="10">
        <f t="shared" si="55"/>
        <v>2176.721311475409</v>
      </c>
      <c r="N36" s="9">
        <f t="shared" si="56"/>
        <v>108.83606557377045</v>
      </c>
      <c r="O36" s="11">
        <f t="shared" si="50"/>
        <v>0</v>
      </c>
      <c r="P36" s="12">
        <f t="shared" si="51"/>
        <v>-11.163934426229545</v>
      </c>
      <c r="Q36" s="325">
        <f t="shared" si="52"/>
        <v>0.90696721311475381</v>
      </c>
      <c r="R36" s="470"/>
      <c r="S36" s="24">
        <v>0.26458333333333328</v>
      </c>
      <c r="T36" s="24">
        <v>0.30694444444444441</v>
      </c>
      <c r="U36" s="323">
        <f t="shared" ref="U36:U39" si="58">(S36-T35)*24*60</f>
        <v>5.9999999999999787</v>
      </c>
      <c r="V36" s="332">
        <f t="shared" si="53"/>
        <v>61.000000000000021</v>
      </c>
      <c r="W36" s="323"/>
      <c r="X36" s="323"/>
      <c r="Y36" s="456"/>
      <c r="Z36" s="456"/>
      <c r="AA36" s="11">
        <f t="shared" si="2"/>
        <v>-223.27868852459096</v>
      </c>
      <c r="AB36" s="325">
        <f t="shared" si="57"/>
        <v>0.90696721311475381</v>
      </c>
      <c r="AC36" s="470"/>
    </row>
    <row r="37" spans="1:29">
      <c r="A37" s="486" t="s">
        <v>1402</v>
      </c>
      <c r="B37" s="26" t="s">
        <v>24</v>
      </c>
      <c r="C37" s="487" t="s">
        <v>30</v>
      </c>
      <c r="D37" s="487"/>
      <c r="E37" s="26">
        <v>26.39</v>
      </c>
      <c r="F37" s="333">
        <v>4042</v>
      </c>
      <c r="G37" s="323">
        <f t="shared" si="49"/>
        <v>106668.38</v>
      </c>
      <c r="H37" s="76" t="s">
        <v>57</v>
      </c>
      <c r="I37" s="331">
        <v>19</v>
      </c>
      <c r="J37" s="18">
        <v>2400</v>
      </c>
      <c r="K37" s="9">
        <f t="shared" si="54"/>
        <v>126.31578947368421</v>
      </c>
      <c r="L37" s="331">
        <v>19</v>
      </c>
      <c r="M37" s="10">
        <f t="shared" si="55"/>
        <v>2184.864864864865</v>
      </c>
      <c r="N37" s="9">
        <f t="shared" si="56"/>
        <v>114.99288762446658</v>
      </c>
      <c r="O37" s="11">
        <f t="shared" si="50"/>
        <v>0</v>
      </c>
      <c r="P37" s="12">
        <f t="shared" si="51"/>
        <v>-11.322901849217629</v>
      </c>
      <c r="Q37" s="325">
        <f t="shared" si="52"/>
        <v>0.91036036036036039</v>
      </c>
      <c r="R37" s="470"/>
      <c r="S37" s="24">
        <v>0.3118055555555555</v>
      </c>
      <c r="T37" s="24">
        <v>0.38888888888888884</v>
      </c>
      <c r="U37" s="323">
        <f t="shared" si="58"/>
        <v>6.9999999999999751</v>
      </c>
      <c r="V37" s="332">
        <f t="shared" si="53"/>
        <v>111</v>
      </c>
      <c r="W37" s="14"/>
      <c r="X37" s="14"/>
      <c r="Y37" s="456"/>
      <c r="Z37" s="456"/>
      <c r="AA37" s="11">
        <f t="shared" si="2"/>
        <v>-215.13513513513499</v>
      </c>
      <c r="AB37" s="325">
        <f t="shared" si="57"/>
        <v>0.91036036036036039</v>
      </c>
      <c r="AC37" s="470"/>
    </row>
    <row r="38" spans="1:29">
      <c r="A38" s="486" t="s">
        <v>1402</v>
      </c>
      <c r="B38" s="26" t="s">
        <v>24</v>
      </c>
      <c r="C38" s="487" t="s">
        <v>27</v>
      </c>
      <c r="D38" s="487"/>
      <c r="E38" s="26">
        <v>20.52</v>
      </c>
      <c r="F38" s="333">
        <v>2517</v>
      </c>
      <c r="G38" s="323">
        <f t="shared" si="49"/>
        <v>51648.84</v>
      </c>
      <c r="H38" s="76" t="s">
        <v>57</v>
      </c>
      <c r="I38" s="331">
        <v>18</v>
      </c>
      <c r="J38" s="18">
        <v>2400</v>
      </c>
      <c r="K38" s="9">
        <f t="shared" si="54"/>
        <v>133.33333333333334</v>
      </c>
      <c r="L38" s="331">
        <v>18</v>
      </c>
      <c r="M38" s="10">
        <f t="shared" si="55"/>
        <v>2188.695652173913</v>
      </c>
      <c r="N38" s="9">
        <f t="shared" si="56"/>
        <v>121.59420289855072</v>
      </c>
      <c r="O38" s="11">
        <f t="shared" si="50"/>
        <v>0</v>
      </c>
      <c r="P38" s="12">
        <f t="shared" si="51"/>
        <v>-11.739130434782624</v>
      </c>
      <c r="Q38" s="325">
        <f t="shared" si="52"/>
        <v>0.91195652173913033</v>
      </c>
      <c r="R38" s="470"/>
      <c r="S38" s="24">
        <v>0.39236111111111105</v>
      </c>
      <c r="T38" s="24">
        <v>0.44027777777777771</v>
      </c>
      <c r="U38" s="323">
        <f t="shared" si="58"/>
        <v>4.9999999999999822</v>
      </c>
      <c r="V38" s="332">
        <f t="shared" si="53"/>
        <v>69</v>
      </c>
      <c r="W38" s="14"/>
      <c r="X38" s="14"/>
      <c r="Y38" s="456"/>
      <c r="Z38" s="456"/>
      <c r="AA38" s="11">
        <f t="shared" si="2"/>
        <v>-211.304347826087</v>
      </c>
      <c r="AB38" s="325">
        <f t="shared" si="57"/>
        <v>0.91195652173913044</v>
      </c>
      <c r="AC38" s="470"/>
    </row>
    <row r="39" spans="1:29">
      <c r="A39" s="486" t="s">
        <v>1402</v>
      </c>
      <c r="B39" s="26" t="s">
        <v>24</v>
      </c>
      <c r="C39" s="487" t="s">
        <v>55</v>
      </c>
      <c r="D39" s="487"/>
      <c r="E39" s="26">
        <v>26.2</v>
      </c>
      <c r="F39" s="333">
        <v>3058</v>
      </c>
      <c r="G39" s="323">
        <f t="shared" si="49"/>
        <v>80119.599999999991</v>
      </c>
      <c r="H39" s="76" t="s">
        <v>57</v>
      </c>
      <c r="I39" s="331">
        <v>19</v>
      </c>
      <c r="J39" s="18">
        <v>2400</v>
      </c>
      <c r="K39" s="9">
        <f t="shared" si="54"/>
        <v>126.31578947368421</v>
      </c>
      <c r="L39" s="331">
        <v>19</v>
      </c>
      <c r="M39" s="10">
        <f t="shared" si="55"/>
        <v>2184.2857142857156</v>
      </c>
      <c r="N39" s="9">
        <f t="shared" si="56"/>
        <v>114.96240601503766</v>
      </c>
      <c r="O39" s="11">
        <f t="shared" si="50"/>
        <v>0</v>
      </c>
      <c r="P39" s="12">
        <f t="shared" si="51"/>
        <v>-11.353383458646547</v>
      </c>
      <c r="Q39" s="325">
        <f t="shared" si="52"/>
        <v>0.91011904761904816</v>
      </c>
      <c r="R39" s="470"/>
      <c r="S39" s="24">
        <v>0.44444444444444436</v>
      </c>
      <c r="T39" s="24">
        <v>0.50277777777777766</v>
      </c>
      <c r="U39" s="323">
        <f t="shared" si="58"/>
        <v>5.9999999999999787</v>
      </c>
      <c r="V39" s="332">
        <f t="shared" si="53"/>
        <v>83.999999999999943</v>
      </c>
      <c r="W39" s="14"/>
      <c r="X39" s="14"/>
      <c r="Y39" s="456"/>
      <c r="Z39" s="456"/>
      <c r="AA39" s="11">
        <f t="shared" si="2"/>
        <v>-215.71428571428442</v>
      </c>
      <c r="AB39" s="325">
        <f t="shared" si="57"/>
        <v>0.91011904761904816</v>
      </c>
      <c r="AC39" s="470"/>
    </row>
    <row r="40" spans="1:29">
      <c r="A40" s="486" t="s">
        <v>1402</v>
      </c>
      <c r="B40" s="16" t="s">
        <v>1397</v>
      </c>
      <c r="C40" s="466"/>
      <c r="D40" s="466"/>
      <c r="E40" s="324"/>
      <c r="F40" s="16"/>
      <c r="G40" s="9"/>
      <c r="H40" s="333"/>
      <c r="I40" s="17">
        <v>19</v>
      </c>
      <c r="J40" s="18">
        <v>2400</v>
      </c>
      <c r="K40" s="9">
        <f t="shared" si="54"/>
        <v>126.31578947368421</v>
      </c>
      <c r="L40" s="17">
        <v>19</v>
      </c>
      <c r="M40" s="10">
        <f>AVERAGE(M34:M39)</f>
        <v>2184.7713411669306</v>
      </c>
      <c r="N40" s="9">
        <f>M40/L40</f>
        <v>114.9879653245753</v>
      </c>
      <c r="O40" s="11">
        <f>L40-I40</f>
        <v>0</v>
      </c>
      <c r="P40" s="12">
        <f t="shared" si="51"/>
        <v>-11.327824149108906</v>
      </c>
      <c r="Q40" s="325">
        <f t="shared" si="52"/>
        <v>0.91032139215288788</v>
      </c>
      <c r="R40" s="470"/>
      <c r="S40" s="24"/>
      <c r="T40" s="24"/>
      <c r="U40" s="9"/>
      <c r="V40" s="332"/>
      <c r="W40" s="9"/>
      <c r="X40" s="9"/>
      <c r="Y40" s="456"/>
      <c r="Z40" s="456"/>
      <c r="AA40" s="11">
        <f t="shared" si="2"/>
        <v>-215.2286588330694</v>
      </c>
      <c r="AB40" s="325">
        <f t="shared" si="57"/>
        <v>0.91032139215288777</v>
      </c>
      <c r="AC40" s="470"/>
    </row>
    <row r="41" spans="1:29" ht="15.75" customHeight="1">
      <c r="A41" s="488" t="s">
        <v>1403</v>
      </c>
      <c r="B41" s="26" t="s">
        <v>33</v>
      </c>
      <c r="C41" s="491" t="s">
        <v>34</v>
      </c>
      <c r="D41" s="492"/>
      <c r="E41" s="26">
        <v>27.17</v>
      </c>
      <c r="F41" s="333">
        <v>4692</v>
      </c>
      <c r="G41" s="323">
        <f t="shared" ref="G41:G46" si="59">E41*F41</f>
        <v>127481.64000000001</v>
      </c>
      <c r="H41" s="76" t="s">
        <v>57</v>
      </c>
      <c r="I41" s="331">
        <v>10</v>
      </c>
      <c r="J41" s="18">
        <v>3000</v>
      </c>
      <c r="K41" s="9">
        <f t="shared" si="54"/>
        <v>300</v>
      </c>
      <c r="L41" s="331">
        <v>10</v>
      </c>
      <c r="M41" s="10">
        <f t="shared" ref="M41:M42" si="60">F41/V41*60</f>
        <v>2733.2038834951454</v>
      </c>
      <c r="N41" s="10">
        <f t="shared" ref="N41:N47" si="61">M41/L41</f>
        <v>273.32038834951453</v>
      </c>
      <c r="O41" s="11">
        <f t="shared" ref="O41:O47" si="62">L41-I41</f>
        <v>0</v>
      </c>
      <c r="P41" s="12">
        <f t="shared" si="51"/>
        <v>-26.679611650485469</v>
      </c>
      <c r="Q41" s="325">
        <f t="shared" si="52"/>
        <v>0.9110679611650484</v>
      </c>
      <c r="R41" s="493">
        <f>Q47</f>
        <v>0.91744464477401966</v>
      </c>
      <c r="S41" s="24">
        <v>0.20833333333333334</v>
      </c>
      <c r="T41" s="24">
        <v>0.27986111111111112</v>
      </c>
      <c r="U41" s="15"/>
      <c r="V41" s="332">
        <f t="shared" ref="V41:V46" si="63">(T41-S41)*24*60</f>
        <v>103</v>
      </c>
      <c r="W41" s="323"/>
      <c r="X41" s="323"/>
      <c r="Y41" s="473"/>
      <c r="Z41" s="474"/>
      <c r="AA41" s="11">
        <f t="shared" si="2"/>
        <v>-266.79611650485458</v>
      </c>
      <c r="AB41" s="325">
        <f t="shared" si="57"/>
        <v>0.91106796116504851</v>
      </c>
      <c r="AC41" s="493">
        <f>AB47</f>
        <v>0.91744464477401966</v>
      </c>
    </row>
    <row r="42" spans="1:29" ht="15.75" customHeight="1">
      <c r="A42" s="489" t="s">
        <v>9</v>
      </c>
      <c r="B42" s="26" t="s">
        <v>33</v>
      </c>
      <c r="C42" s="491" t="s">
        <v>35</v>
      </c>
      <c r="D42" s="492"/>
      <c r="E42" s="26">
        <v>21.13</v>
      </c>
      <c r="F42" s="333">
        <v>3887</v>
      </c>
      <c r="G42" s="323">
        <f t="shared" si="59"/>
        <v>82132.31</v>
      </c>
      <c r="H42" s="76" t="s">
        <v>57</v>
      </c>
      <c r="I42" s="331">
        <v>10</v>
      </c>
      <c r="J42" s="18">
        <v>3000</v>
      </c>
      <c r="K42" s="9">
        <f t="shared" si="54"/>
        <v>300</v>
      </c>
      <c r="L42" s="331">
        <v>10</v>
      </c>
      <c r="M42" s="10">
        <f t="shared" si="60"/>
        <v>2743.7647058823522</v>
      </c>
      <c r="N42" s="10">
        <f t="shared" si="61"/>
        <v>274.37647058823524</v>
      </c>
      <c r="O42" s="11">
        <f t="shared" si="62"/>
        <v>0</v>
      </c>
      <c r="P42" s="12">
        <f t="shared" si="51"/>
        <v>-25.623529411764764</v>
      </c>
      <c r="Q42" s="325">
        <f t="shared" si="52"/>
        <v>0.91458823529411748</v>
      </c>
      <c r="R42" s="494"/>
      <c r="S42" s="24">
        <v>0.28541666666666665</v>
      </c>
      <c r="T42" s="24">
        <v>0.34444444444444444</v>
      </c>
      <c r="U42" s="323">
        <f>(S42-T41)*24*60</f>
        <v>7.9999999999999716</v>
      </c>
      <c r="V42" s="332">
        <f t="shared" si="63"/>
        <v>85.000000000000014</v>
      </c>
      <c r="W42" s="14"/>
      <c r="X42" s="14"/>
      <c r="Y42" s="473"/>
      <c r="Z42" s="474"/>
      <c r="AA42" s="11">
        <f t="shared" si="2"/>
        <v>-256.23529411764775</v>
      </c>
      <c r="AB42" s="325">
        <f t="shared" si="57"/>
        <v>0.91458823529411737</v>
      </c>
      <c r="AC42" s="494"/>
    </row>
    <row r="43" spans="1:29" ht="15.75" customHeight="1">
      <c r="A43" s="489" t="s">
        <v>9</v>
      </c>
      <c r="B43" s="26" t="s">
        <v>33</v>
      </c>
      <c r="C43" s="491" t="s">
        <v>43</v>
      </c>
      <c r="D43" s="492"/>
      <c r="E43" s="26">
        <v>35.119999999999997</v>
      </c>
      <c r="F43" s="333">
        <v>3753</v>
      </c>
      <c r="G43" s="323">
        <f t="shared" si="59"/>
        <v>131805.35999999999</v>
      </c>
      <c r="H43" s="76" t="s">
        <v>57</v>
      </c>
      <c r="I43" s="331">
        <v>10</v>
      </c>
      <c r="J43" s="18">
        <v>3000</v>
      </c>
      <c r="K43" s="9">
        <f t="shared" si="54"/>
        <v>300</v>
      </c>
      <c r="L43" s="331">
        <v>10</v>
      </c>
      <c r="M43" s="10">
        <f>F43/V43*60</f>
        <v>2746.0975609756088</v>
      </c>
      <c r="N43" s="10">
        <f t="shared" si="61"/>
        <v>274.60975609756088</v>
      </c>
      <c r="O43" s="11">
        <f t="shared" si="62"/>
        <v>0</v>
      </c>
      <c r="P43" s="12">
        <f t="shared" si="51"/>
        <v>-25.390243902439124</v>
      </c>
      <c r="Q43" s="325">
        <f t="shared" si="52"/>
        <v>0.91536585365853629</v>
      </c>
      <c r="R43" s="494"/>
      <c r="S43" s="24">
        <v>0.35</v>
      </c>
      <c r="T43" s="24">
        <v>0.40694444444444444</v>
      </c>
      <c r="U43" s="323">
        <f t="shared" ref="U43:U46" si="64">(S43-T42)*24*60</f>
        <v>7.9999999999999716</v>
      </c>
      <c r="V43" s="332">
        <f t="shared" si="63"/>
        <v>82.000000000000028</v>
      </c>
      <c r="W43" s="14"/>
      <c r="X43" s="14"/>
      <c r="Y43" s="473"/>
      <c r="Z43" s="474"/>
      <c r="AA43" s="11">
        <f t="shared" si="2"/>
        <v>-253.90243902439124</v>
      </c>
      <c r="AB43" s="325">
        <f t="shared" si="57"/>
        <v>0.91536585365853629</v>
      </c>
      <c r="AC43" s="494"/>
    </row>
    <row r="44" spans="1:29" ht="15.75" customHeight="1">
      <c r="A44" s="489" t="s">
        <v>9</v>
      </c>
      <c r="B44" s="26" t="s">
        <v>33</v>
      </c>
      <c r="C44" s="491" t="s">
        <v>67</v>
      </c>
      <c r="D44" s="492"/>
      <c r="E44" s="26">
        <v>40.18</v>
      </c>
      <c r="F44" s="333">
        <v>2054</v>
      </c>
      <c r="G44" s="323">
        <f t="shared" si="59"/>
        <v>82529.72</v>
      </c>
      <c r="H44" s="76" t="s">
        <v>57</v>
      </c>
      <c r="I44" s="331">
        <v>10</v>
      </c>
      <c r="J44" s="18">
        <v>3000</v>
      </c>
      <c r="K44" s="9">
        <f t="shared" si="54"/>
        <v>300</v>
      </c>
      <c r="L44" s="331">
        <v>10</v>
      </c>
      <c r="M44" s="10">
        <f t="shared" ref="M44:M46" si="65">F44/V44*60</f>
        <v>2738.666666666667</v>
      </c>
      <c r="N44" s="10">
        <f t="shared" si="61"/>
        <v>273.86666666666667</v>
      </c>
      <c r="O44" s="11">
        <f t="shared" si="62"/>
        <v>0</v>
      </c>
      <c r="P44" s="12">
        <f t="shared" si="51"/>
        <v>-26.133333333333326</v>
      </c>
      <c r="Q44" s="325">
        <f t="shared" si="52"/>
        <v>0.91288888888888886</v>
      </c>
      <c r="R44" s="494"/>
      <c r="S44" s="24">
        <v>0.41180555555555554</v>
      </c>
      <c r="T44" s="24">
        <v>0.44305555555555554</v>
      </c>
      <c r="U44" s="323">
        <f t="shared" si="64"/>
        <v>6.9999999999999751</v>
      </c>
      <c r="V44" s="332">
        <f t="shared" si="63"/>
        <v>45</v>
      </c>
      <c r="W44" s="14"/>
      <c r="X44" s="14"/>
      <c r="Y44" s="473"/>
      <c r="Z44" s="474"/>
      <c r="AA44" s="11">
        <f t="shared" si="2"/>
        <v>-261.33333333333303</v>
      </c>
      <c r="AB44" s="325">
        <f t="shared" si="57"/>
        <v>0.91288888888888897</v>
      </c>
      <c r="AC44" s="494"/>
    </row>
    <row r="45" spans="1:29" ht="15.75" customHeight="1">
      <c r="A45" s="489" t="s">
        <v>9</v>
      </c>
      <c r="B45" s="26" t="s">
        <v>33</v>
      </c>
      <c r="C45" s="491" t="s">
        <v>73</v>
      </c>
      <c r="D45" s="492"/>
      <c r="E45" s="26">
        <v>28.5</v>
      </c>
      <c r="F45" s="333">
        <v>1311</v>
      </c>
      <c r="G45" s="323">
        <f t="shared" si="59"/>
        <v>37363.5</v>
      </c>
      <c r="H45" s="76" t="s">
        <v>57</v>
      </c>
      <c r="I45" s="331">
        <v>10</v>
      </c>
      <c r="J45" s="18">
        <v>3000</v>
      </c>
      <c r="K45" s="9">
        <f t="shared" si="54"/>
        <v>300</v>
      </c>
      <c r="L45" s="331">
        <v>10</v>
      </c>
      <c r="M45" s="10">
        <f t="shared" si="65"/>
        <v>2809.2857142857165</v>
      </c>
      <c r="N45" s="10">
        <f t="shared" si="61"/>
        <v>280.92857142857167</v>
      </c>
      <c r="O45" s="11">
        <f t="shared" si="62"/>
        <v>0</v>
      </c>
      <c r="P45" s="12">
        <f t="shared" si="51"/>
        <v>-19.071428571428328</v>
      </c>
      <c r="Q45" s="325">
        <f>N45/K45</f>
        <v>0.93642857142857228</v>
      </c>
      <c r="R45" s="494"/>
      <c r="S45" s="24">
        <v>0.44861111111111107</v>
      </c>
      <c r="T45" s="24">
        <v>0.4680555555555555</v>
      </c>
      <c r="U45" s="323">
        <f t="shared" si="64"/>
        <v>7.9999999999999716</v>
      </c>
      <c r="V45" s="332">
        <f t="shared" si="63"/>
        <v>27.999999999999979</v>
      </c>
      <c r="W45" s="14"/>
      <c r="X45" s="14"/>
      <c r="Y45" s="473"/>
      <c r="Z45" s="474"/>
      <c r="AA45" s="11">
        <f t="shared" si="2"/>
        <v>-190.71428571428351</v>
      </c>
      <c r="AB45" s="325">
        <f t="shared" si="57"/>
        <v>0.93642857142857217</v>
      </c>
      <c r="AC45" s="494"/>
    </row>
    <row r="46" spans="1:29" ht="15.75" customHeight="1">
      <c r="A46" s="489" t="s">
        <v>9</v>
      </c>
      <c r="B46" s="26" t="s">
        <v>33</v>
      </c>
      <c r="C46" s="491" t="s">
        <v>511</v>
      </c>
      <c r="D46" s="492"/>
      <c r="E46" s="26">
        <v>35.869999999999997</v>
      </c>
      <c r="F46" s="333">
        <v>3063</v>
      </c>
      <c r="G46" s="323">
        <f t="shared" si="59"/>
        <v>109869.81</v>
      </c>
      <c r="H46" s="76" t="s">
        <v>57</v>
      </c>
      <c r="I46" s="331">
        <v>10</v>
      </c>
      <c r="J46" s="18">
        <v>3000</v>
      </c>
      <c r="K46" s="9">
        <f t="shared" si="54"/>
        <v>300</v>
      </c>
      <c r="L46" s="331">
        <v>10</v>
      </c>
      <c r="M46" s="10">
        <f t="shared" si="65"/>
        <v>2742.9850746268658</v>
      </c>
      <c r="N46" s="10">
        <f t="shared" si="61"/>
        <v>274.29850746268659</v>
      </c>
      <c r="O46" s="11">
        <f t="shared" si="62"/>
        <v>0</v>
      </c>
      <c r="P46" s="12">
        <f t="shared" si="51"/>
        <v>-25.701492537313413</v>
      </c>
      <c r="Q46" s="325">
        <f t="shared" ref="Q46:Q47" si="66">N46/K46</f>
        <v>0.91432835820895531</v>
      </c>
      <c r="R46" s="494"/>
      <c r="S46" s="24">
        <v>0.4729166666666666</v>
      </c>
      <c r="T46" s="24">
        <v>0.51944444444444438</v>
      </c>
      <c r="U46" s="323">
        <f t="shared" si="64"/>
        <v>6.9999999999999751</v>
      </c>
      <c r="V46" s="332">
        <f t="shared" si="63"/>
        <v>67</v>
      </c>
      <c r="W46" s="14"/>
      <c r="X46" s="14"/>
      <c r="Y46" s="473"/>
      <c r="Z46" s="474"/>
      <c r="AA46" s="11">
        <f t="shared" si="2"/>
        <v>-257.01492537313425</v>
      </c>
      <c r="AB46" s="325">
        <f t="shared" si="57"/>
        <v>0.91432835820895531</v>
      </c>
      <c r="AC46" s="494"/>
    </row>
    <row r="47" spans="1:29" ht="15.75" customHeight="1">
      <c r="A47" s="490" t="s">
        <v>9</v>
      </c>
      <c r="B47" s="26" t="s">
        <v>1397</v>
      </c>
      <c r="C47" s="497"/>
      <c r="D47" s="498"/>
      <c r="E47" s="330"/>
      <c r="F47" s="333"/>
      <c r="G47" s="323"/>
      <c r="H47" s="333"/>
      <c r="I47" s="17">
        <v>10</v>
      </c>
      <c r="J47" s="18">
        <v>3000</v>
      </c>
      <c r="K47" s="9">
        <f>J47/I47</f>
        <v>300</v>
      </c>
      <c r="L47" s="17">
        <v>10</v>
      </c>
      <c r="M47" s="10">
        <f>AVERAGE(M41:M46)</f>
        <v>2752.3339343220591</v>
      </c>
      <c r="N47" s="9">
        <f t="shared" si="61"/>
        <v>275.2333934322059</v>
      </c>
      <c r="O47" s="11">
        <f t="shared" si="62"/>
        <v>0</v>
      </c>
      <c r="P47" s="12">
        <f t="shared" si="51"/>
        <v>-24.766606567794099</v>
      </c>
      <c r="Q47" s="325">
        <f t="shared" si="66"/>
        <v>0.91744464477401966</v>
      </c>
      <c r="R47" s="495"/>
      <c r="S47" s="24"/>
      <c r="T47" s="24"/>
      <c r="U47" s="323"/>
      <c r="V47" s="332"/>
      <c r="W47" s="14"/>
      <c r="X47" s="14"/>
      <c r="Y47" s="473"/>
      <c r="Z47" s="474"/>
      <c r="AA47" s="11">
        <f t="shared" si="2"/>
        <v>-247.66606567794088</v>
      </c>
      <c r="AB47" s="325">
        <f t="shared" si="57"/>
        <v>0.91744464477401966</v>
      </c>
      <c r="AC47" s="495"/>
    </row>
    <row r="48" spans="1:29" ht="15.75" customHeight="1">
      <c r="A48" s="461" t="s">
        <v>1404</v>
      </c>
      <c r="B48" s="26" t="s">
        <v>15</v>
      </c>
      <c r="C48" s="487" t="s">
        <v>20</v>
      </c>
      <c r="D48" s="487"/>
      <c r="E48" s="26">
        <v>46</v>
      </c>
      <c r="F48" s="27">
        <v>2441</v>
      </c>
      <c r="G48" s="323">
        <f t="shared" ref="G48:G51" si="67">E48*F48</f>
        <v>112286</v>
      </c>
      <c r="H48" s="76" t="s">
        <v>57</v>
      </c>
      <c r="I48" s="331">
        <v>17</v>
      </c>
      <c r="J48" s="18">
        <v>1500</v>
      </c>
      <c r="K48" s="9">
        <f t="shared" ref="K48:K51" si="68">J48/I48</f>
        <v>88.235294117647058</v>
      </c>
      <c r="L48" s="331">
        <v>17</v>
      </c>
      <c r="M48" s="10">
        <f t="shared" ref="M48:M51" si="69">F48/V48*60</f>
        <v>1368.7850467289718</v>
      </c>
      <c r="N48" s="10">
        <f>M48/L48</f>
        <v>80.516767454645404</v>
      </c>
      <c r="O48" s="11">
        <f>L48-I48</f>
        <v>0</v>
      </c>
      <c r="P48" s="12">
        <f>N48-K48</f>
        <v>-7.7185266630016542</v>
      </c>
      <c r="Q48" s="325">
        <f>N48/K48</f>
        <v>0.91252336448598126</v>
      </c>
      <c r="R48" s="470">
        <f>Q52</f>
        <v>0.91508722130429043</v>
      </c>
      <c r="S48" s="24">
        <v>0.29305555555555557</v>
      </c>
      <c r="T48" s="24">
        <v>0.36736111111111114</v>
      </c>
      <c r="U48" s="15"/>
      <c r="V48" s="332">
        <f t="shared" ref="V48:V51" si="70">(T48-S48)*24*60</f>
        <v>107.00000000000001</v>
      </c>
      <c r="W48" s="15"/>
      <c r="X48" s="15"/>
      <c r="Y48" s="456"/>
      <c r="Z48" s="456"/>
      <c r="AA48" s="11">
        <f t="shared" si="2"/>
        <v>-131.21495327102821</v>
      </c>
      <c r="AB48" s="325">
        <f t="shared" si="57"/>
        <v>0.91252336448598115</v>
      </c>
      <c r="AC48" s="470">
        <f>AB52</f>
        <v>0.91508722130429043</v>
      </c>
    </row>
    <row r="49" spans="1:29" ht="15.75" customHeight="1">
      <c r="A49" s="461" t="s">
        <v>10</v>
      </c>
      <c r="B49" s="26" t="s">
        <v>15</v>
      </c>
      <c r="C49" s="487" t="s">
        <v>75</v>
      </c>
      <c r="D49" s="487"/>
      <c r="E49" s="26">
        <v>46</v>
      </c>
      <c r="F49" s="27">
        <v>2974</v>
      </c>
      <c r="G49" s="323">
        <f t="shared" si="67"/>
        <v>136804</v>
      </c>
      <c r="H49" s="76" t="s">
        <v>57</v>
      </c>
      <c r="I49" s="331">
        <v>18</v>
      </c>
      <c r="J49" s="18">
        <v>1500</v>
      </c>
      <c r="K49" s="9">
        <f t="shared" si="68"/>
        <v>83.333333333333329</v>
      </c>
      <c r="L49" s="331">
        <v>18</v>
      </c>
      <c r="M49" s="10">
        <f t="shared" si="69"/>
        <v>1372.6153846153843</v>
      </c>
      <c r="N49" s="10">
        <f t="shared" ref="N49:N51" si="71">M49/L49</f>
        <v>76.256410256410234</v>
      </c>
      <c r="O49" s="11">
        <f t="shared" ref="O49:O51" si="72">L49-I49</f>
        <v>0</v>
      </c>
      <c r="P49" s="12">
        <f t="shared" ref="P49:P51" si="73">N49-K49</f>
        <v>-7.0769230769230944</v>
      </c>
      <c r="Q49" s="325">
        <f t="shared" ref="Q49:Q51" si="74">N49/K49</f>
        <v>0.9150769230769229</v>
      </c>
      <c r="R49" s="470"/>
      <c r="S49" s="24">
        <v>0.37083333333333335</v>
      </c>
      <c r="T49" s="24">
        <v>0.46111111111111114</v>
      </c>
      <c r="U49" s="323">
        <f t="shared" ref="U49:U51" si="75">(S49-T48)*24*60</f>
        <v>4.9999999999999822</v>
      </c>
      <c r="V49" s="332">
        <f t="shared" si="70"/>
        <v>130.00000000000003</v>
      </c>
      <c r="W49" s="14"/>
      <c r="X49" s="14"/>
      <c r="Y49" s="456"/>
      <c r="Z49" s="456"/>
      <c r="AA49" s="11">
        <f t="shared" si="2"/>
        <v>-127.3846153846157</v>
      </c>
      <c r="AB49" s="325">
        <f t="shared" si="57"/>
        <v>0.9150769230769229</v>
      </c>
      <c r="AC49" s="470"/>
    </row>
    <row r="50" spans="1:29" ht="15.75" customHeight="1">
      <c r="A50" s="461" t="s">
        <v>10</v>
      </c>
      <c r="B50" s="26" t="s">
        <v>13</v>
      </c>
      <c r="C50" s="491" t="s">
        <v>65</v>
      </c>
      <c r="D50" s="492"/>
      <c r="E50" s="26">
        <v>55.56</v>
      </c>
      <c r="F50" s="27">
        <v>1683</v>
      </c>
      <c r="G50" s="323">
        <f t="shared" si="67"/>
        <v>93507.48000000001</v>
      </c>
      <c r="H50" s="76" t="s">
        <v>57</v>
      </c>
      <c r="I50" s="331">
        <v>17</v>
      </c>
      <c r="J50" s="18">
        <v>1500</v>
      </c>
      <c r="K50" s="9">
        <f t="shared" si="68"/>
        <v>88.235294117647058</v>
      </c>
      <c r="L50" s="331">
        <v>17</v>
      </c>
      <c r="M50" s="10">
        <f t="shared" si="69"/>
        <v>1364.5945945945934</v>
      </c>
      <c r="N50" s="10">
        <f t="shared" si="71"/>
        <v>80.270270270270203</v>
      </c>
      <c r="O50" s="11">
        <f t="shared" si="72"/>
        <v>0</v>
      </c>
      <c r="P50" s="12">
        <f t="shared" si="73"/>
        <v>-7.9650238473768553</v>
      </c>
      <c r="Q50" s="325">
        <f t="shared" si="74"/>
        <v>0.90972972972972899</v>
      </c>
      <c r="R50" s="470"/>
      <c r="S50" s="24">
        <v>0.70833333333333337</v>
      </c>
      <c r="T50" s="24">
        <v>0.7597222222222223</v>
      </c>
      <c r="U50" s="323">
        <f t="shared" si="75"/>
        <v>356</v>
      </c>
      <c r="V50" s="332">
        <f t="shared" si="70"/>
        <v>74.000000000000057</v>
      </c>
      <c r="W50" s="14"/>
      <c r="X50" s="14"/>
      <c r="Y50" s="328"/>
      <c r="Z50" s="329"/>
      <c r="AA50" s="11">
        <f t="shared" si="2"/>
        <v>-135.40540540540655</v>
      </c>
      <c r="AB50" s="325">
        <f t="shared" si="57"/>
        <v>0.90972972972972899</v>
      </c>
      <c r="AC50" s="470"/>
    </row>
    <row r="51" spans="1:29" ht="15.75" customHeight="1">
      <c r="A51" s="461" t="s">
        <v>10</v>
      </c>
      <c r="B51" s="26" t="s">
        <v>13</v>
      </c>
      <c r="C51" s="326" t="s">
        <v>64</v>
      </c>
      <c r="D51" s="327"/>
      <c r="E51" s="26">
        <v>55.32</v>
      </c>
      <c r="F51" s="27">
        <v>1223</v>
      </c>
      <c r="G51" s="323">
        <f t="shared" si="67"/>
        <v>67656.36</v>
      </c>
      <c r="H51" s="76" t="s">
        <v>57</v>
      </c>
      <c r="I51" s="331">
        <v>15</v>
      </c>
      <c r="J51" s="18">
        <v>1500</v>
      </c>
      <c r="K51" s="9">
        <f t="shared" si="68"/>
        <v>100</v>
      </c>
      <c r="L51" s="331">
        <v>15</v>
      </c>
      <c r="M51" s="10">
        <f t="shared" si="69"/>
        <v>1384.5283018867931</v>
      </c>
      <c r="N51" s="10">
        <f t="shared" si="71"/>
        <v>92.301886792452876</v>
      </c>
      <c r="O51" s="11">
        <f t="shared" si="72"/>
        <v>0</v>
      </c>
      <c r="P51" s="12">
        <f t="shared" si="73"/>
        <v>-7.6981132075471237</v>
      </c>
      <c r="Q51" s="325">
        <f t="shared" si="74"/>
        <v>0.92301886792452881</v>
      </c>
      <c r="R51" s="470"/>
      <c r="S51" s="24">
        <v>0.76527777777777783</v>
      </c>
      <c r="T51" s="24">
        <v>0.80208333333333337</v>
      </c>
      <c r="U51" s="323">
        <f t="shared" si="75"/>
        <v>7.9999999999999716</v>
      </c>
      <c r="V51" s="332">
        <f t="shared" si="70"/>
        <v>52.999999999999972</v>
      </c>
      <c r="W51" s="14"/>
      <c r="X51" s="14"/>
      <c r="Y51" s="328"/>
      <c r="Z51" s="329"/>
      <c r="AA51" s="11">
        <f t="shared" si="2"/>
        <v>-115.47169811320691</v>
      </c>
      <c r="AB51" s="325">
        <f t="shared" si="57"/>
        <v>0.9230188679245287</v>
      </c>
      <c r="AC51" s="470"/>
    </row>
    <row r="52" spans="1:29">
      <c r="A52" s="496" t="s">
        <v>10</v>
      </c>
      <c r="B52" s="26" t="s">
        <v>1397</v>
      </c>
      <c r="C52" s="466"/>
      <c r="D52" s="466"/>
      <c r="E52" s="324"/>
      <c r="F52" s="16"/>
      <c r="G52" s="9"/>
      <c r="H52" s="333"/>
      <c r="I52" s="17">
        <v>16.75</v>
      </c>
      <c r="J52" s="18">
        <v>1500</v>
      </c>
      <c r="K52" s="9">
        <f>J52/I52</f>
        <v>89.552238805970148</v>
      </c>
      <c r="L52" s="17">
        <v>16.75</v>
      </c>
      <c r="M52" s="10">
        <f>AVERAGE(M48:M51)</f>
        <v>1372.6308319564357</v>
      </c>
      <c r="N52" s="9">
        <f>M52/L52</f>
        <v>81.948109370533473</v>
      </c>
      <c r="O52" s="11">
        <f>L52-I52</f>
        <v>0</v>
      </c>
      <c r="P52" s="12">
        <f>N52-K52</f>
        <v>-7.6041294354366755</v>
      </c>
      <c r="Q52" s="325">
        <f>N52/K52</f>
        <v>0.91508722130429043</v>
      </c>
      <c r="R52" s="470"/>
      <c r="S52" s="25"/>
      <c r="T52" s="24"/>
      <c r="U52" s="9"/>
      <c r="V52" s="332"/>
      <c r="W52" s="9"/>
      <c r="X52" s="9"/>
      <c r="Y52" s="456"/>
      <c r="Z52" s="456"/>
      <c r="AA52" s="11">
        <f t="shared" si="2"/>
        <v>-127.36916804356429</v>
      </c>
      <c r="AB52" s="325">
        <f t="shared" si="57"/>
        <v>0.91508722130429043</v>
      </c>
      <c r="AC52" s="470"/>
    </row>
    <row r="53" spans="1:29" ht="15.75" customHeight="1">
      <c r="A53" s="499" t="s">
        <v>1405</v>
      </c>
      <c r="B53" s="333" t="s">
        <v>33</v>
      </c>
      <c r="C53" s="487" t="s">
        <v>36</v>
      </c>
      <c r="D53" s="487"/>
      <c r="E53" s="26">
        <v>26.78</v>
      </c>
      <c r="F53" s="27">
        <v>2047</v>
      </c>
      <c r="G53" s="323">
        <f t="shared" ref="G53:G58" si="76">E53*F53</f>
        <v>54818.66</v>
      </c>
      <c r="H53" s="76" t="s">
        <v>57</v>
      </c>
      <c r="I53" s="331">
        <v>10</v>
      </c>
      <c r="J53" s="18">
        <v>3000</v>
      </c>
      <c r="K53" s="9">
        <f t="shared" ref="K53:K58" si="77">J53/I53</f>
        <v>300</v>
      </c>
      <c r="L53" s="17">
        <v>10</v>
      </c>
      <c r="M53" s="10">
        <f t="shared" ref="M53:M58" si="78">F53/V53*60</f>
        <v>2729.333333333333</v>
      </c>
      <c r="N53" s="9">
        <f>M53/L53</f>
        <v>272.93333333333328</v>
      </c>
      <c r="O53" s="11">
        <f t="shared" ref="O53:O58" si="79">L53-I53</f>
        <v>0</v>
      </c>
      <c r="P53" s="12">
        <f t="shared" ref="P53:P58" si="80">N53-K53</f>
        <v>-27.06666666666672</v>
      </c>
      <c r="Q53" s="325">
        <f>N53/K53</f>
        <v>0.90977777777777757</v>
      </c>
      <c r="R53" s="470">
        <f>Q59</f>
        <v>0.91700580548738397</v>
      </c>
      <c r="S53" s="24">
        <v>0.20833333333333334</v>
      </c>
      <c r="T53" s="24">
        <v>0.23958333333333334</v>
      </c>
      <c r="U53" s="323"/>
      <c r="V53" s="332">
        <f t="shared" ref="V53:V58" si="81">(T53-S53)*24*60</f>
        <v>45</v>
      </c>
      <c r="W53" s="15"/>
      <c r="X53" s="15"/>
      <c r="Y53" s="456"/>
      <c r="Z53" s="456"/>
      <c r="AA53" s="11">
        <f t="shared" si="2"/>
        <v>-270.66666666666697</v>
      </c>
      <c r="AB53" s="325">
        <f t="shared" si="57"/>
        <v>0.90977777777777769</v>
      </c>
      <c r="AC53" s="470">
        <f>AB59</f>
        <v>0.91700580548738397</v>
      </c>
    </row>
    <row r="54" spans="1:29" ht="15.75" customHeight="1">
      <c r="A54" s="499" t="s">
        <v>11</v>
      </c>
      <c r="B54" s="333" t="s">
        <v>33</v>
      </c>
      <c r="C54" s="487" t="s">
        <v>42</v>
      </c>
      <c r="D54" s="487"/>
      <c r="E54" s="26">
        <v>35.369999999999997</v>
      </c>
      <c r="F54" s="27">
        <v>1351</v>
      </c>
      <c r="G54" s="323">
        <f t="shared" si="76"/>
        <v>47784.869999999995</v>
      </c>
      <c r="H54" s="76" t="s">
        <v>57</v>
      </c>
      <c r="I54" s="331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2795.1724137931055</v>
      </c>
      <c r="N54" s="9">
        <f t="shared" ref="N54:N58" si="82">M54/L54</f>
        <v>279.51724137931058</v>
      </c>
      <c r="O54" s="11">
        <f t="shared" si="79"/>
        <v>0</v>
      </c>
      <c r="P54" s="12">
        <f t="shared" si="80"/>
        <v>-20.482758620689424</v>
      </c>
      <c r="Q54" s="325">
        <f t="shared" ref="Q54:Q58" si="83">N54/K54</f>
        <v>0.93172413793103526</v>
      </c>
      <c r="R54" s="470"/>
      <c r="S54" s="24">
        <v>0.24375000000000002</v>
      </c>
      <c r="T54" s="24">
        <v>0.2638888888888889</v>
      </c>
      <c r="U54" s="323">
        <f>(S54-T53)*24*60</f>
        <v>6.0000000000000187</v>
      </c>
      <c r="V54" s="332">
        <f t="shared" si="81"/>
        <v>28.999999999999979</v>
      </c>
      <c r="W54" s="323"/>
      <c r="X54" s="323"/>
      <c r="Y54" s="456"/>
      <c r="Z54" s="456"/>
      <c r="AA54" s="11">
        <f t="shared" si="2"/>
        <v>-204.82758620689447</v>
      </c>
      <c r="AB54" s="325">
        <f t="shared" si="57"/>
        <v>0.93172413793103515</v>
      </c>
      <c r="AC54" s="470"/>
    </row>
    <row r="55" spans="1:29" ht="15.75" customHeight="1">
      <c r="A55" s="499" t="s">
        <v>11</v>
      </c>
      <c r="B55" s="333" t="s">
        <v>33</v>
      </c>
      <c r="C55" s="487" t="s">
        <v>41</v>
      </c>
      <c r="D55" s="487"/>
      <c r="E55" s="26">
        <v>34.35</v>
      </c>
      <c r="F55" s="27">
        <v>1198</v>
      </c>
      <c r="G55" s="323">
        <f t="shared" si="76"/>
        <v>41151.300000000003</v>
      </c>
      <c r="H55" s="76" t="s">
        <v>57</v>
      </c>
      <c r="I55" s="331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2764.6153846153861</v>
      </c>
      <c r="N55" s="9">
        <f t="shared" si="82"/>
        <v>276.46153846153862</v>
      </c>
      <c r="O55" s="11">
        <f t="shared" si="79"/>
        <v>0</v>
      </c>
      <c r="P55" s="12">
        <f t="shared" si="80"/>
        <v>-23.538461538461377</v>
      </c>
      <c r="Q55" s="325">
        <f t="shared" si="83"/>
        <v>0.92153846153846208</v>
      </c>
      <c r="R55" s="470"/>
      <c r="S55" s="24">
        <v>0.26944444444444443</v>
      </c>
      <c r="T55" s="24">
        <v>0.28749999999999998</v>
      </c>
      <c r="U55" s="323">
        <f t="shared" ref="U55:U58" si="84">(S55-T54)*24*60</f>
        <v>7.9999999999999716</v>
      </c>
      <c r="V55" s="332">
        <f t="shared" si="81"/>
        <v>25.999999999999986</v>
      </c>
      <c r="W55" s="323"/>
      <c r="X55" s="323"/>
      <c r="Y55" s="456"/>
      <c r="Z55" s="456"/>
      <c r="AA55" s="11">
        <f t="shared" si="2"/>
        <v>-235.38461538461388</v>
      </c>
      <c r="AB55" s="325">
        <f t="shared" si="57"/>
        <v>0.92153846153846208</v>
      </c>
      <c r="AC55" s="470"/>
    </row>
    <row r="56" spans="1:29" ht="15.75" customHeight="1">
      <c r="A56" s="499" t="s">
        <v>11</v>
      </c>
      <c r="B56" s="333" t="s">
        <v>15</v>
      </c>
      <c r="C56" s="487" t="s">
        <v>39</v>
      </c>
      <c r="D56" s="487"/>
      <c r="E56" s="26">
        <v>26.97</v>
      </c>
      <c r="F56" s="27">
        <v>2819</v>
      </c>
      <c r="G56" s="323">
        <f t="shared" si="76"/>
        <v>76028.429999999993</v>
      </c>
      <c r="H56" s="76" t="s">
        <v>57</v>
      </c>
      <c r="I56" s="331">
        <v>8</v>
      </c>
      <c r="J56" s="18">
        <v>1440</v>
      </c>
      <c r="K56" s="9">
        <f t="shared" si="77"/>
        <v>180</v>
      </c>
      <c r="L56" s="17">
        <v>8</v>
      </c>
      <c r="M56" s="10">
        <f t="shared" si="78"/>
        <v>1311.1627906976742</v>
      </c>
      <c r="N56" s="9">
        <f t="shared" si="82"/>
        <v>163.89534883720927</v>
      </c>
      <c r="O56" s="11">
        <f t="shared" si="79"/>
        <v>0</v>
      </c>
      <c r="P56" s="12">
        <f t="shared" si="80"/>
        <v>-16.104651162790731</v>
      </c>
      <c r="Q56" s="325">
        <f t="shared" si="83"/>
        <v>0.91052971576227371</v>
      </c>
      <c r="R56" s="470"/>
      <c r="S56" s="24">
        <v>0.29097222222222219</v>
      </c>
      <c r="T56" s="24">
        <v>0.38055555555555554</v>
      </c>
      <c r="U56" s="323">
        <f t="shared" si="84"/>
        <v>4.9999999999999822</v>
      </c>
      <c r="V56" s="332">
        <f t="shared" si="81"/>
        <v>129.00000000000003</v>
      </c>
      <c r="W56" s="323"/>
      <c r="X56" s="323"/>
      <c r="Y56" s="456"/>
      <c r="Z56" s="456"/>
      <c r="AA56" s="11">
        <f t="shared" si="2"/>
        <v>-128.83720930232585</v>
      </c>
      <c r="AB56" s="325">
        <f t="shared" si="57"/>
        <v>0.91052971576227371</v>
      </c>
      <c r="AC56" s="470"/>
    </row>
    <row r="57" spans="1:29">
      <c r="A57" s="500" t="s">
        <v>11</v>
      </c>
      <c r="B57" s="333" t="s">
        <v>33</v>
      </c>
      <c r="C57" s="487" t="s">
        <v>40</v>
      </c>
      <c r="D57" s="487"/>
      <c r="E57" s="26">
        <v>35.119999999999997</v>
      </c>
      <c r="F57" s="27">
        <v>1063</v>
      </c>
      <c r="G57" s="323">
        <f t="shared" si="76"/>
        <v>37332.559999999998</v>
      </c>
      <c r="H57" s="76" t="s">
        <v>57</v>
      </c>
      <c r="I57" s="331">
        <v>13</v>
      </c>
      <c r="J57" s="18">
        <v>2000</v>
      </c>
      <c r="K57" s="9">
        <f t="shared" si="77"/>
        <v>153.84615384615384</v>
      </c>
      <c r="L57" s="17">
        <v>13</v>
      </c>
      <c r="M57" s="10">
        <f t="shared" si="78"/>
        <v>1822.2857142857124</v>
      </c>
      <c r="N57" s="9">
        <f t="shared" si="82"/>
        <v>140.17582417582403</v>
      </c>
      <c r="O57" s="11">
        <f t="shared" si="79"/>
        <v>0</v>
      </c>
      <c r="P57" s="12">
        <f t="shared" si="80"/>
        <v>-13.670329670329807</v>
      </c>
      <c r="Q57" s="325">
        <f t="shared" si="83"/>
        <v>0.91114285714285626</v>
      </c>
      <c r="R57" s="470"/>
      <c r="S57" s="24">
        <v>0.38611111111111107</v>
      </c>
      <c r="T57" s="24">
        <v>0.41041666666666665</v>
      </c>
      <c r="U57" s="323">
        <f t="shared" si="84"/>
        <v>7.9999999999999716</v>
      </c>
      <c r="V57" s="332">
        <f t="shared" si="81"/>
        <v>35.000000000000036</v>
      </c>
      <c r="W57" s="14"/>
      <c r="X57" s="14"/>
      <c r="Y57" s="456"/>
      <c r="Z57" s="456"/>
      <c r="AA57" s="11">
        <f t="shared" si="2"/>
        <v>-177.7142857142876</v>
      </c>
      <c r="AB57" s="325">
        <f t="shared" si="57"/>
        <v>0.91114285714285626</v>
      </c>
      <c r="AC57" s="470"/>
    </row>
    <row r="58" spans="1:29" ht="15" customHeight="1">
      <c r="A58" s="500" t="s">
        <v>11</v>
      </c>
      <c r="B58" s="333" t="s">
        <v>33</v>
      </c>
      <c r="C58" s="491" t="s">
        <v>1194</v>
      </c>
      <c r="D58" s="492"/>
      <c r="E58" s="26">
        <v>35.869999999999997</v>
      </c>
      <c r="F58" s="27">
        <v>3648</v>
      </c>
      <c r="G58" s="323">
        <f t="shared" si="76"/>
        <v>130853.75999999999</v>
      </c>
      <c r="H58" s="76" t="s">
        <v>57</v>
      </c>
      <c r="I58" s="331">
        <v>13</v>
      </c>
      <c r="J58" s="18">
        <v>3000</v>
      </c>
      <c r="K58" s="9">
        <f t="shared" si="77"/>
        <v>230.76923076923077</v>
      </c>
      <c r="L58" s="17">
        <v>13</v>
      </c>
      <c r="M58" s="10">
        <f t="shared" si="78"/>
        <v>2735.9999999999991</v>
      </c>
      <c r="N58" s="9">
        <f t="shared" si="82"/>
        <v>210.4615384615384</v>
      </c>
      <c r="O58" s="11">
        <f t="shared" si="79"/>
        <v>0</v>
      </c>
      <c r="P58" s="12">
        <f t="shared" si="80"/>
        <v>-20.307692307692378</v>
      </c>
      <c r="Q58" s="325">
        <f t="shared" si="83"/>
        <v>0.9119999999999997</v>
      </c>
      <c r="R58" s="470"/>
      <c r="S58" s="24">
        <v>0.41527777777777775</v>
      </c>
      <c r="T58" s="24">
        <v>0.47083333333333333</v>
      </c>
      <c r="U58" s="323">
        <f t="shared" si="84"/>
        <v>6.9999999999999751</v>
      </c>
      <c r="V58" s="332">
        <f t="shared" si="81"/>
        <v>80.000000000000028</v>
      </c>
      <c r="W58" s="323"/>
      <c r="X58" s="323"/>
      <c r="Y58" s="473"/>
      <c r="Z58" s="474"/>
      <c r="AA58" s="11">
        <f t="shared" si="2"/>
        <v>-264.00000000000091</v>
      </c>
      <c r="AB58" s="325">
        <f t="shared" si="57"/>
        <v>0.9119999999999997</v>
      </c>
      <c r="AC58" s="470"/>
    </row>
    <row r="59" spans="1:29">
      <c r="A59" s="500" t="s">
        <v>11</v>
      </c>
      <c r="B59" s="26" t="s">
        <v>1397</v>
      </c>
      <c r="C59" s="466"/>
      <c r="D59" s="466"/>
      <c r="E59" s="324"/>
      <c r="F59" s="16"/>
      <c r="G59" s="9"/>
      <c r="H59" s="333"/>
      <c r="I59" s="17">
        <v>10.666666666666666</v>
      </c>
      <c r="J59" s="18">
        <v>2573.3333333333335</v>
      </c>
      <c r="K59" s="9">
        <f>J59/I59</f>
        <v>241.25000000000003</v>
      </c>
      <c r="L59" s="17">
        <v>10.666666666666666</v>
      </c>
      <c r="M59" s="10">
        <f>AVERAGE(M53:M58)</f>
        <v>2359.7616061208682</v>
      </c>
      <c r="N59" s="9">
        <f>M59/L59</f>
        <v>221.2276505738314</v>
      </c>
      <c r="O59" s="11">
        <f>L59-I59</f>
        <v>0</v>
      </c>
      <c r="P59" s="12">
        <f>N59-K59</f>
        <v>-20.022349426168631</v>
      </c>
      <c r="Q59" s="325">
        <f>N59/K59</f>
        <v>0.91700580548738397</v>
      </c>
      <c r="R59" s="470"/>
      <c r="S59" s="24"/>
      <c r="T59" s="24"/>
      <c r="U59" s="9"/>
      <c r="V59" s="332"/>
      <c r="W59" s="9"/>
      <c r="X59" s="9"/>
      <c r="Y59" s="456"/>
      <c r="Z59" s="456"/>
      <c r="AA59" s="11">
        <f t="shared" si="2"/>
        <v>-213.57172721246525</v>
      </c>
      <c r="AB59" s="325">
        <f t="shared" si="57"/>
        <v>0.91700580548738397</v>
      </c>
      <c r="AC59" s="470"/>
    </row>
    <row r="60" spans="1:29" ht="15.75" customHeight="1">
      <c r="A60" s="467" t="s">
        <v>1406</v>
      </c>
      <c r="B60" s="333" t="s">
        <v>24</v>
      </c>
      <c r="C60" s="487" t="s">
        <v>83</v>
      </c>
      <c r="D60" s="487"/>
      <c r="E60" s="26">
        <v>32.03</v>
      </c>
      <c r="F60" s="333">
        <v>1017</v>
      </c>
      <c r="G60" s="323">
        <f t="shared" ref="G60:G64" si="85">E60*F60</f>
        <v>32574.510000000002</v>
      </c>
      <c r="H60" s="76" t="s">
        <v>57</v>
      </c>
      <c r="I60" s="331">
        <v>19</v>
      </c>
      <c r="J60" s="18">
        <v>2400</v>
      </c>
      <c r="K60" s="9">
        <f t="shared" ref="K60:K62" si="86">J60/I60</f>
        <v>126.31578947368421</v>
      </c>
      <c r="L60" s="17">
        <v>19</v>
      </c>
      <c r="M60" s="10">
        <f>F60/V60*60</f>
        <v>2179.285714285716</v>
      </c>
      <c r="N60" s="9">
        <f t="shared" ref="N60:N64" si="87">M60/L60</f>
        <v>114.69924812030085</v>
      </c>
      <c r="O60" s="11">
        <f t="shared" ref="O60:O64" si="88">L60-I60</f>
        <v>0</v>
      </c>
      <c r="P60" s="12">
        <f t="shared" ref="P60:P64" si="89">N60-K60</f>
        <v>-11.616541353383354</v>
      </c>
      <c r="Q60" s="325">
        <f>N60/K60</f>
        <v>0.90803571428571506</v>
      </c>
      <c r="R60" s="470">
        <f>Q65</f>
        <v>0.91068911516429984</v>
      </c>
      <c r="S60" s="24">
        <v>0.125</v>
      </c>
      <c r="T60" s="24">
        <v>0.14444444444444443</v>
      </c>
      <c r="U60" s="15"/>
      <c r="V60" s="332">
        <f t="shared" ref="V60:V64" si="90">(T60-S60)*24*60</f>
        <v>27.999999999999979</v>
      </c>
      <c r="W60" s="14"/>
      <c r="X60" s="14"/>
      <c r="Y60" s="456"/>
      <c r="Z60" s="456"/>
      <c r="AA60" s="11">
        <f t="shared" si="2"/>
        <v>-220.71428571428396</v>
      </c>
      <c r="AB60" s="325">
        <f>M60/J60</f>
        <v>0.90803571428571506</v>
      </c>
      <c r="AC60" s="470">
        <f>AB65</f>
        <v>0.91068911516429973</v>
      </c>
    </row>
    <row r="61" spans="1:29" ht="15.75" customHeight="1">
      <c r="A61" s="467" t="s">
        <v>12</v>
      </c>
      <c r="B61" s="333" t="s">
        <v>24</v>
      </c>
      <c r="C61" s="487" t="s">
        <v>56</v>
      </c>
      <c r="D61" s="487"/>
      <c r="E61" s="26">
        <v>20.2</v>
      </c>
      <c r="F61" s="333">
        <v>1939</v>
      </c>
      <c r="G61" s="323">
        <f t="shared" si="85"/>
        <v>39167.799999999996</v>
      </c>
      <c r="H61" s="76" t="s">
        <v>57</v>
      </c>
      <c r="I61" s="331">
        <v>19</v>
      </c>
      <c r="J61" s="18">
        <v>2400</v>
      </c>
      <c r="K61" s="9">
        <f t="shared" si="86"/>
        <v>126.31578947368421</v>
      </c>
      <c r="L61" s="17">
        <v>19</v>
      </c>
      <c r="M61" s="10">
        <f t="shared" ref="M61:M64" si="91">F61/V61*60</f>
        <v>2195.0943396226412</v>
      </c>
      <c r="N61" s="9">
        <f t="shared" si="87"/>
        <v>115.53128103277059</v>
      </c>
      <c r="O61" s="11">
        <f t="shared" si="88"/>
        <v>0</v>
      </c>
      <c r="P61" s="12">
        <f t="shared" si="89"/>
        <v>-10.784508440913612</v>
      </c>
      <c r="Q61" s="325">
        <f t="shared" ref="Q61:Q65" si="92">N61/K61</f>
        <v>0.91462264150943395</v>
      </c>
      <c r="R61" s="470"/>
      <c r="S61" s="24">
        <v>0.16388888888888889</v>
      </c>
      <c r="T61" s="24">
        <v>0.20069444444444445</v>
      </c>
      <c r="U61" s="323">
        <f>(S61-T60)*24*60</f>
        <v>28.000000000000021</v>
      </c>
      <c r="V61" s="332">
        <f t="shared" si="90"/>
        <v>53.000000000000014</v>
      </c>
      <c r="W61" s="14"/>
      <c r="X61" s="14"/>
      <c r="Y61" s="456"/>
      <c r="Z61" s="456"/>
      <c r="AA61" s="11">
        <f t="shared" si="2"/>
        <v>-204.9056603773588</v>
      </c>
      <c r="AB61" s="325">
        <f t="shared" ref="AB61:AB65" si="93">M61/J61</f>
        <v>0.91462264150943384</v>
      </c>
      <c r="AC61" s="470"/>
    </row>
    <row r="62" spans="1:29" ht="15.75" customHeight="1">
      <c r="A62" s="467" t="s">
        <v>12</v>
      </c>
      <c r="B62" s="333" t="s">
        <v>24</v>
      </c>
      <c r="C62" s="487" t="s">
        <v>45</v>
      </c>
      <c r="D62" s="487"/>
      <c r="E62" s="26">
        <v>19.02</v>
      </c>
      <c r="F62" s="333">
        <v>7179</v>
      </c>
      <c r="G62" s="323">
        <f t="shared" si="85"/>
        <v>136544.57999999999</v>
      </c>
      <c r="H62" s="76" t="s">
        <v>57</v>
      </c>
      <c r="I62" s="331">
        <v>15</v>
      </c>
      <c r="J62" s="18">
        <v>2400</v>
      </c>
      <c r="K62" s="9">
        <f t="shared" si="86"/>
        <v>160</v>
      </c>
      <c r="L62" s="17">
        <v>15</v>
      </c>
      <c r="M62" s="10">
        <f t="shared" si="91"/>
        <v>2175.454545454545</v>
      </c>
      <c r="N62" s="9">
        <f t="shared" si="87"/>
        <v>145.030303030303</v>
      </c>
      <c r="O62" s="11">
        <f t="shared" si="88"/>
        <v>0</v>
      </c>
      <c r="P62" s="12">
        <f t="shared" si="89"/>
        <v>-14.969696969696997</v>
      </c>
      <c r="Q62" s="325">
        <f t="shared" si="92"/>
        <v>0.90643939393939377</v>
      </c>
      <c r="R62" s="470"/>
      <c r="S62" s="24">
        <v>0.20416666666666666</v>
      </c>
      <c r="T62" s="24">
        <v>0.34166666666666667</v>
      </c>
      <c r="U62" s="323">
        <f t="shared" ref="U62:U64" si="94">(S62-T61)*24*60</f>
        <v>4.9999999999999822</v>
      </c>
      <c r="V62" s="332">
        <f t="shared" si="90"/>
        <v>198.00000000000003</v>
      </c>
      <c r="W62" s="14"/>
      <c r="X62" s="14"/>
      <c r="Y62" s="456"/>
      <c r="Z62" s="456"/>
      <c r="AA62" s="11">
        <f t="shared" si="2"/>
        <v>-224.54545454545496</v>
      </c>
      <c r="AB62" s="325">
        <f t="shared" si="93"/>
        <v>0.90643939393939377</v>
      </c>
      <c r="AC62" s="470"/>
    </row>
    <row r="63" spans="1:29" ht="15.75" customHeight="1">
      <c r="A63" s="467" t="s">
        <v>12</v>
      </c>
      <c r="B63" s="333" t="s">
        <v>24</v>
      </c>
      <c r="C63" s="487" t="s">
        <v>46</v>
      </c>
      <c r="D63" s="487"/>
      <c r="E63" s="26">
        <v>25</v>
      </c>
      <c r="F63" s="333">
        <v>3111</v>
      </c>
      <c r="G63" s="323">
        <f t="shared" si="85"/>
        <v>77775</v>
      </c>
      <c r="H63" s="76" t="s">
        <v>57</v>
      </c>
      <c r="I63" s="331">
        <v>15</v>
      </c>
      <c r="J63" s="18">
        <v>2400</v>
      </c>
      <c r="K63" s="9">
        <f>J63/I63</f>
        <v>160</v>
      </c>
      <c r="L63" s="17">
        <v>15</v>
      </c>
      <c r="M63" s="10">
        <f t="shared" si="91"/>
        <v>2195.9999999999995</v>
      </c>
      <c r="N63" s="9">
        <f t="shared" si="87"/>
        <v>146.39999999999998</v>
      </c>
      <c r="O63" s="11">
        <f t="shared" si="88"/>
        <v>0</v>
      </c>
      <c r="P63" s="12">
        <f t="shared" si="89"/>
        <v>-13.600000000000023</v>
      </c>
      <c r="Q63" s="325">
        <f t="shared" si="92"/>
        <v>0.91499999999999981</v>
      </c>
      <c r="R63" s="470"/>
      <c r="S63" s="24">
        <v>0.34652777777777777</v>
      </c>
      <c r="T63" s="24">
        <v>0.40555555555555556</v>
      </c>
      <c r="U63" s="323">
        <f t="shared" si="94"/>
        <v>6.9999999999999751</v>
      </c>
      <c r="V63" s="332">
        <f t="shared" si="90"/>
        <v>85.000000000000014</v>
      </c>
      <c r="W63" s="14"/>
      <c r="X63" s="14"/>
      <c r="Y63" s="456"/>
      <c r="Z63" s="456"/>
      <c r="AA63" s="11">
        <f t="shared" si="2"/>
        <v>-204.00000000000045</v>
      </c>
      <c r="AB63" s="325">
        <f t="shared" si="93"/>
        <v>0.91499999999999981</v>
      </c>
      <c r="AC63" s="470"/>
    </row>
    <row r="64" spans="1:29" ht="15.75" customHeight="1">
      <c r="A64" s="467" t="s">
        <v>12</v>
      </c>
      <c r="B64" s="333" t="s">
        <v>24</v>
      </c>
      <c r="C64" s="487" t="s">
        <v>510</v>
      </c>
      <c r="D64" s="487"/>
      <c r="E64" s="26">
        <v>28.51</v>
      </c>
      <c r="F64" s="333">
        <v>4183</v>
      </c>
      <c r="G64" s="323">
        <f t="shared" si="85"/>
        <v>119257.33</v>
      </c>
      <c r="H64" s="76" t="s">
        <v>57</v>
      </c>
      <c r="I64" s="331">
        <v>20</v>
      </c>
      <c r="J64" s="18">
        <v>2400</v>
      </c>
      <c r="K64" s="9">
        <f t="shared" ref="K64:K65" si="95">J64/I64</f>
        <v>120</v>
      </c>
      <c r="L64" s="17">
        <v>20</v>
      </c>
      <c r="M64" s="10">
        <f t="shared" si="91"/>
        <v>2182.434782608696</v>
      </c>
      <c r="N64" s="9">
        <f t="shared" si="87"/>
        <v>109.1217391304348</v>
      </c>
      <c r="O64" s="11">
        <f t="shared" si="88"/>
        <v>0</v>
      </c>
      <c r="P64" s="12">
        <f t="shared" si="89"/>
        <v>-10.878260869565196</v>
      </c>
      <c r="Q64" s="325">
        <f t="shared" si="92"/>
        <v>0.90934782608695675</v>
      </c>
      <c r="R64" s="470"/>
      <c r="S64" s="24">
        <v>0.41041666666666665</v>
      </c>
      <c r="T64" s="24">
        <v>0.49027777777777776</v>
      </c>
      <c r="U64" s="323">
        <f t="shared" si="94"/>
        <v>6.9999999999999751</v>
      </c>
      <c r="V64" s="332">
        <f t="shared" si="90"/>
        <v>114.99999999999999</v>
      </c>
      <c r="W64" s="14"/>
      <c r="X64" s="14"/>
      <c r="Y64" s="456"/>
      <c r="Z64" s="456"/>
      <c r="AA64" s="11">
        <f t="shared" si="2"/>
        <v>-217.56521739130403</v>
      </c>
      <c r="AB64" s="325">
        <f t="shared" si="93"/>
        <v>0.90934782608695663</v>
      </c>
      <c r="AC64" s="470"/>
    </row>
    <row r="65" spans="1:29" ht="16.5" customHeight="1">
      <c r="A65" s="501" t="s">
        <v>12</v>
      </c>
      <c r="B65" s="26" t="s">
        <v>1397</v>
      </c>
      <c r="C65" s="466"/>
      <c r="D65" s="466"/>
      <c r="E65" s="324"/>
      <c r="F65" s="16"/>
      <c r="G65" s="9"/>
      <c r="H65" s="333"/>
      <c r="I65" s="17">
        <v>17.600000000000001</v>
      </c>
      <c r="J65" s="18">
        <v>2400</v>
      </c>
      <c r="K65" s="9">
        <f t="shared" si="95"/>
        <v>136.36363636363635</v>
      </c>
      <c r="L65" s="17">
        <v>17.600000000000001</v>
      </c>
      <c r="M65" s="10">
        <f>AVERAGE(M60:M64)</f>
        <v>2185.6538763943195</v>
      </c>
      <c r="N65" s="9">
        <f>M65/L65</f>
        <v>124.18487934058632</v>
      </c>
      <c r="O65" s="11">
        <f>L65-I65</f>
        <v>0</v>
      </c>
      <c r="P65" s="12">
        <f>N65-K65</f>
        <v>-12.178757023050025</v>
      </c>
      <c r="Q65" s="325">
        <f t="shared" si="92"/>
        <v>0.91068911516429984</v>
      </c>
      <c r="R65" s="470"/>
      <c r="S65" s="24"/>
      <c r="T65" s="24"/>
      <c r="U65" s="9"/>
      <c r="V65" s="332"/>
      <c r="W65" s="9"/>
      <c r="X65" s="9"/>
      <c r="Y65" s="456"/>
      <c r="Z65" s="456"/>
      <c r="AA65" s="11">
        <f t="shared" si="2"/>
        <v>-214.34612360568053</v>
      </c>
      <c r="AB65" s="325">
        <f t="shared" si="93"/>
        <v>0.91068911516429973</v>
      </c>
      <c r="AC65" s="470"/>
    </row>
    <row r="66" spans="1:29">
      <c r="D66" s="19"/>
      <c r="E66" s="19"/>
    </row>
  </sheetData>
  <mergeCells count="18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8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C18:D18"/>
    <mergeCell ref="Y18:Z18"/>
    <mergeCell ref="A19:A27"/>
    <mergeCell ref="C19:D19"/>
    <mergeCell ref="R19:R27"/>
    <mergeCell ref="Y19:Z19"/>
    <mergeCell ref="Y24:Z24"/>
    <mergeCell ref="A13:A18"/>
    <mergeCell ref="C13:D13"/>
    <mergeCell ref="R13:R18"/>
    <mergeCell ref="Y13:Z13"/>
    <mergeCell ref="AC28:AC33"/>
    <mergeCell ref="C29:D29"/>
    <mergeCell ref="Y29:Z29"/>
    <mergeCell ref="C30:D30"/>
    <mergeCell ref="Y30:Z30"/>
    <mergeCell ref="C31:D31"/>
    <mergeCell ref="C25:D25"/>
    <mergeCell ref="Y25:Z25"/>
    <mergeCell ref="C26:D26"/>
    <mergeCell ref="Y26:Z26"/>
    <mergeCell ref="C27:D27"/>
    <mergeCell ref="Y27:Z27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31:Z31"/>
    <mergeCell ref="C32:D32"/>
    <mergeCell ref="Y32:Z32"/>
    <mergeCell ref="C33:D33"/>
    <mergeCell ref="Y33:Z33"/>
    <mergeCell ref="A34:A40"/>
    <mergeCell ref="C34:D34"/>
    <mergeCell ref="R34:R40"/>
    <mergeCell ref="Y34:Z34"/>
    <mergeCell ref="Y39:Z39"/>
    <mergeCell ref="A28:A33"/>
    <mergeCell ref="C28:D28"/>
    <mergeCell ref="R28:R33"/>
    <mergeCell ref="Y28:Z28"/>
    <mergeCell ref="AC34:AC40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C40:D40"/>
    <mergeCell ref="Y40:Z40"/>
    <mergeCell ref="A41:A47"/>
    <mergeCell ref="C41:D41"/>
    <mergeCell ref="R41:R47"/>
    <mergeCell ref="Y41:Z41"/>
    <mergeCell ref="Y46:Z46"/>
    <mergeCell ref="C47:D47"/>
    <mergeCell ref="Y47:Z47"/>
    <mergeCell ref="AC41:AC47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A48:A52"/>
    <mergeCell ref="C48:D48"/>
    <mergeCell ref="R48:R52"/>
    <mergeCell ref="Y48:Z48"/>
    <mergeCell ref="AC48:AC52"/>
    <mergeCell ref="C49:D49"/>
    <mergeCell ref="Y49:Z49"/>
    <mergeCell ref="C50:D50"/>
    <mergeCell ref="C52:D52"/>
    <mergeCell ref="Y52:Z52"/>
    <mergeCell ref="A53:A59"/>
    <mergeCell ref="C53:D53"/>
    <mergeCell ref="R53:R59"/>
    <mergeCell ref="Y53:Z53"/>
    <mergeCell ref="AC53:AC59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Y63:Z63"/>
    <mergeCell ref="C64:D64"/>
    <mergeCell ref="Y64:Z64"/>
    <mergeCell ref="A60:A65"/>
    <mergeCell ref="C60:D60"/>
    <mergeCell ref="R60:R65"/>
    <mergeCell ref="Y60:Z60"/>
    <mergeCell ref="AC60:AC65"/>
    <mergeCell ref="C61:D61"/>
    <mergeCell ref="Y61:Z61"/>
    <mergeCell ref="C62:D62"/>
    <mergeCell ref="Y62:Z62"/>
    <mergeCell ref="C63:D63"/>
    <mergeCell ref="C65:D65"/>
    <mergeCell ref="Y65:Z65"/>
  </mergeCells>
  <phoneticPr fontId="3" type="noConversion"/>
  <conditionalFormatting sqref="O56:O65 O5:O9 O12:O14 O18:O53">
    <cfRule type="cellIs" dxfId="1854" priority="39" operator="greaterThan">
      <formula>0</formula>
    </cfRule>
  </conditionalFormatting>
  <conditionalFormatting sqref="P5:P7 P56:P58 AA56:AA58 P60:P64 P28:P32 P53 P9 P12:P14 P19:P26 P48:P51 P34:P46 AA5:AA53 AA60:AA65">
    <cfRule type="cellIs" dxfId="1853" priority="43" operator="lessThan">
      <formula>0</formula>
    </cfRule>
  </conditionalFormatting>
  <conditionalFormatting sqref="AB56:AB58 Q56:Q65 Q5:Q9 Q12:Q14 Q18:Q53 AB5:AB53 AB60:AB65">
    <cfRule type="cellIs" dxfId="1852" priority="40" operator="greaterThan">
      <formula>1</formula>
    </cfRule>
    <cfRule type="cellIs" dxfId="1851" priority="41" operator="lessThan">
      <formula>0.8</formula>
    </cfRule>
  </conditionalFormatting>
  <conditionalFormatting sqref="AC13:AC14 R13:R14 AC56 R18:R24 AC18:AC24 R56:R65 AC5:AC9 R5:R9 AC27:AC53 R27:R53">
    <cfRule type="cellIs" dxfId="1850" priority="45" operator="lessThan">
      <formula>0.8</formula>
    </cfRule>
  </conditionalFormatting>
  <conditionalFormatting sqref="AC41">
    <cfRule type="cellIs" dxfId="1849" priority="47" operator="lessThan">
      <formula>0.8</formula>
    </cfRule>
  </conditionalFormatting>
  <conditionalFormatting sqref="AC19:AC24">
    <cfRule type="cellIs" dxfId="1848" priority="44" operator="lessThan">
      <formula>0.8</formula>
    </cfRule>
  </conditionalFormatting>
  <conditionalFormatting sqref="AC28">
    <cfRule type="cellIs" dxfId="1847" priority="46" operator="lessThan">
      <formula>0.8</formula>
    </cfRule>
  </conditionalFormatting>
  <conditionalFormatting sqref="AC34:AC39">
    <cfRule type="cellIs" dxfId="1846" priority="42" operator="lessThan">
      <formula>0.8</formula>
    </cfRule>
  </conditionalFormatting>
  <conditionalFormatting sqref="AA59">
    <cfRule type="cellIs" dxfId="1845" priority="38" operator="lessThan">
      <formula>0</formula>
    </cfRule>
  </conditionalFormatting>
  <conditionalFormatting sqref="AB59">
    <cfRule type="cellIs" dxfId="1844" priority="36" operator="greaterThan">
      <formula>1</formula>
    </cfRule>
    <cfRule type="cellIs" dxfId="1843" priority="37" operator="lessThan">
      <formula>0.8</formula>
    </cfRule>
  </conditionalFormatting>
  <conditionalFormatting sqref="O15:O16">
    <cfRule type="cellIs" dxfId="1842" priority="31" operator="greaterThan">
      <formula>0</formula>
    </cfRule>
  </conditionalFormatting>
  <conditionalFormatting sqref="P15:P16">
    <cfRule type="cellIs" dxfId="1841" priority="34" operator="lessThan">
      <formula>0</formula>
    </cfRule>
  </conditionalFormatting>
  <conditionalFormatting sqref="Q15:Q16">
    <cfRule type="cellIs" dxfId="1840" priority="32" operator="greaterThan">
      <formula>1</formula>
    </cfRule>
    <cfRule type="cellIs" dxfId="1839" priority="33" operator="lessThan">
      <formula>0.8</formula>
    </cfRule>
  </conditionalFormatting>
  <conditionalFormatting sqref="R15:R16 AC15:AC16">
    <cfRule type="cellIs" dxfId="1838" priority="35" operator="lessThan">
      <formula>0.8</formula>
    </cfRule>
  </conditionalFormatting>
  <conditionalFormatting sqref="O10:O11">
    <cfRule type="cellIs" dxfId="1837" priority="27" operator="greaterThan">
      <formula>0</formula>
    </cfRule>
  </conditionalFormatting>
  <conditionalFormatting sqref="P10:P11">
    <cfRule type="cellIs" dxfId="1836" priority="30" operator="lessThan">
      <formula>0</formula>
    </cfRule>
  </conditionalFormatting>
  <conditionalFormatting sqref="Q10:Q11">
    <cfRule type="cellIs" dxfId="1835" priority="28" operator="greaterThan">
      <formula>1</formula>
    </cfRule>
    <cfRule type="cellIs" dxfId="1834" priority="29" operator="lessThan">
      <formula>0.8</formula>
    </cfRule>
  </conditionalFormatting>
  <conditionalFormatting sqref="AC26 R26">
    <cfRule type="cellIs" dxfId="1833" priority="26" operator="lessThan">
      <formula>0.8</formula>
    </cfRule>
  </conditionalFormatting>
  <conditionalFormatting sqref="O55">
    <cfRule type="cellIs" dxfId="1832" priority="21" operator="greaterThan">
      <formula>0</formula>
    </cfRule>
  </conditionalFormatting>
  <conditionalFormatting sqref="P55 AA55">
    <cfRule type="cellIs" dxfId="1831" priority="24" operator="lessThan">
      <formula>0</formula>
    </cfRule>
  </conditionalFormatting>
  <conditionalFormatting sqref="Q55 AB55">
    <cfRule type="cellIs" dxfId="1830" priority="22" operator="greaterThan">
      <formula>1</formula>
    </cfRule>
    <cfRule type="cellIs" dxfId="1829" priority="23" operator="lessThan">
      <formula>0.8</formula>
    </cfRule>
  </conditionalFormatting>
  <conditionalFormatting sqref="R55 AC55">
    <cfRule type="cellIs" dxfId="1828" priority="25" operator="lessThan">
      <formula>0.8</formula>
    </cfRule>
  </conditionalFormatting>
  <conditionalFormatting sqref="O17">
    <cfRule type="cellIs" dxfId="1827" priority="16" operator="greaterThan">
      <formula>0</formula>
    </cfRule>
  </conditionalFormatting>
  <conditionalFormatting sqref="P17">
    <cfRule type="cellIs" dxfId="1826" priority="19" operator="lessThan">
      <formula>0</formula>
    </cfRule>
  </conditionalFormatting>
  <conditionalFormatting sqref="Q17">
    <cfRule type="cellIs" dxfId="1825" priority="17" operator="greaterThan">
      <formula>1</formula>
    </cfRule>
    <cfRule type="cellIs" dxfId="1824" priority="18" operator="lessThan">
      <formula>0.8</formula>
    </cfRule>
  </conditionalFormatting>
  <conditionalFormatting sqref="R17 AC17">
    <cfRule type="cellIs" dxfId="1823" priority="20" operator="lessThan">
      <formula>0.8</formula>
    </cfRule>
  </conditionalFormatting>
  <conditionalFormatting sqref="R25 AC25">
    <cfRule type="cellIs" dxfId="1822" priority="15" operator="lessThan">
      <formula>0.8</formula>
    </cfRule>
  </conditionalFormatting>
  <conditionalFormatting sqref="AC25">
    <cfRule type="cellIs" dxfId="1821" priority="14" operator="lessThan">
      <formula>0.8</formula>
    </cfRule>
  </conditionalFormatting>
  <conditionalFormatting sqref="O54">
    <cfRule type="cellIs" dxfId="1820" priority="9" operator="greaterThan">
      <formula>0</formula>
    </cfRule>
  </conditionalFormatting>
  <conditionalFormatting sqref="P54 AA54">
    <cfRule type="cellIs" dxfId="1819" priority="12" operator="lessThan">
      <formula>0</formula>
    </cfRule>
  </conditionalFormatting>
  <conditionalFormatting sqref="Q54 AB54">
    <cfRule type="cellIs" dxfId="1818" priority="10" operator="greaterThan">
      <formula>1</formula>
    </cfRule>
    <cfRule type="cellIs" dxfId="1817" priority="11" operator="lessThan">
      <formula>0.8</formula>
    </cfRule>
  </conditionalFormatting>
  <conditionalFormatting sqref="R54 AC54">
    <cfRule type="cellIs" dxfId="1816" priority="13" operator="lessThan">
      <formula>0.8</formula>
    </cfRule>
  </conditionalFormatting>
  <conditionalFormatting sqref="P8">
    <cfRule type="cellIs" dxfId="1815" priority="8" operator="lessThan">
      <formula>0</formula>
    </cfRule>
  </conditionalFormatting>
  <conditionalFormatting sqref="P18">
    <cfRule type="cellIs" dxfId="1814" priority="7" operator="lessThan">
      <formula>0</formula>
    </cfRule>
  </conditionalFormatting>
  <conditionalFormatting sqref="P27">
    <cfRule type="cellIs" dxfId="1813" priority="6" operator="lessThan">
      <formula>0</formula>
    </cfRule>
  </conditionalFormatting>
  <conditionalFormatting sqref="P33">
    <cfRule type="cellIs" dxfId="1812" priority="5" operator="lessThan">
      <formula>0</formula>
    </cfRule>
  </conditionalFormatting>
  <conditionalFormatting sqref="P47">
    <cfRule type="cellIs" dxfId="1811" priority="4" operator="lessThan">
      <formula>0</formula>
    </cfRule>
  </conditionalFormatting>
  <conditionalFormatting sqref="P52">
    <cfRule type="cellIs" dxfId="1810" priority="3" operator="lessThan">
      <formula>0</formula>
    </cfRule>
  </conditionalFormatting>
  <conditionalFormatting sqref="P59">
    <cfRule type="cellIs" dxfId="1809" priority="2" operator="lessThan">
      <formula>0</formula>
    </cfRule>
  </conditionalFormatting>
  <conditionalFormatting sqref="P65">
    <cfRule type="cellIs" dxfId="1808" priority="1" operator="lessThan">
      <formula>0</formula>
    </cfRule>
  </conditionalFormatting>
  <dataValidations count="1">
    <dataValidation type="list" allowBlank="1" showInputMessage="1" showErrorMessage="1" sqref="Z8 Z57:Z58 Y5:Z7 Y8:Y58 Z10:Z53 Y59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O7" sqref="O7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308" t="s">
        <v>1264</v>
      </c>
      <c r="C3" s="421" t="str">
        <f>TEXT('0724 4度C'!A2,"yyyy.mm.ddaaaa")</f>
        <v>2025.07.24星期四</v>
      </c>
      <c r="D3" s="421"/>
      <c r="E3" s="308" t="s">
        <v>1265</v>
      </c>
      <c r="F3" s="422">
        <f>'0724 4度C'!D1</f>
        <v>165408</v>
      </c>
      <c r="G3" s="422"/>
      <c r="H3" s="308" t="s">
        <v>1266</v>
      </c>
      <c r="I3" s="423">
        <f>'0724 4度C'!F1</f>
        <v>5572526.4700000016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1267</v>
      </c>
      <c r="D4" s="424"/>
      <c r="E4" s="425" t="s">
        <v>92</v>
      </c>
      <c r="F4" s="425"/>
      <c r="G4" s="425" t="s">
        <v>129</v>
      </c>
      <c r="H4" s="425"/>
      <c r="I4" s="425" t="s">
        <v>1268</v>
      </c>
      <c r="J4" s="425"/>
      <c r="L4" s="33"/>
      <c r="M4" s="33"/>
      <c r="N4" s="33"/>
    </row>
    <row r="5" spans="2:17" ht="28.5" customHeight="1">
      <c r="B5" s="424"/>
      <c r="C5" s="424" t="s">
        <v>1269</v>
      </c>
      <c r="D5" s="424"/>
      <c r="E5" s="424" t="s">
        <v>130</v>
      </c>
      <c r="F5" s="424"/>
      <c r="G5" s="426" t="s">
        <v>1270</v>
      </c>
      <c r="H5" s="426"/>
      <c r="I5" s="427" t="s">
        <v>1271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140.60272450620087</v>
      </c>
      <c r="F6" s="424">
        <f>AVERAGE(D27:O27,D13:J13)</f>
        <v>143.03482493053943</v>
      </c>
      <c r="G6" s="429">
        <f>AVERAGE(D13:J13)</f>
        <v>143.03482493053943</v>
      </c>
      <c r="H6" s="429"/>
      <c r="I6" s="429">
        <f>AVERAGE(K13:M13)</f>
        <v>134.92782351607752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128.44360340781614</v>
      </c>
      <c r="F7" s="434">
        <f>AVERAGE(D28:O28,D14:J14)</f>
        <v>130.73033334516828</v>
      </c>
      <c r="G7" s="435">
        <f>AVERAGE(D14:J14)</f>
        <v>130.73033334516828</v>
      </c>
      <c r="H7" s="435"/>
      <c r="I7" s="435">
        <f>AVERAGE(K14:M14)</f>
        <v>123.10790022066108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0.91329615479186865</v>
      </c>
      <c r="F8" s="432">
        <f>AVERAGE(D15:J15,D29:O29)</f>
        <v>0.91365708406525115</v>
      </c>
      <c r="G8" s="437">
        <f>AVERAGE(D15:J15)</f>
        <v>0.91365708406525115</v>
      </c>
      <c r="H8" s="437"/>
      <c r="I8" s="437">
        <f>AVERAGE(K15:M15)</f>
        <v>0.91245398648730947</v>
      </c>
      <c r="J8" s="437"/>
      <c r="K8" s="34" t="s">
        <v>1272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1273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1274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1275</v>
      </c>
      <c r="G12" s="42" t="s">
        <v>1276</v>
      </c>
      <c r="H12" s="42" t="s">
        <v>1277</v>
      </c>
      <c r="I12" s="42" t="s">
        <v>1278</v>
      </c>
      <c r="J12" s="43" t="s">
        <v>1279</v>
      </c>
      <c r="K12" s="41" t="s">
        <v>1280</v>
      </c>
      <c r="L12" s="42" t="s">
        <v>1281</v>
      </c>
      <c r="M12" s="43" t="s">
        <v>135</v>
      </c>
    </row>
    <row r="13" spans="2:17" ht="40.15" customHeight="1">
      <c r="B13" s="447" t="s">
        <v>1282</v>
      </c>
      <c r="C13" s="44" t="s">
        <v>87</v>
      </c>
      <c r="D13" s="45">
        <f>SUMIFS('0724 4度C'!$K:$K,'0724 4度C'!$A:$A,"燴飯線",'0724 4度C'!$B:$B,"平均")</f>
        <v>105.88235294117646</v>
      </c>
      <c r="E13" s="46">
        <f>SUMIFS('0724 4度C'!$K:$K,'0724 4度C'!$A:$A,"沙拉線一線",'0724 4度C'!$B:$B,"平均")</f>
        <v>81.081081081081081</v>
      </c>
      <c r="F13" s="47">
        <f>SUMIFS('0724 4度C'!$K:$K,'0724 4度C'!$A:$A,"沙拉線二線",'0724 4度C'!$B:$B,"平均")</f>
        <v>80.702127659574472</v>
      </c>
      <c r="G13" s="47">
        <f>SUMIFS('0724 4度C'!$K:$K,'0724 4度C'!$A:$A,"沙拉線三線",'0724 4度C'!$B:$B,"平均")</f>
        <v>104.54545454545455</v>
      </c>
      <c r="H13" s="47">
        <f>SUMIFS('0724 4度C'!$K:$K,'0724 4度C'!$A:$A,"自動包裝線",'0724 4度C'!$B:$B,"平均")</f>
        <v>300</v>
      </c>
      <c r="I13" s="47">
        <f>SUMIFS('0724 4度C'!$K:$K,'0724 4度C'!$A:$A,"涼麵一線",'0724 4度C'!$B:$B,"平均")</f>
        <v>89.552238805970148</v>
      </c>
      <c r="J13" s="48">
        <f>SUMIFS('0724 4度C'!$K:$K,'0724 4度C'!$A:$A,"三明治四線",'0724 4度C'!$B:$B,"平均")</f>
        <v>239.48051948051946</v>
      </c>
      <c r="K13" s="49">
        <f>SUMIFS('0724 4度C'!$K:$K,'0724 4度C'!$A:$A,"三明治一線",'0724 4度C'!$B:$B,"平均")</f>
        <v>137.70491803278691</v>
      </c>
      <c r="L13" s="50">
        <f>SUMIFS('0724 4度C'!$K:$K,'0724 4度C'!$A:$A,"三明治二線",'0724 4度C'!$B:$B,"平均")</f>
        <v>127.27272727272727</v>
      </c>
      <c r="M13" s="48">
        <f>SUMIFS('0724 4度C'!$K:$K,'0724 4度C'!$A:$A,"自動包裝二線",'0724 4度C'!$B:$B,"平均")</f>
        <v>139.80582524271844</v>
      </c>
    </row>
    <row r="14" spans="2:17" ht="39.6" customHeight="1">
      <c r="B14" s="447"/>
      <c r="C14" s="51" t="s">
        <v>1283</v>
      </c>
      <c r="D14" s="52">
        <f>SUMIFS('0724 4度C'!$N:$N,'0724 4度C'!$A:$A,"燴飯線",'0724 4度C'!$B:$B,"平均")</f>
        <v>96.926064635069437</v>
      </c>
      <c r="E14" s="53">
        <f>SUMIFS('0724 4度C'!$N:$N,'0724 4度C'!$A:$A,"沙拉線一線",'0724 4度C'!$B:$B,"平均")</f>
        <v>73.724694701901569</v>
      </c>
      <c r="F14" s="53">
        <f>SUMIFS('0724 4度C'!$N:$N,'0724 4度C'!$A:$A,"沙拉線二線",'0724 4度C'!$B:$B,"平均")</f>
        <v>73.492963943890274</v>
      </c>
      <c r="G14" s="53">
        <f>SUMIFS('0724 4度C'!$N:$N,'0724 4度C'!$A:$A,"沙拉線三線",'0724 4度C'!$B:$B,"平均")</f>
        <v>96.079354906012</v>
      </c>
      <c r="H14" s="53">
        <f>SUMIFS('0724 4度C'!$N:$N,'0724 4度C'!$A:$A,"自動包裝線",'0724 4度C'!$B:$B,"平均")</f>
        <v>273.79710142454508</v>
      </c>
      <c r="I14" s="53">
        <f>SUMIFS('0724 4度C'!$N:$N,'0724 4度C'!$A:$A,"涼麵一線",'0724 4度C'!$B:$B,"平均")</f>
        <v>81.719389394496162</v>
      </c>
      <c r="J14" s="54">
        <f>SUMIFS('0724 4度C'!$N:$N,'0724 4度C'!$A:$A,"三明治四線",'0724 4度C'!$B:$B,"平均")</f>
        <v>219.37276441026353</v>
      </c>
      <c r="K14" s="55">
        <f>SUMIFS('0724 4度C'!$N:$N,'0724 4度C'!$A:$A,"三明治一線",'0724 4度C'!$B:$B,"平均")</f>
        <v>125.54374199590806</v>
      </c>
      <c r="L14" s="56">
        <f>SUMIFS('0724 4度C'!$N:$N,'0724 4度C'!$A:$A,"三明治二線",'0724 4度C'!$B:$B,"平均")</f>
        <v>116.37628414813358</v>
      </c>
      <c r="M14" s="54">
        <f>SUMIFS('0724 4度C'!$N:$N,'0724 4度C'!$A:$A,"自動包裝二線",'0724 4度C'!$B:$B,"平均")</f>
        <v>127.40367451794162</v>
      </c>
    </row>
    <row r="15" spans="2:17" ht="40.15" customHeight="1">
      <c r="B15" s="447"/>
      <c r="C15" s="57" t="s">
        <v>1284</v>
      </c>
      <c r="D15" s="58">
        <f>D14/D13</f>
        <v>0.91541283266454476</v>
      </c>
      <c r="E15" s="59">
        <f t="shared" ref="E15:M15" si="0">E14/E13</f>
        <v>0.90927123465678605</v>
      </c>
      <c r="F15" s="59">
        <f t="shared" si="0"/>
        <v>0.9106694714903355</v>
      </c>
      <c r="G15" s="59">
        <f t="shared" si="0"/>
        <v>0.91901991649228865</v>
      </c>
      <c r="H15" s="59">
        <f>H14/H13</f>
        <v>0.91265700474848355</v>
      </c>
      <c r="I15" s="59">
        <f>I14/I13</f>
        <v>0.9125331815718738</v>
      </c>
      <c r="J15" s="60">
        <f>J14/J13</f>
        <v>0.91603594683244538</v>
      </c>
      <c r="K15" s="58">
        <f>K14/K13</f>
        <v>0.91168669782742751</v>
      </c>
      <c r="L15" s="59">
        <f>L14/L13</f>
        <v>0.91438508973533528</v>
      </c>
      <c r="M15" s="60">
        <f t="shared" si="0"/>
        <v>0.91129017189916584</v>
      </c>
    </row>
    <row r="16" spans="2:17" ht="17.25" customHeight="1">
      <c r="B16" s="430" t="s">
        <v>1285</v>
      </c>
      <c r="C16" s="307" t="s">
        <v>1286</v>
      </c>
      <c r="D16" s="61">
        <f>VLOOKUP("燴飯線",'0724 4度C'!$A:$T,19,0)</f>
        <v>0.70833333333333337</v>
      </c>
      <c r="E16" s="24">
        <f>VLOOKUP("沙拉線一線",'0724 4度C'!$A:$T,19,0)</f>
        <v>0.12847222222222221</v>
      </c>
      <c r="F16" s="24">
        <f>VLOOKUP("沙拉線二線",'0724 4度C'!$A:$T,19,0)</f>
        <v>0.25</v>
      </c>
      <c r="G16" s="24">
        <f>VLOOKUP("沙拉線三線",'0724 4度C'!$A:$T,19,0)</f>
        <v>0.16666666666666666</v>
      </c>
      <c r="H16" s="24">
        <f>VLOOKUP("自動包裝線",'0724 4度C'!$A:$T,19,0)</f>
        <v>0.20833333333333334</v>
      </c>
      <c r="I16" s="24">
        <f>VLOOKUP("涼麵一線",'0724 4度C'!$A:$T,19,0)</f>
        <v>0.29305555555555557</v>
      </c>
      <c r="J16" s="62">
        <f>VLOOKUP("三明治四線",'0724 4度C'!$A:$T,19,0)</f>
        <v>0.20833333333333334</v>
      </c>
      <c r="K16" s="63">
        <f>VLOOKUP("三明治一線",'0724 4度C'!$A:$T,19,0)</f>
        <v>0.125</v>
      </c>
      <c r="L16" s="64">
        <f>VLOOKUP("三明治二線",'0724 4度C'!$A:$T,19,0)</f>
        <v>8.3333333333333329E-2</v>
      </c>
      <c r="M16" s="65">
        <f>VLOOKUP("自動包裝二線",'0724 4度C'!$A:$T,19,0)</f>
        <v>0.125</v>
      </c>
    </row>
    <row r="17" spans="2:13" ht="17.25" customHeight="1">
      <c r="B17" s="431"/>
      <c r="C17" s="307" t="s">
        <v>1287</v>
      </c>
      <c r="D17" s="63">
        <f>LOOKUP(2,1/(('0724 4度C'!$A:$A="燴飯線")*('0724 4度C'!$T:$T&lt;&gt;"")),'0724 4度C'!$T:$T)</f>
        <v>0.83402777777777781</v>
      </c>
      <c r="E17" s="24">
        <f>LOOKUP(2,1/(('0724 4度C'!$A:$A="沙拉線一線")*('0724 4度C'!$T:$T&lt;&gt;"")),'0724 4度C'!$T:$T)</f>
        <v>0.64305555555555538</v>
      </c>
      <c r="F17" s="24">
        <f>LOOKUP(2,1/(('0724 4度C'!$A:$A="沙拉線二線")*('0724 4度C'!$T:$T&lt;&gt;"")),'0724 4度C'!$T:$T)</f>
        <v>0.81805555555555554</v>
      </c>
      <c r="G17" s="24">
        <f>LOOKUP(2,1/(('0724 4度C'!$A:$A="沙拉線三線")*('0724 4度C'!$T:$T&lt;&gt;"")),'0724 4度C'!$T:$T)</f>
        <v>0.8340277777777777</v>
      </c>
      <c r="H17" s="24">
        <f>LOOKUP(2,1/(('0724 4度C'!$A:$A="自動包裝線")*('0724 4度C'!$T:$T&lt;&gt;"")),'0724 4度C'!$T:$T)</f>
        <v>0.63194444444444442</v>
      </c>
      <c r="I17" s="24">
        <f>LOOKUP(2,1/(('0724 4度C'!$A:$A="涼麵一線")*('0724 4度C'!$T:$T&lt;&gt;"")),'0724 4度C'!$T:$T)</f>
        <v>0.81041666666666667</v>
      </c>
      <c r="J17" s="62">
        <f>LOOKUP(2,1/(('0724 4度C'!$A:$A="三明治四線")*('0724 4度C'!$T:$T&lt;&gt;"")),'0724 4度C'!$T:$T)</f>
        <v>0.5756944444444444</v>
      </c>
      <c r="K17" s="61">
        <f>LOOKUP(2,1/(('0724 4度C'!$A:$A="三明治一線")*('0724 4度C'!$T:$T&lt;&gt;"")),'0724 4度C'!$T:$T)</f>
        <v>0.67083333333333328</v>
      </c>
      <c r="L17" s="24">
        <f>LOOKUP(2,1/(('0724 4度C'!$A:$A="三明治二線")*('0724 4度C'!$T:$T&lt;&gt;"")),'0724 4度C'!$T:$T)</f>
        <v>0.61249999999999982</v>
      </c>
      <c r="M17" s="62">
        <f>LOOKUP(2,1/(('0724 4度C'!$A:$A="自動包裝二線")*('0724 4度C'!$T:$T&lt;&gt;"")),'0724 4度C'!$T:$T)</f>
        <v>0.63194444444444431</v>
      </c>
    </row>
    <row r="18" spans="2:13" ht="17.25" customHeight="1">
      <c r="B18" s="431" t="s">
        <v>1288</v>
      </c>
      <c r="C18" s="446"/>
      <c r="D18" s="66">
        <f>SUMIFS('0724 4度C'!$I:$I,'0724 4度C'!$A:$A,"燴飯線",'0724 4度C'!$B:$B,"平均")</f>
        <v>17</v>
      </c>
      <c r="E18" s="67">
        <f>SUMIFS('0724 4度C'!$I:$I,'0724 4度C'!$A:$A,"沙拉線一線",'0724 4度C'!$B:$B,"平均")</f>
        <v>18.5</v>
      </c>
      <c r="F18" s="67">
        <f>SUMIFS('0724 4度C'!$I:$I,'0724 4度C'!$A:$A,"沙拉線二線",'0724 4度C'!$B:$B,"平均")</f>
        <v>18.8</v>
      </c>
      <c r="G18" s="67">
        <f>SUMIFS('0724 4度C'!$I:$I,'0724 4度C'!$A:$A,"沙拉線三線",'0724 4度C'!$B:$B,"平均")</f>
        <v>16.5</v>
      </c>
      <c r="H18" s="67">
        <f>SUMIFS('0724 4度C'!$I:$I,'0724 4度C'!$A:$A,"自動包裝線",'0724 4度C'!$B:$B,"平均")</f>
        <v>10</v>
      </c>
      <c r="I18" s="67">
        <f>SUMIFS('0724 4度C'!$I:$I,'0724 4度C'!$A:$A,"涼麵一線",'0724 4度C'!$B:$B,"平均")</f>
        <v>16.75</v>
      </c>
      <c r="J18" s="68">
        <f>SUMIFS('0724 4度C'!$I:$I,'0724 4度C'!$A:$A,"三明治四線",'0724 4度C'!$B:$B,"平均")</f>
        <v>11</v>
      </c>
      <c r="K18" s="66">
        <f>SUMIFS('0724 4度C'!$I:$I,'0724 4度C'!$A:$A,"三明治一線",'0724 4度C'!$B:$B,"平均")</f>
        <v>17.428571428571427</v>
      </c>
      <c r="L18" s="67">
        <f>SUMIFS('0724 4度C'!$I:$I,'0724 4度C'!$A:$A,"三明治二線",'0724 4度C'!$B:$B,"平均")</f>
        <v>18.857142857142858</v>
      </c>
      <c r="M18" s="68">
        <f>SUMIFS('0724 4度C'!$I:$I,'0724 4度C'!$A:$A,"自動包裝二線",'0724 4度C'!$B:$B,"平均")</f>
        <v>17.166666666666668</v>
      </c>
    </row>
    <row r="19" spans="2:13" ht="17.25" customHeight="1">
      <c r="B19" s="448" t="s">
        <v>1289</v>
      </c>
      <c r="C19" s="449"/>
      <c r="D19" s="69" t="s">
        <v>50</v>
      </c>
      <c r="E19" s="70" t="s">
        <v>51</v>
      </c>
      <c r="F19" s="70" t="s">
        <v>1290</v>
      </c>
      <c r="G19" s="70" t="s">
        <v>1290</v>
      </c>
      <c r="H19" s="70" t="s">
        <v>52</v>
      </c>
      <c r="I19" s="70" t="s">
        <v>50</v>
      </c>
      <c r="J19" s="71" t="s">
        <v>52</v>
      </c>
      <c r="K19" s="69" t="s">
        <v>1291</v>
      </c>
      <c r="L19" s="70" t="s">
        <v>1291</v>
      </c>
      <c r="M19" s="71" t="s">
        <v>1292</v>
      </c>
    </row>
    <row r="20" spans="2:13" ht="17.25" customHeight="1">
      <c r="B20" s="448" t="s">
        <v>1293</v>
      </c>
      <c r="C20" s="449"/>
      <c r="D20" s="69"/>
      <c r="E20" s="70"/>
      <c r="F20" s="70" t="s">
        <v>1294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1295</v>
      </c>
      <c r="C21" s="451"/>
      <c r="D21" s="72"/>
      <c r="E21" s="73" t="s">
        <v>1296</v>
      </c>
      <c r="F21" s="452" t="s">
        <v>142</v>
      </c>
      <c r="G21" s="453"/>
      <c r="H21" s="73" t="s">
        <v>107</v>
      </c>
      <c r="I21" s="73" t="s">
        <v>108</v>
      </c>
      <c r="J21" s="74" t="s">
        <v>1297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80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C3" sqref="C3:J3"/>
      <selection pane="bottomLeft" activeCell="C3" sqref="C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SUM(F5:F73)</f>
        <v>165408</v>
      </c>
      <c r="E1" s="309" t="s">
        <v>82</v>
      </c>
      <c r="F1" s="1">
        <f>SUM(G5:G73)</f>
        <v>5572526.4700000016</v>
      </c>
      <c r="G1" s="1" t="s">
        <v>111</v>
      </c>
      <c r="H1" s="4">
        <f>L8+L13+L53+L58+L19+L66+L36+L44+L28+L73</f>
        <v>162.00238095238095</v>
      </c>
      <c r="I1" s="454" t="s">
        <v>1298</v>
      </c>
      <c r="J1" s="454"/>
      <c r="K1" s="454"/>
      <c r="L1" s="454" t="s">
        <v>113</v>
      </c>
      <c r="M1" s="454"/>
      <c r="N1" s="454"/>
      <c r="O1" s="454" t="s">
        <v>1299</v>
      </c>
      <c r="P1" s="454"/>
      <c r="Q1" s="454"/>
      <c r="R1" s="454"/>
      <c r="S1" s="454" t="s">
        <v>1300</v>
      </c>
      <c r="T1" s="454"/>
      <c r="U1" s="454"/>
      <c r="V1" s="454"/>
      <c r="W1" s="454"/>
      <c r="X1" s="454"/>
      <c r="Y1" s="454" t="s">
        <v>144</v>
      </c>
      <c r="Z1" s="454"/>
      <c r="AA1" s="454" t="s">
        <v>1301</v>
      </c>
      <c r="AB1" s="455"/>
      <c r="AC1" s="455"/>
    </row>
    <row r="2" spans="1:29" ht="26.25" customHeight="1">
      <c r="A2" s="22">
        <v>45862</v>
      </c>
      <c r="B2" s="23" t="s">
        <v>261</v>
      </c>
      <c r="C2" s="2" t="s">
        <v>114</v>
      </c>
      <c r="D2" s="6">
        <f>AVERAGE(N8,N13,N53,N58,N19,N66,N28,N36,N44,N73)</f>
        <v>128.44360340781614</v>
      </c>
      <c r="E2" s="7" t="s">
        <v>0</v>
      </c>
      <c r="F2" s="8">
        <f>F1/D1</f>
        <v>33.689582547397961</v>
      </c>
      <c r="G2" s="1" t="s">
        <v>1302</v>
      </c>
      <c r="H2" s="320">
        <f>COUNT(H5:H73)</f>
        <v>8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115</v>
      </c>
      <c r="B3" s="456" t="s">
        <v>1303</v>
      </c>
      <c r="C3" s="456" t="s">
        <v>147</v>
      </c>
      <c r="D3" s="456"/>
      <c r="E3" s="457" t="s">
        <v>1304</v>
      </c>
      <c r="F3" s="456" t="s">
        <v>118</v>
      </c>
      <c r="G3" s="457" t="s">
        <v>222</v>
      </c>
      <c r="H3" s="463" t="s">
        <v>119</v>
      </c>
      <c r="I3" s="464" t="s">
        <v>76</v>
      </c>
      <c r="J3" s="465" t="s">
        <v>149</v>
      </c>
      <c r="K3" s="459" t="s">
        <v>1305</v>
      </c>
      <c r="L3" s="464" t="s">
        <v>1306</v>
      </c>
      <c r="M3" s="465" t="s">
        <v>149</v>
      </c>
      <c r="N3" s="459" t="s">
        <v>114</v>
      </c>
      <c r="O3" s="464" t="s">
        <v>76</v>
      </c>
      <c r="P3" s="459" t="s">
        <v>1305</v>
      </c>
      <c r="Q3" s="460" t="s">
        <v>121</v>
      </c>
      <c r="R3" s="461" t="s">
        <v>1307</v>
      </c>
      <c r="S3" s="462" t="s">
        <v>1</v>
      </c>
      <c r="T3" s="462"/>
      <c r="U3" s="463" t="s">
        <v>2</v>
      </c>
      <c r="V3" s="463" t="s">
        <v>1308</v>
      </c>
      <c r="W3" s="456" t="s">
        <v>1309</v>
      </c>
      <c r="X3" s="456"/>
      <c r="Y3" s="475" t="s">
        <v>120</v>
      </c>
      <c r="Z3" s="476"/>
      <c r="AA3" s="465" t="s">
        <v>1310</v>
      </c>
      <c r="AB3" s="460" t="s">
        <v>1311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19" t="s">
        <v>3</v>
      </c>
      <c r="T4" s="319" t="s">
        <v>4</v>
      </c>
      <c r="U4" s="463"/>
      <c r="V4" s="463"/>
      <c r="W4" s="309" t="s">
        <v>1312</v>
      </c>
      <c r="X4" s="309" t="s">
        <v>122</v>
      </c>
      <c r="Y4" s="476"/>
      <c r="Z4" s="476"/>
      <c r="AA4" s="465"/>
      <c r="AB4" s="460"/>
      <c r="AC4" s="461"/>
    </row>
    <row r="5" spans="1:29">
      <c r="A5" s="471" t="s">
        <v>1313</v>
      </c>
      <c r="B5" s="26" t="s">
        <v>13</v>
      </c>
      <c r="C5" s="472" t="s">
        <v>58</v>
      </c>
      <c r="D5" s="472"/>
      <c r="E5" s="26">
        <v>46.93</v>
      </c>
      <c r="F5" s="319">
        <v>908</v>
      </c>
      <c r="G5" s="309">
        <f>E5*F5</f>
        <v>42612.44</v>
      </c>
      <c r="H5" s="76" t="s">
        <v>57</v>
      </c>
      <c r="I5" s="317">
        <v>17</v>
      </c>
      <c r="J5" s="18">
        <v>1800</v>
      </c>
      <c r="K5" s="9">
        <f>J5/I5</f>
        <v>105.88235294117646</v>
      </c>
      <c r="L5" s="317">
        <v>17</v>
      </c>
      <c r="M5" s="10">
        <f>F5/V5*60</f>
        <v>1650.9090909090887</v>
      </c>
      <c r="N5" s="9">
        <f>M5/L5</f>
        <v>97.112299465240511</v>
      </c>
      <c r="O5" s="11">
        <f t="shared" ref="O5:O7" si="0">L5-I5</f>
        <v>0</v>
      </c>
      <c r="P5" s="12">
        <f t="shared" ref="P5:P7" si="1">N5-K5</f>
        <v>-8.7700534759359527</v>
      </c>
      <c r="Q5" s="311">
        <f>N5/K5</f>
        <v>0.91717171717171597</v>
      </c>
      <c r="R5" s="470">
        <f>Q8</f>
        <v>0.91541283266454476</v>
      </c>
      <c r="S5" s="24">
        <v>0.70833333333333337</v>
      </c>
      <c r="T5" s="24">
        <v>0.73125000000000007</v>
      </c>
      <c r="U5" s="309"/>
      <c r="V5" s="318">
        <f>(T5-S5)*24*60</f>
        <v>33.000000000000043</v>
      </c>
      <c r="W5" s="13"/>
      <c r="X5" s="13"/>
      <c r="Y5" s="456"/>
      <c r="Z5" s="456"/>
      <c r="AA5" s="11">
        <f t="shared" ref="AA5:AA68" si="2">M5-J5</f>
        <v>-149.09090909091128</v>
      </c>
      <c r="AB5" s="311">
        <f t="shared" ref="AB5:AB7" si="3">M5/J5</f>
        <v>0.91717171717171597</v>
      </c>
      <c r="AC5" s="470">
        <f>AB8</f>
        <v>0.91541283266454465</v>
      </c>
    </row>
    <row r="6" spans="1:29">
      <c r="A6" s="464" t="s">
        <v>152</v>
      </c>
      <c r="B6" s="26" t="s">
        <v>13</v>
      </c>
      <c r="C6" s="472" t="s">
        <v>60</v>
      </c>
      <c r="D6" s="472"/>
      <c r="E6" s="26">
        <v>50.49</v>
      </c>
      <c r="F6" s="319">
        <v>1754</v>
      </c>
      <c r="G6" s="309">
        <f t="shared" ref="G6:G7" si="4">E6*F6</f>
        <v>88559.46</v>
      </c>
      <c r="H6" s="76" t="s">
        <v>57</v>
      </c>
      <c r="I6" s="317">
        <v>16</v>
      </c>
      <c r="J6" s="18">
        <v>1800</v>
      </c>
      <c r="K6" s="9">
        <f t="shared" ref="K6:K7" si="5">J6/I6</f>
        <v>112.5</v>
      </c>
      <c r="L6" s="317">
        <v>16</v>
      </c>
      <c r="M6" s="10">
        <f>F6/V6*60</f>
        <v>1644.3750000000018</v>
      </c>
      <c r="N6" s="9">
        <f t="shared" ref="N6:N7" si="6">M6/L6</f>
        <v>102.77343750000011</v>
      </c>
      <c r="O6" s="11">
        <f t="shared" si="0"/>
        <v>0</v>
      </c>
      <c r="P6" s="12">
        <f t="shared" si="1"/>
        <v>-9.7265624999998863</v>
      </c>
      <c r="Q6" s="311">
        <f t="shared" ref="Q6:Q7" si="7">N6/K6</f>
        <v>0.9135416666666677</v>
      </c>
      <c r="R6" s="470"/>
      <c r="S6" s="24">
        <v>0.73541666666666672</v>
      </c>
      <c r="T6" s="24">
        <v>0.77986111111111112</v>
      </c>
      <c r="U6" s="309">
        <f>(S6-T5)*24*60</f>
        <v>5.9999999999999787</v>
      </c>
      <c r="V6" s="318">
        <f>(T6-S6)*24*60</f>
        <v>63.999999999999929</v>
      </c>
      <c r="W6" s="14"/>
      <c r="X6" s="14"/>
      <c r="Y6" s="456"/>
      <c r="Z6" s="456"/>
      <c r="AA6" s="11">
        <f t="shared" si="2"/>
        <v>-155.62499999999818</v>
      </c>
      <c r="AB6" s="311">
        <f t="shared" si="3"/>
        <v>0.9135416666666677</v>
      </c>
      <c r="AC6" s="470"/>
    </row>
    <row r="7" spans="1:29">
      <c r="A7" s="464" t="s">
        <v>1313</v>
      </c>
      <c r="B7" s="26" t="s">
        <v>13</v>
      </c>
      <c r="C7" s="468" t="s">
        <v>448</v>
      </c>
      <c r="D7" s="469"/>
      <c r="E7" s="26">
        <v>50.67</v>
      </c>
      <c r="F7" s="319">
        <v>2005</v>
      </c>
      <c r="G7" s="309">
        <f t="shared" si="4"/>
        <v>101593.35</v>
      </c>
      <c r="H7" s="76" t="s">
        <v>57</v>
      </c>
      <c r="I7" s="317">
        <v>18</v>
      </c>
      <c r="J7" s="18">
        <v>1800</v>
      </c>
      <c r="K7" s="9">
        <f t="shared" si="5"/>
        <v>100</v>
      </c>
      <c r="L7" s="317">
        <v>18</v>
      </c>
      <c r="M7" s="10">
        <f t="shared" ref="M7" si="8">F7/V7*60</f>
        <v>1647.9452054794508</v>
      </c>
      <c r="N7" s="9">
        <f t="shared" si="6"/>
        <v>91.552511415525046</v>
      </c>
      <c r="O7" s="11">
        <f t="shared" si="0"/>
        <v>0</v>
      </c>
      <c r="P7" s="12">
        <f t="shared" si="1"/>
        <v>-8.4474885844749537</v>
      </c>
      <c r="Q7" s="311">
        <f t="shared" si="7"/>
        <v>0.91552511415525051</v>
      </c>
      <c r="R7" s="470"/>
      <c r="S7" s="24">
        <v>0.78333333333333333</v>
      </c>
      <c r="T7" s="24">
        <v>0.83402777777777781</v>
      </c>
      <c r="U7" s="309">
        <f t="shared" ref="U7" si="9">(S7-T6)*24*60</f>
        <v>4.9999999999999822</v>
      </c>
      <c r="V7" s="318">
        <f t="shared" ref="V7" si="10">(T7-S7)*24*60</f>
        <v>73.000000000000057</v>
      </c>
      <c r="W7" s="14"/>
      <c r="X7" s="14"/>
      <c r="Y7" s="473"/>
      <c r="Z7" s="474"/>
      <c r="AA7" s="11">
        <f t="shared" si="2"/>
        <v>-152.05479452054919</v>
      </c>
      <c r="AB7" s="311">
        <f t="shared" si="3"/>
        <v>0.9155251141552504</v>
      </c>
      <c r="AC7" s="470"/>
    </row>
    <row r="8" spans="1:29">
      <c r="A8" s="464" t="s">
        <v>1313</v>
      </c>
      <c r="B8" s="26" t="s">
        <v>81</v>
      </c>
      <c r="C8" s="466"/>
      <c r="D8" s="466"/>
      <c r="E8" s="310"/>
      <c r="F8" s="16"/>
      <c r="G8" s="9"/>
      <c r="H8" s="319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1647.7430987961804</v>
      </c>
      <c r="N8" s="9">
        <f>M8/L8</f>
        <v>96.926064635069437</v>
      </c>
      <c r="O8" s="11">
        <f>L8-I8</f>
        <v>0</v>
      </c>
      <c r="P8" s="12">
        <f>N8-K8</f>
        <v>-8.9562883061070266</v>
      </c>
      <c r="Q8" s="311">
        <f>N8/K8</f>
        <v>0.91541283266454476</v>
      </c>
      <c r="R8" s="470"/>
      <c r="S8" s="24"/>
      <c r="T8" s="24"/>
      <c r="U8" s="309"/>
      <c r="V8" s="318"/>
      <c r="W8" s="9"/>
      <c r="X8" s="9"/>
      <c r="Y8" s="456"/>
      <c r="Z8" s="456"/>
      <c r="AA8" s="11">
        <f t="shared" si="2"/>
        <v>-152.25690120381955</v>
      </c>
      <c r="AB8" s="311">
        <f>M8/J8</f>
        <v>0.91541283266454465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319">
        <v>4229</v>
      </c>
      <c r="G9" s="309">
        <f t="shared" ref="G9:G12" si="11">E9*F9</f>
        <v>167552.97999999998</v>
      </c>
      <c r="H9" s="76" t="s">
        <v>57</v>
      </c>
      <c r="I9" s="317">
        <v>19</v>
      </c>
      <c r="J9" s="18">
        <v>1500</v>
      </c>
      <c r="K9" s="9">
        <f t="shared" ref="K9:K12" si="12">J9/I9</f>
        <v>78.94736842105263</v>
      </c>
      <c r="L9" s="317">
        <v>19</v>
      </c>
      <c r="M9" s="10">
        <f t="shared" ref="M9:M12" si="13">F9/V9*60</f>
        <v>1364.1935483870971</v>
      </c>
      <c r="N9" s="9">
        <f t="shared" ref="N9:N12" si="14">M9/L9</f>
        <v>71.799660441426155</v>
      </c>
      <c r="O9" s="11">
        <f t="shared" ref="O9:O12" si="15">L9-I9</f>
        <v>0</v>
      </c>
      <c r="P9" s="12">
        <f>N9-K9</f>
        <v>-7.1477079796264746</v>
      </c>
      <c r="Q9" s="311">
        <f>N9/K9</f>
        <v>0.90946236559139804</v>
      </c>
      <c r="R9" s="470">
        <f>Q13</f>
        <v>0.90927123465678605</v>
      </c>
      <c r="S9" s="24">
        <v>0.12847222222222221</v>
      </c>
      <c r="T9" s="24">
        <v>0.25763888888888886</v>
      </c>
      <c r="U9" s="309"/>
      <c r="V9" s="318">
        <f t="shared" ref="V9:V12" si="16">(T9-S9)*24*60</f>
        <v>185.99999999999997</v>
      </c>
      <c r="W9" s="9"/>
      <c r="X9" s="9"/>
      <c r="Y9" s="456"/>
      <c r="Z9" s="456"/>
      <c r="AA9" s="11">
        <f t="shared" si="2"/>
        <v>-135.80645161290295</v>
      </c>
      <c r="AB9" s="311">
        <f>M9/J9</f>
        <v>0.90946236559139804</v>
      </c>
      <c r="AC9" s="470">
        <f>AB13</f>
        <v>0.90927123465678594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19">
        <v>2500</v>
      </c>
      <c r="G10" s="309">
        <f t="shared" si="11"/>
        <v>99500</v>
      </c>
      <c r="H10" s="76">
        <v>2</v>
      </c>
      <c r="I10" s="317">
        <v>18</v>
      </c>
      <c r="J10" s="18">
        <v>1500</v>
      </c>
      <c r="K10" s="9">
        <f t="shared" si="12"/>
        <v>83.333333333333329</v>
      </c>
      <c r="L10" s="317">
        <v>18</v>
      </c>
      <c r="M10" s="10">
        <f t="shared" si="13"/>
        <v>1363.6363636363633</v>
      </c>
      <c r="N10" s="9">
        <f t="shared" si="14"/>
        <v>75.757575757575736</v>
      </c>
      <c r="O10" s="11">
        <f t="shared" si="15"/>
        <v>0</v>
      </c>
      <c r="P10" s="12">
        <f t="shared" ref="P10:P12" si="17">N10-K10</f>
        <v>-7.5757575757575921</v>
      </c>
      <c r="Q10" s="311">
        <f t="shared" ref="Q10:Q12" si="18">N10/K10</f>
        <v>0.90909090909090884</v>
      </c>
      <c r="R10" s="470"/>
      <c r="S10" s="24">
        <v>0.28472222222222215</v>
      </c>
      <c r="T10" s="24">
        <v>0.36111111111111105</v>
      </c>
      <c r="U10" s="309">
        <f>(S10-T9)*24*60</f>
        <v>38.999999999999943</v>
      </c>
      <c r="V10" s="318">
        <f t="shared" si="16"/>
        <v>110.00000000000001</v>
      </c>
      <c r="W10" s="14"/>
      <c r="X10" s="14"/>
      <c r="Y10" s="456"/>
      <c r="Z10" s="456"/>
      <c r="AA10" s="11">
        <f t="shared" si="2"/>
        <v>-136.36363636363672</v>
      </c>
      <c r="AB10" s="311">
        <f t="shared" ref="AB10:AB28" si="19">M10/J10</f>
        <v>0.90909090909090884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19">
        <v>3804</v>
      </c>
      <c r="G11" s="309">
        <f t="shared" si="11"/>
        <v>149459.16</v>
      </c>
      <c r="H11" s="76" t="s">
        <v>57</v>
      </c>
      <c r="I11" s="317">
        <v>19</v>
      </c>
      <c r="J11" s="18">
        <v>1500</v>
      </c>
      <c r="K11" s="9">
        <f t="shared" si="12"/>
        <v>78.94736842105263</v>
      </c>
      <c r="L11" s="317">
        <v>19</v>
      </c>
      <c r="M11" s="10">
        <f t="shared" si="13"/>
        <v>1366.7065868263473</v>
      </c>
      <c r="N11" s="9">
        <f t="shared" si="14"/>
        <v>71.931925622439337</v>
      </c>
      <c r="O11" s="11">
        <f t="shared" si="15"/>
        <v>0</v>
      </c>
      <c r="P11" s="12">
        <f t="shared" si="17"/>
        <v>-7.015442798613293</v>
      </c>
      <c r="Q11" s="311">
        <f t="shared" si="18"/>
        <v>0.91113772455089825</v>
      </c>
      <c r="R11" s="470"/>
      <c r="S11" s="24">
        <v>0.3701388888888888</v>
      </c>
      <c r="T11" s="24">
        <v>0.48611111111111099</v>
      </c>
      <c r="U11" s="309">
        <f t="shared" ref="U11:U12" si="20">(S11-T10)*24*60</f>
        <v>12.999999999999954</v>
      </c>
      <c r="V11" s="318">
        <f t="shared" si="16"/>
        <v>166.99999999999997</v>
      </c>
      <c r="W11" s="14"/>
      <c r="X11" s="14"/>
      <c r="Y11" s="456"/>
      <c r="Z11" s="456"/>
      <c r="AA11" s="11">
        <f t="shared" si="2"/>
        <v>-133.29341317365265</v>
      </c>
      <c r="AB11" s="311">
        <f t="shared" si="19"/>
        <v>0.91113772455089825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319">
        <v>3743</v>
      </c>
      <c r="G12" s="309">
        <f t="shared" si="11"/>
        <v>148971.4</v>
      </c>
      <c r="H12" s="76" t="s">
        <v>57</v>
      </c>
      <c r="I12" s="317">
        <v>18</v>
      </c>
      <c r="J12" s="18">
        <v>1500</v>
      </c>
      <c r="K12" s="9">
        <f t="shared" si="12"/>
        <v>83.333333333333329</v>
      </c>
      <c r="L12" s="317">
        <v>18</v>
      </c>
      <c r="M12" s="10">
        <f t="shared" si="13"/>
        <v>1361.0909090909086</v>
      </c>
      <c r="N12" s="9">
        <f t="shared" si="14"/>
        <v>75.616161616161591</v>
      </c>
      <c r="O12" s="11">
        <f t="shared" si="15"/>
        <v>0</v>
      </c>
      <c r="P12" s="12">
        <f t="shared" si="17"/>
        <v>-7.7171717171717376</v>
      </c>
      <c r="Q12" s="311">
        <f t="shared" si="18"/>
        <v>0.9073939393939392</v>
      </c>
      <c r="R12" s="470"/>
      <c r="S12" s="24">
        <v>0.52847222222222201</v>
      </c>
      <c r="T12" s="24">
        <v>0.64305555555555538</v>
      </c>
      <c r="U12" s="309">
        <f t="shared" si="20"/>
        <v>60.999999999999865</v>
      </c>
      <c r="V12" s="318">
        <f t="shared" si="16"/>
        <v>165.00000000000006</v>
      </c>
      <c r="W12" s="14"/>
      <c r="X12" s="14"/>
      <c r="Y12" s="456"/>
      <c r="Z12" s="456"/>
      <c r="AA12" s="11">
        <f t="shared" si="2"/>
        <v>-138.90909090909145</v>
      </c>
      <c r="AB12" s="311">
        <f t="shared" si="19"/>
        <v>0.90739393939393909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310"/>
      <c r="F13" s="18"/>
      <c r="G13" s="10"/>
      <c r="H13" s="319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1363.9068519851789</v>
      </c>
      <c r="N13" s="9">
        <f>M13/L13</f>
        <v>73.724694701901569</v>
      </c>
      <c r="O13" s="11">
        <f>L13-I13</f>
        <v>0</v>
      </c>
      <c r="P13" s="12">
        <f>N13-K13</f>
        <v>-7.3563863791795114</v>
      </c>
      <c r="Q13" s="311">
        <f>N13/K13</f>
        <v>0.90927123465678605</v>
      </c>
      <c r="R13" s="470"/>
      <c r="S13" s="24"/>
      <c r="T13" s="24"/>
      <c r="U13" s="9"/>
      <c r="V13" s="318"/>
      <c r="W13" s="9"/>
      <c r="X13" s="9"/>
      <c r="Y13" s="456"/>
      <c r="Z13" s="456"/>
      <c r="AA13" s="11">
        <f t="shared" si="2"/>
        <v>-136.09314801482105</v>
      </c>
      <c r="AB13" s="311">
        <f t="shared" si="19"/>
        <v>0.90927123465678594</v>
      </c>
      <c r="AC13" s="470"/>
    </row>
    <row r="14" spans="1:29" ht="16.5" customHeight="1">
      <c r="A14" s="480" t="s">
        <v>124</v>
      </c>
      <c r="B14" s="319" t="s">
        <v>18</v>
      </c>
      <c r="C14" s="477" t="s">
        <v>19</v>
      </c>
      <c r="D14" s="477"/>
      <c r="E14" s="26">
        <v>41</v>
      </c>
      <c r="F14" s="319">
        <v>1665</v>
      </c>
      <c r="G14" s="309">
        <f t="shared" ref="G14:G18" si="21">E14*F14</f>
        <v>68265</v>
      </c>
      <c r="H14" s="76" t="s">
        <v>57</v>
      </c>
      <c r="I14" s="317">
        <v>26</v>
      </c>
      <c r="J14" s="18">
        <v>1286</v>
      </c>
      <c r="K14" s="9">
        <f>J14/I14</f>
        <v>49.46153846153846</v>
      </c>
      <c r="L14" s="317">
        <v>26</v>
      </c>
      <c r="M14" s="10">
        <f>F14/V14*60</f>
        <v>1175.2941176470588</v>
      </c>
      <c r="N14" s="9">
        <f t="shared" ref="N14:N27" si="22">M14/L14</f>
        <v>45.203619909502258</v>
      </c>
      <c r="O14" s="11">
        <f t="shared" ref="O14" si="23">L14-I14</f>
        <v>0</v>
      </c>
      <c r="P14" s="12">
        <f t="shared" ref="P14" si="24">N14-K14</f>
        <v>-4.2579185520362017</v>
      </c>
      <c r="Q14" s="311">
        <f>N14/K14</f>
        <v>0.91391455493550444</v>
      </c>
      <c r="R14" s="470">
        <f>Q19</f>
        <v>0.9106694714903355</v>
      </c>
      <c r="S14" s="24">
        <v>0.25</v>
      </c>
      <c r="T14" s="24">
        <v>0.30902777777777779</v>
      </c>
      <c r="U14" s="309"/>
      <c r="V14" s="318">
        <f>(T14-S14)*24*60</f>
        <v>85.000000000000014</v>
      </c>
      <c r="W14" s="15"/>
      <c r="X14" s="15"/>
      <c r="Y14" s="456"/>
      <c r="Z14" s="456"/>
      <c r="AA14" s="11">
        <f t="shared" si="2"/>
        <v>-110.70588235294122</v>
      </c>
      <c r="AB14" s="311">
        <f t="shared" si="19"/>
        <v>0.91391455493550444</v>
      </c>
      <c r="AC14" s="470">
        <f>AB19</f>
        <v>0.91066947149033561</v>
      </c>
    </row>
    <row r="15" spans="1:29" ht="16.5" customHeight="1">
      <c r="A15" s="481" t="s">
        <v>6</v>
      </c>
      <c r="B15" s="319" t="s">
        <v>15</v>
      </c>
      <c r="C15" s="477" t="s">
        <v>68</v>
      </c>
      <c r="D15" s="477"/>
      <c r="E15" s="26">
        <v>39.29</v>
      </c>
      <c r="F15" s="319">
        <v>1791</v>
      </c>
      <c r="G15" s="309">
        <f t="shared" si="21"/>
        <v>70368.39</v>
      </c>
      <c r="H15" s="76" t="s">
        <v>57</v>
      </c>
      <c r="I15" s="317">
        <v>18</v>
      </c>
      <c r="J15" s="18">
        <v>1500</v>
      </c>
      <c r="K15" s="9">
        <f>J15/I15</f>
        <v>83.333333333333329</v>
      </c>
      <c r="L15" s="317">
        <v>18</v>
      </c>
      <c r="M15" s="10">
        <f>F15/V15*60</f>
        <v>1360.2531645569613</v>
      </c>
      <c r="N15" s="9">
        <f t="shared" si="22"/>
        <v>75.569620253164516</v>
      </c>
      <c r="O15" s="11">
        <f>L15-I15</f>
        <v>0</v>
      </c>
      <c r="P15" s="12">
        <f>N15-K15</f>
        <v>-7.763713080168813</v>
      </c>
      <c r="Q15" s="311">
        <f>N15/K15</f>
        <v>0.90683544303797425</v>
      </c>
      <c r="R15" s="470"/>
      <c r="S15" s="24">
        <v>0.31736111111111109</v>
      </c>
      <c r="T15" s="24">
        <v>0.37222222222222223</v>
      </c>
      <c r="U15" s="309">
        <f>(S15-T14)*24*60</f>
        <v>11.999999999999957</v>
      </c>
      <c r="V15" s="318">
        <f>(T15-S15)*24*60</f>
        <v>79.000000000000043</v>
      </c>
      <c r="W15" s="14"/>
      <c r="X15" s="14"/>
      <c r="Y15" s="456"/>
      <c r="Z15" s="456"/>
      <c r="AA15" s="11">
        <f t="shared" si="2"/>
        <v>-139.74683544303866</v>
      </c>
      <c r="AB15" s="311">
        <f t="shared" si="19"/>
        <v>0.90683544303797425</v>
      </c>
      <c r="AC15" s="470"/>
    </row>
    <row r="16" spans="1:29" ht="16.5" customHeight="1">
      <c r="A16" s="481" t="s">
        <v>6</v>
      </c>
      <c r="B16" s="319" t="s">
        <v>15</v>
      </c>
      <c r="C16" s="477" t="s">
        <v>54</v>
      </c>
      <c r="D16" s="477"/>
      <c r="E16" s="26">
        <v>39.29</v>
      </c>
      <c r="F16" s="319">
        <v>3243</v>
      </c>
      <c r="G16" s="309">
        <f t="shared" si="21"/>
        <v>127417.47</v>
      </c>
      <c r="H16" s="76" t="s">
        <v>57</v>
      </c>
      <c r="I16" s="317">
        <v>17</v>
      </c>
      <c r="J16" s="18">
        <v>1500</v>
      </c>
      <c r="K16" s="9">
        <f t="shared" ref="K16:K18" si="25">J16/I16</f>
        <v>88.235294117647058</v>
      </c>
      <c r="L16" s="317">
        <v>17</v>
      </c>
      <c r="M16" s="10">
        <f t="shared" ref="M16:M18" si="26">F16/V16*60</f>
        <v>1360.6993006993009</v>
      </c>
      <c r="N16" s="9">
        <f t="shared" si="22"/>
        <v>80.041135335252989</v>
      </c>
      <c r="O16" s="11">
        <f t="shared" ref="O16:O18" si="27">L16-I16</f>
        <v>0</v>
      </c>
      <c r="P16" s="12">
        <f t="shared" ref="P16:P18" si="28">N16-K16</f>
        <v>-8.1941587823940694</v>
      </c>
      <c r="Q16" s="311">
        <f t="shared" ref="Q16:Q27" si="29">N16/K16</f>
        <v>0.90713286713286723</v>
      </c>
      <c r="R16" s="470"/>
      <c r="S16" s="24">
        <v>0.38055555555555554</v>
      </c>
      <c r="T16" s="24">
        <v>0.47986111111111107</v>
      </c>
      <c r="U16" s="309">
        <f t="shared" ref="U16:U18" si="30">(S16-T15)*24*60</f>
        <v>11.999999999999957</v>
      </c>
      <c r="V16" s="318">
        <f t="shared" ref="V16:V18" si="31">(T16-S16)*24*60</f>
        <v>142.99999999999997</v>
      </c>
      <c r="W16" s="14"/>
      <c r="X16" s="14"/>
      <c r="Y16" s="456"/>
      <c r="Z16" s="456"/>
      <c r="AA16" s="11">
        <f t="shared" si="2"/>
        <v>-139.30069930069908</v>
      </c>
      <c r="AB16" s="311">
        <f t="shared" si="19"/>
        <v>0.90713286713286723</v>
      </c>
      <c r="AC16" s="470"/>
    </row>
    <row r="17" spans="1:29" ht="16.5" customHeight="1">
      <c r="A17" s="481" t="s">
        <v>6</v>
      </c>
      <c r="B17" s="319" t="s">
        <v>13</v>
      </c>
      <c r="C17" s="477" t="s">
        <v>63</v>
      </c>
      <c r="D17" s="477"/>
      <c r="E17" s="26">
        <v>50.98</v>
      </c>
      <c r="F17" s="319">
        <v>2428</v>
      </c>
      <c r="G17" s="309">
        <f t="shared" si="21"/>
        <v>123779.43999999999</v>
      </c>
      <c r="H17" s="76" t="s">
        <v>57</v>
      </c>
      <c r="I17" s="317">
        <v>17</v>
      </c>
      <c r="J17" s="18">
        <v>1800</v>
      </c>
      <c r="K17" s="9">
        <f t="shared" si="25"/>
        <v>105.88235294117646</v>
      </c>
      <c r="L17" s="317">
        <v>17</v>
      </c>
      <c r="M17" s="10">
        <f t="shared" si="26"/>
        <v>1636.8539325842696</v>
      </c>
      <c r="N17" s="9">
        <f t="shared" si="22"/>
        <v>96.285525446133505</v>
      </c>
      <c r="O17" s="11">
        <f t="shared" si="27"/>
        <v>0</v>
      </c>
      <c r="P17" s="12">
        <f t="shared" si="28"/>
        <v>-9.5968274950429588</v>
      </c>
      <c r="Q17" s="311">
        <f t="shared" si="29"/>
        <v>0.90936329588014986</v>
      </c>
      <c r="R17" s="470"/>
      <c r="S17" s="24">
        <v>0.70833333333333337</v>
      </c>
      <c r="T17" s="24">
        <v>0.77013888888888893</v>
      </c>
      <c r="U17" s="309">
        <f t="shared" si="30"/>
        <v>329.00000000000011</v>
      </c>
      <c r="V17" s="318">
        <f t="shared" si="31"/>
        <v>89</v>
      </c>
      <c r="W17" s="14"/>
      <c r="X17" s="14"/>
      <c r="Y17" s="456"/>
      <c r="Z17" s="456"/>
      <c r="AA17" s="11">
        <f t="shared" si="2"/>
        <v>-163.14606741573039</v>
      </c>
      <c r="AB17" s="311">
        <f t="shared" si="19"/>
        <v>0.90936329588014975</v>
      </c>
      <c r="AC17" s="470"/>
    </row>
    <row r="18" spans="1:29" ht="16.5" customHeight="1">
      <c r="A18" s="481" t="s">
        <v>6</v>
      </c>
      <c r="B18" s="319" t="s">
        <v>13</v>
      </c>
      <c r="C18" s="477" t="s">
        <v>66</v>
      </c>
      <c r="D18" s="477"/>
      <c r="E18" s="26">
        <v>57.73</v>
      </c>
      <c r="F18" s="319">
        <v>1444</v>
      </c>
      <c r="G18" s="309">
        <f t="shared" si="21"/>
        <v>83362.12</v>
      </c>
      <c r="H18" s="76" t="s">
        <v>57</v>
      </c>
      <c r="I18" s="317">
        <v>16</v>
      </c>
      <c r="J18" s="18">
        <v>1500</v>
      </c>
      <c r="K18" s="9">
        <f t="shared" si="25"/>
        <v>93.75</v>
      </c>
      <c r="L18" s="317">
        <v>16</v>
      </c>
      <c r="M18" s="10">
        <f t="shared" si="26"/>
        <v>1375.2380952380965</v>
      </c>
      <c r="N18" s="9">
        <f t="shared" si="22"/>
        <v>85.952380952381034</v>
      </c>
      <c r="O18" s="11">
        <f t="shared" si="27"/>
        <v>0</v>
      </c>
      <c r="P18" s="12">
        <f t="shared" si="28"/>
        <v>-7.7976190476189657</v>
      </c>
      <c r="Q18" s="311">
        <f t="shared" si="29"/>
        <v>0.91682539682539765</v>
      </c>
      <c r="R18" s="470"/>
      <c r="S18" s="24">
        <v>0.77430555555555558</v>
      </c>
      <c r="T18" s="24">
        <v>0.81805555555555554</v>
      </c>
      <c r="U18" s="309">
        <f t="shared" si="30"/>
        <v>5.9999999999999787</v>
      </c>
      <c r="V18" s="318">
        <f t="shared" si="31"/>
        <v>62.999999999999936</v>
      </c>
      <c r="W18" s="14"/>
      <c r="X18" s="14"/>
      <c r="Y18" s="456"/>
      <c r="Z18" s="456"/>
      <c r="AA18" s="11">
        <f t="shared" si="2"/>
        <v>-124.76190476190345</v>
      </c>
      <c r="AB18" s="311">
        <f t="shared" si="19"/>
        <v>0.91682539682539765</v>
      </c>
      <c r="AC18" s="470"/>
    </row>
    <row r="19" spans="1:29" ht="16.5" customHeight="1">
      <c r="A19" s="481" t="s">
        <v>6</v>
      </c>
      <c r="B19" s="26" t="s">
        <v>1314</v>
      </c>
      <c r="C19" s="466"/>
      <c r="D19" s="466"/>
      <c r="E19" s="310"/>
      <c r="F19" s="16"/>
      <c r="G19" s="9"/>
      <c r="H19" s="319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1381.6677221451373</v>
      </c>
      <c r="N19" s="9">
        <f t="shared" si="22"/>
        <v>73.492963943890274</v>
      </c>
      <c r="O19" s="11">
        <f>L19-I19</f>
        <v>0</v>
      </c>
      <c r="P19" s="12">
        <f>N19-K19</f>
        <v>-7.2091637156841983</v>
      </c>
      <c r="Q19" s="311">
        <f t="shared" si="29"/>
        <v>0.9106694714903355</v>
      </c>
      <c r="R19" s="470"/>
      <c r="S19" s="24"/>
      <c r="T19" s="24"/>
      <c r="U19" s="309"/>
      <c r="V19" s="318"/>
      <c r="W19" s="9"/>
      <c r="X19" s="9"/>
      <c r="Y19" s="456"/>
      <c r="Z19" s="456"/>
      <c r="AA19" s="11">
        <f t="shared" si="2"/>
        <v>-135.53227785486274</v>
      </c>
      <c r="AB19" s="311">
        <f t="shared" si="19"/>
        <v>0.91066947149033561</v>
      </c>
      <c r="AC19" s="470"/>
    </row>
    <row r="20" spans="1:29" ht="15.75" customHeight="1">
      <c r="A20" s="478" t="s">
        <v>1315</v>
      </c>
      <c r="B20" s="26" t="s">
        <v>21</v>
      </c>
      <c r="C20" s="477" t="s">
        <v>22</v>
      </c>
      <c r="D20" s="477"/>
      <c r="E20" s="26">
        <v>43.14</v>
      </c>
      <c r="F20" s="319">
        <v>1234</v>
      </c>
      <c r="G20" s="309">
        <f t="shared" ref="G20:G27" si="32">E20*F20</f>
        <v>53234.76</v>
      </c>
      <c r="H20" s="76" t="s">
        <v>57</v>
      </c>
      <c r="I20" s="317">
        <v>17</v>
      </c>
      <c r="J20" s="18">
        <v>1200</v>
      </c>
      <c r="K20" s="9">
        <f t="shared" ref="K20:K28" si="33">J20/I20</f>
        <v>70.588235294117652</v>
      </c>
      <c r="L20" s="317">
        <v>17</v>
      </c>
      <c r="M20" s="10">
        <f t="shared" ref="M20:M27" si="34">F20/V20*60</f>
        <v>1105.0746268656717</v>
      </c>
      <c r="N20" s="9">
        <f t="shared" si="22"/>
        <v>65.004389815627746</v>
      </c>
      <c r="O20" s="11">
        <f t="shared" ref="O20:O27" si="35">L20-I20</f>
        <v>0</v>
      </c>
      <c r="P20" s="12">
        <f t="shared" ref="P20:P27" si="36">N20-K20</f>
        <v>-5.5838454784899056</v>
      </c>
      <c r="Q20" s="311">
        <f t="shared" si="29"/>
        <v>0.92089552238805972</v>
      </c>
      <c r="R20" s="470">
        <f>Q28</f>
        <v>0.91901991649228865</v>
      </c>
      <c r="S20" s="24">
        <v>0.16666666666666666</v>
      </c>
      <c r="T20" s="24">
        <v>0.21319444444444444</v>
      </c>
      <c r="U20" s="309"/>
      <c r="V20" s="318">
        <f>(T20-S20)*24*60</f>
        <v>67</v>
      </c>
      <c r="W20" s="15"/>
      <c r="X20" s="15"/>
      <c r="Y20" s="456"/>
      <c r="Z20" s="456"/>
      <c r="AA20" s="11">
        <f t="shared" si="2"/>
        <v>-94.925373134328311</v>
      </c>
      <c r="AB20" s="311">
        <f t="shared" si="19"/>
        <v>0.92089552238805972</v>
      </c>
      <c r="AC20" s="470">
        <f>AB28</f>
        <v>0.91901991649228876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319">
        <v>3083</v>
      </c>
      <c r="G21" s="309">
        <f t="shared" si="32"/>
        <v>177981.59</v>
      </c>
      <c r="H21" s="76" t="s">
        <v>57</v>
      </c>
      <c r="I21" s="317">
        <v>16</v>
      </c>
      <c r="J21" s="18">
        <v>1800</v>
      </c>
      <c r="K21" s="9">
        <f t="shared" si="33"/>
        <v>112.5</v>
      </c>
      <c r="L21" s="317">
        <v>16</v>
      </c>
      <c r="M21" s="10">
        <f t="shared" si="34"/>
        <v>1636.9911504424772</v>
      </c>
      <c r="N21" s="9">
        <f t="shared" si="22"/>
        <v>102.31194690265482</v>
      </c>
      <c r="O21" s="11">
        <f t="shared" si="35"/>
        <v>0</v>
      </c>
      <c r="P21" s="12">
        <f t="shared" si="36"/>
        <v>-10.188053097345176</v>
      </c>
      <c r="Q21" s="311">
        <f t="shared" si="29"/>
        <v>0.9094395280235984</v>
      </c>
      <c r="R21" s="470"/>
      <c r="S21" s="24">
        <v>0.23263888888888887</v>
      </c>
      <c r="T21" s="24">
        <v>0.31111111111111112</v>
      </c>
      <c r="U21" s="309">
        <f>(S21-T20)*24*60</f>
        <v>27.999999999999979</v>
      </c>
      <c r="V21" s="318">
        <f t="shared" ref="V21:V27" si="37">(T21-S21)*24*60</f>
        <v>113.00000000000004</v>
      </c>
      <c r="W21" s="14"/>
      <c r="X21" s="309"/>
      <c r="Y21" s="456"/>
      <c r="Z21" s="456"/>
      <c r="AA21" s="11">
        <f t="shared" si="2"/>
        <v>-163.00884955752281</v>
      </c>
      <c r="AB21" s="311">
        <f t="shared" si="19"/>
        <v>0.9094395280235984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319">
        <v>1801</v>
      </c>
      <c r="G22" s="309">
        <f t="shared" si="32"/>
        <v>96677.68</v>
      </c>
      <c r="H22" s="76" t="s">
        <v>57</v>
      </c>
      <c r="I22" s="317">
        <v>17</v>
      </c>
      <c r="J22" s="18">
        <v>1800</v>
      </c>
      <c r="K22" s="9">
        <f t="shared" si="33"/>
        <v>105.88235294117646</v>
      </c>
      <c r="L22" s="317">
        <v>17</v>
      </c>
      <c r="M22" s="10">
        <f t="shared" si="34"/>
        <v>1637.2727272727273</v>
      </c>
      <c r="N22" s="9">
        <f t="shared" si="22"/>
        <v>96.310160427807489</v>
      </c>
      <c r="O22" s="11">
        <f t="shared" si="35"/>
        <v>0</v>
      </c>
      <c r="P22" s="12">
        <f t="shared" si="36"/>
        <v>-9.5721925133689751</v>
      </c>
      <c r="Q22" s="311">
        <f t="shared" si="29"/>
        <v>0.90959595959595962</v>
      </c>
      <c r="R22" s="470"/>
      <c r="S22" s="24">
        <v>0.31666666666666665</v>
      </c>
      <c r="T22" s="24">
        <v>0.36249999999999999</v>
      </c>
      <c r="U22" s="309">
        <f t="shared" ref="U22:U27" si="38">(S22-T21)*24*60</f>
        <v>7.9999999999999716</v>
      </c>
      <c r="V22" s="318">
        <f t="shared" si="37"/>
        <v>66</v>
      </c>
      <c r="W22" s="14"/>
      <c r="X22" s="309"/>
      <c r="Y22" s="456"/>
      <c r="Z22" s="456"/>
      <c r="AA22" s="11">
        <f t="shared" si="2"/>
        <v>-162.72727272727275</v>
      </c>
      <c r="AB22" s="311">
        <f t="shared" si="19"/>
        <v>0.90959595959595962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319">
        <v>1107</v>
      </c>
      <c r="G23" s="309">
        <f t="shared" si="32"/>
        <v>56091.69</v>
      </c>
      <c r="H23" s="76" t="s">
        <v>57</v>
      </c>
      <c r="I23" s="317">
        <v>16</v>
      </c>
      <c r="J23" s="18">
        <v>1800</v>
      </c>
      <c r="K23" s="9">
        <f t="shared" si="33"/>
        <v>112.5</v>
      </c>
      <c r="L23" s="317">
        <v>16</v>
      </c>
      <c r="M23" s="10">
        <f t="shared" si="34"/>
        <v>1660.4999999999993</v>
      </c>
      <c r="N23" s="9">
        <f t="shared" si="22"/>
        <v>103.78124999999996</v>
      </c>
      <c r="O23" s="11">
        <f t="shared" si="35"/>
        <v>0</v>
      </c>
      <c r="P23" s="12">
        <f t="shared" si="36"/>
        <v>-8.7187500000000426</v>
      </c>
      <c r="Q23" s="311">
        <f t="shared" si="29"/>
        <v>0.92249999999999965</v>
      </c>
      <c r="R23" s="470"/>
      <c r="S23" s="24">
        <v>0.36666666666666664</v>
      </c>
      <c r="T23" s="24">
        <v>0.39444444444444443</v>
      </c>
      <c r="U23" s="309">
        <f t="shared" si="38"/>
        <v>5.9999999999999787</v>
      </c>
      <c r="V23" s="318">
        <f t="shared" si="37"/>
        <v>40.000000000000014</v>
      </c>
      <c r="W23" s="14"/>
      <c r="X23" s="309"/>
      <c r="Y23" s="456"/>
      <c r="Z23" s="456"/>
      <c r="AA23" s="11">
        <f t="shared" si="2"/>
        <v>-139.50000000000068</v>
      </c>
      <c r="AB23" s="311">
        <f t="shared" si="19"/>
        <v>0.92249999999999965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319">
        <v>3500</v>
      </c>
      <c r="G24" s="309">
        <f t="shared" si="32"/>
        <v>203595</v>
      </c>
      <c r="H24" s="76" t="s">
        <v>57</v>
      </c>
      <c r="I24" s="317">
        <v>18</v>
      </c>
      <c r="J24" s="18">
        <v>1800</v>
      </c>
      <c r="K24" s="9">
        <f t="shared" si="33"/>
        <v>100</v>
      </c>
      <c r="L24" s="317">
        <v>18</v>
      </c>
      <c r="M24" s="10">
        <f t="shared" si="34"/>
        <v>1640.6249999999995</v>
      </c>
      <c r="N24" s="9">
        <f t="shared" si="22"/>
        <v>91.145833333333314</v>
      </c>
      <c r="O24" s="11">
        <f t="shared" si="35"/>
        <v>0</v>
      </c>
      <c r="P24" s="12">
        <f t="shared" si="36"/>
        <v>-8.8541666666666856</v>
      </c>
      <c r="Q24" s="311">
        <f t="shared" si="29"/>
        <v>0.91145833333333315</v>
      </c>
      <c r="R24" s="470"/>
      <c r="S24" s="24">
        <v>0.39999999999999997</v>
      </c>
      <c r="T24" s="24">
        <v>0.48888888888888887</v>
      </c>
      <c r="U24" s="309">
        <f t="shared" si="38"/>
        <v>7.9999999999999716</v>
      </c>
      <c r="V24" s="318">
        <f t="shared" si="37"/>
        <v>128.00000000000003</v>
      </c>
      <c r="W24" s="14"/>
      <c r="X24" s="309"/>
      <c r="Y24" s="456"/>
      <c r="Z24" s="456"/>
      <c r="AA24" s="11">
        <f t="shared" si="2"/>
        <v>-159.37500000000045</v>
      </c>
      <c r="AB24" s="311">
        <f t="shared" si="19"/>
        <v>0.91145833333333304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319">
        <v>2589</v>
      </c>
      <c r="G25" s="309">
        <f t="shared" si="32"/>
        <v>131831.88</v>
      </c>
      <c r="H25" s="76" t="s">
        <v>57</v>
      </c>
      <c r="I25" s="317">
        <v>16</v>
      </c>
      <c r="J25" s="18">
        <v>1800</v>
      </c>
      <c r="K25" s="9">
        <f t="shared" si="33"/>
        <v>112.5</v>
      </c>
      <c r="L25" s="317">
        <v>16</v>
      </c>
      <c r="M25" s="10">
        <f t="shared" si="34"/>
        <v>1635.1578947368423</v>
      </c>
      <c r="N25" s="9">
        <f t="shared" si="22"/>
        <v>102.19736842105264</v>
      </c>
      <c r="O25" s="11">
        <f t="shared" si="35"/>
        <v>0</v>
      </c>
      <c r="P25" s="12">
        <f t="shared" si="36"/>
        <v>-10.302631578947356</v>
      </c>
      <c r="Q25" s="311">
        <f t="shared" si="29"/>
        <v>0.90842105263157902</v>
      </c>
      <c r="R25" s="470"/>
      <c r="S25" s="24">
        <v>0.70833333333333337</v>
      </c>
      <c r="T25" s="24">
        <v>0.77430555555555558</v>
      </c>
      <c r="U25" s="309">
        <f t="shared" si="38"/>
        <v>316.00000000000006</v>
      </c>
      <c r="V25" s="318">
        <f t="shared" si="37"/>
        <v>94.999999999999986</v>
      </c>
      <c r="W25" s="14"/>
      <c r="X25" s="15"/>
      <c r="Y25" s="456"/>
      <c r="Z25" s="456"/>
      <c r="AA25" s="11">
        <f t="shared" si="2"/>
        <v>-164.84210526315769</v>
      </c>
      <c r="AB25" s="311">
        <f t="shared" si="19"/>
        <v>0.90842105263157902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319">
        <v>457</v>
      </c>
      <c r="G26" s="309">
        <f t="shared" si="32"/>
        <v>24344.390000000003</v>
      </c>
      <c r="H26" s="76" t="s">
        <v>57</v>
      </c>
      <c r="I26" s="317">
        <v>15</v>
      </c>
      <c r="J26" s="18">
        <v>1800</v>
      </c>
      <c r="K26" s="9">
        <f t="shared" si="33"/>
        <v>120</v>
      </c>
      <c r="L26" s="317">
        <v>15</v>
      </c>
      <c r="M26" s="10">
        <f t="shared" si="34"/>
        <v>1713.7500000000061</v>
      </c>
      <c r="N26" s="9">
        <f t="shared" si="22"/>
        <v>114.25000000000041</v>
      </c>
      <c r="O26" s="11">
        <f t="shared" si="35"/>
        <v>0</v>
      </c>
      <c r="P26" s="12">
        <f t="shared" si="36"/>
        <v>-5.7499999999995879</v>
      </c>
      <c r="Q26" s="311">
        <f t="shared" si="29"/>
        <v>0.95208333333333672</v>
      </c>
      <c r="R26" s="470"/>
      <c r="S26" s="24">
        <v>0.77777777777777779</v>
      </c>
      <c r="T26" s="24">
        <v>0.78888888888888886</v>
      </c>
      <c r="U26" s="309">
        <f t="shared" si="38"/>
        <v>4.9999999999999822</v>
      </c>
      <c r="V26" s="318">
        <f t="shared" si="37"/>
        <v>15.999999999999943</v>
      </c>
      <c r="W26" s="14"/>
      <c r="X26" s="15"/>
      <c r="Y26" s="473"/>
      <c r="Z26" s="474"/>
      <c r="AA26" s="11">
        <f t="shared" si="2"/>
        <v>-86.249999999993861</v>
      </c>
      <c r="AB26" s="311">
        <f t="shared" si="19"/>
        <v>0.95208333333333672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49.91</v>
      </c>
      <c r="F27" s="319">
        <v>1598</v>
      </c>
      <c r="G27" s="309">
        <f t="shared" si="32"/>
        <v>79756.179999999993</v>
      </c>
      <c r="H27" s="76" t="s">
        <v>57</v>
      </c>
      <c r="I27" s="317">
        <v>17</v>
      </c>
      <c r="J27" s="18">
        <v>1800</v>
      </c>
      <c r="K27" s="9">
        <f t="shared" si="33"/>
        <v>105.88235294117646</v>
      </c>
      <c r="L27" s="317">
        <v>17</v>
      </c>
      <c r="M27" s="10">
        <f t="shared" si="34"/>
        <v>1653.1034482758632</v>
      </c>
      <c r="N27" s="9">
        <f t="shared" si="22"/>
        <v>97.241379310344897</v>
      </c>
      <c r="O27" s="11">
        <f t="shared" si="35"/>
        <v>0</v>
      </c>
      <c r="P27" s="12">
        <f t="shared" si="36"/>
        <v>-8.6409736308315672</v>
      </c>
      <c r="Q27" s="311">
        <f t="shared" si="29"/>
        <v>0.91839080459770184</v>
      </c>
      <c r="R27" s="470"/>
      <c r="S27" s="24">
        <v>0.79374999999999996</v>
      </c>
      <c r="T27" s="24">
        <v>0.8340277777777777</v>
      </c>
      <c r="U27" s="309">
        <f t="shared" si="38"/>
        <v>6.9999999999999751</v>
      </c>
      <c r="V27" s="318">
        <f t="shared" si="37"/>
        <v>57.999999999999957</v>
      </c>
      <c r="W27" s="14"/>
      <c r="X27" s="14"/>
      <c r="Y27" s="473"/>
      <c r="Z27" s="474"/>
      <c r="AA27" s="11">
        <f t="shared" si="2"/>
        <v>-146.89655172413677</v>
      </c>
      <c r="AB27" s="311">
        <f t="shared" si="19"/>
        <v>0.91839080459770184</v>
      </c>
      <c r="AC27" s="470"/>
    </row>
    <row r="28" spans="1:29" ht="15.75" customHeight="1">
      <c r="A28" s="479" t="s">
        <v>7</v>
      </c>
      <c r="B28" s="26" t="s">
        <v>1316</v>
      </c>
      <c r="C28" s="466"/>
      <c r="D28" s="466"/>
      <c r="E28" s="310"/>
      <c r="F28" s="319"/>
      <c r="G28" s="309"/>
      <c r="H28" s="319"/>
      <c r="I28" s="17">
        <v>16.5</v>
      </c>
      <c r="J28" s="18">
        <v>1725</v>
      </c>
      <c r="K28" s="9">
        <f t="shared" si="33"/>
        <v>104.54545454545455</v>
      </c>
      <c r="L28" s="17">
        <v>16.5</v>
      </c>
      <c r="M28" s="10">
        <f>AVERAGE(M20:M27)</f>
        <v>1585.3093559491981</v>
      </c>
      <c r="N28" s="9">
        <f>M28/L28</f>
        <v>96.079354906012</v>
      </c>
      <c r="O28" s="11">
        <f>L28-I28</f>
        <v>0</v>
      </c>
      <c r="P28" s="12">
        <f>N28-K28</f>
        <v>-8.4660996394425467</v>
      </c>
      <c r="Q28" s="311">
        <f>N28/K28</f>
        <v>0.91901991649228865</v>
      </c>
      <c r="R28" s="470"/>
      <c r="S28" s="24"/>
      <c r="T28" s="24"/>
      <c r="U28" s="9"/>
      <c r="V28" s="318"/>
      <c r="W28" s="9"/>
      <c r="X28" s="9"/>
      <c r="Y28" s="456"/>
      <c r="Z28" s="456"/>
      <c r="AA28" s="11">
        <f t="shared" si="2"/>
        <v>-139.69064405080189</v>
      </c>
      <c r="AB28" s="311">
        <f t="shared" si="19"/>
        <v>0.91901991649228876</v>
      </c>
      <c r="AC28" s="470"/>
    </row>
    <row r="29" spans="1:29" ht="15.75" customHeight="1">
      <c r="A29" s="484" t="s">
        <v>1317</v>
      </c>
      <c r="B29" s="26" t="s">
        <v>24</v>
      </c>
      <c r="C29" s="477" t="s">
        <v>26</v>
      </c>
      <c r="D29" s="477"/>
      <c r="E29" s="26">
        <v>26.2</v>
      </c>
      <c r="F29" s="319">
        <v>4149</v>
      </c>
      <c r="G29" s="309">
        <f t="shared" ref="G29:G35" si="39">E29*F29</f>
        <v>108703.8</v>
      </c>
      <c r="H29" s="76" t="s">
        <v>57</v>
      </c>
      <c r="I29" s="317">
        <v>20</v>
      </c>
      <c r="J29" s="18">
        <v>2400</v>
      </c>
      <c r="K29" s="9">
        <f>J29/I29</f>
        <v>120</v>
      </c>
      <c r="L29" s="317">
        <v>20</v>
      </c>
      <c r="M29" s="10">
        <f t="shared" ref="M29:M35" si="40">F29/V29*60</f>
        <v>2183.6842105263158</v>
      </c>
      <c r="N29" s="9">
        <f t="shared" ref="N29:N35" si="41">M29/L29</f>
        <v>109.18421052631579</v>
      </c>
      <c r="O29" s="11">
        <f t="shared" ref="O29:O35" si="42">L29-I29</f>
        <v>0</v>
      </c>
      <c r="P29" s="12">
        <f t="shared" ref="P29:P35" si="43">N29-K29</f>
        <v>-10.815789473684205</v>
      </c>
      <c r="Q29" s="311">
        <f t="shared" ref="Q29:Q35" si="44">N29/K29</f>
        <v>0.90986842105263166</v>
      </c>
      <c r="R29" s="470">
        <f>Q36</f>
        <v>0.91168669782742751</v>
      </c>
      <c r="S29" s="24">
        <v>0.125</v>
      </c>
      <c r="T29" s="24">
        <v>0.20416666666666666</v>
      </c>
      <c r="U29" s="309"/>
      <c r="V29" s="318">
        <f t="shared" ref="V29:V35" si="45">(T29-S29)*24*60</f>
        <v>114</v>
      </c>
      <c r="W29" s="14"/>
      <c r="X29" s="14"/>
      <c r="Y29" s="456"/>
      <c r="Z29" s="456"/>
      <c r="AA29" s="11">
        <f t="shared" si="2"/>
        <v>-216.31578947368416</v>
      </c>
      <c r="AB29" s="311">
        <f>M29/J29</f>
        <v>0.90986842105263155</v>
      </c>
      <c r="AC29" s="470">
        <f>AB36</f>
        <v>0.91168669782742751</v>
      </c>
    </row>
    <row r="30" spans="1:29" ht="15.75" customHeight="1">
      <c r="A30" s="484" t="s">
        <v>8</v>
      </c>
      <c r="B30" s="26" t="s">
        <v>24</v>
      </c>
      <c r="C30" s="477" t="s">
        <v>25</v>
      </c>
      <c r="D30" s="477"/>
      <c r="E30" s="26">
        <v>20.52</v>
      </c>
      <c r="F30" s="319">
        <v>4132</v>
      </c>
      <c r="G30" s="309">
        <f t="shared" si="39"/>
        <v>84788.64</v>
      </c>
      <c r="H30" s="76" t="s">
        <v>57</v>
      </c>
      <c r="I30" s="317">
        <v>18</v>
      </c>
      <c r="J30" s="18">
        <v>2400</v>
      </c>
      <c r="K30" s="9">
        <f t="shared" ref="K30:K36" si="46">J30/I30</f>
        <v>133.33333333333334</v>
      </c>
      <c r="L30" s="317">
        <v>18</v>
      </c>
      <c r="M30" s="10">
        <f t="shared" si="40"/>
        <v>2174.7368421052629</v>
      </c>
      <c r="N30" s="9">
        <f t="shared" si="41"/>
        <v>120.81871345029238</v>
      </c>
      <c r="O30" s="11">
        <f t="shared" si="42"/>
        <v>0</v>
      </c>
      <c r="P30" s="12">
        <f t="shared" si="43"/>
        <v>-12.514619883040965</v>
      </c>
      <c r="Q30" s="311">
        <f t="shared" si="44"/>
        <v>0.9061403508771928</v>
      </c>
      <c r="R30" s="470"/>
      <c r="S30" s="24">
        <v>0.22500000000000001</v>
      </c>
      <c r="T30" s="24">
        <v>0.3041666666666667</v>
      </c>
      <c r="U30" s="309">
        <f>(S30-T29)*24*60</f>
        <v>30.000000000000014</v>
      </c>
      <c r="V30" s="318">
        <f t="shared" si="45"/>
        <v>114.00000000000003</v>
      </c>
      <c r="W30" s="14"/>
      <c r="X30" s="14"/>
      <c r="Y30" s="456"/>
      <c r="Z30" s="456"/>
      <c r="AA30" s="11">
        <f t="shared" si="2"/>
        <v>-225.26315789473711</v>
      </c>
      <c r="AB30" s="311">
        <f t="shared" ref="AB30:AB35" si="47">M30/J30</f>
        <v>0.90614035087719291</v>
      </c>
      <c r="AC30" s="470"/>
    </row>
    <row r="31" spans="1:29" ht="15.75" customHeight="1">
      <c r="A31" s="484" t="s">
        <v>8</v>
      </c>
      <c r="B31" s="26" t="s">
        <v>24</v>
      </c>
      <c r="C31" s="477" t="s">
        <v>513</v>
      </c>
      <c r="D31" s="477"/>
      <c r="E31" s="26">
        <v>31.29</v>
      </c>
      <c r="F31" s="319">
        <v>3500</v>
      </c>
      <c r="G31" s="309">
        <f t="shared" si="39"/>
        <v>109515</v>
      </c>
      <c r="H31" s="76">
        <v>2</v>
      </c>
      <c r="I31" s="317">
        <v>16</v>
      </c>
      <c r="J31" s="18">
        <v>2400</v>
      </c>
      <c r="K31" s="9">
        <f t="shared" si="46"/>
        <v>150</v>
      </c>
      <c r="L31" s="317">
        <v>16</v>
      </c>
      <c r="M31" s="10">
        <f t="shared" si="40"/>
        <v>2187.5000000000005</v>
      </c>
      <c r="N31" s="9">
        <f t="shared" si="41"/>
        <v>136.71875000000003</v>
      </c>
      <c r="O31" s="11">
        <f t="shared" si="42"/>
        <v>0</v>
      </c>
      <c r="P31" s="12">
        <f t="shared" si="43"/>
        <v>-13.281249999999972</v>
      </c>
      <c r="Q31" s="311">
        <f t="shared" si="44"/>
        <v>0.91145833333333348</v>
      </c>
      <c r="R31" s="470"/>
      <c r="S31" s="24">
        <v>0.30902777777777779</v>
      </c>
      <c r="T31" s="24">
        <v>0.37569444444444444</v>
      </c>
      <c r="U31" s="309">
        <f t="shared" ref="U31:U35" si="48">(S31-T30)*24*60</f>
        <v>6.9999999999999751</v>
      </c>
      <c r="V31" s="318">
        <f t="shared" si="45"/>
        <v>95.999999999999972</v>
      </c>
      <c r="W31" s="14"/>
      <c r="X31" s="14"/>
      <c r="Y31" s="456"/>
      <c r="Z31" s="456"/>
      <c r="AA31" s="11">
        <f t="shared" si="2"/>
        <v>-212.49999999999955</v>
      </c>
      <c r="AB31" s="311">
        <f t="shared" si="47"/>
        <v>0.91145833333333348</v>
      </c>
      <c r="AC31" s="470"/>
    </row>
    <row r="32" spans="1:29" ht="15.75" customHeight="1">
      <c r="A32" s="484" t="s">
        <v>8</v>
      </c>
      <c r="B32" s="26" t="s">
        <v>24</v>
      </c>
      <c r="C32" s="477" t="s">
        <v>84</v>
      </c>
      <c r="D32" s="477"/>
      <c r="E32" s="26">
        <v>24.25</v>
      </c>
      <c r="F32" s="319">
        <v>3300</v>
      </c>
      <c r="G32" s="309">
        <f t="shared" si="39"/>
        <v>80025</v>
      </c>
      <c r="H32" s="76">
        <v>2</v>
      </c>
      <c r="I32" s="317">
        <v>18</v>
      </c>
      <c r="J32" s="18">
        <v>2400</v>
      </c>
      <c r="K32" s="9">
        <f t="shared" si="46"/>
        <v>133.33333333333334</v>
      </c>
      <c r="L32" s="317">
        <v>18</v>
      </c>
      <c r="M32" s="10">
        <f t="shared" si="40"/>
        <v>2175.8241758241757</v>
      </c>
      <c r="N32" s="9">
        <f t="shared" si="41"/>
        <v>120.87912087912088</v>
      </c>
      <c r="O32" s="11">
        <f t="shared" si="42"/>
        <v>0</v>
      </c>
      <c r="P32" s="12">
        <f t="shared" si="43"/>
        <v>-12.454212454212467</v>
      </c>
      <c r="Q32" s="311">
        <f t="shared" si="44"/>
        <v>0.90659340659340648</v>
      </c>
      <c r="R32" s="470"/>
      <c r="S32" s="24">
        <v>0.37986111111111109</v>
      </c>
      <c r="T32" s="24">
        <v>0.44305555555555554</v>
      </c>
      <c r="U32" s="309">
        <f t="shared" si="48"/>
        <v>5.9999999999999787</v>
      </c>
      <c r="V32" s="318">
        <f t="shared" si="45"/>
        <v>91</v>
      </c>
      <c r="W32" s="14"/>
      <c r="X32" s="14"/>
      <c r="Y32" s="456"/>
      <c r="Z32" s="456"/>
      <c r="AA32" s="11">
        <f t="shared" si="2"/>
        <v>-224.17582417582435</v>
      </c>
      <c r="AB32" s="311">
        <f t="shared" si="47"/>
        <v>0.90659340659340648</v>
      </c>
      <c r="AC32" s="470"/>
    </row>
    <row r="33" spans="1:29" ht="15.75" customHeight="1">
      <c r="A33" s="484" t="s">
        <v>8</v>
      </c>
      <c r="B33" s="26" t="s">
        <v>24</v>
      </c>
      <c r="C33" s="477" t="s">
        <v>69</v>
      </c>
      <c r="D33" s="477"/>
      <c r="E33" s="26">
        <v>22.35</v>
      </c>
      <c r="F33" s="319">
        <v>2463</v>
      </c>
      <c r="G33" s="309">
        <f t="shared" si="39"/>
        <v>55048.05</v>
      </c>
      <c r="H33" s="76" t="s">
        <v>57</v>
      </c>
      <c r="I33" s="317">
        <v>16</v>
      </c>
      <c r="J33" s="18">
        <v>2400</v>
      </c>
      <c r="K33" s="9">
        <f t="shared" si="46"/>
        <v>150</v>
      </c>
      <c r="L33" s="317">
        <v>16</v>
      </c>
      <c r="M33" s="10">
        <f t="shared" si="40"/>
        <v>2205.6716417910447</v>
      </c>
      <c r="N33" s="9">
        <f t="shared" si="41"/>
        <v>137.8544776119403</v>
      </c>
      <c r="O33" s="11">
        <f t="shared" si="42"/>
        <v>0</v>
      </c>
      <c r="P33" s="12">
        <f t="shared" si="43"/>
        <v>-12.145522388059703</v>
      </c>
      <c r="Q33" s="311">
        <f t="shared" si="44"/>
        <v>0.91902985074626864</v>
      </c>
      <c r="R33" s="470"/>
      <c r="S33" s="24">
        <v>0.44652777777777775</v>
      </c>
      <c r="T33" s="24">
        <v>0.49305555555555552</v>
      </c>
      <c r="U33" s="309">
        <f t="shared" si="48"/>
        <v>4.9999999999999822</v>
      </c>
      <c r="V33" s="318">
        <f t="shared" si="45"/>
        <v>67</v>
      </c>
      <c r="W33" s="14"/>
      <c r="X33" s="14"/>
      <c r="Y33" s="456"/>
      <c r="Z33" s="456"/>
      <c r="AA33" s="11">
        <f t="shared" si="2"/>
        <v>-194.32835820895525</v>
      </c>
      <c r="AB33" s="311">
        <f t="shared" si="47"/>
        <v>0.91902985074626864</v>
      </c>
      <c r="AC33" s="470"/>
    </row>
    <row r="34" spans="1:29" ht="15.75" customHeight="1">
      <c r="A34" s="484" t="s">
        <v>8</v>
      </c>
      <c r="B34" s="26" t="s">
        <v>24</v>
      </c>
      <c r="C34" s="477" t="s">
        <v>513</v>
      </c>
      <c r="D34" s="477"/>
      <c r="E34" s="26">
        <v>31.29</v>
      </c>
      <c r="F34" s="319">
        <v>4771</v>
      </c>
      <c r="G34" s="309">
        <f t="shared" si="39"/>
        <v>149284.59</v>
      </c>
      <c r="H34" s="76" t="s">
        <v>57</v>
      </c>
      <c r="I34" s="317">
        <v>16</v>
      </c>
      <c r="J34" s="18">
        <v>2400</v>
      </c>
      <c r="K34" s="9">
        <f t="shared" si="46"/>
        <v>150</v>
      </c>
      <c r="L34" s="317">
        <v>16</v>
      </c>
      <c r="M34" s="10">
        <f t="shared" si="40"/>
        <v>2185.1908396946565</v>
      </c>
      <c r="N34" s="9">
        <f t="shared" si="41"/>
        <v>136.57442748091603</v>
      </c>
      <c r="O34" s="11">
        <f t="shared" si="42"/>
        <v>0</v>
      </c>
      <c r="P34" s="12">
        <f t="shared" si="43"/>
        <v>-13.425572519083971</v>
      </c>
      <c r="Q34" s="311">
        <f t="shared" si="44"/>
        <v>0.91049618320610681</v>
      </c>
      <c r="R34" s="470"/>
      <c r="S34" s="24">
        <v>0.53472222222222221</v>
      </c>
      <c r="T34" s="24">
        <v>0.62569444444444444</v>
      </c>
      <c r="U34" s="309">
        <f t="shared" si="48"/>
        <v>60.000000000000028</v>
      </c>
      <c r="V34" s="318">
        <f t="shared" si="45"/>
        <v>131</v>
      </c>
      <c r="W34" s="14"/>
      <c r="X34" s="14"/>
      <c r="Y34" s="456"/>
      <c r="Z34" s="456"/>
      <c r="AA34" s="11">
        <f t="shared" si="2"/>
        <v>-214.80916030534354</v>
      </c>
      <c r="AB34" s="311">
        <f t="shared" si="47"/>
        <v>0.91049618320610681</v>
      </c>
      <c r="AC34" s="470"/>
    </row>
    <row r="35" spans="1:29" ht="15.75" customHeight="1">
      <c r="A35" s="484" t="s">
        <v>8</v>
      </c>
      <c r="B35" s="26" t="s">
        <v>24</v>
      </c>
      <c r="C35" s="477" t="s">
        <v>84</v>
      </c>
      <c r="D35" s="477"/>
      <c r="E35" s="26">
        <v>24.25</v>
      </c>
      <c r="F35" s="319">
        <v>2167</v>
      </c>
      <c r="G35" s="309">
        <f t="shared" si="39"/>
        <v>52549.75</v>
      </c>
      <c r="H35" s="76" t="s">
        <v>57</v>
      </c>
      <c r="I35" s="317">
        <v>18</v>
      </c>
      <c r="J35" s="18">
        <v>2400</v>
      </c>
      <c r="K35" s="9">
        <f t="shared" si="46"/>
        <v>133.33333333333334</v>
      </c>
      <c r="L35" s="317">
        <v>18</v>
      </c>
      <c r="M35" s="10">
        <f t="shared" si="40"/>
        <v>2203.728813559324</v>
      </c>
      <c r="N35" s="9">
        <f t="shared" si="41"/>
        <v>122.42937853107355</v>
      </c>
      <c r="O35" s="11">
        <f t="shared" si="42"/>
        <v>0</v>
      </c>
      <c r="P35" s="12">
        <f t="shared" si="43"/>
        <v>-10.90395480225979</v>
      </c>
      <c r="Q35" s="311">
        <f t="shared" si="44"/>
        <v>0.91822033898305155</v>
      </c>
      <c r="R35" s="470"/>
      <c r="S35" s="24">
        <v>0.62986111111111109</v>
      </c>
      <c r="T35" s="24">
        <v>0.67083333333333328</v>
      </c>
      <c r="U35" s="309">
        <f t="shared" si="48"/>
        <v>5.9999999999999787</v>
      </c>
      <c r="V35" s="318">
        <f t="shared" si="45"/>
        <v>58.99999999999995</v>
      </c>
      <c r="W35" s="14"/>
      <c r="X35" s="14"/>
      <c r="Y35" s="456"/>
      <c r="Z35" s="456"/>
      <c r="AA35" s="11">
        <f t="shared" si="2"/>
        <v>-196.27118644067605</v>
      </c>
      <c r="AB35" s="311">
        <f t="shared" si="47"/>
        <v>0.91822033898305166</v>
      </c>
      <c r="AC35" s="470"/>
    </row>
    <row r="36" spans="1:29" ht="15.75" customHeight="1">
      <c r="A36" s="484" t="s">
        <v>8</v>
      </c>
      <c r="B36" s="26" t="s">
        <v>81</v>
      </c>
      <c r="C36" s="466"/>
      <c r="D36" s="466"/>
      <c r="E36" s="310"/>
      <c r="F36" s="319"/>
      <c r="G36" s="309"/>
      <c r="H36" s="319"/>
      <c r="I36" s="17">
        <v>17.428571428571427</v>
      </c>
      <c r="J36" s="18">
        <v>2400</v>
      </c>
      <c r="K36" s="9">
        <f t="shared" si="46"/>
        <v>137.70491803278691</v>
      </c>
      <c r="L36" s="17">
        <v>17.428571428571427</v>
      </c>
      <c r="M36" s="10">
        <f>AVERAGE(M29:M35)</f>
        <v>2188.048074785826</v>
      </c>
      <c r="N36" s="9">
        <f>M36/L36</f>
        <v>125.54374199590806</v>
      </c>
      <c r="O36" s="11">
        <f>L36-I36</f>
        <v>0</v>
      </c>
      <c r="P36" s="12">
        <f>N36-K36</f>
        <v>-12.161176036878842</v>
      </c>
      <c r="Q36" s="311">
        <f>N36/K36</f>
        <v>0.91168669782742751</v>
      </c>
      <c r="R36" s="470"/>
      <c r="S36" s="24"/>
      <c r="T36" s="24"/>
      <c r="U36" s="309"/>
      <c r="V36" s="318"/>
      <c r="W36" s="309"/>
      <c r="X36" s="309"/>
      <c r="Y36" s="456"/>
      <c r="Z36" s="456"/>
      <c r="AA36" s="11">
        <f t="shared" si="2"/>
        <v>-211.95192521417403</v>
      </c>
      <c r="AB36" s="311">
        <f>M36/J36</f>
        <v>0.91168669782742751</v>
      </c>
      <c r="AC36" s="470"/>
    </row>
    <row r="37" spans="1:29" ht="15.75" customHeight="1">
      <c r="A37" s="485" t="s">
        <v>158</v>
      </c>
      <c r="B37" s="26" t="s">
        <v>24</v>
      </c>
      <c r="C37" s="487" t="s">
        <v>29</v>
      </c>
      <c r="D37" s="487"/>
      <c r="E37" s="26">
        <v>26.2</v>
      </c>
      <c r="F37" s="319">
        <v>2500</v>
      </c>
      <c r="G37" s="309">
        <f t="shared" ref="G37:G43" si="49">E37*F37</f>
        <v>65500</v>
      </c>
      <c r="H37" s="76">
        <v>2</v>
      </c>
      <c r="I37" s="317">
        <v>18</v>
      </c>
      <c r="J37" s="18">
        <v>2400</v>
      </c>
      <c r="K37" s="9">
        <f>J37/I37</f>
        <v>133.33333333333334</v>
      </c>
      <c r="L37" s="317">
        <v>18</v>
      </c>
      <c r="M37" s="10">
        <f>F37/V37*60</f>
        <v>2205.8823529411775</v>
      </c>
      <c r="N37" s="9">
        <f>M37/L37</f>
        <v>122.54901960784319</v>
      </c>
      <c r="O37" s="11">
        <f t="shared" ref="O37:O43" si="50">L37-I37</f>
        <v>0</v>
      </c>
      <c r="P37" s="12">
        <f t="shared" ref="P37:P53" si="51">N37-K37</f>
        <v>-10.784313725490151</v>
      </c>
      <c r="Q37" s="311">
        <f t="shared" ref="Q37:Q48" si="52">N37/K37</f>
        <v>0.91911764705882393</v>
      </c>
      <c r="R37" s="470">
        <f>Q44</f>
        <v>0.91438508973533528</v>
      </c>
      <c r="S37" s="24">
        <v>8.3333333333333329E-2</v>
      </c>
      <c r="T37" s="24">
        <v>0.13055555555555554</v>
      </c>
      <c r="U37" s="309"/>
      <c r="V37" s="318">
        <f t="shared" ref="V37:V43" si="53">(T37-S37)*24*60</f>
        <v>67.999999999999972</v>
      </c>
      <c r="W37" s="15"/>
      <c r="X37" s="15"/>
      <c r="Y37" s="456"/>
      <c r="Z37" s="456"/>
      <c r="AA37" s="11">
        <f t="shared" si="2"/>
        <v>-194.11764705882251</v>
      </c>
      <c r="AB37" s="311">
        <f>M37/J37</f>
        <v>0.91911764705882393</v>
      </c>
      <c r="AC37" s="470">
        <f>AB44</f>
        <v>0.91438508973533528</v>
      </c>
    </row>
    <row r="38" spans="1:29" ht="15.75" customHeight="1">
      <c r="A38" s="485" t="s">
        <v>1318</v>
      </c>
      <c r="B38" s="26" t="s">
        <v>24</v>
      </c>
      <c r="C38" s="487" t="s">
        <v>31</v>
      </c>
      <c r="D38" s="487"/>
      <c r="E38" s="26">
        <v>24.45</v>
      </c>
      <c r="F38" s="319">
        <v>2348</v>
      </c>
      <c r="G38" s="309">
        <f t="shared" si="49"/>
        <v>57408.6</v>
      </c>
      <c r="H38" s="76" t="s">
        <v>57</v>
      </c>
      <c r="I38" s="317">
        <v>20</v>
      </c>
      <c r="J38" s="18">
        <v>2400</v>
      </c>
      <c r="K38" s="9">
        <f t="shared" ref="K38:K52" si="54">J38/I38</f>
        <v>120</v>
      </c>
      <c r="L38" s="317">
        <v>20</v>
      </c>
      <c r="M38" s="10">
        <f t="shared" ref="M38:M43" si="55">F38/V38*60</f>
        <v>2201.2499999999995</v>
      </c>
      <c r="N38" s="9">
        <f t="shared" ref="N38:N43" si="56">M38/L38</f>
        <v>110.06249999999997</v>
      </c>
      <c r="O38" s="11">
        <f t="shared" si="50"/>
        <v>0</v>
      </c>
      <c r="P38" s="12">
        <f t="shared" si="51"/>
        <v>-9.9375000000000284</v>
      </c>
      <c r="Q38" s="311">
        <f t="shared" si="52"/>
        <v>0.91718749999999971</v>
      </c>
      <c r="R38" s="470"/>
      <c r="S38" s="24">
        <v>0.14861111111111108</v>
      </c>
      <c r="T38" s="24">
        <v>0.19305555555555554</v>
      </c>
      <c r="U38" s="309">
        <f>(S38-T37)*24*60</f>
        <v>25.999999999999986</v>
      </c>
      <c r="V38" s="318">
        <f t="shared" si="53"/>
        <v>64.000000000000014</v>
      </c>
      <c r="W38" s="309"/>
      <c r="X38" s="309"/>
      <c r="Y38" s="456"/>
      <c r="Z38" s="456"/>
      <c r="AA38" s="11">
        <f t="shared" si="2"/>
        <v>-198.75000000000045</v>
      </c>
      <c r="AB38" s="311">
        <f t="shared" ref="AB38:AB66" si="57">M38/J38</f>
        <v>0.91718749999999982</v>
      </c>
      <c r="AC38" s="470"/>
    </row>
    <row r="39" spans="1:29">
      <c r="A39" s="486" t="s">
        <v>1318</v>
      </c>
      <c r="B39" s="26" t="s">
        <v>24</v>
      </c>
      <c r="C39" s="487" t="s">
        <v>32</v>
      </c>
      <c r="D39" s="487"/>
      <c r="E39" s="26">
        <v>26.2</v>
      </c>
      <c r="F39" s="319">
        <v>3037</v>
      </c>
      <c r="G39" s="309">
        <f t="shared" si="49"/>
        <v>79569.399999999994</v>
      </c>
      <c r="H39" s="76" t="s">
        <v>57</v>
      </c>
      <c r="I39" s="317">
        <v>20</v>
      </c>
      <c r="J39" s="18">
        <v>2400</v>
      </c>
      <c r="K39" s="9">
        <f t="shared" si="54"/>
        <v>120</v>
      </c>
      <c r="L39" s="317">
        <v>20</v>
      </c>
      <c r="M39" s="10">
        <f t="shared" si="55"/>
        <v>2195.4216867469881</v>
      </c>
      <c r="N39" s="9">
        <f t="shared" si="56"/>
        <v>109.77108433734941</v>
      </c>
      <c r="O39" s="11">
        <f t="shared" si="50"/>
        <v>0</v>
      </c>
      <c r="P39" s="12">
        <f t="shared" si="51"/>
        <v>-10.228915662650593</v>
      </c>
      <c r="Q39" s="311">
        <f t="shared" si="52"/>
        <v>0.91475903614457843</v>
      </c>
      <c r="R39" s="470"/>
      <c r="S39" s="24">
        <v>0.19791666666666666</v>
      </c>
      <c r="T39" s="24">
        <v>0.25555555555555554</v>
      </c>
      <c r="U39" s="309">
        <f t="shared" ref="U39:U43" si="58">(S39-T38)*24*60</f>
        <v>7.0000000000000151</v>
      </c>
      <c r="V39" s="318">
        <f t="shared" si="53"/>
        <v>82.999999999999986</v>
      </c>
      <c r="W39" s="309"/>
      <c r="X39" s="309"/>
      <c r="Y39" s="456"/>
      <c r="Z39" s="456"/>
      <c r="AA39" s="11">
        <f t="shared" si="2"/>
        <v>-204.57831325301186</v>
      </c>
      <c r="AB39" s="311">
        <f t="shared" si="57"/>
        <v>0.91475903614457843</v>
      </c>
      <c r="AC39" s="470"/>
    </row>
    <row r="40" spans="1:29">
      <c r="A40" s="486" t="s">
        <v>158</v>
      </c>
      <c r="B40" s="26" t="s">
        <v>24</v>
      </c>
      <c r="C40" s="487" t="s">
        <v>30</v>
      </c>
      <c r="D40" s="487"/>
      <c r="E40" s="26">
        <v>26.39</v>
      </c>
      <c r="F40" s="319">
        <v>5201</v>
      </c>
      <c r="G40" s="309">
        <f t="shared" si="49"/>
        <v>137254.39000000001</v>
      </c>
      <c r="H40" s="76" t="s">
        <v>57</v>
      </c>
      <c r="I40" s="317">
        <v>19</v>
      </c>
      <c r="J40" s="18">
        <v>2400</v>
      </c>
      <c r="K40" s="9">
        <f t="shared" si="54"/>
        <v>126.31578947368421</v>
      </c>
      <c r="L40" s="317">
        <v>19</v>
      </c>
      <c r="M40" s="10">
        <f t="shared" si="55"/>
        <v>2182.237762237763</v>
      </c>
      <c r="N40" s="9">
        <f t="shared" si="56"/>
        <v>114.85461906514543</v>
      </c>
      <c r="O40" s="11">
        <f t="shared" si="50"/>
        <v>0</v>
      </c>
      <c r="P40" s="12">
        <f t="shared" si="51"/>
        <v>-11.461170408538777</v>
      </c>
      <c r="Q40" s="311">
        <f t="shared" si="52"/>
        <v>0.90926573426573465</v>
      </c>
      <c r="R40" s="470"/>
      <c r="S40" s="24">
        <v>0.26111111111111107</v>
      </c>
      <c r="T40" s="24">
        <v>0.36041666666666661</v>
      </c>
      <c r="U40" s="309">
        <f t="shared" si="58"/>
        <v>7.9999999999999716</v>
      </c>
      <c r="V40" s="318">
        <f t="shared" si="53"/>
        <v>142.99999999999997</v>
      </c>
      <c r="W40" s="14"/>
      <c r="X40" s="14"/>
      <c r="Y40" s="456"/>
      <c r="Z40" s="456"/>
      <c r="AA40" s="11">
        <f t="shared" si="2"/>
        <v>-217.76223776223696</v>
      </c>
      <c r="AB40" s="311">
        <f t="shared" si="57"/>
        <v>0.90926573426573465</v>
      </c>
      <c r="AC40" s="470"/>
    </row>
    <row r="41" spans="1:29">
      <c r="A41" s="486" t="s">
        <v>1319</v>
      </c>
      <c r="B41" s="26" t="s">
        <v>24</v>
      </c>
      <c r="C41" s="487" t="s">
        <v>27</v>
      </c>
      <c r="D41" s="487"/>
      <c r="E41" s="26">
        <v>20.52</v>
      </c>
      <c r="F41" s="319">
        <v>3077</v>
      </c>
      <c r="G41" s="309">
        <f t="shared" si="49"/>
        <v>63140.04</v>
      </c>
      <c r="H41" s="76" t="s">
        <v>57</v>
      </c>
      <c r="I41" s="317">
        <v>18</v>
      </c>
      <c r="J41" s="18">
        <v>2400</v>
      </c>
      <c r="K41" s="9">
        <f t="shared" si="54"/>
        <v>133.33333333333334</v>
      </c>
      <c r="L41" s="317">
        <v>18</v>
      </c>
      <c r="M41" s="10">
        <f t="shared" si="55"/>
        <v>2197.8571428571418</v>
      </c>
      <c r="N41" s="9">
        <f t="shared" si="56"/>
        <v>122.10317460317454</v>
      </c>
      <c r="O41" s="11">
        <f t="shared" si="50"/>
        <v>0</v>
      </c>
      <c r="P41" s="12">
        <f t="shared" si="51"/>
        <v>-11.230158730158806</v>
      </c>
      <c r="Q41" s="311">
        <f t="shared" si="52"/>
        <v>0.91577380952380893</v>
      </c>
      <c r="R41" s="470"/>
      <c r="S41" s="24">
        <v>0.36388888888888882</v>
      </c>
      <c r="T41" s="24">
        <v>0.42222222222222217</v>
      </c>
      <c r="U41" s="309">
        <f t="shared" si="58"/>
        <v>4.9999999999999822</v>
      </c>
      <c r="V41" s="318">
        <f t="shared" si="53"/>
        <v>84.000000000000028</v>
      </c>
      <c r="W41" s="14"/>
      <c r="X41" s="14"/>
      <c r="Y41" s="456"/>
      <c r="Z41" s="456"/>
      <c r="AA41" s="11">
        <f t="shared" si="2"/>
        <v>-202.14285714285825</v>
      </c>
      <c r="AB41" s="311">
        <f t="shared" si="57"/>
        <v>0.91577380952380905</v>
      </c>
      <c r="AC41" s="470"/>
    </row>
    <row r="42" spans="1:29">
      <c r="A42" s="486" t="s">
        <v>1319</v>
      </c>
      <c r="B42" s="26" t="s">
        <v>24</v>
      </c>
      <c r="C42" s="487" t="s">
        <v>55</v>
      </c>
      <c r="D42" s="487"/>
      <c r="E42" s="26">
        <v>26.2</v>
      </c>
      <c r="F42" s="319">
        <v>4089</v>
      </c>
      <c r="G42" s="309">
        <f t="shared" si="49"/>
        <v>107131.8</v>
      </c>
      <c r="H42" s="76" t="s">
        <v>57</v>
      </c>
      <c r="I42" s="317">
        <v>19</v>
      </c>
      <c r="J42" s="18">
        <v>2400</v>
      </c>
      <c r="K42" s="9">
        <f t="shared" si="54"/>
        <v>126.31578947368421</v>
      </c>
      <c r="L42" s="317">
        <v>19</v>
      </c>
      <c r="M42" s="10">
        <f t="shared" si="55"/>
        <v>2190.535714285716</v>
      </c>
      <c r="N42" s="9">
        <f t="shared" si="56"/>
        <v>115.29135338345874</v>
      </c>
      <c r="O42" s="11">
        <f t="shared" si="50"/>
        <v>0</v>
      </c>
      <c r="P42" s="12">
        <f t="shared" si="51"/>
        <v>-11.024436090225464</v>
      </c>
      <c r="Q42" s="311">
        <f t="shared" si="52"/>
        <v>0.91272321428571512</v>
      </c>
      <c r="R42" s="470"/>
      <c r="S42" s="24">
        <v>0.42708333333333326</v>
      </c>
      <c r="T42" s="24">
        <v>0.50486111111111098</v>
      </c>
      <c r="U42" s="309">
        <f t="shared" si="58"/>
        <v>6.9999999999999751</v>
      </c>
      <c r="V42" s="318">
        <f t="shared" si="53"/>
        <v>111.99999999999991</v>
      </c>
      <c r="W42" s="14"/>
      <c r="X42" s="14"/>
      <c r="Y42" s="456"/>
      <c r="Z42" s="456"/>
      <c r="AA42" s="11">
        <f t="shared" si="2"/>
        <v>-209.46428571428396</v>
      </c>
      <c r="AB42" s="311">
        <f t="shared" si="57"/>
        <v>0.91272321428571501</v>
      </c>
      <c r="AC42" s="470"/>
    </row>
    <row r="43" spans="1:29">
      <c r="A43" s="486" t="s">
        <v>158</v>
      </c>
      <c r="B43" s="26" t="s">
        <v>24</v>
      </c>
      <c r="C43" s="487" t="s">
        <v>29</v>
      </c>
      <c r="D43" s="487"/>
      <c r="E43" s="26">
        <v>26.2</v>
      </c>
      <c r="F43" s="319">
        <v>3611</v>
      </c>
      <c r="G43" s="309">
        <f t="shared" si="49"/>
        <v>94608.2</v>
      </c>
      <c r="H43" s="76" t="s">
        <v>57</v>
      </c>
      <c r="I43" s="317">
        <v>18</v>
      </c>
      <c r="J43" s="18">
        <v>2400</v>
      </c>
      <c r="K43" s="9">
        <f t="shared" si="54"/>
        <v>133.33333333333334</v>
      </c>
      <c r="L43" s="317">
        <v>18</v>
      </c>
      <c r="M43" s="10">
        <f t="shared" si="55"/>
        <v>2188.4848484848494</v>
      </c>
      <c r="N43" s="9">
        <f t="shared" si="56"/>
        <v>121.58249158249163</v>
      </c>
      <c r="O43" s="11">
        <f t="shared" si="50"/>
        <v>0</v>
      </c>
      <c r="P43" s="12">
        <f t="shared" si="51"/>
        <v>-11.750841750841715</v>
      </c>
      <c r="Q43" s="311">
        <f t="shared" si="52"/>
        <v>0.91186868686868716</v>
      </c>
      <c r="R43" s="470"/>
      <c r="S43" s="24">
        <v>0.54374999999999984</v>
      </c>
      <c r="T43" s="24">
        <v>0.61249999999999982</v>
      </c>
      <c r="U43" s="309">
        <f t="shared" si="58"/>
        <v>55.999999999999957</v>
      </c>
      <c r="V43" s="318">
        <f t="shared" si="53"/>
        <v>98.999999999999972</v>
      </c>
      <c r="W43" s="14"/>
      <c r="X43" s="14"/>
      <c r="Y43" s="473"/>
      <c r="Z43" s="474"/>
      <c r="AA43" s="11">
        <f t="shared" si="2"/>
        <v>-211.51515151515059</v>
      </c>
      <c r="AB43" s="311">
        <f t="shared" si="57"/>
        <v>0.91186868686868727</v>
      </c>
      <c r="AC43" s="470"/>
    </row>
    <row r="44" spans="1:29">
      <c r="A44" s="486" t="s">
        <v>1319</v>
      </c>
      <c r="B44" s="16" t="s">
        <v>81</v>
      </c>
      <c r="C44" s="466"/>
      <c r="D44" s="466"/>
      <c r="E44" s="310"/>
      <c r="F44" s="16"/>
      <c r="G44" s="9"/>
      <c r="H44" s="319"/>
      <c r="I44" s="17">
        <v>18.857142857142858</v>
      </c>
      <c r="J44" s="18">
        <v>2400</v>
      </c>
      <c r="K44" s="9">
        <f t="shared" si="54"/>
        <v>127.27272727272727</v>
      </c>
      <c r="L44" s="17">
        <v>18.857142857142858</v>
      </c>
      <c r="M44" s="10">
        <f>AVERAGE(M37:M43)</f>
        <v>2194.5242153648046</v>
      </c>
      <c r="N44" s="9">
        <f>M44/L44</f>
        <v>116.37628414813358</v>
      </c>
      <c r="O44" s="11">
        <f>L44-I44</f>
        <v>0</v>
      </c>
      <c r="P44" s="12">
        <f t="shared" si="51"/>
        <v>-10.896443124593688</v>
      </c>
      <c r="Q44" s="311">
        <f t="shared" si="52"/>
        <v>0.91438508973533528</v>
      </c>
      <c r="R44" s="470"/>
      <c r="S44" s="24"/>
      <c r="T44" s="24"/>
      <c r="U44" s="9"/>
      <c r="V44" s="318"/>
      <c r="W44" s="9"/>
      <c r="X44" s="9"/>
      <c r="Y44" s="456"/>
      <c r="Z44" s="456"/>
      <c r="AA44" s="11">
        <f t="shared" si="2"/>
        <v>-205.4757846351954</v>
      </c>
      <c r="AB44" s="311">
        <f t="shared" si="57"/>
        <v>0.91438508973533528</v>
      </c>
      <c r="AC44" s="470"/>
    </row>
    <row r="45" spans="1:29" ht="15.75" customHeight="1">
      <c r="A45" s="488" t="s">
        <v>1320</v>
      </c>
      <c r="B45" s="26" t="s">
        <v>33</v>
      </c>
      <c r="C45" s="491" t="s">
        <v>34</v>
      </c>
      <c r="D45" s="492"/>
      <c r="E45" s="26">
        <v>27.17</v>
      </c>
      <c r="F45" s="319">
        <v>2500</v>
      </c>
      <c r="G45" s="309">
        <f t="shared" ref="G45:G52" si="59">E45*F45</f>
        <v>67925</v>
      </c>
      <c r="H45" s="76">
        <v>2</v>
      </c>
      <c r="I45" s="317">
        <v>10</v>
      </c>
      <c r="J45" s="18">
        <v>3000</v>
      </c>
      <c r="K45" s="9">
        <f t="shared" si="54"/>
        <v>300</v>
      </c>
      <c r="L45" s="317">
        <v>10</v>
      </c>
      <c r="M45" s="10">
        <f t="shared" ref="M45:M46" si="60">F45/V45*60</f>
        <v>2727.2727272727266</v>
      </c>
      <c r="N45" s="10">
        <f t="shared" ref="N45:N53" si="61">M45/L45</f>
        <v>272.72727272727263</v>
      </c>
      <c r="O45" s="11">
        <f t="shared" ref="O45:O53" si="62">L45-I45</f>
        <v>0</v>
      </c>
      <c r="P45" s="12">
        <f t="shared" si="51"/>
        <v>-27.272727272727366</v>
      </c>
      <c r="Q45" s="311">
        <f t="shared" si="52"/>
        <v>0.90909090909090873</v>
      </c>
      <c r="R45" s="493">
        <f>Q53</f>
        <v>0.91265700474848355</v>
      </c>
      <c r="S45" s="24">
        <v>0.20833333333333334</v>
      </c>
      <c r="T45" s="24">
        <v>0.24652777777777779</v>
      </c>
      <c r="U45" s="15"/>
      <c r="V45" s="318">
        <f t="shared" ref="V45:V52" si="63">(T45-S45)*24*60</f>
        <v>55.000000000000007</v>
      </c>
      <c r="W45" s="309"/>
      <c r="X45" s="309"/>
      <c r="Y45" s="473"/>
      <c r="Z45" s="474"/>
      <c r="AA45" s="11">
        <f t="shared" si="2"/>
        <v>-272.72727272727343</v>
      </c>
      <c r="AB45" s="311">
        <f t="shared" si="57"/>
        <v>0.90909090909090884</v>
      </c>
      <c r="AC45" s="493">
        <f>AB53</f>
        <v>0.91265700474848366</v>
      </c>
    </row>
    <row r="46" spans="1:29" ht="15.75" customHeight="1">
      <c r="A46" s="489" t="s">
        <v>9</v>
      </c>
      <c r="B46" s="26" t="s">
        <v>33</v>
      </c>
      <c r="C46" s="491" t="s">
        <v>35</v>
      </c>
      <c r="D46" s="492"/>
      <c r="E46" s="26">
        <v>21.13</v>
      </c>
      <c r="F46" s="319">
        <v>3000</v>
      </c>
      <c r="G46" s="309">
        <f t="shared" si="59"/>
        <v>63390</v>
      </c>
      <c r="H46" s="76">
        <v>2</v>
      </c>
      <c r="I46" s="317">
        <v>10</v>
      </c>
      <c r="J46" s="18">
        <v>3000</v>
      </c>
      <c r="K46" s="9">
        <f t="shared" si="54"/>
        <v>300</v>
      </c>
      <c r="L46" s="317">
        <v>10</v>
      </c>
      <c r="M46" s="10">
        <f t="shared" si="60"/>
        <v>2727.272727272727</v>
      </c>
      <c r="N46" s="10">
        <f t="shared" si="61"/>
        <v>272.72727272727269</v>
      </c>
      <c r="O46" s="11">
        <f t="shared" si="62"/>
        <v>0</v>
      </c>
      <c r="P46" s="12">
        <f t="shared" si="51"/>
        <v>-27.272727272727309</v>
      </c>
      <c r="Q46" s="311">
        <f t="shared" si="52"/>
        <v>0.90909090909090895</v>
      </c>
      <c r="R46" s="494"/>
      <c r="S46" s="24">
        <v>0.25</v>
      </c>
      <c r="T46" s="24">
        <v>0.29583333333333334</v>
      </c>
      <c r="U46" s="309">
        <f>(S46-T45)*24*60</f>
        <v>4.9999999999999822</v>
      </c>
      <c r="V46" s="318">
        <f t="shared" si="63"/>
        <v>66</v>
      </c>
      <c r="W46" s="14"/>
      <c r="X46" s="14"/>
      <c r="Y46" s="473"/>
      <c r="Z46" s="474"/>
      <c r="AA46" s="11">
        <f t="shared" si="2"/>
        <v>-272.72727272727298</v>
      </c>
      <c r="AB46" s="311">
        <f t="shared" si="57"/>
        <v>0.90909090909090906</v>
      </c>
      <c r="AC46" s="494"/>
    </row>
    <row r="47" spans="1:29" ht="15.75" customHeight="1">
      <c r="A47" s="489" t="s">
        <v>9</v>
      </c>
      <c r="B47" s="26" t="s">
        <v>33</v>
      </c>
      <c r="C47" s="491" t="s">
        <v>43</v>
      </c>
      <c r="D47" s="492"/>
      <c r="E47" s="26">
        <v>35.119999999999997</v>
      </c>
      <c r="F47" s="319">
        <v>4836</v>
      </c>
      <c r="G47" s="309">
        <f t="shared" si="59"/>
        <v>169840.31999999998</v>
      </c>
      <c r="H47" s="76" t="s">
        <v>57</v>
      </c>
      <c r="I47" s="317">
        <v>10</v>
      </c>
      <c r="J47" s="18">
        <v>3000</v>
      </c>
      <c r="K47" s="9">
        <f t="shared" si="54"/>
        <v>300</v>
      </c>
      <c r="L47" s="317">
        <v>10</v>
      </c>
      <c r="M47" s="10">
        <f>F47/V47*60</f>
        <v>2737.3584905660368</v>
      </c>
      <c r="N47" s="10">
        <f t="shared" si="61"/>
        <v>273.73584905660368</v>
      </c>
      <c r="O47" s="11">
        <f t="shared" si="62"/>
        <v>0</v>
      </c>
      <c r="P47" s="12">
        <f t="shared" si="51"/>
        <v>-26.264150943396317</v>
      </c>
      <c r="Q47" s="311">
        <f t="shared" si="52"/>
        <v>0.91245283018867895</v>
      </c>
      <c r="R47" s="494"/>
      <c r="S47" s="24">
        <v>0.29930555555555555</v>
      </c>
      <c r="T47" s="24">
        <v>0.37291666666666667</v>
      </c>
      <c r="U47" s="309">
        <f t="shared" ref="U47:U52" si="64">(S47-T46)*24*60</f>
        <v>4.9999999999999822</v>
      </c>
      <c r="V47" s="318">
        <f t="shared" si="63"/>
        <v>106.00000000000003</v>
      </c>
      <c r="W47" s="14"/>
      <c r="X47" s="14"/>
      <c r="Y47" s="473"/>
      <c r="Z47" s="474"/>
      <c r="AA47" s="11">
        <f t="shared" si="2"/>
        <v>-262.64150943396317</v>
      </c>
      <c r="AB47" s="311">
        <f t="shared" si="57"/>
        <v>0.91245283018867895</v>
      </c>
      <c r="AC47" s="494"/>
    </row>
    <row r="48" spans="1:29" ht="15.75" customHeight="1">
      <c r="A48" s="489" t="s">
        <v>9</v>
      </c>
      <c r="B48" s="26" t="s">
        <v>33</v>
      </c>
      <c r="C48" s="491" t="s">
        <v>67</v>
      </c>
      <c r="D48" s="492"/>
      <c r="E48" s="26">
        <v>40.18</v>
      </c>
      <c r="F48" s="319">
        <v>2372</v>
      </c>
      <c r="G48" s="309">
        <f t="shared" si="59"/>
        <v>95306.96</v>
      </c>
      <c r="H48" s="76" t="s">
        <v>57</v>
      </c>
      <c r="I48" s="317">
        <v>10</v>
      </c>
      <c r="J48" s="18">
        <v>3000</v>
      </c>
      <c r="K48" s="9">
        <f t="shared" si="54"/>
        <v>300</v>
      </c>
      <c r="L48" s="317">
        <v>10</v>
      </c>
      <c r="M48" s="10">
        <f t="shared" ref="M48:M52" si="65">F48/V48*60</f>
        <v>2736.9230769230785</v>
      </c>
      <c r="N48" s="10">
        <f t="shared" si="61"/>
        <v>273.69230769230785</v>
      </c>
      <c r="O48" s="11">
        <f t="shared" si="62"/>
        <v>0</v>
      </c>
      <c r="P48" s="12">
        <f t="shared" si="51"/>
        <v>-26.30769230769215</v>
      </c>
      <c r="Q48" s="311">
        <f t="shared" si="52"/>
        <v>0.91230769230769282</v>
      </c>
      <c r="R48" s="494"/>
      <c r="S48" s="24">
        <v>0.37777777777777777</v>
      </c>
      <c r="T48" s="24">
        <v>0.41388888888888886</v>
      </c>
      <c r="U48" s="309">
        <f t="shared" si="64"/>
        <v>6.9999999999999751</v>
      </c>
      <c r="V48" s="318">
        <f t="shared" si="63"/>
        <v>51.999999999999972</v>
      </c>
      <c r="W48" s="14"/>
      <c r="X48" s="14"/>
      <c r="Y48" s="473"/>
      <c r="Z48" s="474"/>
      <c r="AA48" s="11">
        <f t="shared" si="2"/>
        <v>-263.0769230769215</v>
      </c>
      <c r="AB48" s="311">
        <f t="shared" si="57"/>
        <v>0.91230769230769282</v>
      </c>
      <c r="AC48" s="494"/>
    </row>
    <row r="49" spans="1:29" ht="15.75" customHeight="1">
      <c r="A49" s="489" t="s">
        <v>9</v>
      </c>
      <c r="B49" s="26" t="s">
        <v>33</v>
      </c>
      <c r="C49" s="491" t="s">
        <v>73</v>
      </c>
      <c r="D49" s="492"/>
      <c r="E49" s="26">
        <v>28.5</v>
      </c>
      <c r="F49" s="319">
        <v>1524</v>
      </c>
      <c r="G49" s="309">
        <f t="shared" si="59"/>
        <v>43434</v>
      </c>
      <c r="H49" s="76" t="s">
        <v>57</v>
      </c>
      <c r="I49" s="317">
        <v>10</v>
      </c>
      <c r="J49" s="18">
        <v>3000</v>
      </c>
      <c r="K49" s="9">
        <f t="shared" si="54"/>
        <v>300</v>
      </c>
      <c r="L49" s="317">
        <v>10</v>
      </c>
      <c r="M49" s="10">
        <f t="shared" si="65"/>
        <v>2770.9090909090874</v>
      </c>
      <c r="N49" s="10">
        <f t="shared" si="61"/>
        <v>277.09090909090872</v>
      </c>
      <c r="O49" s="11">
        <f t="shared" si="62"/>
        <v>0</v>
      </c>
      <c r="P49" s="12">
        <f t="shared" si="51"/>
        <v>-22.909090909091276</v>
      </c>
      <c r="Q49" s="311">
        <f>N49/K49</f>
        <v>0.92363636363636237</v>
      </c>
      <c r="R49" s="494"/>
      <c r="S49" s="24">
        <v>0.41805555555555551</v>
      </c>
      <c r="T49" s="24">
        <v>0.44097222222222221</v>
      </c>
      <c r="U49" s="309">
        <f t="shared" si="64"/>
        <v>5.9999999999999787</v>
      </c>
      <c r="V49" s="318">
        <f t="shared" si="63"/>
        <v>33.000000000000043</v>
      </c>
      <c r="W49" s="14"/>
      <c r="X49" s="14"/>
      <c r="Y49" s="473"/>
      <c r="Z49" s="474"/>
      <c r="AA49" s="11">
        <f t="shared" si="2"/>
        <v>-229.09090909091265</v>
      </c>
      <c r="AB49" s="311">
        <f t="shared" si="57"/>
        <v>0.92363636363636248</v>
      </c>
      <c r="AC49" s="494"/>
    </row>
    <row r="50" spans="1:29" ht="15.75" customHeight="1">
      <c r="A50" s="489" t="s">
        <v>9</v>
      </c>
      <c r="B50" s="26" t="s">
        <v>33</v>
      </c>
      <c r="C50" s="491" t="s">
        <v>511</v>
      </c>
      <c r="D50" s="492"/>
      <c r="E50" s="26">
        <v>35.869999999999997</v>
      </c>
      <c r="F50" s="319">
        <v>3767</v>
      </c>
      <c r="G50" s="309">
        <f t="shared" si="59"/>
        <v>135122.28999999998</v>
      </c>
      <c r="H50" s="76" t="s">
        <v>57</v>
      </c>
      <c r="I50" s="317">
        <v>10</v>
      </c>
      <c r="J50" s="18">
        <v>3000</v>
      </c>
      <c r="K50" s="9">
        <f t="shared" si="54"/>
        <v>300</v>
      </c>
      <c r="L50" s="317">
        <v>10</v>
      </c>
      <c r="M50" s="10">
        <f t="shared" si="65"/>
        <v>2723.1325301204811</v>
      </c>
      <c r="N50" s="10">
        <f t="shared" si="61"/>
        <v>272.31325301204811</v>
      </c>
      <c r="O50" s="11">
        <f t="shared" si="62"/>
        <v>0</v>
      </c>
      <c r="P50" s="12">
        <f t="shared" si="51"/>
        <v>-27.686746987951892</v>
      </c>
      <c r="Q50" s="311">
        <f t="shared" ref="Q50:Q53" si="66">N50/K50</f>
        <v>0.90771084337349373</v>
      </c>
      <c r="R50" s="494"/>
      <c r="S50" s="24">
        <v>0.4458333333333333</v>
      </c>
      <c r="T50" s="24">
        <v>0.50347222222222221</v>
      </c>
      <c r="U50" s="309">
        <f t="shared" si="64"/>
        <v>6.9999999999999751</v>
      </c>
      <c r="V50" s="318">
        <f t="shared" si="63"/>
        <v>83.000000000000028</v>
      </c>
      <c r="W50" s="14"/>
      <c r="X50" s="14"/>
      <c r="Y50" s="473"/>
      <c r="Z50" s="474"/>
      <c r="AA50" s="11">
        <f t="shared" si="2"/>
        <v>-276.86746987951892</v>
      </c>
      <c r="AB50" s="311">
        <f t="shared" si="57"/>
        <v>0.90771084337349373</v>
      </c>
      <c r="AC50" s="494"/>
    </row>
    <row r="51" spans="1:29" ht="15.75" customHeight="1">
      <c r="A51" s="489" t="s">
        <v>9</v>
      </c>
      <c r="B51" s="26" t="s">
        <v>33</v>
      </c>
      <c r="C51" s="491" t="s">
        <v>34</v>
      </c>
      <c r="D51" s="492"/>
      <c r="E51" s="26">
        <v>27.17</v>
      </c>
      <c r="F51" s="319">
        <v>3679</v>
      </c>
      <c r="G51" s="309">
        <f t="shared" si="59"/>
        <v>99958.430000000008</v>
      </c>
      <c r="H51" s="76" t="s">
        <v>57</v>
      </c>
      <c r="I51" s="317">
        <v>10</v>
      </c>
      <c r="J51" s="18">
        <v>3000</v>
      </c>
      <c r="K51" s="9">
        <f t="shared" si="54"/>
        <v>300</v>
      </c>
      <c r="L51" s="317">
        <v>10</v>
      </c>
      <c r="M51" s="10">
        <f t="shared" si="65"/>
        <v>2725.1851851851843</v>
      </c>
      <c r="N51" s="10">
        <f t="shared" si="61"/>
        <v>272.51851851851842</v>
      </c>
      <c r="O51" s="11">
        <f t="shared" si="62"/>
        <v>0</v>
      </c>
      <c r="P51" s="12">
        <f t="shared" si="51"/>
        <v>-27.48148148148158</v>
      </c>
      <c r="Q51" s="311">
        <f t="shared" si="66"/>
        <v>0.90839506172839468</v>
      </c>
      <c r="R51" s="494"/>
      <c r="S51" s="24">
        <v>0.54236111111111107</v>
      </c>
      <c r="T51" s="24">
        <v>0.59861111111111109</v>
      </c>
      <c r="U51" s="309">
        <f t="shared" si="64"/>
        <v>55.999999999999957</v>
      </c>
      <c r="V51" s="318">
        <f t="shared" si="63"/>
        <v>81.000000000000028</v>
      </c>
      <c r="W51" s="14"/>
      <c r="X51" s="14"/>
      <c r="Y51" s="473"/>
      <c r="Z51" s="474"/>
      <c r="AA51" s="11">
        <f t="shared" si="2"/>
        <v>-274.81481481481569</v>
      </c>
      <c r="AB51" s="311">
        <f t="shared" si="57"/>
        <v>0.90839506172839479</v>
      </c>
      <c r="AC51" s="494"/>
    </row>
    <row r="52" spans="1:29" ht="15.75" customHeight="1">
      <c r="A52" s="489" t="s">
        <v>9</v>
      </c>
      <c r="B52" s="26" t="s">
        <v>33</v>
      </c>
      <c r="C52" s="491" t="s">
        <v>35</v>
      </c>
      <c r="D52" s="492"/>
      <c r="E52" s="26">
        <v>21.13</v>
      </c>
      <c r="F52" s="319">
        <v>1929</v>
      </c>
      <c r="G52" s="309">
        <f t="shared" si="59"/>
        <v>40759.769999999997</v>
      </c>
      <c r="H52" s="76" t="s">
        <v>57</v>
      </c>
      <c r="I52" s="317">
        <v>10</v>
      </c>
      <c r="J52" s="18">
        <v>3000</v>
      </c>
      <c r="K52" s="9">
        <f t="shared" si="54"/>
        <v>300</v>
      </c>
      <c r="L52" s="317">
        <v>10</v>
      </c>
      <c r="M52" s="10">
        <f t="shared" si="65"/>
        <v>2755.7142857142849</v>
      </c>
      <c r="N52" s="10">
        <f t="shared" si="61"/>
        <v>275.5714285714285</v>
      </c>
      <c r="O52" s="11">
        <f t="shared" si="62"/>
        <v>0</v>
      </c>
      <c r="P52" s="12">
        <f t="shared" si="51"/>
        <v>-24.428571428571502</v>
      </c>
      <c r="Q52" s="311">
        <f t="shared" si="66"/>
        <v>0.91857142857142837</v>
      </c>
      <c r="R52" s="494"/>
      <c r="S52" s="24">
        <v>0.60277777777777775</v>
      </c>
      <c r="T52" s="24">
        <v>0.63194444444444442</v>
      </c>
      <c r="U52" s="309">
        <f t="shared" si="64"/>
        <v>5.9999999999999787</v>
      </c>
      <c r="V52" s="318">
        <f t="shared" si="63"/>
        <v>42.000000000000014</v>
      </c>
      <c r="W52" s="14"/>
      <c r="X52" s="14"/>
      <c r="Y52" s="473"/>
      <c r="Z52" s="474"/>
      <c r="AA52" s="11">
        <f t="shared" si="2"/>
        <v>-244.28571428571513</v>
      </c>
      <c r="AB52" s="311">
        <f t="shared" si="57"/>
        <v>0.91857142857142826</v>
      </c>
      <c r="AC52" s="494"/>
    </row>
    <row r="53" spans="1:29" ht="15.75" customHeight="1">
      <c r="A53" s="490" t="s">
        <v>9</v>
      </c>
      <c r="B53" s="26" t="s">
        <v>1316</v>
      </c>
      <c r="C53" s="497"/>
      <c r="D53" s="498"/>
      <c r="E53" s="316"/>
      <c r="F53" s="319"/>
      <c r="G53" s="309"/>
      <c r="H53" s="319"/>
      <c r="I53" s="17">
        <v>10</v>
      </c>
      <c r="J53" s="18">
        <v>3000</v>
      </c>
      <c r="K53" s="9">
        <f>J53/I53</f>
        <v>300</v>
      </c>
      <c r="L53" s="17">
        <v>10</v>
      </c>
      <c r="M53" s="10">
        <f>AVERAGE(M45:M52)</f>
        <v>2737.971014245451</v>
      </c>
      <c r="N53" s="9">
        <f t="shared" si="61"/>
        <v>273.79710142454508</v>
      </c>
      <c r="O53" s="11">
        <f t="shared" si="62"/>
        <v>0</v>
      </c>
      <c r="P53" s="12">
        <f t="shared" si="51"/>
        <v>-26.202898575454924</v>
      </c>
      <c r="Q53" s="311">
        <f t="shared" si="66"/>
        <v>0.91265700474848355</v>
      </c>
      <c r="R53" s="495"/>
      <c r="S53" s="24"/>
      <c r="T53" s="24"/>
      <c r="U53" s="309"/>
      <c r="V53" s="318"/>
      <c r="W53" s="14"/>
      <c r="X53" s="14"/>
      <c r="Y53" s="473"/>
      <c r="Z53" s="474"/>
      <c r="AA53" s="11">
        <f t="shared" si="2"/>
        <v>-262.02898575454901</v>
      </c>
      <c r="AB53" s="311">
        <f t="shared" si="57"/>
        <v>0.91265700474848366</v>
      </c>
      <c r="AC53" s="495"/>
    </row>
    <row r="54" spans="1:29" ht="15.75" customHeight="1">
      <c r="A54" s="461" t="s">
        <v>1321</v>
      </c>
      <c r="B54" s="26" t="s">
        <v>15</v>
      </c>
      <c r="C54" s="487" t="s">
        <v>20</v>
      </c>
      <c r="D54" s="487"/>
      <c r="E54" s="26">
        <v>46</v>
      </c>
      <c r="F54" s="27">
        <v>3007</v>
      </c>
      <c r="G54" s="309">
        <f t="shared" ref="G54:G57" si="67">E54*F54</f>
        <v>138322</v>
      </c>
      <c r="H54" s="76" t="s">
        <v>57</v>
      </c>
      <c r="I54" s="317">
        <v>17</v>
      </c>
      <c r="J54" s="18">
        <v>1500</v>
      </c>
      <c r="K54" s="9">
        <f t="shared" ref="K54:K57" si="68">J54/I54</f>
        <v>88.235294117647058</v>
      </c>
      <c r="L54" s="317">
        <v>17</v>
      </c>
      <c r="M54" s="10">
        <f t="shared" ref="M54:M57" si="69">F54/V54*60</f>
        <v>1366.818181818182</v>
      </c>
      <c r="N54" s="10">
        <f>M54/L54</f>
        <v>80.401069518716582</v>
      </c>
      <c r="O54" s="11">
        <f>L54-I54</f>
        <v>0</v>
      </c>
      <c r="P54" s="12">
        <f>N54-K54</f>
        <v>-7.8342245989304757</v>
      </c>
      <c r="Q54" s="311">
        <f>N54/K54</f>
        <v>0.91121212121212125</v>
      </c>
      <c r="R54" s="470">
        <f>Q58</f>
        <v>0.9125331815718738</v>
      </c>
      <c r="S54" s="24">
        <v>0.29305555555555557</v>
      </c>
      <c r="T54" s="24">
        <v>0.38472222222222224</v>
      </c>
      <c r="U54" s="15"/>
      <c r="V54" s="318">
        <f t="shared" ref="V54:V57" si="70">(T54-S54)*24*60</f>
        <v>132</v>
      </c>
      <c r="W54" s="15"/>
      <c r="X54" s="15"/>
      <c r="Y54" s="456"/>
      <c r="Z54" s="456"/>
      <c r="AA54" s="11">
        <f t="shared" si="2"/>
        <v>-133.18181818181802</v>
      </c>
      <c r="AB54" s="311">
        <f t="shared" si="57"/>
        <v>0.91121212121212136</v>
      </c>
      <c r="AC54" s="470">
        <f>AB58</f>
        <v>0.9125331815718738</v>
      </c>
    </row>
    <row r="55" spans="1:29" ht="15.75" customHeight="1">
      <c r="A55" s="461" t="s">
        <v>10</v>
      </c>
      <c r="B55" s="26" t="s">
        <v>15</v>
      </c>
      <c r="C55" s="487" t="s">
        <v>75</v>
      </c>
      <c r="D55" s="487"/>
      <c r="E55" s="26">
        <v>46</v>
      </c>
      <c r="F55" s="27">
        <v>3531</v>
      </c>
      <c r="G55" s="309">
        <f t="shared" si="67"/>
        <v>162426</v>
      </c>
      <c r="H55" s="76" t="s">
        <v>57</v>
      </c>
      <c r="I55" s="317">
        <v>18</v>
      </c>
      <c r="J55" s="18">
        <v>1500</v>
      </c>
      <c r="K55" s="9">
        <f t="shared" si="68"/>
        <v>83.333333333333329</v>
      </c>
      <c r="L55" s="317">
        <v>18</v>
      </c>
      <c r="M55" s="10">
        <f t="shared" si="69"/>
        <v>1366.8387096774195</v>
      </c>
      <c r="N55" s="10">
        <f t="shared" ref="N55:N57" si="71">M55/L55</f>
        <v>75.935483870967744</v>
      </c>
      <c r="O55" s="11">
        <f t="shared" ref="O55:O57" si="72">L55-I55</f>
        <v>0</v>
      </c>
      <c r="P55" s="12">
        <f t="shared" ref="P55:P57" si="73">N55-K55</f>
        <v>-7.3978494623655848</v>
      </c>
      <c r="Q55" s="311">
        <f t="shared" ref="Q55:Q57" si="74">N55/K55</f>
        <v>0.911225806451613</v>
      </c>
      <c r="R55" s="470"/>
      <c r="S55" s="24">
        <v>0.39027777777777778</v>
      </c>
      <c r="T55" s="24">
        <v>0.49791666666666667</v>
      </c>
      <c r="U55" s="309">
        <f t="shared" ref="U55:U57" si="75">(S55-T54)*24*60</f>
        <v>7.9999999999999716</v>
      </c>
      <c r="V55" s="318">
        <f t="shared" si="70"/>
        <v>155</v>
      </c>
      <c r="W55" s="14"/>
      <c r="X55" s="14"/>
      <c r="Y55" s="456"/>
      <c r="Z55" s="456"/>
      <c r="AA55" s="11">
        <f t="shared" si="2"/>
        <v>-133.1612903225805</v>
      </c>
      <c r="AB55" s="311">
        <f t="shared" si="57"/>
        <v>0.911225806451613</v>
      </c>
      <c r="AC55" s="470"/>
    </row>
    <row r="56" spans="1:29" ht="15.75" customHeight="1">
      <c r="A56" s="461" t="s">
        <v>10</v>
      </c>
      <c r="B56" s="26" t="s">
        <v>13</v>
      </c>
      <c r="C56" s="491" t="s">
        <v>65</v>
      </c>
      <c r="D56" s="492"/>
      <c r="E56" s="26">
        <v>55.56</v>
      </c>
      <c r="F56" s="27">
        <v>1858</v>
      </c>
      <c r="G56" s="309">
        <f t="shared" si="67"/>
        <v>103230.48000000001</v>
      </c>
      <c r="H56" s="76" t="s">
        <v>57</v>
      </c>
      <c r="I56" s="317">
        <v>17</v>
      </c>
      <c r="J56" s="18">
        <v>1500</v>
      </c>
      <c r="K56" s="9">
        <f t="shared" si="68"/>
        <v>88.235294117647058</v>
      </c>
      <c r="L56" s="317">
        <v>17</v>
      </c>
      <c r="M56" s="10">
        <f t="shared" si="69"/>
        <v>1376.2962962962958</v>
      </c>
      <c r="N56" s="10">
        <f t="shared" si="71"/>
        <v>80.95860566448799</v>
      </c>
      <c r="O56" s="11">
        <f t="shared" si="72"/>
        <v>0</v>
      </c>
      <c r="P56" s="12">
        <f t="shared" si="73"/>
        <v>-7.2766884531590676</v>
      </c>
      <c r="Q56" s="311">
        <f t="shared" si="74"/>
        <v>0.9175308641975306</v>
      </c>
      <c r="R56" s="470"/>
      <c r="S56" s="24">
        <v>0.70833333333333337</v>
      </c>
      <c r="T56" s="24">
        <v>0.76458333333333339</v>
      </c>
      <c r="U56" s="309">
        <f t="shared" si="75"/>
        <v>303.00000000000006</v>
      </c>
      <c r="V56" s="318">
        <f t="shared" si="70"/>
        <v>81.000000000000028</v>
      </c>
      <c r="W56" s="14"/>
      <c r="X56" s="14"/>
      <c r="Y56" s="314"/>
      <c r="Z56" s="315"/>
      <c r="AA56" s="11">
        <f t="shared" si="2"/>
        <v>-123.70370370370415</v>
      </c>
      <c r="AB56" s="311">
        <f t="shared" si="57"/>
        <v>0.9175308641975306</v>
      </c>
      <c r="AC56" s="470"/>
    </row>
    <row r="57" spans="1:29" ht="15.75" customHeight="1">
      <c r="A57" s="461" t="s">
        <v>10</v>
      </c>
      <c r="B57" s="26" t="s">
        <v>13</v>
      </c>
      <c r="C57" s="312" t="s">
        <v>64</v>
      </c>
      <c r="D57" s="313"/>
      <c r="E57" s="26">
        <v>55.32</v>
      </c>
      <c r="F57" s="27">
        <v>1388</v>
      </c>
      <c r="G57" s="309">
        <f t="shared" si="67"/>
        <v>76784.160000000003</v>
      </c>
      <c r="H57" s="76" t="s">
        <v>57</v>
      </c>
      <c r="I57" s="317">
        <v>15</v>
      </c>
      <c r="J57" s="18">
        <v>1500</v>
      </c>
      <c r="K57" s="9">
        <f t="shared" si="68"/>
        <v>100</v>
      </c>
      <c r="L57" s="317">
        <v>15</v>
      </c>
      <c r="M57" s="10">
        <f t="shared" si="69"/>
        <v>1365.2459016393457</v>
      </c>
      <c r="N57" s="10">
        <f t="shared" si="71"/>
        <v>91.016393442623041</v>
      </c>
      <c r="O57" s="11">
        <f t="shared" si="72"/>
        <v>0</v>
      </c>
      <c r="P57" s="12">
        <f t="shared" si="73"/>
        <v>-8.9836065573769588</v>
      </c>
      <c r="Q57" s="311">
        <f t="shared" si="74"/>
        <v>0.91016393442623045</v>
      </c>
      <c r="R57" s="470"/>
      <c r="S57" s="24">
        <v>0.7680555555555556</v>
      </c>
      <c r="T57" s="24">
        <v>0.81041666666666667</v>
      </c>
      <c r="U57" s="309">
        <f t="shared" si="75"/>
        <v>4.9999999999999822</v>
      </c>
      <c r="V57" s="318">
        <f t="shared" si="70"/>
        <v>60.999999999999943</v>
      </c>
      <c r="W57" s="14"/>
      <c r="X57" s="14"/>
      <c r="Y57" s="314"/>
      <c r="Z57" s="315"/>
      <c r="AA57" s="11">
        <f t="shared" si="2"/>
        <v>-134.75409836065433</v>
      </c>
      <c r="AB57" s="311">
        <f t="shared" si="57"/>
        <v>0.91016393442623045</v>
      </c>
      <c r="AC57" s="470"/>
    </row>
    <row r="58" spans="1:29">
      <c r="A58" s="496" t="s">
        <v>10</v>
      </c>
      <c r="B58" s="26" t="s">
        <v>1316</v>
      </c>
      <c r="C58" s="466"/>
      <c r="D58" s="466"/>
      <c r="E58" s="310"/>
      <c r="F58" s="16"/>
      <c r="G58" s="9"/>
      <c r="H58" s="319"/>
      <c r="I58" s="17">
        <v>16.75</v>
      </c>
      <c r="J58" s="18">
        <v>1500</v>
      </c>
      <c r="K58" s="9">
        <f>J58/I58</f>
        <v>89.552238805970148</v>
      </c>
      <c r="L58" s="17">
        <v>16.75</v>
      </c>
      <c r="M58" s="10">
        <f>AVERAGE(M54:M57)</f>
        <v>1368.7997723578108</v>
      </c>
      <c r="N58" s="9">
        <f>M58/L58</f>
        <v>81.719389394496162</v>
      </c>
      <c r="O58" s="11">
        <f>L58-I58</f>
        <v>0</v>
      </c>
      <c r="P58" s="12">
        <f>N58-K58</f>
        <v>-7.8328494114739868</v>
      </c>
      <c r="Q58" s="311">
        <f>N58/K58</f>
        <v>0.9125331815718738</v>
      </c>
      <c r="R58" s="470"/>
      <c r="S58" s="25"/>
      <c r="T58" s="24"/>
      <c r="U58" s="9"/>
      <c r="V58" s="318"/>
      <c r="W58" s="9"/>
      <c r="X58" s="9"/>
      <c r="Y58" s="456"/>
      <c r="Z58" s="456"/>
      <c r="AA58" s="11">
        <f t="shared" si="2"/>
        <v>-131.20022764218925</v>
      </c>
      <c r="AB58" s="311">
        <f t="shared" si="57"/>
        <v>0.9125331815718738</v>
      </c>
      <c r="AC58" s="470"/>
    </row>
    <row r="59" spans="1:29" ht="15.75" customHeight="1">
      <c r="A59" s="499" t="s">
        <v>1322</v>
      </c>
      <c r="B59" s="319" t="s">
        <v>33</v>
      </c>
      <c r="C59" s="487" t="s">
        <v>36</v>
      </c>
      <c r="D59" s="487"/>
      <c r="E59" s="26">
        <v>26.78</v>
      </c>
      <c r="F59" s="27">
        <v>2584</v>
      </c>
      <c r="G59" s="309">
        <f t="shared" ref="G59:G65" si="76">E59*F59</f>
        <v>69199.520000000004</v>
      </c>
      <c r="H59" s="76" t="s">
        <v>57</v>
      </c>
      <c r="I59" s="317">
        <v>10</v>
      </c>
      <c r="J59" s="18">
        <v>3000</v>
      </c>
      <c r="K59" s="9">
        <f t="shared" ref="K59:K65" si="77">J59/I59</f>
        <v>300</v>
      </c>
      <c r="L59" s="17">
        <v>10</v>
      </c>
      <c r="M59" s="10">
        <f t="shared" ref="M59:M65" si="78">F59/V59*60</f>
        <v>2720</v>
      </c>
      <c r="N59" s="9">
        <f>M59/L59</f>
        <v>272</v>
      </c>
      <c r="O59" s="11">
        <f t="shared" ref="O59:O65" si="79">L59-I59</f>
        <v>0</v>
      </c>
      <c r="P59" s="12">
        <f t="shared" ref="P59:P65" si="80">N59-K59</f>
        <v>-28</v>
      </c>
      <c r="Q59" s="311">
        <f>N59/K59</f>
        <v>0.90666666666666662</v>
      </c>
      <c r="R59" s="470">
        <f>Q66</f>
        <v>0.91603594683244538</v>
      </c>
      <c r="S59" s="24">
        <v>0.20833333333333334</v>
      </c>
      <c r="T59" s="24">
        <v>0.24791666666666667</v>
      </c>
      <c r="U59" s="309"/>
      <c r="V59" s="318">
        <f t="shared" ref="V59:V65" si="81">(T59-S59)*24*60</f>
        <v>57</v>
      </c>
      <c r="W59" s="15"/>
      <c r="X59" s="15"/>
      <c r="Y59" s="456"/>
      <c r="Z59" s="456"/>
      <c r="AA59" s="11">
        <f t="shared" si="2"/>
        <v>-280</v>
      </c>
      <c r="AB59" s="311">
        <f t="shared" si="57"/>
        <v>0.90666666666666662</v>
      </c>
      <c r="AC59" s="470">
        <f>AB66</f>
        <v>0.91603594683244538</v>
      </c>
    </row>
    <row r="60" spans="1:29" ht="15.75" customHeight="1">
      <c r="A60" s="499" t="s">
        <v>11</v>
      </c>
      <c r="B60" s="319" t="s">
        <v>33</v>
      </c>
      <c r="C60" s="487" t="s">
        <v>42</v>
      </c>
      <c r="D60" s="487"/>
      <c r="E60" s="26">
        <v>35.369999999999997</v>
      </c>
      <c r="F60" s="27">
        <v>1710</v>
      </c>
      <c r="G60" s="309">
        <f t="shared" si="76"/>
        <v>60482.7</v>
      </c>
      <c r="H60" s="76" t="s">
        <v>57</v>
      </c>
      <c r="I60" s="317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2772.9729729729711</v>
      </c>
      <c r="N60" s="9">
        <f t="shared" ref="N60:N65" si="82">M60/L60</f>
        <v>277.29729729729712</v>
      </c>
      <c r="O60" s="11">
        <f t="shared" si="79"/>
        <v>0</v>
      </c>
      <c r="P60" s="12">
        <f t="shared" si="80"/>
        <v>-22.702702702702879</v>
      </c>
      <c r="Q60" s="311">
        <f t="shared" ref="Q60:Q65" si="83">N60/K60</f>
        <v>0.92432432432432377</v>
      </c>
      <c r="R60" s="470"/>
      <c r="S60" s="24">
        <v>0.25138888888888888</v>
      </c>
      <c r="T60" s="24">
        <v>0.27708333333333335</v>
      </c>
      <c r="U60" s="309">
        <f>(S60-T59)*24*60</f>
        <v>4.9999999999999822</v>
      </c>
      <c r="V60" s="318">
        <f t="shared" si="81"/>
        <v>37.000000000000028</v>
      </c>
      <c r="W60" s="309"/>
      <c r="X60" s="309"/>
      <c r="Y60" s="456"/>
      <c r="Z60" s="456"/>
      <c r="AA60" s="11">
        <f t="shared" si="2"/>
        <v>-227.02702702702891</v>
      </c>
      <c r="AB60" s="311">
        <f t="shared" si="57"/>
        <v>0.92432432432432365</v>
      </c>
      <c r="AC60" s="470"/>
    </row>
    <row r="61" spans="1:29" ht="15.75" customHeight="1">
      <c r="A61" s="499" t="s">
        <v>11</v>
      </c>
      <c r="B61" s="319" t="s">
        <v>33</v>
      </c>
      <c r="C61" s="487" t="s">
        <v>41</v>
      </c>
      <c r="D61" s="487"/>
      <c r="E61" s="26">
        <v>34.35</v>
      </c>
      <c r="F61" s="27">
        <v>1475</v>
      </c>
      <c r="G61" s="309">
        <f t="shared" si="76"/>
        <v>50666.25</v>
      </c>
      <c r="H61" s="76" t="s">
        <v>57</v>
      </c>
      <c r="I61" s="317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2765.6250000000032</v>
      </c>
      <c r="N61" s="9">
        <f t="shared" si="82"/>
        <v>276.56250000000034</v>
      </c>
      <c r="O61" s="11">
        <f t="shared" si="79"/>
        <v>0</v>
      </c>
      <c r="P61" s="12">
        <f t="shared" si="80"/>
        <v>-23.437499999999659</v>
      </c>
      <c r="Q61" s="311">
        <f t="shared" si="83"/>
        <v>0.92187500000000111</v>
      </c>
      <c r="R61" s="470"/>
      <c r="S61" s="24">
        <v>0.28055555555555556</v>
      </c>
      <c r="T61" s="24">
        <v>0.30277777777777776</v>
      </c>
      <c r="U61" s="309">
        <f t="shared" ref="U61:U65" si="84">(S61-T60)*24*60</f>
        <v>4.9999999999999822</v>
      </c>
      <c r="V61" s="318">
        <f t="shared" si="81"/>
        <v>31.999999999999964</v>
      </c>
      <c r="W61" s="309"/>
      <c r="X61" s="309"/>
      <c r="Y61" s="456"/>
      <c r="Z61" s="456"/>
      <c r="AA61" s="11">
        <f t="shared" si="2"/>
        <v>-234.37499999999682</v>
      </c>
      <c r="AB61" s="311">
        <f t="shared" si="57"/>
        <v>0.92187500000000111</v>
      </c>
      <c r="AC61" s="470"/>
    </row>
    <row r="62" spans="1:29" ht="15.75" customHeight="1">
      <c r="A62" s="499" t="s">
        <v>11</v>
      </c>
      <c r="B62" s="319" t="s">
        <v>15</v>
      </c>
      <c r="C62" s="487" t="s">
        <v>39</v>
      </c>
      <c r="D62" s="487"/>
      <c r="E62" s="26">
        <v>26.97</v>
      </c>
      <c r="F62" s="27">
        <v>3224</v>
      </c>
      <c r="G62" s="309">
        <f t="shared" si="76"/>
        <v>86951.28</v>
      </c>
      <c r="H62" s="76" t="s">
        <v>57</v>
      </c>
      <c r="I62" s="317">
        <v>8</v>
      </c>
      <c r="J62" s="18">
        <v>1440</v>
      </c>
      <c r="K62" s="9">
        <f t="shared" si="77"/>
        <v>180</v>
      </c>
      <c r="L62" s="17">
        <v>8</v>
      </c>
      <c r="M62" s="10">
        <f t="shared" si="78"/>
        <v>1307.0270270270266</v>
      </c>
      <c r="N62" s="9">
        <f t="shared" si="82"/>
        <v>163.37837837837833</v>
      </c>
      <c r="O62" s="11">
        <f t="shared" si="79"/>
        <v>0</v>
      </c>
      <c r="P62" s="12">
        <f t="shared" si="80"/>
        <v>-16.621621621621671</v>
      </c>
      <c r="Q62" s="311">
        <f t="shared" si="83"/>
        <v>0.90765765765765738</v>
      </c>
      <c r="R62" s="470"/>
      <c r="S62" s="24">
        <v>0.30694444444444441</v>
      </c>
      <c r="T62" s="24">
        <v>0.40972222222222221</v>
      </c>
      <c r="U62" s="309">
        <f t="shared" si="84"/>
        <v>5.9999999999999787</v>
      </c>
      <c r="V62" s="318">
        <f t="shared" si="81"/>
        <v>148.00000000000003</v>
      </c>
      <c r="W62" s="309"/>
      <c r="X62" s="309"/>
      <c r="Y62" s="456"/>
      <c r="Z62" s="456"/>
      <c r="AA62" s="11">
        <f t="shared" si="2"/>
        <v>-132.97297297297337</v>
      </c>
      <c r="AB62" s="311">
        <f t="shared" si="57"/>
        <v>0.90765765765765738</v>
      </c>
      <c r="AC62" s="470"/>
    </row>
    <row r="63" spans="1:29">
      <c r="A63" s="500" t="s">
        <v>11</v>
      </c>
      <c r="B63" s="319" t="s">
        <v>33</v>
      </c>
      <c r="C63" s="487" t="s">
        <v>40</v>
      </c>
      <c r="D63" s="487"/>
      <c r="E63" s="26">
        <v>35.119999999999997</v>
      </c>
      <c r="F63" s="27">
        <v>1323</v>
      </c>
      <c r="G63" s="309">
        <f t="shared" si="76"/>
        <v>46463.759999999995</v>
      </c>
      <c r="H63" s="76" t="s">
        <v>57</v>
      </c>
      <c r="I63" s="317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1846.0465116279067</v>
      </c>
      <c r="N63" s="9">
        <f t="shared" si="82"/>
        <v>142.00357781753129</v>
      </c>
      <c r="O63" s="11">
        <f t="shared" si="79"/>
        <v>0</v>
      </c>
      <c r="P63" s="12">
        <f t="shared" si="80"/>
        <v>-11.842576028622545</v>
      </c>
      <c r="Q63" s="311">
        <f t="shared" si="83"/>
        <v>0.9230232558139535</v>
      </c>
      <c r="R63" s="470"/>
      <c r="S63" s="24">
        <v>0.41527777777777775</v>
      </c>
      <c r="T63" s="24">
        <v>0.44513888888888886</v>
      </c>
      <c r="U63" s="309">
        <f t="shared" si="84"/>
        <v>7.9999999999999716</v>
      </c>
      <c r="V63" s="318">
        <f t="shared" si="81"/>
        <v>43.000000000000007</v>
      </c>
      <c r="W63" s="14"/>
      <c r="X63" s="14"/>
      <c r="Y63" s="456"/>
      <c r="Z63" s="456"/>
      <c r="AA63" s="11">
        <f t="shared" si="2"/>
        <v>-153.95348837209326</v>
      </c>
      <c r="AB63" s="311">
        <f t="shared" si="57"/>
        <v>0.92302325581395339</v>
      </c>
      <c r="AC63" s="470"/>
    </row>
    <row r="64" spans="1:29" ht="15" customHeight="1">
      <c r="A64" s="500" t="s">
        <v>11</v>
      </c>
      <c r="B64" s="319" t="s">
        <v>33</v>
      </c>
      <c r="C64" s="491" t="s">
        <v>1194</v>
      </c>
      <c r="D64" s="492"/>
      <c r="E64" s="26">
        <v>34.26</v>
      </c>
      <c r="F64" s="27">
        <v>3000</v>
      </c>
      <c r="G64" s="309">
        <f t="shared" si="76"/>
        <v>102780</v>
      </c>
      <c r="H64" s="76">
        <v>2</v>
      </c>
      <c r="I64" s="317">
        <v>13</v>
      </c>
      <c r="J64" s="18">
        <v>3000</v>
      </c>
      <c r="K64" s="9">
        <f t="shared" si="77"/>
        <v>230.76923076923077</v>
      </c>
      <c r="L64" s="17">
        <v>13</v>
      </c>
      <c r="M64" s="10">
        <f t="shared" si="78"/>
        <v>2727.272727272727</v>
      </c>
      <c r="N64" s="9">
        <f t="shared" si="82"/>
        <v>209.79020979020976</v>
      </c>
      <c r="O64" s="11">
        <f t="shared" si="79"/>
        <v>0</v>
      </c>
      <c r="P64" s="12">
        <f t="shared" si="80"/>
        <v>-20.979020979021016</v>
      </c>
      <c r="Q64" s="311">
        <f t="shared" si="83"/>
        <v>0.90909090909090895</v>
      </c>
      <c r="R64" s="470"/>
      <c r="S64" s="24">
        <v>0.44999999999999996</v>
      </c>
      <c r="T64" s="24">
        <v>0.49583333333333329</v>
      </c>
      <c r="U64" s="309">
        <f t="shared" si="84"/>
        <v>6.9999999999999751</v>
      </c>
      <c r="V64" s="318">
        <f t="shared" si="81"/>
        <v>66</v>
      </c>
      <c r="W64" s="309"/>
      <c r="X64" s="309"/>
      <c r="Y64" s="473"/>
      <c r="Z64" s="474"/>
      <c r="AA64" s="11">
        <f t="shared" si="2"/>
        <v>-272.72727272727298</v>
      </c>
      <c r="AB64" s="311">
        <f t="shared" si="57"/>
        <v>0.90909090909090906</v>
      </c>
      <c r="AC64" s="470"/>
    </row>
    <row r="65" spans="1:29">
      <c r="A65" s="500" t="s">
        <v>11</v>
      </c>
      <c r="B65" s="319" t="s">
        <v>33</v>
      </c>
      <c r="C65" s="312" t="s">
        <v>1194</v>
      </c>
      <c r="D65" s="313"/>
      <c r="E65" s="26">
        <v>34.26</v>
      </c>
      <c r="F65" s="27">
        <v>2661</v>
      </c>
      <c r="G65" s="309">
        <f t="shared" si="76"/>
        <v>91165.86</v>
      </c>
      <c r="H65" s="76" t="s">
        <v>57</v>
      </c>
      <c r="I65" s="317">
        <v>13</v>
      </c>
      <c r="J65" s="18">
        <v>3000</v>
      </c>
      <c r="K65" s="9">
        <f t="shared" si="77"/>
        <v>230.76923076923077</v>
      </c>
      <c r="L65" s="17">
        <v>13</v>
      </c>
      <c r="M65" s="10">
        <f t="shared" si="78"/>
        <v>2752.7586206896572</v>
      </c>
      <c r="N65" s="9">
        <f t="shared" si="82"/>
        <v>211.75066312997362</v>
      </c>
      <c r="O65" s="11">
        <f t="shared" si="79"/>
        <v>0</v>
      </c>
      <c r="P65" s="12">
        <f t="shared" si="80"/>
        <v>-19.018567639257157</v>
      </c>
      <c r="Q65" s="311">
        <f t="shared" si="83"/>
        <v>0.91758620689655235</v>
      </c>
      <c r="R65" s="470"/>
      <c r="S65" s="24">
        <v>0.53541666666666665</v>
      </c>
      <c r="T65" s="24">
        <v>0.5756944444444444</v>
      </c>
      <c r="U65" s="309">
        <f t="shared" si="84"/>
        <v>57.000000000000036</v>
      </c>
      <c r="V65" s="318">
        <f t="shared" si="81"/>
        <v>57.999999999999957</v>
      </c>
      <c r="W65" s="14"/>
      <c r="X65" s="14"/>
      <c r="Y65" s="314"/>
      <c r="Z65" s="315"/>
      <c r="AA65" s="11">
        <f t="shared" si="2"/>
        <v>-247.24137931034284</v>
      </c>
      <c r="AB65" s="311">
        <f t="shared" si="57"/>
        <v>0.91758620689655235</v>
      </c>
      <c r="AC65" s="470"/>
    </row>
    <row r="66" spans="1:29">
      <c r="A66" s="500" t="s">
        <v>11</v>
      </c>
      <c r="B66" s="26" t="s">
        <v>1323</v>
      </c>
      <c r="C66" s="466"/>
      <c r="D66" s="466"/>
      <c r="E66" s="310"/>
      <c r="F66" s="16"/>
      <c r="G66" s="9"/>
      <c r="H66" s="319"/>
      <c r="I66" s="17">
        <v>11</v>
      </c>
      <c r="J66" s="18">
        <v>2634.2857142857142</v>
      </c>
      <c r="K66" s="9">
        <f>J66/I66</f>
        <v>239.48051948051946</v>
      </c>
      <c r="L66" s="17">
        <v>11</v>
      </c>
      <c r="M66" s="10">
        <f>AVERAGE(M59:M65)</f>
        <v>2413.1004085128989</v>
      </c>
      <c r="N66" s="9">
        <f>M66/L66</f>
        <v>219.37276441026353</v>
      </c>
      <c r="O66" s="11">
        <f>L66-I66</f>
        <v>0</v>
      </c>
      <c r="P66" s="12">
        <f>N66-K66</f>
        <v>-20.107755070255934</v>
      </c>
      <c r="Q66" s="311">
        <f>N66/K66</f>
        <v>0.91603594683244538</v>
      </c>
      <c r="R66" s="470"/>
      <c r="S66" s="24"/>
      <c r="T66" s="24"/>
      <c r="U66" s="9"/>
      <c r="V66" s="318"/>
      <c r="W66" s="9"/>
      <c r="X66" s="9"/>
      <c r="Y66" s="456"/>
      <c r="Z66" s="456"/>
      <c r="AA66" s="11">
        <f t="shared" si="2"/>
        <v>-221.18530577281535</v>
      </c>
      <c r="AB66" s="311">
        <f t="shared" si="57"/>
        <v>0.91603594683244538</v>
      </c>
      <c r="AC66" s="470"/>
    </row>
    <row r="67" spans="1:29" ht="15.75" customHeight="1">
      <c r="A67" s="467" t="s">
        <v>164</v>
      </c>
      <c r="B67" s="319" t="s">
        <v>24</v>
      </c>
      <c r="C67" s="487" t="s">
        <v>83</v>
      </c>
      <c r="D67" s="487"/>
      <c r="E67" s="26">
        <v>32.03</v>
      </c>
      <c r="F67" s="319">
        <v>1355</v>
      </c>
      <c r="G67" s="309">
        <f t="shared" ref="G67:G72" si="85">E67*F67</f>
        <v>43400.65</v>
      </c>
      <c r="H67" s="76" t="s">
        <v>57</v>
      </c>
      <c r="I67" s="317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2197.297297297298</v>
      </c>
      <c r="N67" s="9">
        <f t="shared" ref="N67:N72" si="87">M67/L67</f>
        <v>115.64722617354199</v>
      </c>
      <c r="O67" s="11">
        <f t="shared" ref="O67:O72" si="88">L67-I67</f>
        <v>0</v>
      </c>
      <c r="P67" s="12">
        <f t="shared" ref="P67:P72" si="89">N67-K67</f>
        <v>-10.66856330014221</v>
      </c>
      <c r="Q67" s="311">
        <f>N67/K67</f>
        <v>0.91554054054054079</v>
      </c>
      <c r="R67" s="470">
        <f>Q73</f>
        <v>0.91129017189916584</v>
      </c>
      <c r="S67" s="24">
        <v>0.125</v>
      </c>
      <c r="T67" s="24">
        <v>0.15069444444444444</v>
      </c>
      <c r="U67" s="15"/>
      <c r="V67" s="318">
        <f t="shared" ref="V67:V72" si="90">(T67-S67)*24*60</f>
        <v>36.999999999999986</v>
      </c>
      <c r="W67" s="14"/>
      <c r="X67" s="14"/>
      <c r="Y67" s="456"/>
      <c r="Z67" s="456"/>
      <c r="AA67" s="11">
        <f t="shared" si="2"/>
        <v>-202.70270270270203</v>
      </c>
      <c r="AB67" s="311">
        <f>M67/J67</f>
        <v>0.91554054054054079</v>
      </c>
      <c r="AC67" s="470">
        <f>AB73</f>
        <v>0.91129017189916584</v>
      </c>
    </row>
    <row r="68" spans="1:29" ht="15.75" customHeight="1">
      <c r="A68" s="467" t="s">
        <v>12</v>
      </c>
      <c r="B68" s="319" t="s">
        <v>24</v>
      </c>
      <c r="C68" s="487" t="s">
        <v>56</v>
      </c>
      <c r="D68" s="487"/>
      <c r="E68" s="26">
        <v>20.2</v>
      </c>
      <c r="F68" s="319">
        <v>2578</v>
      </c>
      <c r="G68" s="309">
        <f t="shared" si="85"/>
        <v>52075.6</v>
      </c>
      <c r="H68" s="76" t="s">
        <v>57</v>
      </c>
      <c r="I68" s="317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2" si="91">F68/V68*60</f>
        <v>2178.5915492957752</v>
      </c>
      <c r="N68" s="9">
        <f t="shared" si="87"/>
        <v>114.66271312083028</v>
      </c>
      <c r="O68" s="11">
        <f t="shared" si="88"/>
        <v>0</v>
      </c>
      <c r="P68" s="12">
        <f t="shared" si="89"/>
        <v>-11.65307635285393</v>
      </c>
      <c r="Q68" s="311">
        <f t="shared" ref="Q68:Q73" si="92">N68/K68</f>
        <v>0.90774647887323967</v>
      </c>
      <c r="R68" s="470"/>
      <c r="S68" s="24">
        <v>0.17083333333333334</v>
      </c>
      <c r="T68" s="24">
        <v>0.22013888888888888</v>
      </c>
      <c r="U68" s="309">
        <f>(S68-T67)*24*60</f>
        <v>29.000000000000018</v>
      </c>
      <c r="V68" s="318">
        <f t="shared" si="90"/>
        <v>70.999999999999986</v>
      </c>
      <c r="W68" s="14"/>
      <c r="X68" s="14"/>
      <c r="Y68" s="456"/>
      <c r="Z68" s="456"/>
      <c r="AA68" s="11">
        <f t="shared" si="2"/>
        <v>-221.40845070422483</v>
      </c>
      <c r="AB68" s="311">
        <f t="shared" ref="AB68:AB73" si="93">M68/J68</f>
        <v>0.90774647887323967</v>
      </c>
      <c r="AC68" s="470"/>
    </row>
    <row r="69" spans="1:29" ht="15.75" customHeight="1">
      <c r="A69" s="467" t="s">
        <v>12</v>
      </c>
      <c r="B69" s="319" t="s">
        <v>24</v>
      </c>
      <c r="C69" s="487" t="s">
        <v>45</v>
      </c>
      <c r="D69" s="487"/>
      <c r="E69" s="26">
        <v>19.02</v>
      </c>
      <c r="F69" s="319">
        <v>4000</v>
      </c>
      <c r="G69" s="309">
        <f t="shared" si="85"/>
        <v>76080</v>
      </c>
      <c r="H69" s="76">
        <v>2</v>
      </c>
      <c r="I69" s="317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2181.8181818181815</v>
      </c>
      <c r="N69" s="9">
        <f t="shared" si="87"/>
        <v>145.45454545454544</v>
      </c>
      <c r="O69" s="11">
        <f t="shared" si="88"/>
        <v>0</v>
      </c>
      <c r="P69" s="12">
        <f t="shared" si="89"/>
        <v>-14.545454545454561</v>
      </c>
      <c r="Q69" s="311">
        <f t="shared" si="92"/>
        <v>0.90909090909090895</v>
      </c>
      <c r="R69" s="470"/>
      <c r="S69" s="24">
        <v>0.22361111111111109</v>
      </c>
      <c r="T69" s="24">
        <v>0.3</v>
      </c>
      <c r="U69" s="309">
        <f t="shared" ref="U69:U72" si="94">(S69-T68)*24*60</f>
        <v>4.9999999999999822</v>
      </c>
      <c r="V69" s="318">
        <f t="shared" si="90"/>
        <v>110.00000000000001</v>
      </c>
      <c r="W69" s="14"/>
      <c r="X69" s="14"/>
      <c r="Y69" s="456"/>
      <c r="Z69" s="456"/>
      <c r="AA69" s="11">
        <f t="shared" ref="AA69:AA73" si="95">M69-J69</f>
        <v>-218.18181818181847</v>
      </c>
      <c r="AB69" s="311">
        <f t="shared" si="93"/>
        <v>0.90909090909090895</v>
      </c>
      <c r="AC69" s="470"/>
    </row>
    <row r="70" spans="1:29" ht="15.75" customHeight="1">
      <c r="A70" s="467" t="s">
        <v>12</v>
      </c>
      <c r="B70" s="319" t="s">
        <v>24</v>
      </c>
      <c r="C70" s="487" t="s">
        <v>46</v>
      </c>
      <c r="D70" s="487"/>
      <c r="E70" s="26">
        <v>25</v>
      </c>
      <c r="F70" s="319">
        <v>4198</v>
      </c>
      <c r="G70" s="309">
        <f t="shared" si="85"/>
        <v>104950</v>
      </c>
      <c r="H70" s="76" t="s">
        <v>57</v>
      </c>
      <c r="I70" s="317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2190.2608695652179</v>
      </c>
      <c r="N70" s="9">
        <f t="shared" si="87"/>
        <v>146.01739130434785</v>
      </c>
      <c r="O70" s="11">
        <f t="shared" si="88"/>
        <v>0</v>
      </c>
      <c r="P70" s="12">
        <f t="shared" si="89"/>
        <v>-13.982608695652146</v>
      </c>
      <c r="Q70" s="311">
        <f t="shared" si="92"/>
        <v>0.91260869565217406</v>
      </c>
      <c r="R70" s="470"/>
      <c r="S70" s="24">
        <v>0.30416666666666664</v>
      </c>
      <c r="T70" s="24">
        <v>0.38402777777777775</v>
      </c>
      <c r="U70" s="309">
        <f t="shared" si="94"/>
        <v>5.9999999999999787</v>
      </c>
      <c r="V70" s="318">
        <f t="shared" si="90"/>
        <v>114.99999999999999</v>
      </c>
      <c r="W70" s="14"/>
      <c r="X70" s="14"/>
      <c r="Y70" s="456"/>
      <c r="Z70" s="456"/>
      <c r="AA70" s="11">
        <f t="shared" si="95"/>
        <v>-209.73913043478206</v>
      </c>
      <c r="AB70" s="311">
        <f t="shared" si="93"/>
        <v>0.91260869565217417</v>
      </c>
      <c r="AC70" s="470"/>
    </row>
    <row r="71" spans="1:29" ht="15.75" customHeight="1">
      <c r="A71" s="467" t="s">
        <v>12</v>
      </c>
      <c r="B71" s="319" t="s">
        <v>24</v>
      </c>
      <c r="C71" s="487" t="s">
        <v>510</v>
      </c>
      <c r="D71" s="487"/>
      <c r="E71" s="26">
        <v>28.51</v>
      </c>
      <c r="F71" s="319">
        <v>5182</v>
      </c>
      <c r="G71" s="309">
        <f t="shared" si="85"/>
        <v>147738.82</v>
      </c>
      <c r="H71" s="76" t="s">
        <v>57</v>
      </c>
      <c r="I71" s="317">
        <v>20</v>
      </c>
      <c r="J71" s="18">
        <v>2400</v>
      </c>
      <c r="K71" s="9">
        <f t="shared" ref="K71:K73" si="96">J71/I71</f>
        <v>120</v>
      </c>
      <c r="L71" s="17">
        <v>20</v>
      </c>
      <c r="M71" s="10">
        <f t="shared" si="91"/>
        <v>2189.5774647887329</v>
      </c>
      <c r="N71" s="9">
        <f t="shared" si="87"/>
        <v>109.47887323943664</v>
      </c>
      <c r="O71" s="11">
        <f t="shared" si="88"/>
        <v>0</v>
      </c>
      <c r="P71" s="12">
        <f t="shared" si="89"/>
        <v>-10.521126760563362</v>
      </c>
      <c r="Q71" s="311">
        <f t="shared" si="92"/>
        <v>0.912323943661972</v>
      </c>
      <c r="R71" s="470"/>
      <c r="S71" s="24">
        <v>0.38749999999999996</v>
      </c>
      <c r="T71" s="24">
        <v>0.48611111111111105</v>
      </c>
      <c r="U71" s="309">
        <f t="shared" si="94"/>
        <v>4.9999999999999822</v>
      </c>
      <c r="V71" s="318">
        <f t="shared" si="90"/>
        <v>141.99999999999997</v>
      </c>
      <c r="W71" s="14"/>
      <c r="X71" s="14"/>
      <c r="Y71" s="456"/>
      <c r="Z71" s="456"/>
      <c r="AA71" s="11">
        <f t="shared" si="95"/>
        <v>-210.42253521126713</v>
      </c>
      <c r="AB71" s="311">
        <f t="shared" si="93"/>
        <v>0.912323943661972</v>
      </c>
      <c r="AC71" s="470"/>
    </row>
    <row r="72" spans="1:29" ht="15.75" customHeight="1">
      <c r="A72" s="467" t="s">
        <v>12</v>
      </c>
      <c r="B72" s="319" t="s">
        <v>24</v>
      </c>
      <c r="C72" s="487" t="s">
        <v>45</v>
      </c>
      <c r="D72" s="487"/>
      <c r="E72" s="26">
        <v>19.02</v>
      </c>
      <c r="F72" s="319">
        <v>5499</v>
      </c>
      <c r="G72" s="309">
        <f t="shared" si="85"/>
        <v>104590.98</v>
      </c>
      <c r="H72" s="76" t="s">
        <v>57</v>
      </c>
      <c r="I72" s="317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2185.0331125827825</v>
      </c>
      <c r="N72" s="9">
        <f t="shared" si="87"/>
        <v>145.6688741721855</v>
      </c>
      <c r="O72" s="11">
        <f t="shared" si="88"/>
        <v>0</v>
      </c>
      <c r="P72" s="12">
        <f t="shared" si="89"/>
        <v>-14.331125827814503</v>
      </c>
      <c r="Q72" s="311">
        <f t="shared" si="92"/>
        <v>0.91043046357615931</v>
      </c>
      <c r="R72" s="470"/>
      <c r="S72" s="24">
        <v>0.52708333333333324</v>
      </c>
      <c r="T72" s="24">
        <v>0.63194444444444431</v>
      </c>
      <c r="U72" s="309">
        <f t="shared" si="94"/>
        <v>58.99999999999995</v>
      </c>
      <c r="V72" s="318">
        <f t="shared" si="90"/>
        <v>150.99999999999994</v>
      </c>
      <c r="W72" s="14"/>
      <c r="X72" s="14"/>
      <c r="Y72" s="456"/>
      <c r="Z72" s="456"/>
      <c r="AA72" s="11">
        <f t="shared" si="95"/>
        <v>-214.96688741721755</v>
      </c>
      <c r="AB72" s="311">
        <f t="shared" si="93"/>
        <v>0.91043046357615931</v>
      </c>
      <c r="AC72" s="470"/>
    </row>
    <row r="73" spans="1:29" ht="16.5" customHeight="1">
      <c r="A73" s="501" t="s">
        <v>12</v>
      </c>
      <c r="B73" s="26" t="s">
        <v>1324</v>
      </c>
      <c r="C73" s="466"/>
      <c r="D73" s="466"/>
      <c r="E73" s="310"/>
      <c r="F73" s="16"/>
      <c r="G73" s="9"/>
      <c r="H73" s="319"/>
      <c r="I73" s="17">
        <v>17.166666666666668</v>
      </c>
      <c r="J73" s="18">
        <v>2400</v>
      </c>
      <c r="K73" s="9">
        <f t="shared" si="96"/>
        <v>139.80582524271844</v>
      </c>
      <c r="L73" s="17">
        <v>17.166666666666668</v>
      </c>
      <c r="M73" s="10">
        <f>AVERAGE(M67:M72)</f>
        <v>2187.0964125579981</v>
      </c>
      <c r="N73" s="9">
        <f>M73/L73</f>
        <v>127.40367451794162</v>
      </c>
      <c r="O73" s="11">
        <f>L73-I73</f>
        <v>0</v>
      </c>
      <c r="P73" s="12">
        <f>N73-K73</f>
        <v>-12.402150724776817</v>
      </c>
      <c r="Q73" s="311">
        <f t="shared" si="92"/>
        <v>0.91129017189916584</v>
      </c>
      <c r="R73" s="470"/>
      <c r="S73" s="24"/>
      <c r="T73" s="24"/>
      <c r="U73" s="9"/>
      <c r="V73" s="318"/>
      <c r="W73" s="9"/>
      <c r="X73" s="9"/>
      <c r="Y73" s="456"/>
      <c r="Z73" s="456"/>
      <c r="AA73" s="11">
        <f t="shared" si="95"/>
        <v>-212.90358744200194</v>
      </c>
      <c r="AB73" s="311">
        <f t="shared" si="93"/>
        <v>0.91129017189916584</v>
      </c>
      <c r="AC73" s="470"/>
    </row>
    <row r="74" spans="1:29">
      <c r="D74" s="19"/>
      <c r="E74" s="19"/>
      <c r="H74" s="20"/>
    </row>
    <row r="75" spans="1:29">
      <c r="H75" s="20"/>
    </row>
    <row r="76" spans="1:29">
      <c r="H76" s="20"/>
    </row>
  </sheetData>
  <mergeCells count="194">
    <mergeCell ref="Y70:Z70"/>
    <mergeCell ref="C71:D71"/>
    <mergeCell ref="Y71:Z71"/>
    <mergeCell ref="A67:A73"/>
    <mergeCell ref="C67:D67"/>
    <mergeCell ref="R67:R73"/>
    <mergeCell ref="Y67:Z67"/>
    <mergeCell ref="AC67:AC73"/>
    <mergeCell ref="C68:D68"/>
    <mergeCell ref="Y68:Z68"/>
    <mergeCell ref="C69:D69"/>
    <mergeCell ref="Y69:Z69"/>
    <mergeCell ref="C70:D70"/>
    <mergeCell ref="C72:D72"/>
    <mergeCell ref="Y72:Z72"/>
    <mergeCell ref="C73:D73"/>
    <mergeCell ref="Y73:Z73"/>
    <mergeCell ref="A59:A66"/>
    <mergeCell ref="C59:D59"/>
    <mergeCell ref="R59:R66"/>
    <mergeCell ref="Y59:Z59"/>
    <mergeCell ref="AC59:AC66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  <mergeCell ref="Y64:Z64"/>
    <mergeCell ref="C66:D66"/>
    <mergeCell ref="Y66:Z66"/>
    <mergeCell ref="A54:A58"/>
    <mergeCell ref="C54:D54"/>
    <mergeCell ref="R54:R58"/>
    <mergeCell ref="Y54:Z54"/>
    <mergeCell ref="AC54:AC58"/>
    <mergeCell ref="C55:D55"/>
    <mergeCell ref="Y55:Z55"/>
    <mergeCell ref="C56:D56"/>
    <mergeCell ref="C58:D58"/>
    <mergeCell ref="Y58:Z58"/>
    <mergeCell ref="AC37:AC44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A45:A53"/>
    <mergeCell ref="C45:D45"/>
    <mergeCell ref="R45:R53"/>
    <mergeCell ref="Y45:Z45"/>
    <mergeCell ref="AC45:AC53"/>
    <mergeCell ref="C46:D46"/>
    <mergeCell ref="Y46:Z46"/>
    <mergeCell ref="C47:D47"/>
    <mergeCell ref="Y47:Z47"/>
    <mergeCell ref="C51:D51"/>
    <mergeCell ref="Y51:Z51"/>
    <mergeCell ref="C52:D52"/>
    <mergeCell ref="Y52:Z52"/>
    <mergeCell ref="C53:D53"/>
    <mergeCell ref="Y53:Z53"/>
    <mergeCell ref="C48:D48"/>
    <mergeCell ref="Y48:Z48"/>
    <mergeCell ref="C49:D49"/>
    <mergeCell ref="Y49:Z49"/>
    <mergeCell ref="C50:D50"/>
    <mergeCell ref="Y50:Z50"/>
    <mergeCell ref="A37:A44"/>
    <mergeCell ref="C37:D37"/>
    <mergeCell ref="R37:R44"/>
    <mergeCell ref="Y37:Z37"/>
    <mergeCell ref="Y42:Z42"/>
    <mergeCell ref="C43:D43"/>
    <mergeCell ref="Y43:Z43"/>
    <mergeCell ref="C44:D44"/>
    <mergeCell ref="Y44:Z44"/>
    <mergeCell ref="Y33:Z33"/>
    <mergeCell ref="C34:D34"/>
    <mergeCell ref="Y34:Z34"/>
    <mergeCell ref="C35:D35"/>
    <mergeCell ref="Y35:Z35"/>
    <mergeCell ref="A29:A36"/>
    <mergeCell ref="C29:D29"/>
    <mergeCell ref="R29:R36"/>
    <mergeCell ref="Y29:Z29"/>
    <mergeCell ref="C36:D36"/>
    <mergeCell ref="Y36:Z36"/>
    <mergeCell ref="AC29:AC36"/>
    <mergeCell ref="C30:D30"/>
    <mergeCell ref="Y30:Z30"/>
    <mergeCell ref="C31:D31"/>
    <mergeCell ref="Y31:Z31"/>
    <mergeCell ref="C32:D32"/>
    <mergeCell ref="C26:D26"/>
    <mergeCell ref="Y26:Z26"/>
    <mergeCell ref="C27:D27"/>
    <mergeCell ref="Y27:Z27"/>
    <mergeCell ref="C28:D28"/>
    <mergeCell ref="Y28:Z28"/>
    <mergeCell ref="AC20:AC28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Y32:Z32"/>
    <mergeCell ref="C33:D33"/>
    <mergeCell ref="A20:A28"/>
    <mergeCell ref="C20:D20"/>
    <mergeCell ref="R20:R28"/>
    <mergeCell ref="Y20:Z20"/>
    <mergeCell ref="Y25:Z25"/>
    <mergeCell ref="A14:A19"/>
    <mergeCell ref="C14:D14"/>
    <mergeCell ref="R14:R19"/>
    <mergeCell ref="Y14:Z1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73 O5:O9 O13:O15 O53:O59 O19:O50">
    <cfRule type="cellIs" dxfId="1806" priority="51" operator="greaterThan">
      <formula>0</formula>
    </cfRule>
  </conditionalFormatting>
  <conditionalFormatting sqref="P5:P7 P62:P65 AA62:AA65 P67:P72 P29:P35 P59 P9 P13:P15 P20:P27 P54:P57 P37:P50 AA5:AA59 AA67:AA73">
    <cfRule type="cellIs" dxfId="1805" priority="55" operator="lessThan">
      <formula>0</formula>
    </cfRule>
  </conditionalFormatting>
  <conditionalFormatting sqref="AB62:AB65 Q62:Q73 Q5:Q9 Q13:Q15 Q53:Q59 Q19:Q50 AB5:AB59 AB67:AB73">
    <cfRule type="cellIs" dxfId="1804" priority="52" operator="greaterThan">
      <formula>1</formula>
    </cfRule>
    <cfRule type="cellIs" dxfId="1803" priority="53" operator="lessThan">
      <formula>0.8</formula>
    </cfRule>
  </conditionalFormatting>
  <conditionalFormatting sqref="AC14:AC15 R14:R15 AC62 R19:R25 AC19:AC25 R62:R73 AC5:AC9 R5:R9 R28:R50 AC28:AC50 AC53:AC59 R53:R59">
    <cfRule type="cellIs" dxfId="1802" priority="57" operator="lessThan">
      <formula>0.8</formula>
    </cfRule>
  </conditionalFormatting>
  <conditionalFormatting sqref="AC45">
    <cfRule type="cellIs" dxfId="1801" priority="59" operator="lessThan">
      <formula>0.8</formula>
    </cfRule>
  </conditionalFormatting>
  <conditionalFormatting sqref="AC20:AC25">
    <cfRule type="cellIs" dxfId="1800" priority="56" operator="lessThan">
      <formula>0.8</formula>
    </cfRule>
  </conditionalFormatting>
  <conditionalFormatting sqref="AC29">
    <cfRule type="cellIs" dxfId="1799" priority="58" operator="lessThan">
      <formula>0.8</formula>
    </cfRule>
  </conditionalFormatting>
  <conditionalFormatting sqref="AC37:AC43">
    <cfRule type="cellIs" dxfId="1798" priority="54" operator="lessThan">
      <formula>0.8</formula>
    </cfRule>
  </conditionalFormatting>
  <conditionalFormatting sqref="AA66">
    <cfRule type="cellIs" dxfId="1797" priority="50" operator="lessThan">
      <formula>0</formula>
    </cfRule>
  </conditionalFormatting>
  <conditionalFormatting sqref="AB66">
    <cfRule type="cellIs" dxfId="1796" priority="48" operator="greaterThan">
      <formula>1</formula>
    </cfRule>
    <cfRule type="cellIs" dxfId="1795" priority="49" operator="lessThan">
      <formula>0.8</formula>
    </cfRule>
  </conditionalFormatting>
  <conditionalFormatting sqref="O16:O17">
    <cfRule type="cellIs" dxfId="1794" priority="43" operator="greaterThan">
      <formula>0</formula>
    </cfRule>
  </conditionalFormatting>
  <conditionalFormatting sqref="P16:P17">
    <cfRule type="cellIs" dxfId="1793" priority="46" operator="lessThan">
      <formula>0</formula>
    </cfRule>
  </conditionalFormatting>
  <conditionalFormatting sqref="Q16:Q17">
    <cfRule type="cellIs" dxfId="1792" priority="44" operator="greaterThan">
      <formula>1</formula>
    </cfRule>
    <cfRule type="cellIs" dxfId="1791" priority="45" operator="lessThan">
      <formula>0.8</formula>
    </cfRule>
  </conditionalFormatting>
  <conditionalFormatting sqref="R16:R17 AC16:AC17">
    <cfRule type="cellIs" dxfId="1790" priority="47" operator="lessThan">
      <formula>0.8</formula>
    </cfRule>
  </conditionalFormatting>
  <conditionalFormatting sqref="O10:O12">
    <cfRule type="cellIs" dxfId="1789" priority="39" operator="greaterThan">
      <formula>0</formula>
    </cfRule>
  </conditionalFormatting>
  <conditionalFormatting sqref="P10:P12">
    <cfRule type="cellIs" dxfId="1788" priority="42" operator="lessThan">
      <formula>0</formula>
    </cfRule>
  </conditionalFormatting>
  <conditionalFormatting sqref="Q10:Q12">
    <cfRule type="cellIs" dxfId="1787" priority="40" operator="greaterThan">
      <formula>1</formula>
    </cfRule>
    <cfRule type="cellIs" dxfId="1786" priority="41" operator="lessThan">
      <formula>0.8</formula>
    </cfRule>
  </conditionalFormatting>
  <conditionalFormatting sqref="AC27 R27">
    <cfRule type="cellIs" dxfId="1785" priority="38" operator="lessThan">
      <formula>0.8</formula>
    </cfRule>
  </conditionalFormatting>
  <conditionalFormatting sqref="O61">
    <cfRule type="cellIs" dxfId="1784" priority="33" operator="greaterThan">
      <formula>0</formula>
    </cfRule>
  </conditionalFormatting>
  <conditionalFormatting sqref="P61 AA61">
    <cfRule type="cellIs" dxfId="1783" priority="36" operator="lessThan">
      <formula>0</formula>
    </cfRule>
  </conditionalFormatting>
  <conditionalFormatting sqref="Q61 AB61">
    <cfRule type="cellIs" dxfId="1782" priority="34" operator="greaterThan">
      <formula>1</formula>
    </cfRule>
    <cfRule type="cellIs" dxfId="1781" priority="35" operator="lessThan">
      <formula>0.8</formula>
    </cfRule>
  </conditionalFormatting>
  <conditionalFormatting sqref="R61 AC61">
    <cfRule type="cellIs" dxfId="1780" priority="37" operator="lessThan">
      <formula>0.8</formula>
    </cfRule>
  </conditionalFormatting>
  <conditionalFormatting sqref="O18">
    <cfRule type="cellIs" dxfId="1779" priority="28" operator="greaterThan">
      <formula>0</formula>
    </cfRule>
  </conditionalFormatting>
  <conditionalFormatting sqref="P18">
    <cfRule type="cellIs" dxfId="1778" priority="31" operator="lessThan">
      <formula>0</formula>
    </cfRule>
  </conditionalFormatting>
  <conditionalFormatting sqref="Q18">
    <cfRule type="cellIs" dxfId="1777" priority="29" operator="greaterThan">
      <formula>1</formula>
    </cfRule>
    <cfRule type="cellIs" dxfId="1776" priority="30" operator="lessThan">
      <formula>0.8</formula>
    </cfRule>
  </conditionalFormatting>
  <conditionalFormatting sqref="R18 AC18">
    <cfRule type="cellIs" dxfId="1775" priority="32" operator="lessThan">
      <formula>0.8</formula>
    </cfRule>
  </conditionalFormatting>
  <conditionalFormatting sqref="O51">
    <cfRule type="cellIs" dxfId="1774" priority="22" operator="greaterThan">
      <formula>0</formula>
    </cfRule>
  </conditionalFormatting>
  <conditionalFormatting sqref="P51">
    <cfRule type="cellIs" dxfId="1773" priority="26" operator="lessThan">
      <formula>0</formula>
    </cfRule>
  </conditionalFormatting>
  <conditionalFormatting sqref="Q51">
    <cfRule type="cellIs" dxfId="1772" priority="23" operator="greaterThan">
      <formula>1</formula>
    </cfRule>
    <cfRule type="cellIs" dxfId="1771" priority="24" operator="lessThan">
      <formula>0.8</formula>
    </cfRule>
  </conditionalFormatting>
  <conditionalFormatting sqref="R51 AC51">
    <cfRule type="cellIs" dxfId="1770" priority="27" operator="lessThan">
      <formula>0.8</formula>
    </cfRule>
  </conditionalFormatting>
  <conditionalFormatting sqref="AC51">
    <cfRule type="cellIs" dxfId="1769" priority="25" operator="lessThan">
      <formula>0.8</formula>
    </cfRule>
  </conditionalFormatting>
  <conditionalFormatting sqref="O52">
    <cfRule type="cellIs" dxfId="1768" priority="16" operator="greaterThan">
      <formula>0</formula>
    </cfRule>
  </conditionalFormatting>
  <conditionalFormatting sqref="P52">
    <cfRule type="cellIs" dxfId="1767" priority="20" operator="lessThan">
      <formula>0</formula>
    </cfRule>
  </conditionalFormatting>
  <conditionalFormatting sqref="Q52">
    <cfRule type="cellIs" dxfId="1766" priority="17" operator="greaterThan">
      <formula>1</formula>
    </cfRule>
    <cfRule type="cellIs" dxfId="1765" priority="18" operator="lessThan">
      <formula>0.8</formula>
    </cfRule>
  </conditionalFormatting>
  <conditionalFormatting sqref="R52 AC52">
    <cfRule type="cellIs" dxfId="1764" priority="21" operator="lessThan">
      <formula>0.8</formula>
    </cfRule>
  </conditionalFormatting>
  <conditionalFormatting sqref="AC52">
    <cfRule type="cellIs" dxfId="1763" priority="19" operator="lessThan">
      <formula>0.8</formula>
    </cfRule>
  </conditionalFormatting>
  <conditionalFormatting sqref="R26 AC26">
    <cfRule type="cellIs" dxfId="1762" priority="15" operator="lessThan">
      <formula>0.8</formula>
    </cfRule>
  </conditionalFormatting>
  <conditionalFormatting sqref="AC26">
    <cfRule type="cellIs" dxfId="1761" priority="14" operator="lessThan">
      <formula>0.8</formula>
    </cfRule>
  </conditionalFormatting>
  <conditionalFormatting sqref="O60">
    <cfRule type="cellIs" dxfId="1760" priority="9" operator="greaterThan">
      <formula>0</formula>
    </cfRule>
  </conditionalFormatting>
  <conditionalFormatting sqref="P60 AA60">
    <cfRule type="cellIs" dxfId="1759" priority="12" operator="lessThan">
      <formula>0</formula>
    </cfRule>
  </conditionalFormatting>
  <conditionalFormatting sqref="Q60 AB60">
    <cfRule type="cellIs" dxfId="1758" priority="10" operator="greaterThan">
      <formula>1</formula>
    </cfRule>
    <cfRule type="cellIs" dxfId="1757" priority="11" operator="lessThan">
      <formula>0.8</formula>
    </cfRule>
  </conditionalFormatting>
  <conditionalFormatting sqref="R60 AC60">
    <cfRule type="cellIs" dxfId="1756" priority="13" operator="lessThan">
      <formula>0.8</formula>
    </cfRule>
  </conditionalFormatting>
  <conditionalFormatting sqref="P8">
    <cfRule type="cellIs" dxfId="1755" priority="8" operator="lessThan">
      <formula>0</formula>
    </cfRule>
  </conditionalFormatting>
  <conditionalFormatting sqref="P19">
    <cfRule type="cellIs" dxfId="1754" priority="7" operator="lessThan">
      <formula>0</formula>
    </cfRule>
  </conditionalFormatting>
  <conditionalFormatting sqref="P28">
    <cfRule type="cellIs" dxfId="1753" priority="6" operator="lessThan">
      <formula>0</formula>
    </cfRule>
  </conditionalFormatting>
  <conditionalFormatting sqref="P36">
    <cfRule type="cellIs" dxfId="1752" priority="5" operator="lessThan">
      <formula>0</formula>
    </cfRule>
  </conditionalFormatting>
  <conditionalFormatting sqref="P53">
    <cfRule type="cellIs" dxfId="1751" priority="4" operator="lessThan">
      <formula>0</formula>
    </cfRule>
  </conditionalFormatting>
  <conditionalFormatting sqref="P58">
    <cfRule type="cellIs" dxfId="1750" priority="3" operator="lessThan">
      <formula>0</formula>
    </cfRule>
  </conditionalFormatting>
  <conditionalFormatting sqref="P66">
    <cfRule type="cellIs" dxfId="1749" priority="2" operator="lessThan">
      <formula>0</formula>
    </cfRule>
  </conditionalFormatting>
  <conditionalFormatting sqref="P73">
    <cfRule type="cellIs" dxfId="1748" priority="1" operator="lessThan">
      <formula>0</formula>
    </cfRule>
  </conditionalFormatting>
  <dataValidations count="1">
    <dataValidation type="list" allowBlank="1" showInputMessage="1" showErrorMessage="1" sqref="Z8 Z63:Z65 Y5:Z7 Y8:Y65 Z10:Z59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11" sqref="B11:C12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1197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94" t="s">
        <v>1198</v>
      </c>
      <c r="C3" s="421" t="str">
        <f>TEXT('0723 4度C'!A2,"yyyy.mm.ddaaaa")</f>
        <v>2025.07.23星期三</v>
      </c>
      <c r="D3" s="421"/>
      <c r="E3" s="294" t="s">
        <v>1199</v>
      </c>
      <c r="F3" s="422">
        <f>'0723 4度C'!D1</f>
        <v>179133</v>
      </c>
      <c r="G3" s="422"/>
      <c r="H3" s="294" t="s">
        <v>90</v>
      </c>
      <c r="I3" s="423">
        <f>'0723 4度C'!F1</f>
        <v>6103062.8900000015</v>
      </c>
      <c r="J3" s="423"/>
      <c r="K3" s="31"/>
      <c r="L3" s="32"/>
      <c r="M3" s="33"/>
      <c r="N3" s="33"/>
    </row>
    <row r="4" spans="2:17" ht="28.5" customHeight="1">
      <c r="B4" s="424" t="s">
        <v>1200</v>
      </c>
      <c r="C4" s="424" t="s">
        <v>1201</v>
      </c>
      <c r="D4" s="424"/>
      <c r="E4" s="425" t="s">
        <v>1202</v>
      </c>
      <c r="F4" s="425"/>
      <c r="G4" s="425" t="s">
        <v>1203</v>
      </c>
      <c r="H4" s="425"/>
      <c r="I4" s="425" t="s">
        <v>1204</v>
      </c>
      <c r="J4" s="425"/>
      <c r="L4" s="33"/>
      <c r="M4" s="33"/>
      <c r="N4" s="33"/>
    </row>
    <row r="5" spans="2:17" ht="28.5" customHeight="1">
      <c r="B5" s="424"/>
      <c r="C5" s="424" t="s">
        <v>1205</v>
      </c>
      <c r="D5" s="424"/>
      <c r="E5" s="424" t="s">
        <v>1206</v>
      </c>
      <c r="F5" s="424"/>
      <c r="G5" s="426" t="s">
        <v>1207</v>
      </c>
      <c r="H5" s="426"/>
      <c r="I5" s="427" t="s">
        <v>1208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140.60593677018028</v>
      </c>
      <c r="F6" s="424">
        <f>AVERAGE(D27:O27,D13:J13)</f>
        <v>143.05661522078611</v>
      </c>
      <c r="G6" s="429">
        <f>AVERAGE(D13:J13)</f>
        <v>143.05661522078611</v>
      </c>
      <c r="H6" s="429"/>
      <c r="I6" s="429">
        <f>AVERAGE(K13:M13)</f>
        <v>134.88768705210001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128.31580593952089</v>
      </c>
      <c r="F7" s="434">
        <f>AVERAGE(D28:O28,D14:J14)</f>
        <v>130.70564845252576</v>
      </c>
      <c r="G7" s="435">
        <f>AVERAGE(D14:J14)</f>
        <v>130.70564845252576</v>
      </c>
      <c r="H7" s="435"/>
      <c r="I7" s="435">
        <f>AVERAGE(K14:M14)</f>
        <v>122.73950674250962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0.91228407631378339</v>
      </c>
      <c r="F8" s="432">
        <f>AVERAGE(D15:J15,D29:O29)</f>
        <v>0.913281104426097</v>
      </c>
      <c r="G8" s="437">
        <f>AVERAGE(D15:J15)</f>
        <v>0.913281104426097</v>
      </c>
      <c r="H8" s="437"/>
      <c r="I8" s="437">
        <f>AVERAGE(K15:M15)</f>
        <v>0.90995767738505118</v>
      </c>
      <c r="J8" s="437"/>
      <c r="K8" s="34" t="s">
        <v>1209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1210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1211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1212</v>
      </c>
      <c r="I12" s="42" t="s">
        <v>1213</v>
      </c>
      <c r="J12" s="43" t="s">
        <v>133</v>
      </c>
      <c r="K12" s="41" t="s">
        <v>1214</v>
      </c>
      <c r="L12" s="42" t="s">
        <v>1215</v>
      </c>
      <c r="M12" s="43" t="s">
        <v>1216</v>
      </c>
    </row>
    <row r="13" spans="2:17" ht="40.15" customHeight="1">
      <c r="B13" s="447" t="s">
        <v>1217</v>
      </c>
      <c r="C13" s="44" t="s">
        <v>87</v>
      </c>
      <c r="D13" s="45">
        <f>SUMIFS('0723 4度C'!$K:$K,'0723 4度C'!$A:$A,"燴飯線",'0723 4度C'!$B:$B,"平均")</f>
        <v>105.88235294117646</v>
      </c>
      <c r="E13" s="46">
        <f>SUMIFS('0723 4度C'!$K:$K,'0723 4度C'!$A:$A,"沙拉線一線",'0723 4度C'!$B:$B,"平均")</f>
        <v>81.081081081081081</v>
      </c>
      <c r="F13" s="47">
        <f>SUMIFS('0723 4度C'!$K:$K,'0723 4度C'!$A:$A,"沙拉線二線",'0723 4度C'!$B:$B,"平均")</f>
        <v>80.702127659574472</v>
      </c>
      <c r="G13" s="47">
        <f>SUMIFS('0723 4度C'!$K:$K,'0723 4度C'!$A:$A,"沙拉線三線",'0723 4度C'!$B:$B,"平均")</f>
        <v>104.6979865771812</v>
      </c>
      <c r="H13" s="47">
        <f>SUMIFS('0723 4度C'!$K:$K,'0723 4度C'!$A:$A,"自動包裝線",'0723 4度C'!$B:$B,"平均")</f>
        <v>300</v>
      </c>
      <c r="I13" s="47">
        <f>SUMIFS('0723 4度C'!$K:$K,'0723 4度C'!$A:$A,"涼麵一線",'0723 4度C'!$B:$B,"平均")</f>
        <v>89.552238805970148</v>
      </c>
      <c r="J13" s="48">
        <f>SUMIFS('0723 4度C'!$K:$K,'0723 4度C'!$A:$A,"三明治四線",'0723 4度C'!$B:$B,"平均")</f>
        <v>239.48051948051946</v>
      </c>
      <c r="K13" s="49">
        <f>SUMIFS('0723 4度C'!$K:$K,'0723 4度C'!$A:$A,"三明治一線",'0723 4度C'!$B:$B,"平均")</f>
        <v>137.70491803278691</v>
      </c>
      <c r="L13" s="50">
        <f>SUMIFS('0723 4度C'!$K:$K,'0723 4度C'!$A:$A,"三明治二線",'0723 4度C'!$B:$B,"平均")</f>
        <v>127.1523178807947</v>
      </c>
      <c r="M13" s="48">
        <f>SUMIFS('0723 4度C'!$K:$K,'0723 4度C'!$A:$A,"自動包裝二線",'0723 4度C'!$B:$B,"平均")</f>
        <v>139.80582524271844</v>
      </c>
    </row>
    <row r="14" spans="2:17" ht="39.6" customHeight="1">
      <c r="B14" s="447"/>
      <c r="C14" s="51" t="s">
        <v>88</v>
      </c>
      <c r="D14" s="52">
        <f>SUMIFS('0723 4度C'!$N:$N,'0723 4度C'!$A:$A,"燴飯線",'0723 4度C'!$B:$B,"平均")</f>
        <v>97.300538192805163</v>
      </c>
      <c r="E14" s="53">
        <f>SUMIFS('0723 4度C'!$N:$N,'0723 4度C'!$A:$A,"沙拉線一線",'0723 4度C'!$B:$B,"平均")</f>
        <v>73.618980276807179</v>
      </c>
      <c r="F14" s="53">
        <f>SUMIFS('0723 4度C'!$N:$N,'0723 4度C'!$A:$A,"沙拉線二線",'0723 4度C'!$B:$B,"平均")</f>
        <v>73.540252234889962</v>
      </c>
      <c r="G14" s="53">
        <f>SUMIFS('0723 4度C'!$N:$N,'0723 4度C'!$A:$A,"沙拉線三線",'0723 4度C'!$B:$B,"平均")</f>
        <v>95.745152425685362</v>
      </c>
      <c r="H14" s="53">
        <f>SUMIFS('0723 4度C'!$N:$N,'0723 4度C'!$A:$A,"自動包裝線",'0723 4度C'!$B:$B,"平均")</f>
        <v>274.12008707777642</v>
      </c>
      <c r="I14" s="53">
        <f>SUMIFS('0723 4度C'!$N:$N,'0723 4度C'!$A:$A,"涼麵一線",'0723 4度C'!$B:$B,"平均")</f>
        <v>81.719111950130781</v>
      </c>
      <c r="J14" s="54">
        <f>SUMIFS('0723 4度C'!$N:$N,'0723 4度C'!$A:$A,"三明治四線",'0723 4度C'!$B:$B,"平均")</f>
        <v>218.89541700958537</v>
      </c>
      <c r="K14" s="55">
        <f>SUMIFS('0723 4度C'!$N:$N,'0723 4度C'!$A:$A,"三明治一線",'0723 4度C'!$B:$B,"平均")</f>
        <v>125.17779078811766</v>
      </c>
      <c r="L14" s="56">
        <f>SUMIFS('0723 4度C'!$N:$N,'0723 4度C'!$A:$A,"三明治二線",'0723 4度C'!$B:$B,"平均")</f>
        <v>115.80059733131621</v>
      </c>
      <c r="M14" s="54">
        <f>SUMIFS('0723 4度C'!$N:$N,'0723 4度C'!$A:$A,"自動包裝二線",'0723 4度C'!$B:$B,"平均")</f>
        <v>127.24013210809497</v>
      </c>
    </row>
    <row r="15" spans="2:17" ht="40.15" customHeight="1">
      <c r="B15" s="447"/>
      <c r="C15" s="57" t="s">
        <v>189</v>
      </c>
      <c r="D15" s="58">
        <f>D14/D13</f>
        <v>0.91894952737649327</v>
      </c>
      <c r="E15" s="59">
        <f t="shared" ref="E15:M15" si="0">E14/E13</f>
        <v>0.9079674234139552</v>
      </c>
      <c r="F15" s="59">
        <f t="shared" si="0"/>
        <v>0.91125543238592888</v>
      </c>
      <c r="G15" s="59">
        <f t="shared" si="0"/>
        <v>0.91448895586071288</v>
      </c>
      <c r="H15" s="59">
        <f>H14/H13</f>
        <v>0.91373362359258803</v>
      </c>
      <c r="I15" s="59">
        <f>I14/I13</f>
        <v>0.91253008344312703</v>
      </c>
      <c r="J15" s="60">
        <f>J14/J13</f>
        <v>0.91404268490987395</v>
      </c>
      <c r="K15" s="58">
        <f>K14/K13</f>
        <v>0.90902919500894952</v>
      </c>
      <c r="L15" s="59">
        <f>L14/L13</f>
        <v>0.91072344776191394</v>
      </c>
      <c r="M15" s="60">
        <f t="shared" si="0"/>
        <v>0.91012038938429041</v>
      </c>
    </row>
    <row r="16" spans="2:17" ht="17.25" customHeight="1">
      <c r="B16" s="430" t="s">
        <v>1218</v>
      </c>
      <c r="C16" s="293" t="s">
        <v>1219</v>
      </c>
      <c r="D16" s="61">
        <f>VLOOKUP("燴飯線",'0723 4度C'!$A:$T,19,0)</f>
        <v>0.70833333333333337</v>
      </c>
      <c r="E16" s="24">
        <f>VLOOKUP("沙拉線一線",'0723 4度C'!$A:$T,19,0)</f>
        <v>0.13055555555555556</v>
      </c>
      <c r="F16" s="24">
        <f>VLOOKUP("沙拉線二線",'0723 4度C'!$A:$T,19,0)</f>
        <v>0.25</v>
      </c>
      <c r="G16" s="24">
        <f>VLOOKUP("沙拉線三線",'0723 4度C'!$A:$T,19,0)</f>
        <v>0.16666666666666666</v>
      </c>
      <c r="H16" s="24">
        <f>VLOOKUP("自動包裝線",'0723 4度C'!$A:$T,19,0)</f>
        <v>0.20833333333333334</v>
      </c>
      <c r="I16" s="24">
        <f>VLOOKUP("涼麵一線",'0723 4度C'!$A:$T,19,0)</f>
        <v>0.29305555555555557</v>
      </c>
      <c r="J16" s="62">
        <f>VLOOKUP("三明治四線",'0723 4度C'!$A:$T,19,0)</f>
        <v>0.20833333333333334</v>
      </c>
      <c r="K16" s="63">
        <f>VLOOKUP("三明治一線",'0723 4度C'!$A:$T,19,0)</f>
        <v>0.125</v>
      </c>
      <c r="L16" s="64">
        <f>VLOOKUP("三明治二線",'0723 4度C'!$A:$T,19,0)</f>
        <v>8.3333333333333329E-2</v>
      </c>
      <c r="M16" s="65">
        <f>VLOOKUP("自動包裝二線",'0723 4度C'!$A:$T,19,0)</f>
        <v>0.125</v>
      </c>
    </row>
    <row r="17" spans="2:13" ht="17.25" customHeight="1">
      <c r="B17" s="431"/>
      <c r="C17" s="293" t="s">
        <v>1220</v>
      </c>
      <c r="D17" s="63">
        <f>LOOKUP(2,1/(('0723 4度C'!$A:$A="燴飯線")*('0723 4度C'!$T:$T&lt;&gt;"")),'0723 4度C'!$T:$T)</f>
        <v>0.85833333333333339</v>
      </c>
      <c r="E17" s="24">
        <f>LOOKUP(2,1/(('0723 4度C'!$A:$A="沙拉線一線")*('0723 4度C'!$T:$T&lt;&gt;"")),'0723 4度C'!$T:$T)</f>
        <v>0.67152777777777772</v>
      </c>
      <c r="F17" s="24">
        <f>LOOKUP(2,1/(('0723 4度C'!$A:$A="沙拉線二線")*('0723 4度C'!$T:$T&lt;&gt;"")),'0723 4度C'!$T:$T)</f>
        <v>0.83125000000000004</v>
      </c>
      <c r="G17" s="24">
        <f>LOOKUP(2,1/(('0723 4度C'!$A:$A="沙拉線三線")*('0723 4度C'!$T:$T&lt;&gt;"")),'0723 4度C'!$T:$T)</f>
        <v>0.98124999999999984</v>
      </c>
      <c r="H17" s="24">
        <f>LOOKUP(2,1/(('0723 4度C'!$A:$A="自動包裝線")*('0723 4度C'!$T:$T&lt;&gt;"")),'0723 4度C'!$T:$T)</f>
        <v>0.65416666666666656</v>
      </c>
      <c r="I17" s="24">
        <f>LOOKUP(2,1/(('0723 4度C'!$A:$A="涼麵一線")*('0723 4度C'!$T:$T&lt;&gt;"")),'0723 4度C'!$T:$T)</f>
        <v>0.82222222222222219</v>
      </c>
      <c r="J17" s="62">
        <f>LOOKUP(2,1/(('0723 4度C'!$A:$A="三明治四線")*('0723 4度C'!$T:$T&lt;&gt;"")),'0723 4度C'!$T:$T)</f>
        <v>0.59513888888888888</v>
      </c>
      <c r="K17" s="61">
        <f>LOOKUP(2,1/(('0723 4度C'!$A:$A="三明治一線")*('0723 4度C'!$T:$T&lt;&gt;"")),'0723 4度C'!$T:$T)</f>
        <v>0.69999999999999984</v>
      </c>
      <c r="L17" s="24">
        <f>LOOKUP(2,1/(('0723 4度C'!$A:$A="三明治二線")*('0723 4度C'!$T:$T&lt;&gt;"")),'0723 4度C'!$T:$T)</f>
        <v>0.64513888888888882</v>
      </c>
      <c r="M17" s="62">
        <f>LOOKUP(2,1/(('0723 4度C'!$A:$A="自動包裝二線")*('0723 4度C'!$T:$T&lt;&gt;"")),'0723 4度C'!$T:$T)</f>
        <v>0.65694444444444444</v>
      </c>
    </row>
    <row r="18" spans="2:13" ht="17.25" customHeight="1">
      <c r="B18" s="431" t="s">
        <v>1221</v>
      </c>
      <c r="C18" s="446"/>
      <c r="D18" s="66">
        <f>SUMIFS('0723 4度C'!$I:$I,'0723 4度C'!$A:$A,"燴飯線",'0723 4度C'!$B:$B,"平均")</f>
        <v>17</v>
      </c>
      <c r="E18" s="67">
        <f>SUMIFS('0723 4度C'!$I:$I,'0723 4度C'!$A:$A,"沙拉線一線",'0723 4度C'!$B:$B,"平均")</f>
        <v>18.5</v>
      </c>
      <c r="F18" s="67">
        <f>SUMIFS('0723 4度C'!$I:$I,'0723 4度C'!$A:$A,"沙拉線二線",'0723 4度C'!$B:$B,"平均")</f>
        <v>18.8</v>
      </c>
      <c r="G18" s="67">
        <f>SUMIFS('0723 4度C'!$I:$I,'0723 4度C'!$A:$A,"沙拉線三線",'0723 4度C'!$B:$B,"平均")</f>
        <v>16.555555555555557</v>
      </c>
      <c r="H18" s="67">
        <f>SUMIFS('0723 4度C'!$I:$I,'0723 4度C'!$A:$A,"自動包裝線",'0723 4度C'!$B:$B,"平均")</f>
        <v>10</v>
      </c>
      <c r="I18" s="67">
        <f>SUMIFS('0723 4度C'!$I:$I,'0723 4度C'!$A:$A,"涼麵一線",'0723 4度C'!$B:$B,"平均")</f>
        <v>16.75</v>
      </c>
      <c r="J18" s="68">
        <f>SUMIFS('0723 4度C'!$I:$I,'0723 4度C'!$A:$A,"三明治四線",'0723 4度C'!$B:$B,"平均")</f>
        <v>11</v>
      </c>
      <c r="K18" s="66">
        <f>SUMIFS('0723 4度C'!$I:$I,'0723 4度C'!$A:$A,"三明治一線",'0723 4度C'!$B:$B,"平均")</f>
        <v>17.428571428571427</v>
      </c>
      <c r="L18" s="67">
        <f>SUMIFS('0723 4度C'!$I:$I,'0723 4度C'!$A:$A,"三明治二線",'0723 4度C'!$B:$B,"平均")</f>
        <v>18.875</v>
      </c>
      <c r="M18" s="68">
        <f>SUMIFS('0723 4度C'!$I:$I,'0723 4度C'!$A:$A,"自動包裝二線",'0723 4度C'!$B:$B,"平均")</f>
        <v>17.166666666666668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1222</v>
      </c>
      <c r="C20" s="449"/>
      <c r="D20" s="69"/>
      <c r="E20" s="70"/>
      <c r="F20" s="70" t="s">
        <v>198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1223</v>
      </c>
      <c r="F21" s="452" t="s">
        <v>201</v>
      </c>
      <c r="G21" s="453"/>
      <c r="H21" s="73" t="s">
        <v>107</v>
      </c>
      <c r="I21" s="73" t="s">
        <v>108</v>
      </c>
      <c r="J21" s="74" t="s">
        <v>1224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74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C3" sqref="C3:J3"/>
      <selection pane="bottomLeft" activeCell="C3" sqref="C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1225</v>
      </c>
      <c r="B1" s="1"/>
      <c r="C1" s="2" t="s">
        <v>1226</v>
      </c>
      <c r="D1" s="3">
        <f>SUM(F5:F75)</f>
        <v>179133</v>
      </c>
      <c r="E1" s="296" t="s">
        <v>1227</v>
      </c>
      <c r="F1" s="1">
        <f>SUM(G5:G75)</f>
        <v>6103062.8900000015</v>
      </c>
      <c r="G1" s="1" t="s">
        <v>1228</v>
      </c>
      <c r="H1" s="4">
        <f>L8+L13+L55+L60+L19+L68+L37+L46+L29+L75</f>
        <v>162.07579365079366</v>
      </c>
      <c r="I1" s="454" t="s">
        <v>1229</v>
      </c>
      <c r="J1" s="454"/>
      <c r="K1" s="454"/>
      <c r="L1" s="454" t="s">
        <v>1230</v>
      </c>
      <c r="M1" s="454"/>
      <c r="N1" s="454"/>
      <c r="O1" s="454" t="s">
        <v>1231</v>
      </c>
      <c r="P1" s="454"/>
      <c r="Q1" s="454"/>
      <c r="R1" s="454"/>
      <c r="S1" s="454" t="s">
        <v>1232</v>
      </c>
      <c r="T1" s="454"/>
      <c r="U1" s="454"/>
      <c r="V1" s="454"/>
      <c r="W1" s="454"/>
      <c r="X1" s="454"/>
      <c r="Y1" s="454" t="s">
        <v>1233</v>
      </c>
      <c r="Z1" s="454"/>
      <c r="AA1" s="454" t="s">
        <v>1234</v>
      </c>
      <c r="AB1" s="455"/>
      <c r="AC1" s="455"/>
    </row>
    <row r="2" spans="1:29" ht="26.25" customHeight="1">
      <c r="A2" s="22">
        <v>45861</v>
      </c>
      <c r="B2" s="23" t="s">
        <v>214</v>
      </c>
      <c r="C2" s="2" t="s">
        <v>1217</v>
      </c>
      <c r="D2" s="6">
        <f>AVERAGE(N8,N13,N55,N60,N19,N68,N29,N37,N46,N75)</f>
        <v>128.31580593952089</v>
      </c>
      <c r="E2" s="7" t="s">
        <v>0</v>
      </c>
      <c r="F2" s="8">
        <f>F1/D1</f>
        <v>34.070008820262046</v>
      </c>
      <c r="G2" s="1" t="s">
        <v>1235</v>
      </c>
      <c r="H2" s="306">
        <f>COUNT(H5:H75)</f>
        <v>10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1236</v>
      </c>
      <c r="B3" s="456" t="s">
        <v>1237</v>
      </c>
      <c r="C3" s="456" t="s">
        <v>1238</v>
      </c>
      <c r="D3" s="456"/>
      <c r="E3" s="457" t="s">
        <v>1239</v>
      </c>
      <c r="F3" s="456" t="s">
        <v>1240</v>
      </c>
      <c r="G3" s="457" t="s">
        <v>1241</v>
      </c>
      <c r="H3" s="463" t="s">
        <v>1242</v>
      </c>
      <c r="I3" s="464" t="s">
        <v>1243</v>
      </c>
      <c r="J3" s="465" t="s">
        <v>1244</v>
      </c>
      <c r="K3" s="459" t="s">
        <v>1217</v>
      </c>
      <c r="L3" s="464" t="s">
        <v>1243</v>
      </c>
      <c r="M3" s="465" t="s">
        <v>1244</v>
      </c>
      <c r="N3" s="459" t="s">
        <v>1217</v>
      </c>
      <c r="O3" s="464" t="s">
        <v>1245</v>
      </c>
      <c r="P3" s="459" t="s">
        <v>1217</v>
      </c>
      <c r="Q3" s="460" t="s">
        <v>1246</v>
      </c>
      <c r="R3" s="461" t="s">
        <v>1247</v>
      </c>
      <c r="S3" s="462" t="s">
        <v>1</v>
      </c>
      <c r="T3" s="462"/>
      <c r="U3" s="463" t="s">
        <v>2</v>
      </c>
      <c r="V3" s="463" t="s">
        <v>1248</v>
      </c>
      <c r="W3" s="456" t="s">
        <v>1249</v>
      </c>
      <c r="X3" s="456"/>
      <c r="Y3" s="475" t="s">
        <v>1250</v>
      </c>
      <c r="Z3" s="476"/>
      <c r="AA3" s="465" t="s">
        <v>1244</v>
      </c>
      <c r="AB3" s="460" t="s">
        <v>1246</v>
      </c>
      <c r="AC3" s="461" t="s">
        <v>1247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305" t="s">
        <v>3</v>
      </c>
      <c r="T4" s="305" t="s">
        <v>4</v>
      </c>
      <c r="U4" s="463"/>
      <c r="V4" s="463"/>
      <c r="W4" s="296" t="s">
        <v>1251</v>
      </c>
      <c r="X4" s="296" t="s">
        <v>1252</v>
      </c>
      <c r="Y4" s="476"/>
      <c r="Z4" s="476"/>
      <c r="AA4" s="465"/>
      <c r="AB4" s="460"/>
      <c r="AC4" s="461"/>
    </row>
    <row r="5" spans="1:29">
      <c r="A5" s="471" t="s">
        <v>1253</v>
      </c>
      <c r="B5" s="26" t="s">
        <v>13</v>
      </c>
      <c r="C5" s="472" t="s">
        <v>58</v>
      </c>
      <c r="D5" s="472"/>
      <c r="E5" s="26">
        <v>46.93</v>
      </c>
      <c r="F5" s="305">
        <v>975</v>
      </c>
      <c r="G5" s="296">
        <f>E5*F5</f>
        <v>45756.75</v>
      </c>
      <c r="H5" s="76" t="s">
        <v>57</v>
      </c>
      <c r="I5" s="303">
        <v>17</v>
      </c>
      <c r="J5" s="18">
        <v>1800</v>
      </c>
      <c r="K5" s="9">
        <f>J5/I5</f>
        <v>105.88235294117646</v>
      </c>
      <c r="L5" s="303">
        <v>17</v>
      </c>
      <c r="M5" s="10">
        <f>F5/V5*60</f>
        <v>1671.4285714285697</v>
      </c>
      <c r="N5" s="9">
        <f>M5/L5</f>
        <v>98.319327731092343</v>
      </c>
      <c r="O5" s="11">
        <f t="shared" ref="O5:O7" si="0">L5-I5</f>
        <v>0</v>
      </c>
      <c r="P5" s="12">
        <f t="shared" ref="P5:P7" si="1">N5-K5</f>
        <v>-7.5630252100841204</v>
      </c>
      <c r="Q5" s="297">
        <f>N5/K5</f>
        <v>0.92857142857142771</v>
      </c>
      <c r="R5" s="470">
        <f>Q8</f>
        <v>0.91894952737649327</v>
      </c>
      <c r="S5" s="24">
        <v>0.70833333333333337</v>
      </c>
      <c r="T5" s="24">
        <v>0.73263888888888895</v>
      </c>
      <c r="U5" s="296"/>
      <c r="V5" s="304">
        <f>(T5-S5)*24*60</f>
        <v>35.000000000000036</v>
      </c>
      <c r="W5" s="13"/>
      <c r="X5" s="13"/>
      <c r="Y5" s="456"/>
      <c r="Z5" s="456"/>
      <c r="AA5" s="11">
        <f t="shared" ref="AA5:AA68" si="2">M5-J5</f>
        <v>-128.57142857143026</v>
      </c>
      <c r="AB5" s="297">
        <f t="shared" ref="AB5:AB7" si="3">M5/J5</f>
        <v>0.9285714285714276</v>
      </c>
      <c r="AC5" s="470">
        <f>AB8</f>
        <v>0.91894952737649316</v>
      </c>
    </row>
    <row r="6" spans="1:29">
      <c r="A6" s="464" t="s">
        <v>1253</v>
      </c>
      <c r="B6" s="26" t="s">
        <v>13</v>
      </c>
      <c r="C6" s="472" t="s">
        <v>60</v>
      </c>
      <c r="D6" s="472"/>
      <c r="E6" s="26">
        <v>50.49</v>
      </c>
      <c r="F6" s="305">
        <v>2090</v>
      </c>
      <c r="G6" s="296">
        <f t="shared" ref="G6:G7" si="4">E6*F6</f>
        <v>105524.1</v>
      </c>
      <c r="H6" s="76" t="s">
        <v>57</v>
      </c>
      <c r="I6" s="303">
        <v>16</v>
      </c>
      <c r="J6" s="18">
        <v>1800</v>
      </c>
      <c r="K6" s="9">
        <f t="shared" ref="K6:K7" si="5">J6/I6</f>
        <v>112.5</v>
      </c>
      <c r="L6" s="303">
        <v>16</v>
      </c>
      <c r="M6" s="10">
        <f>F6/V6*60</f>
        <v>1649.9999999999986</v>
      </c>
      <c r="N6" s="9">
        <f t="shared" ref="N6:N7" si="6">M6/L6</f>
        <v>103.12499999999991</v>
      </c>
      <c r="O6" s="11">
        <f t="shared" si="0"/>
        <v>0</v>
      </c>
      <c r="P6" s="12">
        <f t="shared" si="1"/>
        <v>-9.3750000000000853</v>
      </c>
      <c r="Q6" s="297">
        <f t="shared" ref="Q6:Q7" si="7">N6/K6</f>
        <v>0.91666666666666596</v>
      </c>
      <c r="R6" s="470"/>
      <c r="S6" s="24">
        <v>0.73819444444444449</v>
      </c>
      <c r="T6" s="24">
        <v>0.7909722222222223</v>
      </c>
      <c r="U6" s="296">
        <f>(S6-T5)*24*60</f>
        <v>7.9999999999999716</v>
      </c>
      <c r="V6" s="304">
        <f>(T6-S6)*24*60</f>
        <v>76.000000000000057</v>
      </c>
      <c r="W6" s="14"/>
      <c r="X6" s="14"/>
      <c r="Y6" s="456"/>
      <c r="Z6" s="456"/>
      <c r="AA6" s="11">
        <f t="shared" si="2"/>
        <v>-150.00000000000136</v>
      </c>
      <c r="AB6" s="297">
        <f t="shared" si="3"/>
        <v>0.91666666666666596</v>
      </c>
      <c r="AC6" s="470"/>
    </row>
    <row r="7" spans="1:29">
      <c r="A7" s="464" t="s">
        <v>1253</v>
      </c>
      <c r="B7" s="26" t="s">
        <v>13</v>
      </c>
      <c r="C7" s="468" t="s">
        <v>448</v>
      </c>
      <c r="D7" s="469"/>
      <c r="E7" s="26">
        <v>50.67</v>
      </c>
      <c r="F7" s="305">
        <v>2434</v>
      </c>
      <c r="G7" s="296">
        <f t="shared" si="4"/>
        <v>123330.78</v>
      </c>
      <c r="H7" s="76" t="s">
        <v>57</v>
      </c>
      <c r="I7" s="303">
        <v>18</v>
      </c>
      <c r="J7" s="18">
        <v>1800</v>
      </c>
      <c r="K7" s="9">
        <f t="shared" si="5"/>
        <v>100</v>
      </c>
      <c r="L7" s="303">
        <v>18</v>
      </c>
      <c r="M7" s="10">
        <f t="shared" ref="M7" si="8">F7/V7*60</f>
        <v>1640.8988764044946</v>
      </c>
      <c r="N7" s="9">
        <f t="shared" si="6"/>
        <v>91.161048689138582</v>
      </c>
      <c r="O7" s="11">
        <f t="shared" si="0"/>
        <v>0</v>
      </c>
      <c r="P7" s="12">
        <f t="shared" si="1"/>
        <v>-8.8389513108614182</v>
      </c>
      <c r="Q7" s="297">
        <f t="shared" si="7"/>
        <v>0.9116104868913858</v>
      </c>
      <c r="R7" s="470"/>
      <c r="S7" s="24">
        <v>0.79652777777777783</v>
      </c>
      <c r="T7" s="24">
        <v>0.85833333333333339</v>
      </c>
      <c r="U7" s="296">
        <f t="shared" ref="U7" si="9">(S7-T6)*24*60</f>
        <v>7.9999999999999716</v>
      </c>
      <c r="V7" s="304">
        <f t="shared" ref="V7" si="10">(T7-S7)*24*60</f>
        <v>89</v>
      </c>
      <c r="W7" s="14"/>
      <c r="X7" s="14"/>
      <c r="Y7" s="473"/>
      <c r="Z7" s="474"/>
      <c r="AA7" s="11">
        <f t="shared" si="2"/>
        <v>-159.10112359550544</v>
      </c>
      <c r="AB7" s="297">
        <f t="shared" si="3"/>
        <v>0.91161048689138591</v>
      </c>
      <c r="AC7" s="470"/>
    </row>
    <row r="8" spans="1:29">
      <c r="A8" s="464" t="s">
        <v>1253</v>
      </c>
      <c r="B8" s="26" t="s">
        <v>1254</v>
      </c>
      <c r="C8" s="466"/>
      <c r="D8" s="466"/>
      <c r="E8" s="295"/>
      <c r="F8" s="16"/>
      <c r="G8" s="9"/>
      <c r="H8" s="305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1654.1091492776877</v>
      </c>
      <c r="N8" s="9">
        <f>M8/L8</f>
        <v>97.300538192805163</v>
      </c>
      <c r="O8" s="11">
        <f>L8-I8</f>
        <v>0</v>
      </c>
      <c r="P8" s="12">
        <f>N8-K8</f>
        <v>-8.5818147483713005</v>
      </c>
      <c r="Q8" s="297">
        <f>N8/K8</f>
        <v>0.91894952737649327</v>
      </c>
      <c r="R8" s="470"/>
      <c r="S8" s="24"/>
      <c r="T8" s="24"/>
      <c r="U8" s="296"/>
      <c r="V8" s="304"/>
      <c r="W8" s="9"/>
      <c r="X8" s="9"/>
      <c r="Y8" s="456"/>
      <c r="Z8" s="456"/>
      <c r="AA8" s="11">
        <f t="shared" si="2"/>
        <v>-145.89085072231228</v>
      </c>
      <c r="AB8" s="297">
        <f>M8/J8</f>
        <v>0.91894952737649316</v>
      </c>
      <c r="AC8" s="470"/>
    </row>
    <row r="9" spans="1:29" ht="15.75" customHeight="1">
      <c r="A9" s="467" t="s">
        <v>1255</v>
      </c>
      <c r="B9" s="26" t="s">
        <v>15</v>
      </c>
      <c r="C9" s="468" t="s">
        <v>16</v>
      </c>
      <c r="D9" s="469"/>
      <c r="E9" s="26">
        <v>39.619999999999997</v>
      </c>
      <c r="F9" s="305">
        <v>4535</v>
      </c>
      <c r="G9" s="296">
        <f t="shared" ref="G9:G12" si="11">E9*F9</f>
        <v>179676.69999999998</v>
      </c>
      <c r="H9" s="76" t="s">
        <v>57</v>
      </c>
      <c r="I9" s="303">
        <v>19</v>
      </c>
      <c r="J9" s="18">
        <v>1500</v>
      </c>
      <c r="K9" s="9">
        <f t="shared" ref="K9:K12" si="12">J9/I9</f>
        <v>78.94736842105263</v>
      </c>
      <c r="L9" s="303">
        <v>19</v>
      </c>
      <c r="M9" s="10">
        <f t="shared" ref="M9:M12" si="13">F9/V9*60</f>
        <v>1360.4999999999998</v>
      </c>
      <c r="N9" s="9">
        <f t="shared" ref="N9:N12" si="14">M9/L9</f>
        <v>71.605263157894726</v>
      </c>
      <c r="O9" s="11">
        <f t="shared" ref="O9:O12" si="15">L9-I9</f>
        <v>0</v>
      </c>
      <c r="P9" s="12">
        <f>N9-K9</f>
        <v>-7.3421052631579045</v>
      </c>
      <c r="Q9" s="297">
        <f>N9/K9</f>
        <v>0.90699999999999992</v>
      </c>
      <c r="R9" s="470">
        <f>Q13</f>
        <v>0.9079674234139552</v>
      </c>
      <c r="S9" s="24">
        <v>0.13055555555555556</v>
      </c>
      <c r="T9" s="24">
        <v>0.26944444444444449</v>
      </c>
      <c r="U9" s="296"/>
      <c r="V9" s="304">
        <f t="shared" ref="V9:V12" si="16">(T9-S9)*24*60</f>
        <v>200.00000000000003</v>
      </c>
      <c r="W9" s="9"/>
      <c r="X9" s="9"/>
      <c r="Y9" s="456"/>
      <c r="Z9" s="456"/>
      <c r="AA9" s="11">
        <f t="shared" si="2"/>
        <v>-139.50000000000023</v>
      </c>
      <c r="AB9" s="297">
        <f>M9/J9</f>
        <v>0.90699999999999981</v>
      </c>
      <c r="AC9" s="470">
        <f>AB13</f>
        <v>0.9079674234139552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305">
        <v>2500</v>
      </c>
      <c r="G10" s="296">
        <f t="shared" si="11"/>
        <v>99500</v>
      </c>
      <c r="H10" s="76">
        <v>2</v>
      </c>
      <c r="I10" s="303">
        <v>18</v>
      </c>
      <c r="J10" s="18">
        <v>1500</v>
      </c>
      <c r="K10" s="9">
        <f t="shared" si="12"/>
        <v>83.333333333333329</v>
      </c>
      <c r="L10" s="303">
        <v>18</v>
      </c>
      <c r="M10" s="10">
        <f t="shared" si="13"/>
        <v>1363.6363636363633</v>
      </c>
      <c r="N10" s="9">
        <f t="shared" si="14"/>
        <v>75.757575757575736</v>
      </c>
      <c r="O10" s="11">
        <f t="shared" si="15"/>
        <v>0</v>
      </c>
      <c r="P10" s="12">
        <f t="shared" ref="P10:P12" si="17">N10-K10</f>
        <v>-7.5757575757575921</v>
      </c>
      <c r="Q10" s="297">
        <f t="shared" ref="Q10:Q12" si="18">N10/K10</f>
        <v>0.90909090909090884</v>
      </c>
      <c r="R10" s="470"/>
      <c r="S10" s="24">
        <v>0.29444444444444445</v>
      </c>
      <c r="T10" s="24">
        <v>0.37083333333333335</v>
      </c>
      <c r="U10" s="296">
        <f>(S10-T9)*24*60</f>
        <v>35.99999999999995</v>
      </c>
      <c r="V10" s="304">
        <f t="shared" si="16"/>
        <v>110.00000000000001</v>
      </c>
      <c r="W10" s="14"/>
      <c r="X10" s="14"/>
      <c r="Y10" s="456"/>
      <c r="Z10" s="456"/>
      <c r="AA10" s="11">
        <f t="shared" si="2"/>
        <v>-136.36363636363672</v>
      </c>
      <c r="AB10" s="297">
        <f t="shared" ref="AB10:AB29" si="19">M10/J10</f>
        <v>0.90909090909090884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305">
        <v>4205</v>
      </c>
      <c r="G11" s="296">
        <f t="shared" si="11"/>
        <v>165214.44999999998</v>
      </c>
      <c r="H11" s="76" t="s">
        <v>57</v>
      </c>
      <c r="I11" s="303">
        <v>19</v>
      </c>
      <c r="J11" s="18">
        <v>1500</v>
      </c>
      <c r="K11" s="9">
        <f t="shared" si="12"/>
        <v>78.94736842105263</v>
      </c>
      <c r="L11" s="303">
        <v>19</v>
      </c>
      <c r="M11" s="10">
        <f t="shared" si="13"/>
        <v>1363.783783783784</v>
      </c>
      <c r="N11" s="9">
        <f t="shared" si="14"/>
        <v>71.778093883357045</v>
      </c>
      <c r="O11" s="11">
        <f t="shared" si="15"/>
        <v>0</v>
      </c>
      <c r="P11" s="12">
        <f t="shared" si="17"/>
        <v>-7.1692745376955855</v>
      </c>
      <c r="Q11" s="297">
        <f t="shared" si="18"/>
        <v>0.90918918918918923</v>
      </c>
      <c r="R11" s="470"/>
      <c r="S11" s="24">
        <v>0.38055555555555554</v>
      </c>
      <c r="T11" s="24">
        <v>0.50902777777777775</v>
      </c>
      <c r="U11" s="296">
        <f t="shared" ref="U11:U12" si="20">(S11-T10)*24*60</f>
        <v>13.99999999999995</v>
      </c>
      <c r="V11" s="304">
        <f t="shared" si="16"/>
        <v>184.99999999999997</v>
      </c>
      <c r="W11" s="14"/>
      <c r="X11" s="14"/>
      <c r="Y11" s="456"/>
      <c r="Z11" s="456"/>
      <c r="AA11" s="11">
        <f t="shared" si="2"/>
        <v>-136.21621621621603</v>
      </c>
      <c r="AB11" s="297">
        <f t="shared" si="19"/>
        <v>0.90918918918918934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305">
        <v>3921</v>
      </c>
      <c r="G12" s="296">
        <f t="shared" si="11"/>
        <v>156055.79999999999</v>
      </c>
      <c r="H12" s="76" t="s">
        <v>57</v>
      </c>
      <c r="I12" s="303">
        <v>18</v>
      </c>
      <c r="J12" s="18">
        <v>1500</v>
      </c>
      <c r="K12" s="9">
        <f t="shared" si="12"/>
        <v>83.333333333333329</v>
      </c>
      <c r="L12" s="303">
        <v>18</v>
      </c>
      <c r="M12" s="10">
        <f t="shared" si="13"/>
        <v>1359.8843930635837</v>
      </c>
      <c r="N12" s="9">
        <f t="shared" si="14"/>
        <v>75.549132947976872</v>
      </c>
      <c r="O12" s="11">
        <f t="shared" si="15"/>
        <v>0</v>
      </c>
      <c r="P12" s="12">
        <f t="shared" si="17"/>
        <v>-7.7842003853564563</v>
      </c>
      <c r="Q12" s="297">
        <f t="shared" si="18"/>
        <v>0.90658959537572248</v>
      </c>
      <c r="R12" s="470"/>
      <c r="S12" s="24">
        <v>0.55138888888888882</v>
      </c>
      <c r="T12" s="24">
        <v>0.67152777777777772</v>
      </c>
      <c r="U12" s="296">
        <f t="shared" si="20"/>
        <v>60.999999999999943</v>
      </c>
      <c r="V12" s="304">
        <f t="shared" si="16"/>
        <v>173.00000000000003</v>
      </c>
      <c r="W12" s="14"/>
      <c r="X12" s="14"/>
      <c r="Y12" s="456"/>
      <c r="Z12" s="456"/>
      <c r="AA12" s="11">
        <f t="shared" si="2"/>
        <v>-140.11560693641627</v>
      </c>
      <c r="AB12" s="297">
        <f t="shared" si="19"/>
        <v>0.90658959537572248</v>
      </c>
      <c r="AC12" s="470"/>
    </row>
    <row r="13" spans="1:29" ht="16.5" customHeight="1">
      <c r="A13" s="467" t="s">
        <v>5</v>
      </c>
      <c r="B13" s="26" t="s">
        <v>1254</v>
      </c>
      <c r="C13" s="466"/>
      <c r="D13" s="466"/>
      <c r="E13" s="295"/>
      <c r="F13" s="18"/>
      <c r="G13" s="10"/>
      <c r="H13" s="305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1361.9511351209328</v>
      </c>
      <c r="N13" s="9">
        <f>M13/L13</f>
        <v>73.618980276807179</v>
      </c>
      <c r="O13" s="11">
        <f>L13-I13</f>
        <v>0</v>
      </c>
      <c r="P13" s="12">
        <f>N13-K13</f>
        <v>-7.4621008042739021</v>
      </c>
      <c r="Q13" s="297">
        <f>N13/K13</f>
        <v>0.9079674234139552</v>
      </c>
      <c r="R13" s="470"/>
      <c r="S13" s="24"/>
      <c r="T13" s="24"/>
      <c r="U13" s="9"/>
      <c r="V13" s="304"/>
      <c r="W13" s="9"/>
      <c r="X13" s="9"/>
      <c r="Y13" s="456"/>
      <c r="Z13" s="456"/>
      <c r="AA13" s="11">
        <f t="shared" si="2"/>
        <v>-138.0488648790672</v>
      </c>
      <c r="AB13" s="297">
        <f t="shared" si="19"/>
        <v>0.9079674234139552</v>
      </c>
      <c r="AC13" s="470"/>
    </row>
    <row r="14" spans="1:29" ht="16.5" customHeight="1">
      <c r="A14" s="480" t="s">
        <v>1256</v>
      </c>
      <c r="B14" s="305" t="s">
        <v>18</v>
      </c>
      <c r="C14" s="477" t="s">
        <v>19</v>
      </c>
      <c r="D14" s="477"/>
      <c r="E14" s="26">
        <v>41</v>
      </c>
      <c r="F14" s="305">
        <v>1845</v>
      </c>
      <c r="G14" s="296">
        <f t="shared" ref="G14:G18" si="21">E14*F14</f>
        <v>75645</v>
      </c>
      <c r="H14" s="76" t="s">
        <v>57</v>
      </c>
      <c r="I14" s="303">
        <v>26</v>
      </c>
      <c r="J14" s="18">
        <v>1286</v>
      </c>
      <c r="K14" s="9">
        <f>J14/I14</f>
        <v>49.46153846153846</v>
      </c>
      <c r="L14" s="303">
        <v>26</v>
      </c>
      <c r="M14" s="10">
        <f>F14/V14*60</f>
        <v>1177.6595744680851</v>
      </c>
      <c r="N14" s="9">
        <f t="shared" ref="N14:N28" si="22">M14/L14</f>
        <v>45.294599018003275</v>
      </c>
      <c r="O14" s="11">
        <f t="shared" ref="O14" si="23">L14-I14</f>
        <v>0</v>
      </c>
      <c r="P14" s="12">
        <f t="shared" ref="P14" si="24">N14-K14</f>
        <v>-4.1669394435351848</v>
      </c>
      <c r="Q14" s="297">
        <f>N14/K14</f>
        <v>0.91575394593163706</v>
      </c>
      <c r="R14" s="470">
        <f>Q19</f>
        <v>0.91125543238592888</v>
      </c>
      <c r="S14" s="24">
        <v>0.25</v>
      </c>
      <c r="T14" s="24">
        <v>0.31527777777777777</v>
      </c>
      <c r="U14" s="296"/>
      <c r="V14" s="304">
        <f>(T14-S14)*24*60</f>
        <v>93.999999999999986</v>
      </c>
      <c r="W14" s="15"/>
      <c r="X14" s="15"/>
      <c r="Y14" s="456"/>
      <c r="Z14" s="456"/>
      <c r="AA14" s="11">
        <f t="shared" si="2"/>
        <v>-108.34042553191489</v>
      </c>
      <c r="AB14" s="297">
        <f t="shared" si="19"/>
        <v>0.91575394593163695</v>
      </c>
      <c r="AC14" s="470">
        <f>AB19</f>
        <v>0.91125543238592888</v>
      </c>
    </row>
    <row r="15" spans="1:29" ht="16.5" customHeight="1">
      <c r="A15" s="481" t="s">
        <v>6</v>
      </c>
      <c r="B15" s="305" t="s">
        <v>15</v>
      </c>
      <c r="C15" s="477" t="s">
        <v>68</v>
      </c>
      <c r="D15" s="477"/>
      <c r="E15" s="26">
        <v>39.29</v>
      </c>
      <c r="F15" s="305">
        <v>1928</v>
      </c>
      <c r="G15" s="296">
        <f t="shared" si="21"/>
        <v>75751.12</v>
      </c>
      <c r="H15" s="76" t="s">
        <v>57</v>
      </c>
      <c r="I15" s="303">
        <v>18</v>
      </c>
      <c r="J15" s="18">
        <v>1500</v>
      </c>
      <c r="K15" s="9">
        <f>J15/I15</f>
        <v>83.333333333333329</v>
      </c>
      <c r="L15" s="303">
        <v>18</v>
      </c>
      <c r="M15" s="10">
        <f>F15/V15*60</f>
        <v>1360.9411764705881</v>
      </c>
      <c r="N15" s="9">
        <f t="shared" si="22"/>
        <v>75.607843137254889</v>
      </c>
      <c r="O15" s="11">
        <f>L15-I15</f>
        <v>0</v>
      </c>
      <c r="P15" s="12">
        <f>N15-K15</f>
        <v>-7.7254901960784395</v>
      </c>
      <c r="Q15" s="297">
        <f>N15/K15</f>
        <v>0.9072941176470587</v>
      </c>
      <c r="R15" s="470"/>
      <c r="S15" s="24">
        <v>0.32222222222222219</v>
      </c>
      <c r="T15" s="24">
        <v>0.38124999999999998</v>
      </c>
      <c r="U15" s="296">
        <f>(S15-T14)*24*60</f>
        <v>9.9999999999999645</v>
      </c>
      <c r="V15" s="304">
        <f>(T15-S15)*24*60</f>
        <v>85.000000000000014</v>
      </c>
      <c r="W15" s="14"/>
      <c r="X15" s="14"/>
      <c r="Y15" s="456"/>
      <c r="Z15" s="456"/>
      <c r="AA15" s="11">
        <f t="shared" si="2"/>
        <v>-139.05882352941194</v>
      </c>
      <c r="AB15" s="297">
        <f t="shared" si="19"/>
        <v>0.9072941176470587</v>
      </c>
      <c r="AC15" s="470"/>
    </row>
    <row r="16" spans="1:29" ht="16.5" customHeight="1">
      <c r="A16" s="481" t="s">
        <v>6</v>
      </c>
      <c r="B16" s="305" t="s">
        <v>15</v>
      </c>
      <c r="C16" s="477" t="s">
        <v>54</v>
      </c>
      <c r="D16" s="477"/>
      <c r="E16" s="26">
        <v>39.29</v>
      </c>
      <c r="F16" s="305">
        <v>3415</v>
      </c>
      <c r="G16" s="296">
        <f t="shared" si="21"/>
        <v>134175.35</v>
      </c>
      <c r="H16" s="76" t="s">
        <v>57</v>
      </c>
      <c r="I16" s="303">
        <v>17</v>
      </c>
      <c r="J16" s="18">
        <v>1500</v>
      </c>
      <c r="K16" s="9">
        <f t="shared" ref="K16:K18" si="25">J16/I16</f>
        <v>88.235294117647058</v>
      </c>
      <c r="L16" s="303">
        <v>17</v>
      </c>
      <c r="M16" s="10">
        <f t="shared" ref="M16:M18" si="26">F16/V16*60</f>
        <v>1365.9999999999998</v>
      </c>
      <c r="N16" s="9">
        <f t="shared" si="22"/>
        <v>80.35294117647058</v>
      </c>
      <c r="O16" s="11">
        <f t="shared" ref="O16:O18" si="27">L16-I16</f>
        <v>0</v>
      </c>
      <c r="P16" s="12">
        <f t="shared" ref="P16:P18" si="28">N16-K16</f>
        <v>-7.8823529411764781</v>
      </c>
      <c r="Q16" s="297">
        <f t="shared" ref="Q16:Q28" si="29">N16/K16</f>
        <v>0.91066666666666662</v>
      </c>
      <c r="R16" s="470"/>
      <c r="S16" s="24">
        <v>0.38888888888888884</v>
      </c>
      <c r="T16" s="24">
        <v>0.49305555555555552</v>
      </c>
      <c r="U16" s="296">
        <f t="shared" ref="U16:U18" si="30">(S16-T15)*24*60</f>
        <v>10.999999999999961</v>
      </c>
      <c r="V16" s="304">
        <f t="shared" ref="V16:V18" si="31">(T16-S16)*24*60</f>
        <v>150.00000000000003</v>
      </c>
      <c r="W16" s="14"/>
      <c r="X16" s="14"/>
      <c r="Y16" s="456"/>
      <c r="Z16" s="456"/>
      <c r="AA16" s="11">
        <f t="shared" si="2"/>
        <v>-134.00000000000023</v>
      </c>
      <c r="AB16" s="297">
        <f t="shared" si="19"/>
        <v>0.91066666666666651</v>
      </c>
      <c r="AC16" s="470"/>
    </row>
    <row r="17" spans="1:29" ht="16.5" customHeight="1">
      <c r="A17" s="481" t="s">
        <v>6</v>
      </c>
      <c r="B17" s="305" t="s">
        <v>13</v>
      </c>
      <c r="C17" s="477" t="s">
        <v>63</v>
      </c>
      <c r="D17" s="477"/>
      <c r="E17" s="26">
        <v>50.98</v>
      </c>
      <c r="F17" s="305">
        <v>2755</v>
      </c>
      <c r="G17" s="296">
        <f t="shared" si="21"/>
        <v>140449.9</v>
      </c>
      <c r="H17" s="76" t="s">
        <v>57</v>
      </c>
      <c r="I17" s="303">
        <v>17</v>
      </c>
      <c r="J17" s="18">
        <v>1800</v>
      </c>
      <c r="K17" s="9">
        <f t="shared" si="25"/>
        <v>105.88235294117646</v>
      </c>
      <c r="L17" s="303">
        <v>17</v>
      </c>
      <c r="M17" s="10">
        <f t="shared" si="26"/>
        <v>1636.6336633663373</v>
      </c>
      <c r="N17" s="9">
        <f t="shared" si="22"/>
        <v>96.27256843331395</v>
      </c>
      <c r="O17" s="11">
        <f t="shared" si="27"/>
        <v>0</v>
      </c>
      <c r="P17" s="12">
        <f t="shared" si="28"/>
        <v>-9.6097845078625141</v>
      </c>
      <c r="Q17" s="297">
        <f t="shared" si="29"/>
        <v>0.90924092409240953</v>
      </c>
      <c r="R17" s="470"/>
      <c r="S17" s="24">
        <v>0.70833333333333337</v>
      </c>
      <c r="T17" s="24">
        <v>0.77847222222222223</v>
      </c>
      <c r="U17" s="296">
        <f t="shared" si="30"/>
        <v>310.00000000000006</v>
      </c>
      <c r="V17" s="304">
        <f t="shared" si="31"/>
        <v>100.99999999999996</v>
      </c>
      <c r="W17" s="14"/>
      <c r="X17" s="14"/>
      <c r="Y17" s="456"/>
      <c r="Z17" s="456"/>
      <c r="AA17" s="11">
        <f t="shared" si="2"/>
        <v>-163.36633663366274</v>
      </c>
      <c r="AB17" s="297">
        <f t="shared" si="19"/>
        <v>0.90924092409240964</v>
      </c>
      <c r="AC17" s="470"/>
    </row>
    <row r="18" spans="1:29" ht="16.5" customHeight="1">
      <c r="A18" s="481" t="s">
        <v>6</v>
      </c>
      <c r="B18" s="305" t="s">
        <v>13</v>
      </c>
      <c r="C18" s="477" t="s">
        <v>66</v>
      </c>
      <c r="D18" s="477"/>
      <c r="E18" s="26">
        <v>57.73</v>
      </c>
      <c r="F18" s="305">
        <v>1623</v>
      </c>
      <c r="G18" s="296">
        <f t="shared" si="21"/>
        <v>93695.79</v>
      </c>
      <c r="H18" s="76" t="s">
        <v>57</v>
      </c>
      <c r="I18" s="303">
        <v>16</v>
      </c>
      <c r="J18" s="18">
        <v>1500</v>
      </c>
      <c r="K18" s="9">
        <f t="shared" si="25"/>
        <v>93.75</v>
      </c>
      <c r="L18" s="303">
        <v>16</v>
      </c>
      <c r="M18" s="10">
        <f t="shared" si="26"/>
        <v>1371.5492957746465</v>
      </c>
      <c r="N18" s="9">
        <f t="shared" si="22"/>
        <v>85.721830985915403</v>
      </c>
      <c r="O18" s="11">
        <f t="shared" si="27"/>
        <v>0</v>
      </c>
      <c r="P18" s="12">
        <f t="shared" si="28"/>
        <v>-8.0281690140845967</v>
      </c>
      <c r="Q18" s="297">
        <f t="shared" si="29"/>
        <v>0.91436619718309764</v>
      </c>
      <c r="R18" s="470"/>
      <c r="S18" s="24">
        <v>0.78194444444444444</v>
      </c>
      <c r="T18" s="24">
        <v>0.83125000000000004</v>
      </c>
      <c r="U18" s="296">
        <f t="shared" si="30"/>
        <v>4.9999999999999822</v>
      </c>
      <c r="V18" s="304">
        <f t="shared" si="31"/>
        <v>71.000000000000071</v>
      </c>
      <c r="W18" s="14"/>
      <c r="X18" s="14"/>
      <c r="Y18" s="456"/>
      <c r="Z18" s="456"/>
      <c r="AA18" s="11">
        <f t="shared" si="2"/>
        <v>-128.45070422535355</v>
      </c>
      <c r="AB18" s="297">
        <f t="shared" si="19"/>
        <v>0.91436619718309764</v>
      </c>
      <c r="AC18" s="470"/>
    </row>
    <row r="19" spans="1:29" ht="16.5" customHeight="1">
      <c r="A19" s="481" t="s">
        <v>6</v>
      </c>
      <c r="B19" s="26" t="s">
        <v>1254</v>
      </c>
      <c r="C19" s="466"/>
      <c r="D19" s="466"/>
      <c r="E19" s="295"/>
      <c r="F19" s="16"/>
      <c r="G19" s="9"/>
      <c r="H19" s="305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1382.5567420159314</v>
      </c>
      <c r="N19" s="9">
        <f t="shared" si="22"/>
        <v>73.540252234889962</v>
      </c>
      <c r="O19" s="11">
        <f>L19-I19</f>
        <v>0</v>
      </c>
      <c r="P19" s="12">
        <f>N19-K19</f>
        <v>-7.16187542468451</v>
      </c>
      <c r="Q19" s="297">
        <f t="shared" si="29"/>
        <v>0.91125543238592888</v>
      </c>
      <c r="R19" s="470"/>
      <c r="S19" s="24"/>
      <c r="T19" s="24"/>
      <c r="U19" s="296"/>
      <c r="V19" s="304"/>
      <c r="W19" s="9"/>
      <c r="X19" s="9"/>
      <c r="Y19" s="456"/>
      <c r="Z19" s="456"/>
      <c r="AA19" s="11">
        <f t="shared" si="2"/>
        <v>-134.64325798406867</v>
      </c>
      <c r="AB19" s="297">
        <f t="shared" si="19"/>
        <v>0.91125543238592888</v>
      </c>
      <c r="AC19" s="470"/>
    </row>
    <row r="20" spans="1:29" ht="15.75" customHeight="1">
      <c r="A20" s="478" t="s">
        <v>1257</v>
      </c>
      <c r="B20" s="26" t="s">
        <v>21</v>
      </c>
      <c r="C20" s="477" t="s">
        <v>22</v>
      </c>
      <c r="D20" s="477"/>
      <c r="E20" s="26">
        <v>43.14</v>
      </c>
      <c r="F20" s="305">
        <v>1308</v>
      </c>
      <c r="G20" s="296">
        <f t="shared" ref="G20:G28" si="32">E20*F20</f>
        <v>56427.12</v>
      </c>
      <c r="H20" s="76" t="s">
        <v>57</v>
      </c>
      <c r="I20" s="303">
        <v>17</v>
      </c>
      <c r="J20" s="18">
        <v>1200</v>
      </c>
      <c r="K20" s="9">
        <f t="shared" ref="K20:K29" si="33">J20/I20</f>
        <v>70.588235294117652</v>
      </c>
      <c r="L20" s="303">
        <v>17</v>
      </c>
      <c r="M20" s="10">
        <f t="shared" ref="M20:M28" si="34">F20/V20*60</f>
        <v>1105.3521126760565</v>
      </c>
      <c r="N20" s="9">
        <f t="shared" si="22"/>
        <v>65.020712510356262</v>
      </c>
      <c r="O20" s="11">
        <f t="shared" ref="O20:O28" si="35">L20-I20</f>
        <v>0</v>
      </c>
      <c r="P20" s="12">
        <f t="shared" ref="P20:P28" si="36">N20-K20</f>
        <v>-5.5675227837613903</v>
      </c>
      <c r="Q20" s="297">
        <f t="shared" si="29"/>
        <v>0.92112676056338028</v>
      </c>
      <c r="R20" s="470">
        <f>Q29</f>
        <v>0.91448895586071288</v>
      </c>
      <c r="S20" s="24">
        <v>0.16666666666666666</v>
      </c>
      <c r="T20" s="24">
        <v>0.2159722222222222</v>
      </c>
      <c r="U20" s="296"/>
      <c r="V20" s="304">
        <f>(T20-S20)*24*60</f>
        <v>70.999999999999986</v>
      </c>
      <c r="W20" s="15"/>
      <c r="X20" s="15"/>
      <c r="Y20" s="456"/>
      <c r="Z20" s="456"/>
      <c r="AA20" s="11">
        <f t="shared" si="2"/>
        <v>-94.647887323943451</v>
      </c>
      <c r="AB20" s="297">
        <f t="shared" si="19"/>
        <v>0.9211267605633805</v>
      </c>
      <c r="AC20" s="470">
        <f>AB29</f>
        <v>0.91448895586071277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305">
        <v>2963</v>
      </c>
      <c r="G21" s="296">
        <f t="shared" si="32"/>
        <v>171053.99</v>
      </c>
      <c r="H21" s="76" t="s">
        <v>57</v>
      </c>
      <c r="I21" s="303">
        <v>16</v>
      </c>
      <c r="J21" s="18">
        <v>1800</v>
      </c>
      <c r="K21" s="9">
        <f t="shared" si="33"/>
        <v>112.5</v>
      </c>
      <c r="L21" s="303">
        <v>16</v>
      </c>
      <c r="M21" s="10">
        <f t="shared" si="34"/>
        <v>1646.1111111111115</v>
      </c>
      <c r="N21" s="9">
        <f t="shared" si="22"/>
        <v>102.88194444444447</v>
      </c>
      <c r="O21" s="11">
        <f t="shared" si="35"/>
        <v>0</v>
      </c>
      <c r="P21" s="12">
        <f t="shared" si="36"/>
        <v>-9.6180555555555287</v>
      </c>
      <c r="Q21" s="297">
        <f t="shared" si="29"/>
        <v>0.91450617283950641</v>
      </c>
      <c r="R21" s="470"/>
      <c r="S21" s="24">
        <v>0.23541666666666664</v>
      </c>
      <c r="T21" s="24">
        <v>0.31041666666666662</v>
      </c>
      <c r="U21" s="296">
        <f>(S21-T20)*24*60</f>
        <v>27.999999999999979</v>
      </c>
      <c r="V21" s="304">
        <f t="shared" ref="V21:V28" si="37">(T21-S21)*24*60</f>
        <v>107.99999999999997</v>
      </c>
      <c r="W21" s="14"/>
      <c r="X21" s="296"/>
      <c r="Y21" s="456"/>
      <c r="Z21" s="456"/>
      <c r="AA21" s="11">
        <f t="shared" si="2"/>
        <v>-153.88888888888846</v>
      </c>
      <c r="AB21" s="297">
        <f t="shared" si="19"/>
        <v>0.91450617283950641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305">
        <v>1971</v>
      </c>
      <c r="G22" s="296">
        <f t="shared" si="32"/>
        <v>105803.28</v>
      </c>
      <c r="H22" s="76" t="s">
        <v>57</v>
      </c>
      <c r="I22" s="303">
        <v>17</v>
      </c>
      <c r="J22" s="18">
        <v>1800</v>
      </c>
      <c r="K22" s="9">
        <f t="shared" si="33"/>
        <v>105.88235294117646</v>
      </c>
      <c r="L22" s="303">
        <v>17</v>
      </c>
      <c r="M22" s="10">
        <f t="shared" si="34"/>
        <v>1642.5000000000005</v>
      </c>
      <c r="N22" s="9">
        <f t="shared" si="22"/>
        <v>96.61764705882355</v>
      </c>
      <c r="O22" s="11">
        <f t="shared" si="35"/>
        <v>0</v>
      </c>
      <c r="P22" s="12">
        <f t="shared" si="36"/>
        <v>-9.2647058823529136</v>
      </c>
      <c r="Q22" s="297">
        <f t="shared" si="29"/>
        <v>0.9125000000000002</v>
      </c>
      <c r="R22" s="470"/>
      <c r="S22" s="24">
        <v>0.31527777777777771</v>
      </c>
      <c r="T22" s="24">
        <v>0.3652777777777777</v>
      </c>
      <c r="U22" s="296">
        <f t="shared" ref="U22:U28" si="38">(S22-T21)*24*60</f>
        <v>6.9999999999999751</v>
      </c>
      <c r="V22" s="304">
        <f t="shared" si="37"/>
        <v>71.999999999999986</v>
      </c>
      <c r="W22" s="14"/>
      <c r="X22" s="296"/>
      <c r="Y22" s="456"/>
      <c r="Z22" s="456"/>
      <c r="AA22" s="11">
        <f t="shared" si="2"/>
        <v>-157.49999999999955</v>
      </c>
      <c r="AB22" s="297">
        <f t="shared" si="19"/>
        <v>0.9125000000000002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305">
        <v>1174</v>
      </c>
      <c r="G23" s="296">
        <f t="shared" si="32"/>
        <v>59486.58</v>
      </c>
      <c r="H23" s="76" t="s">
        <v>57</v>
      </c>
      <c r="I23" s="303">
        <v>16</v>
      </c>
      <c r="J23" s="18">
        <v>1800</v>
      </c>
      <c r="K23" s="9">
        <f t="shared" si="33"/>
        <v>112.5</v>
      </c>
      <c r="L23" s="303">
        <v>16</v>
      </c>
      <c r="M23" s="10">
        <f t="shared" si="34"/>
        <v>1638.1395348837207</v>
      </c>
      <c r="N23" s="9">
        <f t="shared" si="22"/>
        <v>102.38372093023254</v>
      </c>
      <c r="O23" s="11">
        <f t="shared" si="35"/>
        <v>0</v>
      </c>
      <c r="P23" s="12">
        <f t="shared" si="36"/>
        <v>-10.116279069767458</v>
      </c>
      <c r="Q23" s="297">
        <f t="shared" si="29"/>
        <v>0.91007751937984482</v>
      </c>
      <c r="R23" s="470"/>
      <c r="S23" s="24">
        <v>0.36874999999999991</v>
      </c>
      <c r="T23" s="24">
        <v>0.39861111111111103</v>
      </c>
      <c r="U23" s="296">
        <f t="shared" si="38"/>
        <v>4.9999999999999822</v>
      </c>
      <c r="V23" s="304">
        <f t="shared" si="37"/>
        <v>43.000000000000007</v>
      </c>
      <c r="W23" s="14"/>
      <c r="X23" s="296"/>
      <c r="Y23" s="456"/>
      <c r="Z23" s="456"/>
      <c r="AA23" s="11">
        <f t="shared" si="2"/>
        <v>-161.86046511627933</v>
      </c>
      <c r="AB23" s="297">
        <f t="shared" si="19"/>
        <v>0.91007751937984482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305">
        <v>3711</v>
      </c>
      <c r="G24" s="296">
        <f t="shared" si="32"/>
        <v>215868.87</v>
      </c>
      <c r="H24" s="76" t="s">
        <v>57</v>
      </c>
      <c r="I24" s="303">
        <v>18</v>
      </c>
      <c r="J24" s="18">
        <v>1800</v>
      </c>
      <c r="K24" s="9">
        <f t="shared" si="33"/>
        <v>100</v>
      </c>
      <c r="L24" s="303">
        <v>18</v>
      </c>
      <c r="M24" s="10">
        <f t="shared" si="34"/>
        <v>1637.205882352941</v>
      </c>
      <c r="N24" s="9">
        <f t="shared" si="22"/>
        <v>90.95588235294116</v>
      </c>
      <c r="O24" s="11">
        <f t="shared" si="35"/>
        <v>0</v>
      </c>
      <c r="P24" s="12">
        <f t="shared" si="36"/>
        <v>-9.0441176470588402</v>
      </c>
      <c r="Q24" s="297">
        <f t="shared" si="29"/>
        <v>0.90955882352941164</v>
      </c>
      <c r="R24" s="470"/>
      <c r="S24" s="24">
        <v>0.40416666666666656</v>
      </c>
      <c r="T24" s="24">
        <v>0.49861111111111101</v>
      </c>
      <c r="U24" s="296">
        <f t="shared" si="38"/>
        <v>7.9999999999999716</v>
      </c>
      <c r="V24" s="304">
        <f t="shared" si="37"/>
        <v>136</v>
      </c>
      <c r="W24" s="14"/>
      <c r="X24" s="296"/>
      <c r="Y24" s="456"/>
      <c r="Z24" s="456"/>
      <c r="AA24" s="11">
        <f t="shared" si="2"/>
        <v>-162.79411764705901</v>
      </c>
      <c r="AB24" s="297">
        <f t="shared" si="19"/>
        <v>0.90955882352941164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305">
        <v>2995</v>
      </c>
      <c r="G25" s="296">
        <f t="shared" si="32"/>
        <v>152505.4</v>
      </c>
      <c r="H25" s="76" t="s">
        <v>57</v>
      </c>
      <c r="I25" s="303">
        <v>16</v>
      </c>
      <c r="J25" s="18">
        <v>1800</v>
      </c>
      <c r="K25" s="9">
        <f t="shared" si="33"/>
        <v>112.5</v>
      </c>
      <c r="L25" s="303">
        <v>16</v>
      </c>
      <c r="M25" s="10">
        <f t="shared" si="34"/>
        <v>1633.6363636363646</v>
      </c>
      <c r="N25" s="9">
        <f t="shared" si="22"/>
        <v>102.10227272727279</v>
      </c>
      <c r="O25" s="11">
        <f t="shared" si="35"/>
        <v>0</v>
      </c>
      <c r="P25" s="12">
        <f t="shared" si="36"/>
        <v>-10.397727272727209</v>
      </c>
      <c r="Q25" s="297">
        <f t="shared" si="29"/>
        <v>0.90757575757575815</v>
      </c>
      <c r="R25" s="470"/>
      <c r="S25" s="24">
        <v>0.70833333333333337</v>
      </c>
      <c r="T25" s="24">
        <v>0.78472222222222221</v>
      </c>
      <c r="U25" s="296">
        <f t="shared" si="38"/>
        <v>302.00000000000023</v>
      </c>
      <c r="V25" s="304">
        <f t="shared" si="37"/>
        <v>109.99999999999993</v>
      </c>
      <c r="W25" s="14"/>
      <c r="X25" s="15"/>
      <c r="Y25" s="456"/>
      <c r="Z25" s="456"/>
      <c r="AA25" s="11">
        <f t="shared" si="2"/>
        <v>-166.36363636363535</v>
      </c>
      <c r="AB25" s="297">
        <f t="shared" si="19"/>
        <v>0.90757575757575815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305">
        <v>621</v>
      </c>
      <c r="G26" s="296">
        <f t="shared" si="32"/>
        <v>33080.670000000006</v>
      </c>
      <c r="H26" s="76" t="s">
        <v>57</v>
      </c>
      <c r="I26" s="303">
        <v>15</v>
      </c>
      <c r="J26" s="18">
        <v>1800</v>
      </c>
      <c r="K26" s="9">
        <f t="shared" si="33"/>
        <v>120</v>
      </c>
      <c r="L26" s="303">
        <v>15</v>
      </c>
      <c r="M26" s="10">
        <f t="shared" si="34"/>
        <v>1693.6363636363697</v>
      </c>
      <c r="N26" s="9">
        <f t="shared" si="22"/>
        <v>112.9090909090913</v>
      </c>
      <c r="O26" s="11">
        <f t="shared" si="35"/>
        <v>0</v>
      </c>
      <c r="P26" s="12">
        <f t="shared" si="36"/>
        <v>-7.0909090909086956</v>
      </c>
      <c r="Q26" s="297">
        <f t="shared" si="29"/>
        <v>0.94090909090909425</v>
      </c>
      <c r="R26" s="470"/>
      <c r="S26" s="24">
        <v>0.7895833333333333</v>
      </c>
      <c r="T26" s="24">
        <v>0.80486111111111103</v>
      </c>
      <c r="U26" s="296">
        <f t="shared" si="38"/>
        <v>6.9999999999999751</v>
      </c>
      <c r="V26" s="304">
        <f t="shared" si="37"/>
        <v>21.999999999999922</v>
      </c>
      <c r="W26" s="14"/>
      <c r="X26" s="15"/>
      <c r="Y26" s="473"/>
      <c r="Z26" s="474"/>
      <c r="AA26" s="11">
        <f t="shared" si="2"/>
        <v>-106.36363636363035</v>
      </c>
      <c r="AB26" s="297">
        <f t="shared" si="19"/>
        <v>0.94090909090909425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47.6</v>
      </c>
      <c r="F27" s="305">
        <v>1500</v>
      </c>
      <c r="G27" s="296">
        <f t="shared" si="32"/>
        <v>71400</v>
      </c>
      <c r="H27" s="76">
        <v>2</v>
      </c>
      <c r="I27" s="303">
        <v>17</v>
      </c>
      <c r="J27" s="18">
        <v>1800</v>
      </c>
      <c r="K27" s="9">
        <f t="shared" si="33"/>
        <v>105.88235294117646</v>
      </c>
      <c r="L27" s="303">
        <v>17</v>
      </c>
      <c r="M27" s="10">
        <f t="shared" si="34"/>
        <v>1636.3636363636374</v>
      </c>
      <c r="N27" s="9">
        <f t="shared" si="22"/>
        <v>96.256684491978675</v>
      </c>
      <c r="O27" s="11">
        <f t="shared" si="35"/>
        <v>0</v>
      </c>
      <c r="P27" s="12">
        <f t="shared" si="36"/>
        <v>-9.6256684491977893</v>
      </c>
      <c r="Q27" s="297">
        <f t="shared" si="29"/>
        <v>0.90909090909090973</v>
      </c>
      <c r="R27" s="470"/>
      <c r="S27" s="24">
        <v>0.80972222222222212</v>
      </c>
      <c r="T27" s="24">
        <v>0.84791666666666654</v>
      </c>
      <c r="U27" s="296">
        <f t="shared" si="38"/>
        <v>6.9999999999999751</v>
      </c>
      <c r="V27" s="304">
        <f t="shared" si="37"/>
        <v>54.999999999999964</v>
      </c>
      <c r="W27" s="14"/>
      <c r="X27" s="14"/>
      <c r="Y27" s="473"/>
      <c r="Z27" s="474"/>
      <c r="AA27" s="11">
        <f t="shared" si="2"/>
        <v>-163.6363636363626</v>
      </c>
      <c r="AB27" s="297">
        <f t="shared" si="19"/>
        <v>0.90909090909090962</v>
      </c>
      <c r="AC27" s="470"/>
    </row>
    <row r="28" spans="1:29" ht="15.75" customHeight="1">
      <c r="A28" s="479" t="s">
        <v>7</v>
      </c>
      <c r="B28" s="26" t="s">
        <v>13</v>
      </c>
      <c r="C28" s="482" t="s">
        <v>1162</v>
      </c>
      <c r="D28" s="483"/>
      <c r="E28" s="26">
        <v>47.6</v>
      </c>
      <c r="F28" s="305">
        <v>3620</v>
      </c>
      <c r="G28" s="296">
        <f t="shared" si="32"/>
        <v>172312</v>
      </c>
      <c r="H28" s="76" t="s">
        <v>57</v>
      </c>
      <c r="I28" s="303">
        <v>17</v>
      </c>
      <c r="J28" s="18">
        <v>1800</v>
      </c>
      <c r="K28" s="9">
        <f t="shared" si="33"/>
        <v>105.88235294117646</v>
      </c>
      <c r="L28" s="303">
        <v>17</v>
      </c>
      <c r="M28" s="10">
        <f t="shared" si="34"/>
        <v>1633.0827067669172</v>
      </c>
      <c r="N28" s="9">
        <f t="shared" si="22"/>
        <v>96.063688633348079</v>
      </c>
      <c r="O28" s="11">
        <f t="shared" si="35"/>
        <v>0</v>
      </c>
      <c r="P28" s="12">
        <f t="shared" si="36"/>
        <v>-9.8186643078283851</v>
      </c>
      <c r="Q28" s="297">
        <f t="shared" si="29"/>
        <v>0.90726817042606522</v>
      </c>
      <c r="R28" s="470"/>
      <c r="S28" s="24">
        <v>0.88888888888888873</v>
      </c>
      <c r="T28" s="24">
        <v>0.98124999999999984</v>
      </c>
      <c r="U28" s="296">
        <f t="shared" si="38"/>
        <v>58.99999999999995</v>
      </c>
      <c r="V28" s="304">
        <f t="shared" si="37"/>
        <v>133</v>
      </c>
      <c r="W28" s="14"/>
      <c r="X28" s="14"/>
      <c r="Y28" s="473"/>
      <c r="Z28" s="474"/>
      <c r="AA28" s="11">
        <f t="shared" si="2"/>
        <v>-166.91729323308277</v>
      </c>
      <c r="AB28" s="297">
        <f t="shared" si="19"/>
        <v>0.90726817042606511</v>
      </c>
      <c r="AC28" s="470"/>
    </row>
    <row r="29" spans="1:29" ht="15.75" customHeight="1">
      <c r="A29" s="479" t="s">
        <v>7</v>
      </c>
      <c r="B29" s="26" t="s">
        <v>1254</v>
      </c>
      <c r="C29" s="466"/>
      <c r="D29" s="466"/>
      <c r="E29" s="295"/>
      <c r="F29" s="305"/>
      <c r="G29" s="296"/>
      <c r="H29" s="305"/>
      <c r="I29" s="17">
        <v>16.555555555555557</v>
      </c>
      <c r="J29" s="18">
        <v>1733.3333333333333</v>
      </c>
      <c r="K29" s="9">
        <f t="shared" si="33"/>
        <v>104.6979865771812</v>
      </c>
      <c r="L29" s="17">
        <v>16.555555555555557</v>
      </c>
      <c r="M29" s="10">
        <f>AVERAGE(M20:M28)</f>
        <v>1585.1141901585688</v>
      </c>
      <c r="N29" s="9">
        <f>M29/L29</f>
        <v>95.745152425685362</v>
      </c>
      <c r="O29" s="11">
        <f>L29-I29</f>
        <v>0</v>
      </c>
      <c r="P29" s="12">
        <f>N29-K29</f>
        <v>-8.9528341514958356</v>
      </c>
      <c r="Q29" s="297">
        <f>N29/K29</f>
        <v>0.91448895586071288</v>
      </c>
      <c r="R29" s="470"/>
      <c r="S29" s="24"/>
      <c r="T29" s="24"/>
      <c r="U29" s="9"/>
      <c r="V29" s="304"/>
      <c r="W29" s="9"/>
      <c r="X29" s="9"/>
      <c r="Y29" s="456"/>
      <c r="Z29" s="456"/>
      <c r="AA29" s="11">
        <f t="shared" si="2"/>
        <v>-148.21914317476444</v>
      </c>
      <c r="AB29" s="297">
        <f t="shared" si="19"/>
        <v>0.91448895586071277</v>
      </c>
      <c r="AC29" s="470"/>
    </row>
    <row r="30" spans="1:29" ht="15.75" customHeight="1">
      <c r="A30" s="484" t="s">
        <v>1258</v>
      </c>
      <c r="B30" s="26" t="s">
        <v>24</v>
      </c>
      <c r="C30" s="477" t="s">
        <v>26</v>
      </c>
      <c r="D30" s="477"/>
      <c r="E30" s="26">
        <v>26.2</v>
      </c>
      <c r="F30" s="305">
        <v>4480</v>
      </c>
      <c r="G30" s="296">
        <f t="shared" ref="G30:G36" si="39">E30*F30</f>
        <v>117376</v>
      </c>
      <c r="H30" s="76" t="s">
        <v>57</v>
      </c>
      <c r="I30" s="303">
        <v>20</v>
      </c>
      <c r="J30" s="18">
        <v>2400</v>
      </c>
      <c r="K30" s="9">
        <f>J30/I30</f>
        <v>120</v>
      </c>
      <c r="L30" s="303">
        <v>20</v>
      </c>
      <c r="M30" s="10">
        <f t="shared" ref="M30:M36" si="40">F30/V30*60</f>
        <v>2185.3658536585372</v>
      </c>
      <c r="N30" s="9">
        <f t="shared" ref="N30:N36" si="41">M30/L30</f>
        <v>109.26829268292686</v>
      </c>
      <c r="O30" s="11">
        <f t="shared" ref="O30:O36" si="42">L30-I30</f>
        <v>0</v>
      </c>
      <c r="P30" s="12">
        <f t="shared" ref="P30:P36" si="43">N30-K30</f>
        <v>-10.731707317073145</v>
      </c>
      <c r="Q30" s="297">
        <f t="shared" ref="Q30:Q36" si="44">N30/K30</f>
        <v>0.91056910569105709</v>
      </c>
      <c r="R30" s="470">
        <f>Q37</f>
        <v>0.90902919500894952</v>
      </c>
      <c r="S30" s="24">
        <v>0.125</v>
      </c>
      <c r="T30" s="24">
        <v>0.21041666666666664</v>
      </c>
      <c r="U30" s="296"/>
      <c r="V30" s="304">
        <f t="shared" ref="V30:V36" si="45">(T30-S30)*24*60</f>
        <v>122.99999999999996</v>
      </c>
      <c r="W30" s="14"/>
      <c r="X30" s="14"/>
      <c r="Y30" s="456"/>
      <c r="Z30" s="456"/>
      <c r="AA30" s="11">
        <f t="shared" si="2"/>
        <v>-214.63414634146284</v>
      </c>
      <c r="AB30" s="297">
        <f>M30/J30</f>
        <v>0.9105691056910572</v>
      </c>
      <c r="AC30" s="470">
        <f>AB37</f>
        <v>0.90902919500894963</v>
      </c>
    </row>
    <row r="31" spans="1:29" ht="15.75" customHeight="1">
      <c r="A31" s="484" t="s">
        <v>8</v>
      </c>
      <c r="B31" s="26" t="s">
        <v>24</v>
      </c>
      <c r="C31" s="477" t="s">
        <v>25</v>
      </c>
      <c r="D31" s="477"/>
      <c r="E31" s="26">
        <v>20.52</v>
      </c>
      <c r="F31" s="305">
        <v>4432</v>
      </c>
      <c r="G31" s="296">
        <f t="shared" si="39"/>
        <v>90944.639999999999</v>
      </c>
      <c r="H31" s="76" t="s">
        <v>57</v>
      </c>
      <c r="I31" s="303">
        <v>18</v>
      </c>
      <c r="J31" s="18">
        <v>2400</v>
      </c>
      <c r="K31" s="9">
        <f t="shared" ref="K31:K37" si="46">J31/I31</f>
        <v>133.33333333333334</v>
      </c>
      <c r="L31" s="303">
        <v>18</v>
      </c>
      <c r="M31" s="10">
        <f t="shared" si="40"/>
        <v>2179.6721311475412</v>
      </c>
      <c r="N31" s="9">
        <f t="shared" si="41"/>
        <v>121.0928961748634</v>
      </c>
      <c r="O31" s="11">
        <f t="shared" si="42"/>
        <v>0</v>
      </c>
      <c r="P31" s="12">
        <f t="shared" si="43"/>
        <v>-12.240437158469945</v>
      </c>
      <c r="Q31" s="297">
        <f t="shared" si="44"/>
        <v>0.90819672131147544</v>
      </c>
      <c r="R31" s="470"/>
      <c r="S31" s="24">
        <v>0.23124999999999998</v>
      </c>
      <c r="T31" s="24">
        <v>0.31597222222222221</v>
      </c>
      <c r="U31" s="296">
        <f>(S31-T30)*24*60</f>
        <v>30.000000000000014</v>
      </c>
      <c r="V31" s="304">
        <f t="shared" si="45"/>
        <v>122</v>
      </c>
      <c r="W31" s="14"/>
      <c r="X31" s="14"/>
      <c r="Y31" s="456"/>
      <c r="Z31" s="456"/>
      <c r="AA31" s="11">
        <f t="shared" si="2"/>
        <v>-220.32786885245878</v>
      </c>
      <c r="AB31" s="297">
        <f t="shared" ref="AB31:AB36" si="47">M31/J31</f>
        <v>0.90819672131147555</v>
      </c>
      <c r="AC31" s="470"/>
    </row>
    <row r="32" spans="1:29" ht="15.75" customHeight="1">
      <c r="A32" s="484" t="s">
        <v>8</v>
      </c>
      <c r="B32" s="26" t="s">
        <v>24</v>
      </c>
      <c r="C32" s="477" t="s">
        <v>513</v>
      </c>
      <c r="D32" s="477"/>
      <c r="E32" s="26">
        <v>31.29</v>
      </c>
      <c r="F32" s="305">
        <v>3500</v>
      </c>
      <c r="G32" s="296">
        <f t="shared" si="39"/>
        <v>109515</v>
      </c>
      <c r="H32" s="76">
        <v>2</v>
      </c>
      <c r="I32" s="303">
        <v>16</v>
      </c>
      <c r="J32" s="18">
        <v>2400</v>
      </c>
      <c r="K32" s="9">
        <f t="shared" si="46"/>
        <v>150</v>
      </c>
      <c r="L32" s="303">
        <v>16</v>
      </c>
      <c r="M32" s="10">
        <f t="shared" si="40"/>
        <v>2187.5000000000005</v>
      </c>
      <c r="N32" s="9">
        <f t="shared" si="41"/>
        <v>136.71875000000003</v>
      </c>
      <c r="O32" s="11">
        <f t="shared" si="42"/>
        <v>0</v>
      </c>
      <c r="P32" s="12">
        <f t="shared" si="43"/>
        <v>-13.281249999999972</v>
      </c>
      <c r="Q32" s="297">
        <f t="shared" si="44"/>
        <v>0.91145833333333348</v>
      </c>
      <c r="R32" s="470"/>
      <c r="S32" s="24">
        <v>0.32013888888888886</v>
      </c>
      <c r="T32" s="24">
        <v>0.38680555555555551</v>
      </c>
      <c r="U32" s="296">
        <f t="shared" ref="U32:U36" si="48">(S32-T31)*24*60</f>
        <v>5.9999999999999787</v>
      </c>
      <c r="V32" s="304">
        <f t="shared" si="45"/>
        <v>95.999999999999972</v>
      </c>
      <c r="W32" s="14"/>
      <c r="X32" s="14"/>
      <c r="Y32" s="456"/>
      <c r="Z32" s="456"/>
      <c r="AA32" s="11">
        <f t="shared" si="2"/>
        <v>-212.49999999999955</v>
      </c>
      <c r="AB32" s="297">
        <f t="shared" si="47"/>
        <v>0.91145833333333348</v>
      </c>
      <c r="AC32" s="470"/>
    </row>
    <row r="33" spans="1:29" ht="15.75" customHeight="1">
      <c r="A33" s="484" t="s">
        <v>8</v>
      </c>
      <c r="B33" s="26" t="s">
        <v>24</v>
      </c>
      <c r="C33" s="477" t="s">
        <v>84</v>
      </c>
      <c r="D33" s="477"/>
      <c r="E33" s="26">
        <v>24.25</v>
      </c>
      <c r="F33" s="305">
        <v>3300</v>
      </c>
      <c r="G33" s="296">
        <f t="shared" si="39"/>
        <v>80025</v>
      </c>
      <c r="H33" s="76">
        <v>2</v>
      </c>
      <c r="I33" s="303">
        <v>18</v>
      </c>
      <c r="J33" s="18">
        <v>2400</v>
      </c>
      <c r="K33" s="9">
        <f t="shared" si="46"/>
        <v>133.33333333333334</v>
      </c>
      <c r="L33" s="303">
        <v>18</v>
      </c>
      <c r="M33" s="10">
        <f t="shared" si="40"/>
        <v>2175.8241758241757</v>
      </c>
      <c r="N33" s="9">
        <f t="shared" si="41"/>
        <v>120.87912087912088</v>
      </c>
      <c r="O33" s="11">
        <f t="shared" si="42"/>
        <v>0</v>
      </c>
      <c r="P33" s="12">
        <f t="shared" si="43"/>
        <v>-12.454212454212467</v>
      </c>
      <c r="Q33" s="297">
        <f t="shared" si="44"/>
        <v>0.90659340659340648</v>
      </c>
      <c r="R33" s="470"/>
      <c r="S33" s="24">
        <v>0.39236111111111105</v>
      </c>
      <c r="T33" s="24">
        <v>0.45555555555555549</v>
      </c>
      <c r="U33" s="296">
        <f t="shared" si="48"/>
        <v>7.9999999999999716</v>
      </c>
      <c r="V33" s="304">
        <f t="shared" si="45"/>
        <v>91</v>
      </c>
      <c r="W33" s="14"/>
      <c r="X33" s="14"/>
      <c r="Y33" s="456"/>
      <c r="Z33" s="456"/>
      <c r="AA33" s="11">
        <f t="shared" si="2"/>
        <v>-224.17582417582435</v>
      </c>
      <c r="AB33" s="297">
        <f t="shared" si="47"/>
        <v>0.90659340659340648</v>
      </c>
      <c r="AC33" s="470"/>
    </row>
    <row r="34" spans="1:29" ht="15.75" customHeight="1">
      <c r="A34" s="484" t="s">
        <v>8</v>
      </c>
      <c r="B34" s="26" t="s">
        <v>24</v>
      </c>
      <c r="C34" s="477" t="s">
        <v>69</v>
      </c>
      <c r="D34" s="477"/>
      <c r="E34" s="26">
        <v>22.35</v>
      </c>
      <c r="F34" s="305">
        <v>2540</v>
      </c>
      <c r="G34" s="296">
        <f t="shared" si="39"/>
        <v>56769</v>
      </c>
      <c r="H34" s="76" t="s">
        <v>57</v>
      </c>
      <c r="I34" s="303">
        <v>16</v>
      </c>
      <c r="J34" s="18">
        <v>2400</v>
      </c>
      <c r="K34" s="9">
        <f t="shared" si="46"/>
        <v>150</v>
      </c>
      <c r="L34" s="303">
        <v>16</v>
      </c>
      <c r="M34" s="10">
        <f t="shared" si="40"/>
        <v>2177.1428571428551</v>
      </c>
      <c r="N34" s="9">
        <f t="shared" si="41"/>
        <v>136.07142857142844</v>
      </c>
      <c r="O34" s="11">
        <f t="shared" si="42"/>
        <v>0</v>
      </c>
      <c r="P34" s="12">
        <f t="shared" si="43"/>
        <v>-13.928571428571558</v>
      </c>
      <c r="Q34" s="297">
        <f t="shared" si="44"/>
        <v>0.90714285714285625</v>
      </c>
      <c r="R34" s="470"/>
      <c r="S34" s="24">
        <v>0.46041666666666659</v>
      </c>
      <c r="T34" s="24">
        <v>0.50902777777777775</v>
      </c>
      <c r="U34" s="296">
        <f t="shared" si="48"/>
        <v>6.9999999999999751</v>
      </c>
      <c r="V34" s="304">
        <f t="shared" si="45"/>
        <v>70.000000000000071</v>
      </c>
      <c r="W34" s="14"/>
      <c r="X34" s="14"/>
      <c r="Y34" s="456"/>
      <c r="Z34" s="456"/>
      <c r="AA34" s="11">
        <f t="shared" si="2"/>
        <v>-222.85714285714494</v>
      </c>
      <c r="AB34" s="297">
        <f t="shared" si="47"/>
        <v>0.90714285714285625</v>
      </c>
      <c r="AC34" s="470"/>
    </row>
    <row r="35" spans="1:29" ht="15.75" customHeight="1">
      <c r="A35" s="484" t="s">
        <v>8</v>
      </c>
      <c r="B35" s="26" t="s">
        <v>24</v>
      </c>
      <c r="C35" s="477" t="s">
        <v>513</v>
      </c>
      <c r="D35" s="477"/>
      <c r="E35" s="26">
        <v>31.29</v>
      </c>
      <c r="F35" s="305">
        <v>5301</v>
      </c>
      <c r="G35" s="296">
        <f t="shared" si="39"/>
        <v>165868.29</v>
      </c>
      <c r="H35" s="76" t="s">
        <v>57</v>
      </c>
      <c r="I35" s="303">
        <v>16</v>
      </c>
      <c r="J35" s="18">
        <v>2400</v>
      </c>
      <c r="K35" s="9">
        <f t="shared" si="46"/>
        <v>150</v>
      </c>
      <c r="L35" s="303">
        <v>16</v>
      </c>
      <c r="M35" s="10">
        <f t="shared" si="40"/>
        <v>2178.4931506849316</v>
      </c>
      <c r="N35" s="9">
        <f t="shared" si="41"/>
        <v>136.15582191780823</v>
      </c>
      <c r="O35" s="11">
        <f t="shared" si="42"/>
        <v>0</v>
      </c>
      <c r="P35" s="12">
        <f t="shared" si="43"/>
        <v>-13.844178082191775</v>
      </c>
      <c r="Q35" s="297">
        <f t="shared" si="44"/>
        <v>0.90770547945205482</v>
      </c>
      <c r="R35" s="470"/>
      <c r="S35" s="24">
        <v>0.54999999999999993</v>
      </c>
      <c r="T35" s="24">
        <v>0.6513888888888888</v>
      </c>
      <c r="U35" s="296">
        <f t="shared" si="48"/>
        <v>58.99999999999995</v>
      </c>
      <c r="V35" s="304">
        <f t="shared" si="45"/>
        <v>145.99999999999997</v>
      </c>
      <c r="W35" s="14"/>
      <c r="X35" s="14"/>
      <c r="Y35" s="456"/>
      <c r="Z35" s="456"/>
      <c r="AA35" s="11">
        <f t="shared" si="2"/>
        <v>-221.50684931506839</v>
      </c>
      <c r="AB35" s="297">
        <f t="shared" si="47"/>
        <v>0.90770547945205482</v>
      </c>
      <c r="AC35" s="470"/>
    </row>
    <row r="36" spans="1:29" ht="15.75" customHeight="1">
      <c r="A36" s="484" t="s">
        <v>8</v>
      </c>
      <c r="B36" s="26" t="s">
        <v>24</v>
      </c>
      <c r="C36" s="477" t="s">
        <v>84</v>
      </c>
      <c r="D36" s="477"/>
      <c r="E36" s="26">
        <v>24.25</v>
      </c>
      <c r="F36" s="305">
        <v>2370</v>
      </c>
      <c r="G36" s="296">
        <f t="shared" si="39"/>
        <v>57472.5</v>
      </c>
      <c r="H36" s="76" t="s">
        <v>57</v>
      </c>
      <c r="I36" s="303">
        <v>18</v>
      </c>
      <c r="J36" s="18">
        <v>2400</v>
      </c>
      <c r="K36" s="9">
        <f t="shared" si="46"/>
        <v>133.33333333333334</v>
      </c>
      <c r="L36" s="303">
        <v>18</v>
      </c>
      <c r="M36" s="10">
        <f t="shared" si="40"/>
        <v>2187.6923076923104</v>
      </c>
      <c r="N36" s="9">
        <f t="shared" si="41"/>
        <v>121.53846153846169</v>
      </c>
      <c r="O36" s="11">
        <f t="shared" si="42"/>
        <v>0</v>
      </c>
      <c r="P36" s="12">
        <f t="shared" si="43"/>
        <v>-11.794871794871653</v>
      </c>
      <c r="Q36" s="297">
        <f t="shared" si="44"/>
        <v>0.91153846153846263</v>
      </c>
      <c r="R36" s="470"/>
      <c r="S36" s="24">
        <v>0.65486111111111101</v>
      </c>
      <c r="T36" s="24">
        <v>0.69999999999999984</v>
      </c>
      <c r="U36" s="296">
        <f t="shared" si="48"/>
        <v>4.9999999999999822</v>
      </c>
      <c r="V36" s="304">
        <f t="shared" si="45"/>
        <v>64.999999999999929</v>
      </c>
      <c r="W36" s="14"/>
      <c r="X36" s="14"/>
      <c r="Y36" s="456"/>
      <c r="Z36" s="456"/>
      <c r="AA36" s="11">
        <f t="shared" si="2"/>
        <v>-212.30769230768965</v>
      </c>
      <c r="AB36" s="297">
        <f t="shared" si="47"/>
        <v>0.91153846153846263</v>
      </c>
      <c r="AC36" s="470"/>
    </row>
    <row r="37" spans="1:29" ht="15.75" customHeight="1">
      <c r="A37" s="484" t="s">
        <v>8</v>
      </c>
      <c r="B37" s="26" t="s">
        <v>1254</v>
      </c>
      <c r="C37" s="466"/>
      <c r="D37" s="466"/>
      <c r="E37" s="295"/>
      <c r="F37" s="305"/>
      <c r="G37" s="296"/>
      <c r="H37" s="305"/>
      <c r="I37" s="17">
        <v>17.428571428571427</v>
      </c>
      <c r="J37" s="18">
        <v>2400</v>
      </c>
      <c r="K37" s="9">
        <f t="shared" si="46"/>
        <v>137.70491803278691</v>
      </c>
      <c r="L37" s="17">
        <v>17.428571428571427</v>
      </c>
      <c r="M37" s="10">
        <f>AVERAGE(M30:M36)</f>
        <v>2181.670068021479</v>
      </c>
      <c r="N37" s="9">
        <f>M37/L37</f>
        <v>125.17779078811766</v>
      </c>
      <c r="O37" s="11">
        <f>L37-I37</f>
        <v>0</v>
      </c>
      <c r="P37" s="12">
        <f>N37-K37</f>
        <v>-12.527127244669245</v>
      </c>
      <c r="Q37" s="297">
        <f>N37/K37</f>
        <v>0.90902919500894952</v>
      </c>
      <c r="R37" s="470"/>
      <c r="S37" s="24"/>
      <c r="T37" s="24"/>
      <c r="U37" s="296"/>
      <c r="V37" s="304"/>
      <c r="W37" s="296"/>
      <c r="X37" s="296"/>
      <c r="Y37" s="456"/>
      <c r="Z37" s="456"/>
      <c r="AA37" s="11">
        <f t="shared" si="2"/>
        <v>-218.32993197852102</v>
      </c>
      <c r="AB37" s="297">
        <f>M37/J37</f>
        <v>0.90902919500894963</v>
      </c>
      <c r="AC37" s="470"/>
    </row>
    <row r="38" spans="1:29" ht="15.75" customHeight="1">
      <c r="A38" s="485" t="s">
        <v>1259</v>
      </c>
      <c r="B38" s="26" t="s">
        <v>24</v>
      </c>
      <c r="C38" s="487" t="s">
        <v>29</v>
      </c>
      <c r="D38" s="487"/>
      <c r="E38" s="26">
        <v>26.2</v>
      </c>
      <c r="F38" s="305">
        <v>2500</v>
      </c>
      <c r="G38" s="296">
        <f t="shared" ref="G38:G45" si="49">E38*F38</f>
        <v>65500</v>
      </c>
      <c r="H38" s="76">
        <v>2</v>
      </c>
      <c r="I38" s="303">
        <v>18</v>
      </c>
      <c r="J38" s="18">
        <v>2400</v>
      </c>
      <c r="K38" s="9">
        <f>J38/I38</f>
        <v>133.33333333333334</v>
      </c>
      <c r="L38" s="303">
        <v>18</v>
      </c>
      <c r="M38" s="10">
        <f>F38/V38*60</f>
        <v>2205.8823529411775</v>
      </c>
      <c r="N38" s="9">
        <f>M38/L38</f>
        <v>122.54901960784319</v>
      </c>
      <c r="O38" s="11">
        <f t="shared" ref="O38:O45" si="50">L38-I38</f>
        <v>0</v>
      </c>
      <c r="P38" s="12">
        <f t="shared" ref="P38:P55" si="51">N38-K38</f>
        <v>-10.784313725490151</v>
      </c>
      <c r="Q38" s="297">
        <f t="shared" ref="Q38:Q50" si="52">N38/K38</f>
        <v>0.91911764705882393</v>
      </c>
      <c r="R38" s="470">
        <f>Q46</f>
        <v>0.91072344776191394</v>
      </c>
      <c r="S38" s="24">
        <v>8.3333333333333329E-2</v>
      </c>
      <c r="T38" s="24">
        <v>0.13055555555555554</v>
      </c>
      <c r="U38" s="296"/>
      <c r="V38" s="304">
        <f t="shared" ref="V38:V45" si="53">(T38-S38)*24*60</f>
        <v>67.999999999999972</v>
      </c>
      <c r="W38" s="15"/>
      <c r="X38" s="15"/>
      <c r="Y38" s="456"/>
      <c r="Z38" s="456"/>
      <c r="AA38" s="11">
        <f t="shared" si="2"/>
        <v>-194.11764705882251</v>
      </c>
      <c r="AB38" s="297">
        <f>M38/J38</f>
        <v>0.91911764705882393</v>
      </c>
      <c r="AC38" s="470">
        <f>AB46</f>
        <v>0.91072344776191394</v>
      </c>
    </row>
    <row r="39" spans="1:29" ht="15.75" customHeight="1">
      <c r="A39" s="485" t="s">
        <v>1259</v>
      </c>
      <c r="B39" s="26" t="s">
        <v>24</v>
      </c>
      <c r="C39" s="487" t="s">
        <v>31</v>
      </c>
      <c r="D39" s="487"/>
      <c r="E39" s="26">
        <v>24.45</v>
      </c>
      <c r="F39" s="305">
        <v>2467</v>
      </c>
      <c r="G39" s="296">
        <f t="shared" si="49"/>
        <v>60318.15</v>
      </c>
      <c r="H39" s="76" t="s">
        <v>57</v>
      </c>
      <c r="I39" s="303">
        <v>20</v>
      </c>
      <c r="J39" s="18">
        <v>2400</v>
      </c>
      <c r="K39" s="9">
        <f t="shared" ref="K39:K54" si="54">J39/I39</f>
        <v>120</v>
      </c>
      <c r="L39" s="303">
        <v>20</v>
      </c>
      <c r="M39" s="10">
        <f t="shared" ref="M39:M45" si="55">F39/V39*60</f>
        <v>2176.7647058823532</v>
      </c>
      <c r="N39" s="9">
        <f t="shared" ref="N39:N45" si="56">M39/L39</f>
        <v>108.83823529411765</v>
      </c>
      <c r="O39" s="11">
        <f t="shared" si="50"/>
        <v>0</v>
      </c>
      <c r="P39" s="12">
        <f t="shared" si="51"/>
        <v>-11.161764705882348</v>
      </c>
      <c r="Q39" s="297">
        <f t="shared" si="52"/>
        <v>0.90698529411764706</v>
      </c>
      <c r="R39" s="470"/>
      <c r="S39" s="24">
        <v>0.15069444444444444</v>
      </c>
      <c r="T39" s="24">
        <v>0.19791666666666666</v>
      </c>
      <c r="U39" s="296">
        <f>(S39-T38)*24*60</f>
        <v>29.000000000000018</v>
      </c>
      <c r="V39" s="304">
        <f t="shared" si="53"/>
        <v>68</v>
      </c>
      <c r="W39" s="296"/>
      <c r="X39" s="296"/>
      <c r="Y39" s="456"/>
      <c r="Z39" s="456"/>
      <c r="AA39" s="11">
        <f t="shared" si="2"/>
        <v>-223.23529411764684</v>
      </c>
      <c r="AB39" s="297">
        <f t="shared" ref="AB39:AB68" si="57">M39/J39</f>
        <v>0.90698529411764717</v>
      </c>
      <c r="AC39" s="470"/>
    </row>
    <row r="40" spans="1:29">
      <c r="A40" s="486" t="s">
        <v>1259</v>
      </c>
      <c r="B40" s="26" t="s">
        <v>24</v>
      </c>
      <c r="C40" s="487" t="s">
        <v>32</v>
      </c>
      <c r="D40" s="487"/>
      <c r="E40" s="26">
        <v>26.2</v>
      </c>
      <c r="F40" s="305">
        <v>3196</v>
      </c>
      <c r="G40" s="296">
        <f t="shared" si="49"/>
        <v>83735.199999999997</v>
      </c>
      <c r="H40" s="76" t="s">
        <v>57</v>
      </c>
      <c r="I40" s="303">
        <v>20</v>
      </c>
      <c r="J40" s="18">
        <v>2400</v>
      </c>
      <c r="K40" s="9">
        <f t="shared" si="54"/>
        <v>120</v>
      </c>
      <c r="L40" s="303">
        <v>20</v>
      </c>
      <c r="M40" s="10">
        <f t="shared" si="55"/>
        <v>2179.090909090909</v>
      </c>
      <c r="N40" s="9">
        <f t="shared" si="56"/>
        <v>108.95454545454545</v>
      </c>
      <c r="O40" s="11">
        <f t="shared" si="50"/>
        <v>0</v>
      </c>
      <c r="P40" s="12">
        <f t="shared" si="51"/>
        <v>-11.045454545454547</v>
      </c>
      <c r="Q40" s="297">
        <f t="shared" si="52"/>
        <v>0.90795454545454546</v>
      </c>
      <c r="R40" s="470"/>
      <c r="S40" s="24">
        <v>0.20277777777777778</v>
      </c>
      <c r="T40" s="24">
        <v>0.2638888888888889</v>
      </c>
      <c r="U40" s="296">
        <f t="shared" ref="U40:U45" si="58">(S40-T39)*24*60</f>
        <v>7.0000000000000151</v>
      </c>
      <c r="V40" s="304">
        <f t="shared" si="53"/>
        <v>88</v>
      </c>
      <c r="W40" s="296"/>
      <c r="X40" s="296"/>
      <c r="Y40" s="456"/>
      <c r="Z40" s="456"/>
      <c r="AA40" s="11">
        <f t="shared" si="2"/>
        <v>-220.90909090909099</v>
      </c>
      <c r="AB40" s="297">
        <f t="shared" si="57"/>
        <v>0.90795454545454546</v>
      </c>
      <c r="AC40" s="470"/>
    </row>
    <row r="41" spans="1:29">
      <c r="A41" s="486" t="s">
        <v>1259</v>
      </c>
      <c r="B41" s="26" t="s">
        <v>24</v>
      </c>
      <c r="C41" s="487" t="s">
        <v>30</v>
      </c>
      <c r="D41" s="487"/>
      <c r="E41" s="26">
        <v>26.39</v>
      </c>
      <c r="F41" s="305">
        <v>3300</v>
      </c>
      <c r="G41" s="296">
        <f t="shared" si="49"/>
        <v>87087</v>
      </c>
      <c r="H41" s="76">
        <v>2</v>
      </c>
      <c r="I41" s="303">
        <v>19</v>
      </c>
      <c r="J41" s="18">
        <v>2400</v>
      </c>
      <c r="K41" s="9">
        <f t="shared" si="54"/>
        <v>126.31578947368421</v>
      </c>
      <c r="L41" s="303">
        <v>19</v>
      </c>
      <c r="M41" s="10">
        <f t="shared" si="55"/>
        <v>2200</v>
      </c>
      <c r="N41" s="9">
        <f t="shared" si="56"/>
        <v>115.78947368421052</v>
      </c>
      <c r="O41" s="11">
        <f t="shared" si="50"/>
        <v>0</v>
      </c>
      <c r="P41" s="12">
        <f t="shared" si="51"/>
        <v>-10.526315789473685</v>
      </c>
      <c r="Q41" s="297">
        <f t="shared" si="52"/>
        <v>0.91666666666666663</v>
      </c>
      <c r="R41" s="470"/>
      <c r="S41" s="24">
        <v>0.26874999999999999</v>
      </c>
      <c r="T41" s="24">
        <v>0.33124999999999999</v>
      </c>
      <c r="U41" s="296">
        <f t="shared" si="58"/>
        <v>6.9999999999999751</v>
      </c>
      <c r="V41" s="304">
        <f t="shared" si="53"/>
        <v>90</v>
      </c>
      <c r="W41" s="14"/>
      <c r="X41" s="14"/>
      <c r="Y41" s="456"/>
      <c r="Z41" s="456"/>
      <c r="AA41" s="11">
        <f t="shared" si="2"/>
        <v>-200</v>
      </c>
      <c r="AB41" s="297">
        <f t="shared" si="57"/>
        <v>0.91666666666666663</v>
      </c>
      <c r="AC41" s="470"/>
    </row>
    <row r="42" spans="1:29">
      <c r="A42" s="486" t="s">
        <v>1259</v>
      </c>
      <c r="B42" s="26" t="s">
        <v>24</v>
      </c>
      <c r="C42" s="487" t="s">
        <v>27</v>
      </c>
      <c r="D42" s="487"/>
      <c r="E42" s="26">
        <v>20.52</v>
      </c>
      <c r="F42" s="305">
        <v>3235</v>
      </c>
      <c r="G42" s="296">
        <f t="shared" si="49"/>
        <v>66382.2</v>
      </c>
      <c r="H42" s="76" t="s">
        <v>57</v>
      </c>
      <c r="I42" s="303">
        <v>18</v>
      </c>
      <c r="J42" s="18">
        <v>2400</v>
      </c>
      <c r="K42" s="9">
        <f t="shared" si="54"/>
        <v>133.33333333333334</v>
      </c>
      <c r="L42" s="303">
        <v>18</v>
      </c>
      <c r="M42" s="10">
        <f t="shared" si="55"/>
        <v>2180.8988764044943</v>
      </c>
      <c r="N42" s="9">
        <f t="shared" si="56"/>
        <v>121.16104868913857</v>
      </c>
      <c r="O42" s="11">
        <f t="shared" si="50"/>
        <v>0</v>
      </c>
      <c r="P42" s="12">
        <f t="shared" si="51"/>
        <v>-12.172284644194775</v>
      </c>
      <c r="Q42" s="297">
        <f t="shared" si="52"/>
        <v>0.90870786516853919</v>
      </c>
      <c r="R42" s="470"/>
      <c r="S42" s="24">
        <v>0.33680555555555552</v>
      </c>
      <c r="T42" s="24">
        <v>0.39861111111111108</v>
      </c>
      <c r="U42" s="296">
        <f t="shared" si="58"/>
        <v>7.9999999999999716</v>
      </c>
      <c r="V42" s="304">
        <f t="shared" si="53"/>
        <v>89</v>
      </c>
      <c r="W42" s="14"/>
      <c r="X42" s="14"/>
      <c r="Y42" s="456"/>
      <c r="Z42" s="456"/>
      <c r="AA42" s="11">
        <f t="shared" si="2"/>
        <v>-219.10112359550567</v>
      </c>
      <c r="AB42" s="297">
        <f t="shared" si="57"/>
        <v>0.9087078651685393</v>
      </c>
      <c r="AC42" s="470"/>
    </row>
    <row r="43" spans="1:29">
      <c r="A43" s="486" t="s">
        <v>1259</v>
      </c>
      <c r="B43" s="26" t="s">
        <v>24</v>
      </c>
      <c r="C43" s="487" t="s">
        <v>55</v>
      </c>
      <c r="D43" s="487"/>
      <c r="E43" s="26">
        <v>26.2</v>
      </c>
      <c r="F43" s="305">
        <v>4220</v>
      </c>
      <c r="G43" s="296">
        <f t="shared" si="49"/>
        <v>110564</v>
      </c>
      <c r="H43" s="76" t="s">
        <v>57</v>
      </c>
      <c r="I43" s="303">
        <v>19</v>
      </c>
      <c r="J43" s="18">
        <v>2400</v>
      </c>
      <c r="K43" s="9">
        <f t="shared" si="54"/>
        <v>126.31578947368421</v>
      </c>
      <c r="L43" s="303">
        <v>19</v>
      </c>
      <c r="M43" s="10">
        <f t="shared" si="55"/>
        <v>2182.7586206896553</v>
      </c>
      <c r="N43" s="9">
        <f t="shared" si="56"/>
        <v>114.8820326678766</v>
      </c>
      <c r="O43" s="11">
        <f t="shared" si="50"/>
        <v>0</v>
      </c>
      <c r="P43" s="12">
        <f t="shared" si="51"/>
        <v>-11.433756805807604</v>
      </c>
      <c r="Q43" s="297">
        <f t="shared" si="52"/>
        <v>0.90948275862068984</v>
      </c>
      <c r="R43" s="470"/>
      <c r="S43" s="24">
        <v>0.40208333333333329</v>
      </c>
      <c r="T43" s="24">
        <v>0.48263888888888884</v>
      </c>
      <c r="U43" s="296">
        <f t="shared" si="58"/>
        <v>4.9999999999999822</v>
      </c>
      <c r="V43" s="304">
        <f t="shared" si="53"/>
        <v>115.99999999999999</v>
      </c>
      <c r="W43" s="14"/>
      <c r="X43" s="14"/>
      <c r="Y43" s="456"/>
      <c r="Z43" s="456"/>
      <c r="AA43" s="11">
        <f t="shared" si="2"/>
        <v>-217.24137931034466</v>
      </c>
      <c r="AB43" s="297">
        <f t="shared" si="57"/>
        <v>0.90948275862068972</v>
      </c>
      <c r="AC43" s="470"/>
    </row>
    <row r="44" spans="1:29">
      <c r="A44" s="486" t="s">
        <v>1259</v>
      </c>
      <c r="B44" s="26" t="s">
        <v>24</v>
      </c>
      <c r="C44" s="487" t="s">
        <v>29</v>
      </c>
      <c r="D44" s="487"/>
      <c r="E44" s="26">
        <v>26.2</v>
      </c>
      <c r="F44" s="305">
        <v>4022</v>
      </c>
      <c r="G44" s="296">
        <f t="shared" si="49"/>
        <v>105376.4</v>
      </c>
      <c r="H44" s="76" t="s">
        <v>57</v>
      </c>
      <c r="I44" s="303">
        <v>18</v>
      </c>
      <c r="J44" s="18">
        <v>2400</v>
      </c>
      <c r="K44" s="9">
        <f t="shared" si="54"/>
        <v>133.33333333333334</v>
      </c>
      <c r="L44" s="303">
        <v>18</v>
      </c>
      <c r="M44" s="10">
        <f t="shared" si="55"/>
        <v>2174.0540540540524</v>
      </c>
      <c r="N44" s="9">
        <f t="shared" si="56"/>
        <v>120.78078078078069</v>
      </c>
      <c r="O44" s="11">
        <f t="shared" si="50"/>
        <v>0</v>
      </c>
      <c r="P44" s="12">
        <f t="shared" si="51"/>
        <v>-12.552552552552655</v>
      </c>
      <c r="Q44" s="297">
        <f t="shared" si="52"/>
        <v>0.90585585585585515</v>
      </c>
      <c r="R44" s="470"/>
      <c r="S44" s="24">
        <v>0.52222222222222214</v>
      </c>
      <c r="T44" s="24">
        <v>0.59930555555555554</v>
      </c>
      <c r="U44" s="296">
        <f t="shared" si="58"/>
        <v>56.999999999999957</v>
      </c>
      <c r="V44" s="304">
        <f t="shared" si="53"/>
        <v>111.00000000000009</v>
      </c>
      <c r="W44" s="14"/>
      <c r="X44" s="14"/>
      <c r="Y44" s="473"/>
      <c r="Z44" s="474"/>
      <c r="AA44" s="11">
        <f t="shared" si="2"/>
        <v>-225.94594594594764</v>
      </c>
      <c r="AB44" s="297">
        <f t="shared" si="57"/>
        <v>0.90585585585585515</v>
      </c>
      <c r="AC44" s="470"/>
    </row>
    <row r="45" spans="1:29">
      <c r="A45" s="486" t="s">
        <v>1259</v>
      </c>
      <c r="B45" s="26" t="s">
        <v>24</v>
      </c>
      <c r="C45" s="487" t="s">
        <v>30</v>
      </c>
      <c r="D45" s="487"/>
      <c r="E45" s="26">
        <v>26.39</v>
      </c>
      <c r="F45" s="305">
        <v>2150</v>
      </c>
      <c r="G45" s="296">
        <f t="shared" si="49"/>
        <v>56738.5</v>
      </c>
      <c r="H45" s="76" t="s">
        <v>57</v>
      </c>
      <c r="I45" s="303">
        <v>19</v>
      </c>
      <c r="J45" s="18">
        <v>2400</v>
      </c>
      <c r="K45" s="9">
        <f t="shared" si="54"/>
        <v>126.31578947368421</v>
      </c>
      <c r="L45" s="303">
        <v>19</v>
      </c>
      <c r="M45" s="10">
        <f t="shared" si="55"/>
        <v>2186.4406779661035</v>
      </c>
      <c r="N45" s="9">
        <f t="shared" si="56"/>
        <v>115.07582515611071</v>
      </c>
      <c r="O45" s="11">
        <f t="shared" si="50"/>
        <v>0</v>
      </c>
      <c r="P45" s="12">
        <f t="shared" si="51"/>
        <v>-11.239964317573495</v>
      </c>
      <c r="Q45" s="297">
        <f t="shared" si="52"/>
        <v>0.91101694915254317</v>
      </c>
      <c r="R45" s="470"/>
      <c r="S45" s="24">
        <v>0.60416666666666663</v>
      </c>
      <c r="T45" s="24">
        <v>0.64513888888888882</v>
      </c>
      <c r="U45" s="296">
        <f t="shared" si="58"/>
        <v>6.9999999999999751</v>
      </c>
      <c r="V45" s="304">
        <f t="shared" si="53"/>
        <v>58.99999999999995</v>
      </c>
      <c r="W45" s="14"/>
      <c r="X45" s="14"/>
      <c r="Y45" s="473"/>
      <c r="Z45" s="474"/>
      <c r="AA45" s="11">
        <f t="shared" si="2"/>
        <v>-213.55932203389648</v>
      </c>
      <c r="AB45" s="297">
        <f t="shared" si="57"/>
        <v>0.91101694915254317</v>
      </c>
      <c r="AC45" s="470"/>
    </row>
    <row r="46" spans="1:29">
      <c r="A46" s="486" t="s">
        <v>1259</v>
      </c>
      <c r="B46" s="16" t="s">
        <v>1254</v>
      </c>
      <c r="C46" s="466"/>
      <c r="D46" s="466"/>
      <c r="E46" s="295"/>
      <c r="F46" s="16"/>
      <c r="G46" s="9"/>
      <c r="H46" s="305"/>
      <c r="I46" s="17">
        <v>18.875</v>
      </c>
      <c r="J46" s="18">
        <v>2400</v>
      </c>
      <c r="K46" s="9">
        <f t="shared" si="54"/>
        <v>127.1523178807947</v>
      </c>
      <c r="L46" s="17">
        <v>18.875</v>
      </c>
      <c r="M46" s="10">
        <f>AVERAGE(M38:M45)</f>
        <v>2185.7362746285935</v>
      </c>
      <c r="N46" s="9">
        <f>M46/L46</f>
        <v>115.80059733131621</v>
      </c>
      <c r="O46" s="11">
        <f>L46-I46</f>
        <v>0</v>
      </c>
      <c r="P46" s="12">
        <f t="shared" si="51"/>
        <v>-11.351720549478486</v>
      </c>
      <c r="Q46" s="297">
        <f t="shared" si="52"/>
        <v>0.91072344776191394</v>
      </c>
      <c r="R46" s="470"/>
      <c r="S46" s="24"/>
      <c r="T46" s="24"/>
      <c r="U46" s="9"/>
      <c r="V46" s="304"/>
      <c r="W46" s="9"/>
      <c r="X46" s="9"/>
      <c r="Y46" s="456"/>
      <c r="Z46" s="456"/>
      <c r="AA46" s="11">
        <f t="shared" si="2"/>
        <v>-214.26372537140651</v>
      </c>
      <c r="AB46" s="297">
        <f t="shared" si="57"/>
        <v>0.91072344776191394</v>
      </c>
      <c r="AC46" s="470"/>
    </row>
    <row r="47" spans="1:29" ht="15.75" customHeight="1">
      <c r="A47" s="488" t="s">
        <v>1260</v>
      </c>
      <c r="B47" s="26" t="s">
        <v>33</v>
      </c>
      <c r="C47" s="491" t="s">
        <v>34</v>
      </c>
      <c r="D47" s="492"/>
      <c r="E47" s="26">
        <v>27.17</v>
      </c>
      <c r="F47" s="305">
        <v>2500</v>
      </c>
      <c r="G47" s="296">
        <f t="shared" ref="G47:G54" si="59">E47*F47</f>
        <v>67925</v>
      </c>
      <c r="H47" s="76">
        <v>2</v>
      </c>
      <c r="I47" s="303">
        <v>10</v>
      </c>
      <c r="J47" s="18">
        <v>3000</v>
      </c>
      <c r="K47" s="9">
        <f t="shared" si="54"/>
        <v>300</v>
      </c>
      <c r="L47" s="303">
        <v>10</v>
      </c>
      <c r="M47" s="10">
        <f t="shared" ref="M47:M48" si="60">F47/V47*60</f>
        <v>2727.2727272727266</v>
      </c>
      <c r="N47" s="10">
        <f t="shared" ref="N47:N55" si="61">M47/L47</f>
        <v>272.72727272727263</v>
      </c>
      <c r="O47" s="11">
        <f t="shared" ref="O47:O55" si="62">L47-I47</f>
        <v>0</v>
      </c>
      <c r="P47" s="12">
        <f t="shared" si="51"/>
        <v>-27.272727272727366</v>
      </c>
      <c r="Q47" s="297">
        <f t="shared" si="52"/>
        <v>0.90909090909090873</v>
      </c>
      <c r="R47" s="493">
        <f>Q55</f>
        <v>0.91373362359258803</v>
      </c>
      <c r="S47" s="24">
        <v>0.20833333333333334</v>
      </c>
      <c r="T47" s="24">
        <v>0.24652777777777779</v>
      </c>
      <c r="U47" s="15"/>
      <c r="V47" s="304">
        <f t="shared" ref="V47:V54" si="63">(T47-S47)*24*60</f>
        <v>55.000000000000007</v>
      </c>
      <c r="W47" s="296"/>
      <c r="X47" s="296"/>
      <c r="Y47" s="473"/>
      <c r="Z47" s="474"/>
      <c r="AA47" s="11">
        <f t="shared" si="2"/>
        <v>-272.72727272727343</v>
      </c>
      <c r="AB47" s="297">
        <f t="shared" si="57"/>
        <v>0.90909090909090884</v>
      </c>
      <c r="AC47" s="493">
        <f>AB55</f>
        <v>0.91373362359258803</v>
      </c>
    </row>
    <row r="48" spans="1:29" ht="15.75" customHeight="1">
      <c r="A48" s="489" t="s">
        <v>9</v>
      </c>
      <c r="B48" s="26" t="s">
        <v>33</v>
      </c>
      <c r="C48" s="491" t="s">
        <v>35</v>
      </c>
      <c r="D48" s="492"/>
      <c r="E48" s="26">
        <v>21.13</v>
      </c>
      <c r="F48" s="305">
        <v>3000</v>
      </c>
      <c r="G48" s="296">
        <f t="shared" si="59"/>
        <v>63390</v>
      </c>
      <c r="H48" s="76">
        <v>2</v>
      </c>
      <c r="I48" s="303">
        <v>10</v>
      </c>
      <c r="J48" s="18">
        <v>3000</v>
      </c>
      <c r="K48" s="9">
        <f t="shared" si="54"/>
        <v>300</v>
      </c>
      <c r="L48" s="303">
        <v>10</v>
      </c>
      <c r="M48" s="10">
        <f t="shared" si="60"/>
        <v>2727.272727272727</v>
      </c>
      <c r="N48" s="10">
        <f t="shared" si="61"/>
        <v>272.72727272727269</v>
      </c>
      <c r="O48" s="11">
        <f t="shared" si="62"/>
        <v>0</v>
      </c>
      <c r="P48" s="12">
        <f t="shared" si="51"/>
        <v>-27.272727272727309</v>
      </c>
      <c r="Q48" s="297">
        <f t="shared" si="52"/>
        <v>0.90909090909090895</v>
      </c>
      <c r="R48" s="494"/>
      <c r="S48" s="24">
        <v>0.25069444444444444</v>
      </c>
      <c r="T48" s="24">
        <v>0.29652777777777778</v>
      </c>
      <c r="U48" s="296">
        <f>(S48-T47)*24*60</f>
        <v>5.9999999999999787</v>
      </c>
      <c r="V48" s="304">
        <f t="shared" si="63"/>
        <v>66</v>
      </c>
      <c r="W48" s="14"/>
      <c r="X48" s="14"/>
      <c r="Y48" s="473"/>
      <c r="Z48" s="474"/>
      <c r="AA48" s="11">
        <f t="shared" si="2"/>
        <v>-272.72727272727298</v>
      </c>
      <c r="AB48" s="297">
        <f t="shared" si="57"/>
        <v>0.90909090909090906</v>
      </c>
      <c r="AC48" s="494"/>
    </row>
    <row r="49" spans="1:29" ht="15.75" customHeight="1">
      <c r="A49" s="489" t="s">
        <v>9</v>
      </c>
      <c r="B49" s="26" t="s">
        <v>33</v>
      </c>
      <c r="C49" s="491" t="s">
        <v>43</v>
      </c>
      <c r="D49" s="492"/>
      <c r="E49" s="26">
        <v>35.119999999999997</v>
      </c>
      <c r="F49" s="305">
        <v>4988</v>
      </c>
      <c r="G49" s="296">
        <f t="shared" si="59"/>
        <v>175178.56</v>
      </c>
      <c r="H49" s="76" t="s">
        <v>57</v>
      </c>
      <c r="I49" s="303">
        <v>10</v>
      </c>
      <c r="J49" s="18">
        <v>3000</v>
      </c>
      <c r="K49" s="9">
        <f t="shared" si="54"/>
        <v>300</v>
      </c>
      <c r="L49" s="303">
        <v>10</v>
      </c>
      <c r="M49" s="10">
        <f>F49/V49*60</f>
        <v>2720.7272727272721</v>
      </c>
      <c r="N49" s="10">
        <f t="shared" si="61"/>
        <v>272.07272727272721</v>
      </c>
      <c r="O49" s="11">
        <f t="shared" si="62"/>
        <v>0</v>
      </c>
      <c r="P49" s="12">
        <f t="shared" si="51"/>
        <v>-27.927272727272793</v>
      </c>
      <c r="Q49" s="297">
        <f t="shared" si="52"/>
        <v>0.90690909090909066</v>
      </c>
      <c r="R49" s="494"/>
      <c r="S49" s="24">
        <v>0.30138888888888887</v>
      </c>
      <c r="T49" s="24">
        <v>0.37777777777777777</v>
      </c>
      <c r="U49" s="296">
        <f t="shared" ref="U49:U54" si="64">(S49-T48)*24*60</f>
        <v>6.9999999999999751</v>
      </c>
      <c r="V49" s="304">
        <f t="shared" si="63"/>
        <v>110.00000000000001</v>
      </c>
      <c r="W49" s="14"/>
      <c r="X49" s="14"/>
      <c r="Y49" s="473"/>
      <c r="Z49" s="474"/>
      <c r="AA49" s="11">
        <f t="shared" si="2"/>
        <v>-279.27272727272793</v>
      </c>
      <c r="AB49" s="297">
        <f t="shared" si="57"/>
        <v>0.90690909090909066</v>
      </c>
      <c r="AC49" s="494"/>
    </row>
    <row r="50" spans="1:29" ht="15.75" customHeight="1">
      <c r="A50" s="489" t="s">
        <v>9</v>
      </c>
      <c r="B50" s="26" t="s">
        <v>33</v>
      </c>
      <c r="C50" s="491" t="s">
        <v>67</v>
      </c>
      <c r="D50" s="492"/>
      <c r="E50" s="26">
        <v>40.18</v>
      </c>
      <c r="F50" s="305">
        <v>2350</v>
      </c>
      <c r="G50" s="296">
        <f t="shared" si="59"/>
        <v>94423</v>
      </c>
      <c r="H50" s="76" t="s">
        <v>57</v>
      </c>
      <c r="I50" s="303">
        <v>10</v>
      </c>
      <c r="J50" s="18">
        <v>3000</v>
      </c>
      <c r="K50" s="9">
        <f t="shared" si="54"/>
        <v>300</v>
      </c>
      <c r="L50" s="303">
        <v>10</v>
      </c>
      <c r="M50" s="10">
        <f t="shared" ref="M50:M54" si="65">F50/V50*60</f>
        <v>2764.7058823529424</v>
      </c>
      <c r="N50" s="10">
        <f t="shared" si="61"/>
        <v>276.47058823529426</v>
      </c>
      <c r="O50" s="11">
        <f t="shared" si="62"/>
        <v>0</v>
      </c>
      <c r="P50" s="12">
        <f t="shared" si="51"/>
        <v>-23.529411764705742</v>
      </c>
      <c r="Q50" s="297">
        <f t="shared" si="52"/>
        <v>0.92156862745098089</v>
      </c>
      <c r="R50" s="494"/>
      <c r="S50" s="24">
        <v>0.3833333333333333</v>
      </c>
      <c r="T50" s="24">
        <v>0.41874999999999996</v>
      </c>
      <c r="U50" s="296">
        <f t="shared" si="64"/>
        <v>7.9999999999999716</v>
      </c>
      <c r="V50" s="304">
        <f t="shared" si="63"/>
        <v>50.999999999999979</v>
      </c>
      <c r="W50" s="14"/>
      <c r="X50" s="14"/>
      <c r="Y50" s="473"/>
      <c r="Z50" s="474"/>
      <c r="AA50" s="11">
        <f t="shared" si="2"/>
        <v>-235.29411764705765</v>
      </c>
      <c r="AB50" s="297">
        <f t="shared" si="57"/>
        <v>0.92156862745098078</v>
      </c>
      <c r="AC50" s="494"/>
    </row>
    <row r="51" spans="1:29" ht="15.75" customHeight="1">
      <c r="A51" s="489" t="s">
        <v>9</v>
      </c>
      <c r="B51" s="26" t="s">
        <v>33</v>
      </c>
      <c r="C51" s="491" t="s">
        <v>73</v>
      </c>
      <c r="D51" s="492"/>
      <c r="E51" s="26">
        <v>28.5</v>
      </c>
      <c r="F51" s="305">
        <v>1710</v>
      </c>
      <c r="G51" s="296">
        <f t="shared" si="59"/>
        <v>48735</v>
      </c>
      <c r="H51" s="76" t="s">
        <v>57</v>
      </c>
      <c r="I51" s="303">
        <v>10</v>
      </c>
      <c r="J51" s="18">
        <v>3000</v>
      </c>
      <c r="K51" s="9">
        <f t="shared" si="54"/>
        <v>300</v>
      </c>
      <c r="L51" s="303">
        <v>10</v>
      </c>
      <c r="M51" s="10">
        <f t="shared" si="65"/>
        <v>2772.9729729729711</v>
      </c>
      <c r="N51" s="10">
        <f t="shared" si="61"/>
        <v>277.29729729729712</v>
      </c>
      <c r="O51" s="11">
        <f t="shared" si="62"/>
        <v>0</v>
      </c>
      <c r="P51" s="12">
        <f t="shared" si="51"/>
        <v>-22.702702702702879</v>
      </c>
      <c r="Q51" s="297">
        <f>N51/K51</f>
        <v>0.92432432432432377</v>
      </c>
      <c r="R51" s="494"/>
      <c r="S51" s="24">
        <v>0.42222222222222217</v>
      </c>
      <c r="T51" s="24">
        <v>0.44791666666666663</v>
      </c>
      <c r="U51" s="296">
        <f t="shared" si="64"/>
        <v>4.9999999999999822</v>
      </c>
      <c r="V51" s="304">
        <f t="shared" si="63"/>
        <v>37.000000000000028</v>
      </c>
      <c r="W51" s="14"/>
      <c r="X51" s="14"/>
      <c r="Y51" s="473"/>
      <c r="Z51" s="474"/>
      <c r="AA51" s="11">
        <f t="shared" si="2"/>
        <v>-227.02702702702891</v>
      </c>
      <c r="AB51" s="297">
        <f t="shared" si="57"/>
        <v>0.92432432432432365</v>
      </c>
      <c r="AC51" s="494"/>
    </row>
    <row r="52" spans="1:29" ht="15.75" customHeight="1">
      <c r="A52" s="489" t="s">
        <v>9</v>
      </c>
      <c r="B52" s="26" t="s">
        <v>33</v>
      </c>
      <c r="C52" s="491" t="s">
        <v>511</v>
      </c>
      <c r="D52" s="492"/>
      <c r="E52" s="26">
        <v>35.869999999999997</v>
      </c>
      <c r="F52" s="305">
        <v>4085</v>
      </c>
      <c r="G52" s="296">
        <f t="shared" si="59"/>
        <v>146528.94999999998</v>
      </c>
      <c r="H52" s="76" t="s">
        <v>57</v>
      </c>
      <c r="I52" s="303">
        <v>10</v>
      </c>
      <c r="J52" s="18">
        <v>3000</v>
      </c>
      <c r="K52" s="9">
        <f t="shared" si="54"/>
        <v>300</v>
      </c>
      <c r="L52" s="303">
        <v>10</v>
      </c>
      <c r="M52" s="10">
        <f t="shared" si="65"/>
        <v>2723.333333333333</v>
      </c>
      <c r="N52" s="10">
        <f t="shared" si="61"/>
        <v>272.33333333333331</v>
      </c>
      <c r="O52" s="11">
        <f t="shared" si="62"/>
        <v>0</v>
      </c>
      <c r="P52" s="12">
        <f t="shared" si="51"/>
        <v>-27.666666666666686</v>
      </c>
      <c r="Q52" s="297">
        <f t="shared" ref="Q52:Q55" si="66">N52/K52</f>
        <v>0.90777777777777768</v>
      </c>
      <c r="R52" s="494"/>
      <c r="S52" s="24">
        <v>0.45277777777777772</v>
      </c>
      <c r="T52" s="24">
        <v>0.51527777777777772</v>
      </c>
      <c r="U52" s="296">
        <f t="shared" si="64"/>
        <v>6.9999999999999751</v>
      </c>
      <c r="V52" s="304">
        <f t="shared" si="63"/>
        <v>90</v>
      </c>
      <c r="W52" s="14"/>
      <c r="X52" s="14"/>
      <c r="Y52" s="473"/>
      <c r="Z52" s="474"/>
      <c r="AA52" s="11">
        <f t="shared" si="2"/>
        <v>-276.66666666666697</v>
      </c>
      <c r="AB52" s="297">
        <f t="shared" si="57"/>
        <v>0.90777777777777768</v>
      </c>
      <c r="AC52" s="494"/>
    </row>
    <row r="53" spans="1:29" ht="15.75" customHeight="1">
      <c r="A53" s="489" t="s">
        <v>9</v>
      </c>
      <c r="B53" s="26" t="s">
        <v>33</v>
      </c>
      <c r="C53" s="491" t="s">
        <v>34</v>
      </c>
      <c r="D53" s="492"/>
      <c r="E53" s="26">
        <v>27.17</v>
      </c>
      <c r="F53" s="305">
        <v>4007</v>
      </c>
      <c r="G53" s="296">
        <f t="shared" si="59"/>
        <v>108870.19</v>
      </c>
      <c r="H53" s="76" t="s">
        <v>57</v>
      </c>
      <c r="I53" s="303">
        <v>10</v>
      </c>
      <c r="J53" s="18">
        <v>3000</v>
      </c>
      <c r="K53" s="9">
        <f t="shared" si="54"/>
        <v>300</v>
      </c>
      <c r="L53" s="303">
        <v>10</v>
      </c>
      <c r="M53" s="10">
        <f t="shared" si="65"/>
        <v>2732.0454545454545</v>
      </c>
      <c r="N53" s="10">
        <f t="shared" si="61"/>
        <v>273.20454545454544</v>
      </c>
      <c r="O53" s="11">
        <f t="shared" si="62"/>
        <v>0</v>
      </c>
      <c r="P53" s="12">
        <f t="shared" si="51"/>
        <v>-26.795454545454561</v>
      </c>
      <c r="Q53" s="297">
        <f t="shared" si="66"/>
        <v>0.91068181818181815</v>
      </c>
      <c r="R53" s="494"/>
      <c r="S53" s="24">
        <v>0.55624999999999991</v>
      </c>
      <c r="T53" s="24">
        <v>0.61736111111111103</v>
      </c>
      <c r="U53" s="296">
        <f t="shared" si="64"/>
        <v>58.99999999999995</v>
      </c>
      <c r="V53" s="304">
        <f t="shared" si="63"/>
        <v>88</v>
      </c>
      <c r="W53" s="14"/>
      <c r="X53" s="14"/>
      <c r="Y53" s="473"/>
      <c r="Z53" s="474"/>
      <c r="AA53" s="11">
        <f t="shared" si="2"/>
        <v>-267.9545454545455</v>
      </c>
      <c r="AB53" s="297">
        <f t="shared" si="57"/>
        <v>0.91068181818181815</v>
      </c>
      <c r="AC53" s="494"/>
    </row>
    <row r="54" spans="1:29" ht="15.75" customHeight="1">
      <c r="A54" s="489" t="s">
        <v>9</v>
      </c>
      <c r="B54" s="26" t="s">
        <v>33</v>
      </c>
      <c r="C54" s="491" t="s">
        <v>35</v>
      </c>
      <c r="D54" s="492"/>
      <c r="E54" s="26">
        <v>21.13</v>
      </c>
      <c r="F54" s="305">
        <v>2163</v>
      </c>
      <c r="G54" s="296">
        <f t="shared" si="59"/>
        <v>45704.189999999995</v>
      </c>
      <c r="H54" s="76" t="s">
        <v>57</v>
      </c>
      <c r="I54" s="303">
        <v>10</v>
      </c>
      <c r="J54" s="18">
        <v>3000</v>
      </c>
      <c r="K54" s="9">
        <f t="shared" si="54"/>
        <v>300</v>
      </c>
      <c r="L54" s="303">
        <v>10</v>
      </c>
      <c r="M54" s="10">
        <f t="shared" si="65"/>
        <v>2761.2765957446813</v>
      </c>
      <c r="N54" s="10">
        <f t="shared" si="61"/>
        <v>276.12765957446811</v>
      </c>
      <c r="O54" s="11">
        <f t="shared" si="62"/>
        <v>0</v>
      </c>
      <c r="P54" s="12">
        <f t="shared" si="51"/>
        <v>-23.872340425531888</v>
      </c>
      <c r="Q54" s="297">
        <f t="shared" si="66"/>
        <v>0.92042553191489374</v>
      </c>
      <c r="R54" s="494"/>
      <c r="S54" s="24">
        <v>0.62152777777777768</v>
      </c>
      <c r="T54" s="24">
        <v>0.65416666666666656</v>
      </c>
      <c r="U54" s="296">
        <f t="shared" si="64"/>
        <v>5.9999999999999787</v>
      </c>
      <c r="V54" s="304">
        <f t="shared" si="63"/>
        <v>46.999999999999993</v>
      </c>
      <c r="W54" s="14"/>
      <c r="X54" s="14"/>
      <c r="Y54" s="473"/>
      <c r="Z54" s="474"/>
      <c r="AA54" s="11">
        <f t="shared" si="2"/>
        <v>-238.72340425531866</v>
      </c>
      <c r="AB54" s="297">
        <f t="shared" si="57"/>
        <v>0.92042553191489374</v>
      </c>
      <c r="AC54" s="494"/>
    </row>
    <row r="55" spans="1:29" ht="15.75" customHeight="1">
      <c r="A55" s="490" t="s">
        <v>9</v>
      </c>
      <c r="B55" s="26" t="s">
        <v>1254</v>
      </c>
      <c r="C55" s="497"/>
      <c r="D55" s="498"/>
      <c r="E55" s="302"/>
      <c r="F55" s="305"/>
      <c r="G55" s="296"/>
      <c r="H55" s="305"/>
      <c r="I55" s="17">
        <v>10</v>
      </c>
      <c r="J55" s="18">
        <v>3000</v>
      </c>
      <c r="K55" s="9">
        <f>J55/I55</f>
        <v>300</v>
      </c>
      <c r="L55" s="17">
        <v>10</v>
      </c>
      <c r="M55" s="10">
        <f>AVERAGE(M47:M54)</f>
        <v>2741.2008707777641</v>
      </c>
      <c r="N55" s="9">
        <f t="shared" si="61"/>
        <v>274.12008707777642</v>
      </c>
      <c r="O55" s="11">
        <f t="shared" si="62"/>
        <v>0</v>
      </c>
      <c r="P55" s="12">
        <f t="shared" si="51"/>
        <v>-25.879912922223582</v>
      </c>
      <c r="Q55" s="297">
        <f t="shared" si="66"/>
        <v>0.91373362359258803</v>
      </c>
      <c r="R55" s="495"/>
      <c r="S55" s="24"/>
      <c r="T55" s="24"/>
      <c r="U55" s="296"/>
      <c r="V55" s="304"/>
      <c r="W55" s="14"/>
      <c r="X55" s="14"/>
      <c r="Y55" s="473"/>
      <c r="Z55" s="474"/>
      <c r="AA55" s="11">
        <f t="shared" si="2"/>
        <v>-258.79912922223593</v>
      </c>
      <c r="AB55" s="297">
        <f t="shared" si="57"/>
        <v>0.91373362359258803</v>
      </c>
      <c r="AC55" s="495"/>
    </row>
    <row r="56" spans="1:29" ht="15.75" customHeight="1">
      <c r="A56" s="461" t="s">
        <v>1261</v>
      </c>
      <c r="B56" s="26" t="s">
        <v>15</v>
      </c>
      <c r="C56" s="487" t="s">
        <v>20</v>
      </c>
      <c r="D56" s="487"/>
      <c r="E56" s="26">
        <v>46</v>
      </c>
      <c r="F56" s="27">
        <v>3148</v>
      </c>
      <c r="G56" s="296">
        <f t="shared" ref="G56:G59" si="67">E56*F56</f>
        <v>144808</v>
      </c>
      <c r="H56" s="76" t="s">
        <v>57</v>
      </c>
      <c r="I56" s="303">
        <v>17</v>
      </c>
      <c r="J56" s="18">
        <v>1500</v>
      </c>
      <c r="K56" s="9">
        <f t="shared" ref="K56:K59" si="68">J56/I56</f>
        <v>88.235294117647058</v>
      </c>
      <c r="L56" s="303">
        <v>17</v>
      </c>
      <c r="M56" s="10">
        <f t="shared" ref="M56:M59" si="69">F56/V56*60</f>
        <v>1368.695652173913</v>
      </c>
      <c r="N56" s="10">
        <f>M56/L56</f>
        <v>80.511508951406654</v>
      </c>
      <c r="O56" s="11">
        <f>L56-I56</f>
        <v>0</v>
      </c>
      <c r="P56" s="12">
        <f>N56-K56</f>
        <v>-7.723785166240404</v>
      </c>
      <c r="Q56" s="297">
        <f>N56/K56</f>
        <v>0.9124637681159421</v>
      </c>
      <c r="R56" s="470">
        <f>Q60</f>
        <v>0.91253008344312703</v>
      </c>
      <c r="S56" s="24">
        <v>0.29305555555555557</v>
      </c>
      <c r="T56" s="24">
        <v>0.3888888888888889</v>
      </c>
      <c r="U56" s="15"/>
      <c r="V56" s="304">
        <f t="shared" ref="V56:V59" si="70">(T56-S56)*24*60</f>
        <v>138</v>
      </c>
      <c r="W56" s="15"/>
      <c r="X56" s="15"/>
      <c r="Y56" s="456"/>
      <c r="Z56" s="456"/>
      <c r="AA56" s="11">
        <f t="shared" si="2"/>
        <v>-131.304347826087</v>
      </c>
      <c r="AB56" s="297">
        <f t="shared" si="57"/>
        <v>0.91246376811594199</v>
      </c>
      <c r="AC56" s="470">
        <f>AB60</f>
        <v>0.91253008344312703</v>
      </c>
    </row>
    <row r="57" spans="1:29" ht="15.75" customHeight="1">
      <c r="A57" s="461" t="s">
        <v>10</v>
      </c>
      <c r="B57" s="26" t="s">
        <v>15</v>
      </c>
      <c r="C57" s="487" t="s">
        <v>75</v>
      </c>
      <c r="D57" s="487"/>
      <c r="E57" s="26">
        <v>46</v>
      </c>
      <c r="F57" s="27">
        <v>3754</v>
      </c>
      <c r="G57" s="296">
        <f t="shared" si="67"/>
        <v>172684</v>
      </c>
      <c r="H57" s="76" t="s">
        <v>57</v>
      </c>
      <c r="I57" s="303">
        <v>18</v>
      </c>
      <c r="J57" s="18">
        <v>1500</v>
      </c>
      <c r="K57" s="9">
        <f t="shared" si="68"/>
        <v>83.333333333333329</v>
      </c>
      <c r="L57" s="303">
        <v>18</v>
      </c>
      <c r="M57" s="10">
        <f t="shared" si="69"/>
        <v>1365.0909090909092</v>
      </c>
      <c r="N57" s="10">
        <f t="shared" ref="N57:N59" si="71">M57/L57</f>
        <v>75.838383838383848</v>
      </c>
      <c r="O57" s="11">
        <f t="shared" ref="O57:O59" si="72">L57-I57</f>
        <v>0</v>
      </c>
      <c r="P57" s="12">
        <f t="shared" ref="P57:P59" si="73">N57-K57</f>
        <v>-7.4949494949494806</v>
      </c>
      <c r="Q57" s="297">
        <f t="shared" ref="Q57:Q59" si="74">N57/K57</f>
        <v>0.91006060606060624</v>
      </c>
      <c r="R57" s="470"/>
      <c r="S57" s="24">
        <v>0.39374999999999999</v>
      </c>
      <c r="T57" s="24">
        <v>0.5083333333333333</v>
      </c>
      <c r="U57" s="296">
        <f t="shared" ref="U57:U59" si="75">(S57-T56)*24*60</f>
        <v>6.9999999999999751</v>
      </c>
      <c r="V57" s="304">
        <f t="shared" si="70"/>
        <v>164.99999999999997</v>
      </c>
      <c r="W57" s="14"/>
      <c r="X57" s="14"/>
      <c r="Y57" s="456"/>
      <c r="Z57" s="456"/>
      <c r="AA57" s="11">
        <f t="shared" si="2"/>
        <v>-134.90909090909076</v>
      </c>
      <c r="AB57" s="297">
        <f t="shared" si="57"/>
        <v>0.91006060606060613</v>
      </c>
      <c r="AC57" s="470"/>
    </row>
    <row r="58" spans="1:29" ht="15.75" customHeight="1">
      <c r="A58" s="461" t="s">
        <v>10</v>
      </c>
      <c r="B58" s="26" t="s">
        <v>13</v>
      </c>
      <c r="C58" s="491" t="s">
        <v>65</v>
      </c>
      <c r="D58" s="492"/>
      <c r="E58" s="26">
        <v>55.56</v>
      </c>
      <c r="F58" s="27">
        <v>2053</v>
      </c>
      <c r="G58" s="296">
        <f t="shared" si="67"/>
        <v>114064.68000000001</v>
      </c>
      <c r="H58" s="76" t="s">
        <v>57</v>
      </c>
      <c r="I58" s="303">
        <v>17</v>
      </c>
      <c r="J58" s="18">
        <v>1500</v>
      </c>
      <c r="K58" s="9">
        <f t="shared" si="68"/>
        <v>88.235294117647058</v>
      </c>
      <c r="L58" s="303">
        <v>17</v>
      </c>
      <c r="M58" s="10">
        <f t="shared" si="69"/>
        <v>1368.6666666666665</v>
      </c>
      <c r="N58" s="10">
        <f t="shared" si="71"/>
        <v>80.509803921568619</v>
      </c>
      <c r="O58" s="11">
        <f t="shared" si="72"/>
        <v>0</v>
      </c>
      <c r="P58" s="12">
        <f t="shared" si="73"/>
        <v>-7.7254901960784395</v>
      </c>
      <c r="Q58" s="297">
        <f t="shared" si="74"/>
        <v>0.91244444444444439</v>
      </c>
      <c r="R58" s="470"/>
      <c r="S58" s="24">
        <v>0.70833333333333337</v>
      </c>
      <c r="T58" s="24">
        <v>0.77083333333333337</v>
      </c>
      <c r="U58" s="296">
        <f t="shared" si="75"/>
        <v>288.00000000000011</v>
      </c>
      <c r="V58" s="304">
        <f t="shared" si="70"/>
        <v>90</v>
      </c>
      <c r="W58" s="14"/>
      <c r="X58" s="14"/>
      <c r="Y58" s="300"/>
      <c r="Z58" s="301"/>
      <c r="AA58" s="11">
        <f t="shared" si="2"/>
        <v>-131.33333333333348</v>
      </c>
      <c r="AB58" s="297">
        <f t="shared" si="57"/>
        <v>0.91244444444444439</v>
      </c>
      <c r="AC58" s="470"/>
    </row>
    <row r="59" spans="1:29" ht="15.75" customHeight="1">
      <c r="A59" s="461" t="s">
        <v>10</v>
      </c>
      <c r="B59" s="26" t="s">
        <v>13</v>
      </c>
      <c r="C59" s="298" t="s">
        <v>64</v>
      </c>
      <c r="D59" s="299"/>
      <c r="E59" s="26">
        <v>55.32</v>
      </c>
      <c r="F59" s="27">
        <v>1510</v>
      </c>
      <c r="G59" s="296">
        <f t="shared" si="67"/>
        <v>83533.2</v>
      </c>
      <c r="H59" s="76" t="s">
        <v>57</v>
      </c>
      <c r="I59" s="303">
        <v>15</v>
      </c>
      <c r="J59" s="18">
        <v>1500</v>
      </c>
      <c r="K59" s="9">
        <f t="shared" si="68"/>
        <v>100</v>
      </c>
      <c r="L59" s="303">
        <v>15</v>
      </c>
      <c r="M59" s="10">
        <f t="shared" si="69"/>
        <v>1372.7272727272743</v>
      </c>
      <c r="N59" s="10">
        <f t="shared" si="71"/>
        <v>91.515151515151629</v>
      </c>
      <c r="O59" s="11">
        <f t="shared" si="72"/>
        <v>0</v>
      </c>
      <c r="P59" s="12">
        <f t="shared" si="73"/>
        <v>-8.4848484848483707</v>
      </c>
      <c r="Q59" s="297">
        <f t="shared" si="74"/>
        <v>0.91515151515151627</v>
      </c>
      <c r="R59" s="470"/>
      <c r="S59" s="24">
        <v>0.77638888888888891</v>
      </c>
      <c r="T59" s="24">
        <v>0.82222222222222219</v>
      </c>
      <c r="U59" s="296">
        <f t="shared" si="75"/>
        <v>7.9999999999999716</v>
      </c>
      <c r="V59" s="304">
        <f t="shared" si="70"/>
        <v>65.999999999999929</v>
      </c>
      <c r="W59" s="14"/>
      <c r="X59" s="14"/>
      <c r="Y59" s="300"/>
      <c r="Z59" s="301"/>
      <c r="AA59" s="11">
        <f t="shared" si="2"/>
        <v>-127.27272727272566</v>
      </c>
      <c r="AB59" s="297">
        <f t="shared" si="57"/>
        <v>0.91515151515151627</v>
      </c>
      <c r="AC59" s="470"/>
    </row>
    <row r="60" spans="1:29">
      <c r="A60" s="496" t="s">
        <v>10</v>
      </c>
      <c r="B60" s="26" t="s">
        <v>1254</v>
      </c>
      <c r="C60" s="466"/>
      <c r="D60" s="466"/>
      <c r="E60" s="295"/>
      <c r="F60" s="16"/>
      <c r="G60" s="9"/>
      <c r="H60" s="305"/>
      <c r="I60" s="17">
        <v>16.75</v>
      </c>
      <c r="J60" s="18">
        <v>1500</v>
      </c>
      <c r="K60" s="9">
        <f>J60/I60</f>
        <v>89.552238805970148</v>
      </c>
      <c r="L60" s="17">
        <v>16.75</v>
      </c>
      <c r="M60" s="10">
        <f>AVERAGE(M56:M59)</f>
        <v>1368.7951251646905</v>
      </c>
      <c r="N60" s="9">
        <f>M60/L60</f>
        <v>81.719111950130781</v>
      </c>
      <c r="O60" s="11">
        <f>L60-I60</f>
        <v>0</v>
      </c>
      <c r="P60" s="12">
        <f>N60-K60</f>
        <v>-7.8331268558393674</v>
      </c>
      <c r="Q60" s="297">
        <f>N60/K60</f>
        <v>0.91253008344312703</v>
      </c>
      <c r="R60" s="470"/>
      <c r="S60" s="25"/>
      <c r="T60" s="24"/>
      <c r="U60" s="9"/>
      <c r="V60" s="304"/>
      <c r="W60" s="9"/>
      <c r="X60" s="9"/>
      <c r="Y60" s="456"/>
      <c r="Z60" s="456"/>
      <c r="AA60" s="11">
        <f t="shared" si="2"/>
        <v>-131.20487483530951</v>
      </c>
      <c r="AB60" s="297">
        <f t="shared" si="57"/>
        <v>0.91253008344312703</v>
      </c>
      <c r="AC60" s="470"/>
    </row>
    <row r="61" spans="1:29" ht="15.75" customHeight="1">
      <c r="A61" s="499" t="s">
        <v>1262</v>
      </c>
      <c r="B61" s="305" t="s">
        <v>33</v>
      </c>
      <c r="C61" s="487" t="s">
        <v>36</v>
      </c>
      <c r="D61" s="487"/>
      <c r="E61" s="26">
        <v>26.78</v>
      </c>
      <c r="F61" s="27">
        <v>2690</v>
      </c>
      <c r="G61" s="296">
        <f t="shared" ref="G61:G67" si="76">E61*F61</f>
        <v>72038.2</v>
      </c>
      <c r="H61" s="76" t="s">
        <v>57</v>
      </c>
      <c r="I61" s="303">
        <v>10</v>
      </c>
      <c r="J61" s="18">
        <v>3000</v>
      </c>
      <c r="K61" s="9">
        <f t="shared" ref="K61:K67" si="77">J61/I61</f>
        <v>300</v>
      </c>
      <c r="L61" s="17">
        <v>10</v>
      </c>
      <c r="M61" s="10">
        <f t="shared" ref="M61:M67" si="78">F61/V61*60</f>
        <v>2735.5932203389834</v>
      </c>
      <c r="N61" s="9">
        <f>M61/L61</f>
        <v>273.55932203389835</v>
      </c>
      <c r="O61" s="11">
        <f t="shared" ref="O61:O67" si="79">L61-I61</f>
        <v>0</v>
      </c>
      <c r="P61" s="12">
        <f t="shared" ref="P61:P67" si="80">N61-K61</f>
        <v>-26.440677966101646</v>
      </c>
      <c r="Q61" s="297">
        <f>N61/K61</f>
        <v>0.91186440677966119</v>
      </c>
      <c r="R61" s="470">
        <f>Q68</f>
        <v>0.91404268490987395</v>
      </c>
      <c r="S61" s="24">
        <v>0.20833333333333334</v>
      </c>
      <c r="T61" s="24">
        <v>0.24930555555555556</v>
      </c>
      <c r="U61" s="296"/>
      <c r="V61" s="304">
        <f t="shared" ref="V61:V67" si="81">(T61-S61)*24*60</f>
        <v>58.999999999999993</v>
      </c>
      <c r="W61" s="15"/>
      <c r="X61" s="15"/>
      <c r="Y61" s="456"/>
      <c r="Z61" s="456"/>
      <c r="AA61" s="11">
        <f t="shared" si="2"/>
        <v>-264.40677966101657</v>
      </c>
      <c r="AB61" s="297">
        <f t="shared" si="57"/>
        <v>0.91186440677966119</v>
      </c>
      <c r="AC61" s="470">
        <f>AB68</f>
        <v>0.91404268490987395</v>
      </c>
    </row>
    <row r="62" spans="1:29" ht="15.75" customHeight="1">
      <c r="A62" s="499" t="s">
        <v>11</v>
      </c>
      <c r="B62" s="305" t="s">
        <v>33</v>
      </c>
      <c r="C62" s="487" t="s">
        <v>42</v>
      </c>
      <c r="D62" s="487"/>
      <c r="E62" s="26">
        <v>35.369999999999997</v>
      </c>
      <c r="F62" s="27">
        <v>1861</v>
      </c>
      <c r="G62" s="296">
        <f t="shared" si="76"/>
        <v>65823.569999999992</v>
      </c>
      <c r="H62" s="76" t="s">
        <v>57</v>
      </c>
      <c r="I62" s="303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2723.4146341463406</v>
      </c>
      <c r="N62" s="9">
        <f t="shared" ref="N62:N67" si="82">M62/L62</f>
        <v>272.34146341463406</v>
      </c>
      <c r="O62" s="11">
        <f t="shared" si="79"/>
        <v>0</v>
      </c>
      <c r="P62" s="12">
        <f t="shared" si="80"/>
        <v>-27.658536585365937</v>
      </c>
      <c r="Q62" s="297">
        <f t="shared" ref="Q62:Q67" si="83">N62/K62</f>
        <v>0.90780487804878018</v>
      </c>
      <c r="R62" s="470"/>
      <c r="S62" s="24">
        <v>0.25486111111111109</v>
      </c>
      <c r="T62" s="24">
        <v>0.28333333333333333</v>
      </c>
      <c r="U62" s="296">
        <f>(S62-T61)*24*60</f>
        <v>7.9999999999999716</v>
      </c>
      <c r="V62" s="304">
        <f t="shared" si="81"/>
        <v>41.000000000000014</v>
      </c>
      <c r="W62" s="296"/>
      <c r="X62" s="296"/>
      <c r="Y62" s="456"/>
      <c r="Z62" s="456"/>
      <c r="AA62" s="11">
        <f t="shared" si="2"/>
        <v>-276.58536585365937</v>
      </c>
      <c r="AB62" s="297">
        <f t="shared" si="57"/>
        <v>0.90780487804878018</v>
      </c>
      <c r="AC62" s="470"/>
    </row>
    <row r="63" spans="1:29" ht="15.75" customHeight="1">
      <c r="A63" s="499" t="s">
        <v>11</v>
      </c>
      <c r="B63" s="305" t="s">
        <v>33</v>
      </c>
      <c r="C63" s="487" t="s">
        <v>41</v>
      </c>
      <c r="D63" s="487"/>
      <c r="E63" s="26">
        <v>34.35</v>
      </c>
      <c r="F63" s="27">
        <v>1538</v>
      </c>
      <c r="G63" s="296">
        <f t="shared" si="76"/>
        <v>52830.3</v>
      </c>
      <c r="H63" s="76" t="s">
        <v>57</v>
      </c>
      <c r="I63" s="303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2796.3636363636328</v>
      </c>
      <c r="N63" s="9">
        <f t="shared" si="82"/>
        <v>279.63636363636328</v>
      </c>
      <c r="O63" s="11">
        <f t="shared" si="79"/>
        <v>0</v>
      </c>
      <c r="P63" s="12">
        <f t="shared" si="80"/>
        <v>-20.363636363636715</v>
      </c>
      <c r="Q63" s="297">
        <f t="shared" si="83"/>
        <v>0.93212121212121091</v>
      </c>
      <c r="R63" s="470"/>
      <c r="S63" s="24">
        <v>0.28888888888888886</v>
      </c>
      <c r="T63" s="24">
        <v>0.31180555555555556</v>
      </c>
      <c r="U63" s="296">
        <f t="shared" ref="U63:U67" si="84">(S63-T62)*24*60</f>
        <v>7.9999999999999716</v>
      </c>
      <c r="V63" s="304">
        <f t="shared" si="81"/>
        <v>33.000000000000043</v>
      </c>
      <c r="W63" s="296"/>
      <c r="X63" s="296"/>
      <c r="Y63" s="456"/>
      <c r="Z63" s="456"/>
      <c r="AA63" s="11">
        <f t="shared" si="2"/>
        <v>-203.63636363636715</v>
      </c>
      <c r="AB63" s="297">
        <f t="shared" si="57"/>
        <v>0.93212121212121091</v>
      </c>
      <c r="AC63" s="470"/>
    </row>
    <row r="64" spans="1:29" ht="15.75" customHeight="1">
      <c r="A64" s="499" t="s">
        <v>11</v>
      </c>
      <c r="B64" s="305" t="s">
        <v>15</v>
      </c>
      <c r="C64" s="487" t="s">
        <v>39</v>
      </c>
      <c r="D64" s="487"/>
      <c r="E64" s="26">
        <v>26.97</v>
      </c>
      <c r="F64" s="27">
        <v>3324</v>
      </c>
      <c r="G64" s="296">
        <f t="shared" si="76"/>
        <v>89648.28</v>
      </c>
      <c r="H64" s="76" t="s">
        <v>57</v>
      </c>
      <c r="I64" s="303">
        <v>8</v>
      </c>
      <c r="J64" s="18">
        <v>1440</v>
      </c>
      <c r="K64" s="9">
        <f t="shared" si="77"/>
        <v>180</v>
      </c>
      <c r="L64" s="17">
        <v>8</v>
      </c>
      <c r="M64" s="10">
        <f t="shared" si="78"/>
        <v>1312.1052631578946</v>
      </c>
      <c r="N64" s="9">
        <f t="shared" si="82"/>
        <v>164.01315789473682</v>
      </c>
      <c r="O64" s="11">
        <f t="shared" si="79"/>
        <v>0</v>
      </c>
      <c r="P64" s="12">
        <f t="shared" si="80"/>
        <v>-15.986842105263179</v>
      </c>
      <c r="Q64" s="297">
        <f t="shared" si="83"/>
        <v>0.91118421052631571</v>
      </c>
      <c r="R64" s="470"/>
      <c r="S64" s="24">
        <v>0.31736111111111109</v>
      </c>
      <c r="T64" s="24">
        <v>0.42291666666666666</v>
      </c>
      <c r="U64" s="296">
        <f t="shared" si="84"/>
        <v>7.9999999999999716</v>
      </c>
      <c r="V64" s="304">
        <f t="shared" si="81"/>
        <v>152.00000000000003</v>
      </c>
      <c r="W64" s="296"/>
      <c r="X64" s="296"/>
      <c r="Y64" s="456"/>
      <c r="Z64" s="456"/>
      <c r="AA64" s="11">
        <f t="shared" si="2"/>
        <v>-127.89473684210543</v>
      </c>
      <c r="AB64" s="297">
        <f t="shared" si="57"/>
        <v>0.91118421052631571</v>
      </c>
      <c r="AC64" s="470"/>
    </row>
    <row r="65" spans="1:29">
      <c r="A65" s="500" t="s">
        <v>11</v>
      </c>
      <c r="B65" s="305" t="s">
        <v>33</v>
      </c>
      <c r="C65" s="487" t="s">
        <v>40</v>
      </c>
      <c r="D65" s="487"/>
      <c r="E65" s="26">
        <v>35.119999999999997</v>
      </c>
      <c r="F65" s="27">
        <v>1392</v>
      </c>
      <c r="G65" s="296">
        <f t="shared" si="76"/>
        <v>48887.039999999994</v>
      </c>
      <c r="H65" s="76" t="s">
        <v>57</v>
      </c>
      <c r="I65" s="303">
        <v>13</v>
      </c>
      <c r="J65" s="18">
        <v>2000</v>
      </c>
      <c r="K65" s="9">
        <f t="shared" si="77"/>
        <v>153.84615384615384</v>
      </c>
      <c r="L65" s="17">
        <v>13</v>
      </c>
      <c r="M65" s="10">
        <f t="shared" si="78"/>
        <v>1815.6521739130435</v>
      </c>
      <c r="N65" s="9">
        <f t="shared" si="82"/>
        <v>139.66555183946488</v>
      </c>
      <c r="O65" s="11">
        <f t="shared" si="79"/>
        <v>0</v>
      </c>
      <c r="P65" s="12">
        <f t="shared" si="80"/>
        <v>-14.180602006688957</v>
      </c>
      <c r="Q65" s="297">
        <f t="shared" si="83"/>
        <v>0.90782608695652178</v>
      </c>
      <c r="R65" s="470"/>
      <c r="S65" s="24">
        <v>0.42777777777777776</v>
      </c>
      <c r="T65" s="24">
        <v>0.4597222222222222</v>
      </c>
      <c r="U65" s="296">
        <f t="shared" si="84"/>
        <v>6.9999999999999751</v>
      </c>
      <c r="V65" s="304">
        <f t="shared" si="81"/>
        <v>46</v>
      </c>
      <c r="W65" s="14"/>
      <c r="X65" s="14"/>
      <c r="Y65" s="456"/>
      <c r="Z65" s="456"/>
      <c r="AA65" s="11">
        <f t="shared" si="2"/>
        <v>-184.3478260869565</v>
      </c>
      <c r="AB65" s="297">
        <f t="shared" si="57"/>
        <v>0.90782608695652178</v>
      </c>
      <c r="AC65" s="470"/>
    </row>
    <row r="66" spans="1:29" ht="15" customHeight="1">
      <c r="A66" s="500" t="s">
        <v>11</v>
      </c>
      <c r="B66" s="305" t="s">
        <v>33</v>
      </c>
      <c r="C66" s="491" t="s">
        <v>1194</v>
      </c>
      <c r="D66" s="492"/>
      <c r="E66" s="26">
        <v>34.26</v>
      </c>
      <c r="F66" s="27">
        <v>3000</v>
      </c>
      <c r="G66" s="296">
        <f t="shared" si="76"/>
        <v>102780</v>
      </c>
      <c r="H66" s="76">
        <v>2</v>
      </c>
      <c r="I66" s="303">
        <v>13</v>
      </c>
      <c r="J66" s="18">
        <v>3000</v>
      </c>
      <c r="K66" s="9">
        <f t="shared" si="77"/>
        <v>230.76923076923077</v>
      </c>
      <c r="L66" s="17">
        <v>13</v>
      </c>
      <c r="M66" s="10">
        <f t="shared" si="78"/>
        <v>2727.272727272727</v>
      </c>
      <c r="N66" s="9">
        <f t="shared" si="82"/>
        <v>209.79020979020976</v>
      </c>
      <c r="O66" s="11">
        <f t="shared" si="79"/>
        <v>0</v>
      </c>
      <c r="P66" s="12">
        <f t="shared" si="80"/>
        <v>-20.979020979021016</v>
      </c>
      <c r="Q66" s="297">
        <f t="shared" si="83"/>
        <v>0.90909090909090895</v>
      </c>
      <c r="R66" s="470"/>
      <c r="S66" s="24">
        <v>0.46458333333333329</v>
      </c>
      <c r="T66" s="24">
        <v>0.51041666666666663</v>
      </c>
      <c r="U66" s="296">
        <f t="shared" si="84"/>
        <v>6.9999999999999751</v>
      </c>
      <c r="V66" s="304">
        <f t="shared" si="81"/>
        <v>66</v>
      </c>
      <c r="W66" s="296"/>
      <c r="X66" s="296"/>
      <c r="Y66" s="473"/>
      <c r="Z66" s="474"/>
      <c r="AA66" s="11">
        <f t="shared" si="2"/>
        <v>-272.72727272727298</v>
      </c>
      <c r="AB66" s="297">
        <f t="shared" si="57"/>
        <v>0.90909090909090906</v>
      </c>
      <c r="AC66" s="470"/>
    </row>
    <row r="67" spans="1:29">
      <c r="A67" s="500" t="s">
        <v>11</v>
      </c>
      <c r="B67" s="305" t="s">
        <v>33</v>
      </c>
      <c r="C67" s="298" t="s">
        <v>1194</v>
      </c>
      <c r="D67" s="299"/>
      <c r="E67" s="26">
        <v>34.26</v>
      </c>
      <c r="F67" s="27">
        <v>3019</v>
      </c>
      <c r="G67" s="296">
        <f t="shared" si="76"/>
        <v>103430.93999999999</v>
      </c>
      <c r="H67" s="76" t="s">
        <v>57</v>
      </c>
      <c r="I67" s="303">
        <v>13</v>
      </c>
      <c r="J67" s="18">
        <v>3000</v>
      </c>
      <c r="K67" s="9">
        <f t="shared" si="77"/>
        <v>230.76923076923077</v>
      </c>
      <c r="L67" s="17">
        <v>13</v>
      </c>
      <c r="M67" s="10">
        <f t="shared" si="78"/>
        <v>2744.5454545454513</v>
      </c>
      <c r="N67" s="9">
        <f t="shared" si="82"/>
        <v>211.11888111888086</v>
      </c>
      <c r="O67" s="11">
        <f t="shared" si="79"/>
        <v>0</v>
      </c>
      <c r="P67" s="12">
        <f t="shared" si="80"/>
        <v>-19.650349650349909</v>
      </c>
      <c r="Q67" s="297">
        <f t="shared" si="83"/>
        <v>0.91484848484848369</v>
      </c>
      <c r="R67" s="470"/>
      <c r="S67" s="24">
        <v>0.54930555555555549</v>
      </c>
      <c r="T67" s="24">
        <v>0.59513888888888888</v>
      </c>
      <c r="U67" s="296">
        <f t="shared" si="84"/>
        <v>55.999999999999957</v>
      </c>
      <c r="V67" s="304">
        <f t="shared" si="81"/>
        <v>66.000000000000085</v>
      </c>
      <c r="W67" s="14"/>
      <c r="X67" s="14"/>
      <c r="Y67" s="300"/>
      <c r="Z67" s="301"/>
      <c r="AA67" s="11">
        <f t="shared" si="2"/>
        <v>-255.45454545454868</v>
      </c>
      <c r="AB67" s="297">
        <f t="shared" si="57"/>
        <v>0.9148484848484838</v>
      </c>
      <c r="AC67" s="470"/>
    </row>
    <row r="68" spans="1:29">
      <c r="A68" s="500" t="s">
        <v>11</v>
      </c>
      <c r="B68" s="26" t="s">
        <v>1254</v>
      </c>
      <c r="C68" s="466"/>
      <c r="D68" s="466"/>
      <c r="E68" s="295"/>
      <c r="F68" s="16"/>
      <c r="G68" s="9"/>
      <c r="H68" s="305"/>
      <c r="I68" s="17">
        <v>11</v>
      </c>
      <c r="J68" s="18">
        <v>2634.2857142857142</v>
      </c>
      <c r="K68" s="9">
        <f>J68/I68</f>
        <v>239.48051948051946</v>
      </c>
      <c r="L68" s="17">
        <v>11</v>
      </c>
      <c r="M68" s="10">
        <f>AVERAGE(M61:M67)</f>
        <v>2407.8495871054392</v>
      </c>
      <c r="N68" s="9">
        <f>M68/L68</f>
        <v>218.89541700958537</v>
      </c>
      <c r="O68" s="11">
        <f>L68-I68</f>
        <v>0</v>
      </c>
      <c r="P68" s="12">
        <f>N68-K68</f>
        <v>-20.585102470934089</v>
      </c>
      <c r="Q68" s="297">
        <f>N68/K68</f>
        <v>0.91404268490987395</v>
      </c>
      <c r="R68" s="470"/>
      <c r="S68" s="24"/>
      <c r="T68" s="24"/>
      <c r="U68" s="9"/>
      <c r="V68" s="304"/>
      <c r="W68" s="9"/>
      <c r="X68" s="9"/>
      <c r="Y68" s="456"/>
      <c r="Z68" s="456"/>
      <c r="AA68" s="11">
        <f t="shared" si="2"/>
        <v>-226.43612718027498</v>
      </c>
      <c r="AB68" s="297">
        <f t="shared" si="57"/>
        <v>0.91404268490987395</v>
      </c>
      <c r="AC68" s="470"/>
    </row>
    <row r="69" spans="1:29" ht="15.75" customHeight="1">
      <c r="A69" s="467" t="s">
        <v>1263</v>
      </c>
      <c r="B69" s="305" t="s">
        <v>24</v>
      </c>
      <c r="C69" s="487" t="s">
        <v>83</v>
      </c>
      <c r="D69" s="487"/>
      <c r="E69" s="26">
        <v>32.03</v>
      </c>
      <c r="F69" s="305">
        <v>1429</v>
      </c>
      <c r="G69" s="296">
        <f t="shared" ref="G69:G74" si="85">E69*F69</f>
        <v>45770.87</v>
      </c>
      <c r="H69" s="76" t="s">
        <v>57</v>
      </c>
      <c r="I69" s="303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2198.4615384615372</v>
      </c>
      <c r="N69" s="9">
        <f t="shared" ref="N69:N74" si="87">M69/L69</f>
        <v>115.70850202429143</v>
      </c>
      <c r="O69" s="11">
        <f t="shared" ref="O69:O74" si="88">L69-I69</f>
        <v>0</v>
      </c>
      <c r="P69" s="12">
        <f t="shared" ref="P69:P74" si="89">N69-K69</f>
        <v>-10.607287449392771</v>
      </c>
      <c r="Q69" s="297">
        <f>N69/K69</f>
        <v>0.91602564102564055</v>
      </c>
      <c r="R69" s="470">
        <f>Q75</f>
        <v>0.91012038938429041</v>
      </c>
      <c r="S69" s="24">
        <v>0.125</v>
      </c>
      <c r="T69" s="24">
        <v>0.15208333333333335</v>
      </c>
      <c r="U69" s="15"/>
      <c r="V69" s="304">
        <f t="shared" ref="V69:V74" si="90">(T69-S69)*24*60</f>
        <v>39.000000000000021</v>
      </c>
      <c r="W69" s="14"/>
      <c r="X69" s="14"/>
      <c r="Y69" s="456"/>
      <c r="Z69" s="456"/>
      <c r="AA69" s="11">
        <f t="shared" ref="AA69:AA75" si="91">M69-J69</f>
        <v>-201.5384615384628</v>
      </c>
      <c r="AB69" s="297">
        <f>M69/J69</f>
        <v>0.91602564102564055</v>
      </c>
      <c r="AC69" s="470">
        <f>AB75</f>
        <v>0.91012038938429041</v>
      </c>
    </row>
    <row r="70" spans="1:29" ht="15.75" customHeight="1">
      <c r="A70" s="467" t="s">
        <v>12</v>
      </c>
      <c r="B70" s="305" t="s">
        <v>24</v>
      </c>
      <c r="C70" s="487" t="s">
        <v>56</v>
      </c>
      <c r="D70" s="487"/>
      <c r="E70" s="26">
        <v>20.2</v>
      </c>
      <c r="F70" s="305">
        <v>2688</v>
      </c>
      <c r="G70" s="296">
        <f t="shared" si="85"/>
        <v>54297.599999999999</v>
      </c>
      <c r="H70" s="76" t="s">
        <v>57</v>
      </c>
      <c r="I70" s="303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4" si="92">F70/V70*60</f>
        <v>2179.4594594594591</v>
      </c>
      <c r="N70" s="9">
        <f t="shared" si="87"/>
        <v>114.70839260312943</v>
      </c>
      <c r="O70" s="11">
        <f t="shared" si="88"/>
        <v>0</v>
      </c>
      <c r="P70" s="12">
        <f t="shared" si="89"/>
        <v>-11.60739687055478</v>
      </c>
      <c r="Q70" s="297">
        <f t="shared" ref="Q70:Q75" si="93">N70/K70</f>
        <v>0.90810810810810794</v>
      </c>
      <c r="R70" s="470"/>
      <c r="S70" s="24">
        <v>0.17291666666666669</v>
      </c>
      <c r="T70" s="24">
        <v>0.22430555555555559</v>
      </c>
      <c r="U70" s="296">
        <f>(S70-T69)*24*60</f>
        <v>30.000000000000014</v>
      </c>
      <c r="V70" s="304">
        <f t="shared" si="90"/>
        <v>74.000000000000014</v>
      </c>
      <c r="W70" s="14"/>
      <c r="X70" s="14"/>
      <c r="Y70" s="456"/>
      <c r="Z70" s="456"/>
      <c r="AA70" s="11">
        <f t="shared" si="91"/>
        <v>-220.54054054054086</v>
      </c>
      <c r="AB70" s="297">
        <f t="shared" ref="AB70:AB75" si="94">M70/J70</f>
        <v>0.90810810810810794</v>
      </c>
      <c r="AC70" s="470"/>
    </row>
    <row r="71" spans="1:29" ht="15.75" customHeight="1">
      <c r="A71" s="467" t="s">
        <v>12</v>
      </c>
      <c r="B71" s="305" t="s">
        <v>24</v>
      </c>
      <c r="C71" s="487" t="s">
        <v>45</v>
      </c>
      <c r="D71" s="487"/>
      <c r="E71" s="26">
        <v>19.02</v>
      </c>
      <c r="F71" s="305">
        <v>4000</v>
      </c>
      <c r="G71" s="296">
        <f t="shared" si="85"/>
        <v>76080</v>
      </c>
      <c r="H71" s="76">
        <v>2</v>
      </c>
      <c r="I71" s="303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2181.8181818181824</v>
      </c>
      <c r="N71" s="9">
        <f t="shared" si="87"/>
        <v>145.4545454545455</v>
      </c>
      <c r="O71" s="11">
        <f t="shared" si="88"/>
        <v>0</v>
      </c>
      <c r="P71" s="12">
        <f t="shared" si="89"/>
        <v>-14.545454545454504</v>
      </c>
      <c r="Q71" s="297">
        <f t="shared" si="93"/>
        <v>0.90909090909090939</v>
      </c>
      <c r="R71" s="470"/>
      <c r="S71" s="24">
        <v>0.22986111111111115</v>
      </c>
      <c r="T71" s="24">
        <v>0.30625000000000002</v>
      </c>
      <c r="U71" s="296">
        <f t="shared" ref="U71:U74" si="95">(S71-T70)*24*60</f>
        <v>8.0000000000000107</v>
      </c>
      <c r="V71" s="304">
        <f t="shared" si="90"/>
        <v>109.99999999999997</v>
      </c>
      <c r="W71" s="14"/>
      <c r="X71" s="14"/>
      <c r="Y71" s="456"/>
      <c r="Z71" s="456"/>
      <c r="AA71" s="11">
        <f t="shared" si="91"/>
        <v>-218.18181818181756</v>
      </c>
      <c r="AB71" s="297">
        <f t="shared" si="94"/>
        <v>0.90909090909090939</v>
      </c>
      <c r="AC71" s="470"/>
    </row>
    <row r="72" spans="1:29" ht="15.75" customHeight="1">
      <c r="A72" s="467" t="s">
        <v>12</v>
      </c>
      <c r="B72" s="305" t="s">
        <v>24</v>
      </c>
      <c r="C72" s="487" t="s">
        <v>46</v>
      </c>
      <c r="D72" s="487"/>
      <c r="E72" s="26">
        <v>25</v>
      </c>
      <c r="F72" s="305">
        <v>4353</v>
      </c>
      <c r="G72" s="296">
        <f t="shared" si="85"/>
        <v>108825</v>
      </c>
      <c r="H72" s="76" t="s">
        <v>57</v>
      </c>
      <c r="I72" s="303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2176.5000000000005</v>
      </c>
      <c r="N72" s="9">
        <f t="shared" si="87"/>
        <v>145.10000000000002</v>
      </c>
      <c r="O72" s="11">
        <f t="shared" si="88"/>
        <v>0</v>
      </c>
      <c r="P72" s="12">
        <f t="shared" si="89"/>
        <v>-14.899999999999977</v>
      </c>
      <c r="Q72" s="297">
        <f t="shared" si="93"/>
        <v>0.9068750000000001</v>
      </c>
      <c r="R72" s="470"/>
      <c r="S72" s="24">
        <v>0.31180555555555556</v>
      </c>
      <c r="T72" s="24">
        <v>0.39513888888888887</v>
      </c>
      <c r="U72" s="296">
        <f t="shared" si="95"/>
        <v>7.9999999999999716</v>
      </c>
      <c r="V72" s="304">
        <f t="shared" si="90"/>
        <v>119.99999999999997</v>
      </c>
      <c r="W72" s="14"/>
      <c r="X72" s="14"/>
      <c r="Y72" s="456"/>
      <c r="Z72" s="456"/>
      <c r="AA72" s="11">
        <f t="shared" si="91"/>
        <v>-223.49999999999955</v>
      </c>
      <c r="AB72" s="297">
        <f t="shared" si="94"/>
        <v>0.90687500000000021</v>
      </c>
      <c r="AC72" s="470"/>
    </row>
    <row r="73" spans="1:29" ht="15.75" customHeight="1">
      <c r="A73" s="467" t="s">
        <v>12</v>
      </c>
      <c r="B73" s="305" t="s">
        <v>24</v>
      </c>
      <c r="C73" s="487" t="s">
        <v>510</v>
      </c>
      <c r="D73" s="487"/>
      <c r="E73" s="26">
        <v>28.51</v>
      </c>
      <c r="F73" s="305">
        <v>5509</v>
      </c>
      <c r="G73" s="296">
        <f t="shared" si="85"/>
        <v>157061.59</v>
      </c>
      <c r="H73" s="76" t="s">
        <v>57</v>
      </c>
      <c r="I73" s="303">
        <v>20</v>
      </c>
      <c r="J73" s="18">
        <v>2400</v>
      </c>
      <c r="K73" s="9">
        <f t="shared" ref="K73:K75" si="96">J73/I73</f>
        <v>120</v>
      </c>
      <c r="L73" s="17">
        <v>20</v>
      </c>
      <c r="M73" s="10">
        <f t="shared" si="92"/>
        <v>2189.006622516556</v>
      </c>
      <c r="N73" s="9">
        <f t="shared" si="87"/>
        <v>109.4503311258278</v>
      </c>
      <c r="O73" s="11">
        <f t="shared" si="88"/>
        <v>0</v>
      </c>
      <c r="P73" s="12">
        <f t="shared" si="89"/>
        <v>-10.549668874172198</v>
      </c>
      <c r="Q73" s="297">
        <f t="shared" si="93"/>
        <v>0.91208609271523167</v>
      </c>
      <c r="R73" s="470"/>
      <c r="S73" s="24">
        <v>0.39861111111111108</v>
      </c>
      <c r="T73" s="24">
        <v>0.50347222222222221</v>
      </c>
      <c r="U73" s="296">
        <f t="shared" si="95"/>
        <v>4.9999999999999822</v>
      </c>
      <c r="V73" s="304">
        <f t="shared" si="90"/>
        <v>151.00000000000003</v>
      </c>
      <c r="W73" s="14"/>
      <c r="X73" s="14"/>
      <c r="Y73" s="456"/>
      <c r="Z73" s="456"/>
      <c r="AA73" s="11">
        <f t="shared" si="91"/>
        <v>-210.99337748344396</v>
      </c>
      <c r="AB73" s="297">
        <f t="shared" si="94"/>
        <v>0.91208609271523167</v>
      </c>
      <c r="AC73" s="470"/>
    </row>
    <row r="74" spans="1:29" ht="15.75" customHeight="1">
      <c r="A74" s="467" t="s">
        <v>12</v>
      </c>
      <c r="B74" s="305" t="s">
        <v>24</v>
      </c>
      <c r="C74" s="487" t="s">
        <v>45</v>
      </c>
      <c r="D74" s="487"/>
      <c r="E74" s="26">
        <v>19.02</v>
      </c>
      <c r="F74" s="305">
        <v>5960</v>
      </c>
      <c r="G74" s="296">
        <f t="shared" si="85"/>
        <v>113359.2</v>
      </c>
      <c r="H74" s="76" t="s">
        <v>57</v>
      </c>
      <c r="I74" s="303">
        <v>15</v>
      </c>
      <c r="J74" s="18">
        <v>2400</v>
      </c>
      <c r="K74" s="9">
        <f t="shared" si="96"/>
        <v>160</v>
      </c>
      <c r="L74" s="17">
        <v>15</v>
      </c>
      <c r="M74" s="10">
        <f t="shared" si="92"/>
        <v>2180.4878048780479</v>
      </c>
      <c r="N74" s="9">
        <f t="shared" si="87"/>
        <v>145.36585365853654</v>
      </c>
      <c r="O74" s="11">
        <f t="shared" si="88"/>
        <v>0</v>
      </c>
      <c r="P74" s="12">
        <f t="shared" si="89"/>
        <v>-14.634146341463463</v>
      </c>
      <c r="Q74" s="297">
        <f t="shared" si="93"/>
        <v>0.90853658536585336</v>
      </c>
      <c r="R74" s="470"/>
      <c r="S74" s="24">
        <v>0.54305555555555551</v>
      </c>
      <c r="T74" s="24">
        <v>0.65694444444444444</v>
      </c>
      <c r="U74" s="296">
        <f t="shared" si="95"/>
        <v>56.999999999999957</v>
      </c>
      <c r="V74" s="304">
        <f t="shared" si="90"/>
        <v>164.00000000000006</v>
      </c>
      <c r="W74" s="14"/>
      <c r="X74" s="14"/>
      <c r="Y74" s="456"/>
      <c r="Z74" s="456"/>
      <c r="AA74" s="11">
        <f t="shared" si="91"/>
        <v>-219.51219512195212</v>
      </c>
      <c r="AB74" s="297">
        <f t="shared" si="94"/>
        <v>0.90853658536585324</v>
      </c>
      <c r="AC74" s="470"/>
    </row>
    <row r="75" spans="1:29" ht="16.5" customHeight="1">
      <c r="A75" s="501" t="s">
        <v>12</v>
      </c>
      <c r="B75" s="26" t="s">
        <v>1254</v>
      </c>
      <c r="C75" s="466"/>
      <c r="D75" s="466"/>
      <c r="E75" s="295"/>
      <c r="F75" s="16"/>
      <c r="G75" s="9"/>
      <c r="H75" s="305"/>
      <c r="I75" s="17">
        <v>17.166666666666668</v>
      </c>
      <c r="J75" s="18">
        <v>2400</v>
      </c>
      <c r="K75" s="9">
        <f t="shared" si="96"/>
        <v>139.80582524271844</v>
      </c>
      <c r="L75" s="17">
        <v>17.166666666666668</v>
      </c>
      <c r="M75" s="10">
        <f>AVERAGE(M69:M74)</f>
        <v>2184.288934522297</v>
      </c>
      <c r="N75" s="9">
        <f>M75/L75</f>
        <v>127.24013210809497</v>
      </c>
      <c r="O75" s="11">
        <f>L75-I75</f>
        <v>0</v>
      </c>
      <c r="P75" s="12">
        <f>N75-K75</f>
        <v>-12.565693134623473</v>
      </c>
      <c r="Q75" s="297">
        <f t="shared" si="93"/>
        <v>0.91012038938429041</v>
      </c>
      <c r="R75" s="470"/>
      <c r="S75" s="24"/>
      <c r="T75" s="24"/>
      <c r="U75" s="9"/>
      <c r="V75" s="304"/>
      <c r="W75" s="9"/>
      <c r="X75" s="9"/>
      <c r="Y75" s="456"/>
      <c r="Z75" s="456"/>
      <c r="AA75" s="11">
        <f t="shared" si="91"/>
        <v>-215.71106547770296</v>
      </c>
      <c r="AB75" s="297">
        <f t="shared" si="94"/>
        <v>0.91012038938429041</v>
      </c>
      <c r="AC75" s="470"/>
    </row>
    <row r="76" spans="1:29">
      <c r="D76" s="19"/>
      <c r="E76" s="19"/>
    </row>
  </sheetData>
  <mergeCells count="19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29"/>
    <mergeCell ref="C20:D20"/>
    <mergeCell ref="R20:R29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20:AC29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A30:A37"/>
    <mergeCell ref="C30:D30"/>
    <mergeCell ref="R30:R37"/>
    <mergeCell ref="Y30:Z30"/>
    <mergeCell ref="Y35:Z35"/>
    <mergeCell ref="C36:D36"/>
    <mergeCell ref="Y36:Z36"/>
    <mergeCell ref="C37:D37"/>
    <mergeCell ref="Y37:Z37"/>
    <mergeCell ref="A38:A46"/>
    <mergeCell ref="C38:D38"/>
    <mergeCell ref="R38:R46"/>
    <mergeCell ref="Y38:Z38"/>
    <mergeCell ref="AC38:AC46"/>
    <mergeCell ref="C39:D39"/>
    <mergeCell ref="Y39:Z39"/>
    <mergeCell ref="C40:D40"/>
    <mergeCell ref="Y40:Z40"/>
    <mergeCell ref="C44:D44"/>
    <mergeCell ref="Y44:Z44"/>
    <mergeCell ref="C45:D45"/>
    <mergeCell ref="Y45:Z45"/>
    <mergeCell ref="C46:D46"/>
    <mergeCell ref="Y46:Z46"/>
    <mergeCell ref="C41:D41"/>
    <mergeCell ref="Y41:Z41"/>
    <mergeCell ref="C42:D42"/>
    <mergeCell ref="Y42:Z42"/>
    <mergeCell ref="C43:D43"/>
    <mergeCell ref="Y43:Z43"/>
    <mergeCell ref="AC30:AC37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A56:A60"/>
    <mergeCell ref="C56:D56"/>
    <mergeCell ref="R56:R60"/>
    <mergeCell ref="Y56:Z56"/>
    <mergeCell ref="Y50:Z50"/>
    <mergeCell ref="C51:D51"/>
    <mergeCell ref="Y51:Z51"/>
    <mergeCell ref="C52:D52"/>
    <mergeCell ref="Y52:Z52"/>
    <mergeCell ref="C53:D53"/>
    <mergeCell ref="Y53:Z53"/>
    <mergeCell ref="A47:A55"/>
    <mergeCell ref="C47:D47"/>
    <mergeCell ref="R47:R55"/>
    <mergeCell ref="Y47:Z47"/>
    <mergeCell ref="C48:D48"/>
    <mergeCell ref="Y48:Z48"/>
    <mergeCell ref="C49:D49"/>
    <mergeCell ref="Y49:Z49"/>
    <mergeCell ref="C50:D50"/>
    <mergeCell ref="AC56:AC60"/>
    <mergeCell ref="C57:D57"/>
    <mergeCell ref="Y57:Z57"/>
    <mergeCell ref="C58:D58"/>
    <mergeCell ref="C60:D60"/>
    <mergeCell ref="Y60:Z60"/>
    <mergeCell ref="C54:D54"/>
    <mergeCell ref="Y54:Z54"/>
    <mergeCell ref="C55:D55"/>
    <mergeCell ref="Y55:Z55"/>
    <mergeCell ref="AC47:AC55"/>
    <mergeCell ref="A61:A68"/>
    <mergeCell ref="C61:D61"/>
    <mergeCell ref="R61:R68"/>
    <mergeCell ref="Y61:Z61"/>
    <mergeCell ref="AC61:AC68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C68:D68"/>
    <mergeCell ref="Y68:Z68"/>
    <mergeCell ref="Y72:Z72"/>
    <mergeCell ref="C73:D73"/>
    <mergeCell ref="Y73:Z73"/>
    <mergeCell ref="A69:A75"/>
    <mergeCell ref="C69:D69"/>
    <mergeCell ref="R69:R75"/>
    <mergeCell ref="Y69:Z69"/>
    <mergeCell ref="AC69:AC75"/>
    <mergeCell ref="C70:D70"/>
    <mergeCell ref="Y70:Z70"/>
    <mergeCell ref="C71:D71"/>
    <mergeCell ref="Y71:Z71"/>
    <mergeCell ref="C72:D72"/>
    <mergeCell ref="C74:D74"/>
    <mergeCell ref="Y74:Z74"/>
    <mergeCell ref="C75:D75"/>
    <mergeCell ref="Y75:Z75"/>
  </mergeCells>
  <phoneticPr fontId="3" type="noConversion"/>
  <conditionalFormatting sqref="O64:O75 O5:O9 O13:O15 O55:O61 O19:O52">
    <cfRule type="cellIs" dxfId="1746" priority="52" operator="greaterThan">
      <formula>0</formula>
    </cfRule>
  </conditionalFormatting>
  <conditionalFormatting sqref="P5:P7 P64:P67 AA64:AA67 P69:P74 P30:P36 P61 P9 P13:P15 P20:P28 P56:P59 P38:P52 AA5:AA61 AA69:AA75">
    <cfRule type="cellIs" dxfId="1745" priority="56" operator="lessThan">
      <formula>0</formula>
    </cfRule>
  </conditionalFormatting>
  <conditionalFormatting sqref="AB64:AB67 Q64:Q75 Q5:Q9 Q13:Q15 Q55:Q61 Q19:Q52 AB5:AB61 AB69:AB75">
    <cfRule type="cellIs" dxfId="1744" priority="53" operator="greaterThan">
      <formula>1</formula>
    </cfRule>
    <cfRule type="cellIs" dxfId="1743" priority="54" operator="lessThan">
      <formula>0.8</formula>
    </cfRule>
  </conditionalFormatting>
  <conditionalFormatting sqref="AC14:AC15 R14:R15 AC64 R19:R25 AC19:AC25 R64:R75 AC5:AC9 R5:R9 R29:R52 AC29:AC52 AC55:AC61 R55:R61">
    <cfRule type="cellIs" dxfId="1742" priority="58" operator="lessThan">
      <formula>0.8</formula>
    </cfRule>
  </conditionalFormatting>
  <conditionalFormatting sqref="AC47">
    <cfRule type="cellIs" dxfId="1741" priority="60" operator="lessThan">
      <formula>0.8</formula>
    </cfRule>
  </conditionalFormatting>
  <conditionalFormatting sqref="AC20:AC25">
    <cfRule type="cellIs" dxfId="1740" priority="57" operator="lessThan">
      <formula>0.8</formula>
    </cfRule>
  </conditionalFormatting>
  <conditionalFormatting sqref="AC30">
    <cfRule type="cellIs" dxfId="1739" priority="59" operator="lessThan">
      <formula>0.8</formula>
    </cfRule>
  </conditionalFormatting>
  <conditionalFormatting sqref="AC38:AC45">
    <cfRule type="cellIs" dxfId="1738" priority="55" operator="lessThan">
      <formula>0.8</formula>
    </cfRule>
  </conditionalFormatting>
  <conditionalFormatting sqref="AA68">
    <cfRule type="cellIs" dxfId="1737" priority="51" operator="lessThan">
      <formula>0</formula>
    </cfRule>
  </conditionalFormatting>
  <conditionalFormatting sqref="AB68">
    <cfRule type="cellIs" dxfId="1736" priority="49" operator="greaterThan">
      <formula>1</formula>
    </cfRule>
    <cfRule type="cellIs" dxfId="1735" priority="50" operator="lessThan">
      <formula>0.8</formula>
    </cfRule>
  </conditionalFormatting>
  <conditionalFormatting sqref="O16:O17">
    <cfRule type="cellIs" dxfId="1734" priority="44" operator="greaterThan">
      <formula>0</formula>
    </cfRule>
  </conditionalFormatting>
  <conditionalFormatting sqref="P16:P17">
    <cfRule type="cellIs" dxfId="1733" priority="47" operator="lessThan">
      <formula>0</formula>
    </cfRule>
  </conditionalFormatting>
  <conditionalFormatting sqref="Q16:Q17">
    <cfRule type="cellIs" dxfId="1732" priority="45" operator="greaterThan">
      <formula>1</formula>
    </cfRule>
    <cfRule type="cellIs" dxfId="1731" priority="46" operator="lessThan">
      <formula>0.8</formula>
    </cfRule>
  </conditionalFormatting>
  <conditionalFormatting sqref="R16:R17 AC16:AC17">
    <cfRule type="cellIs" dxfId="1730" priority="48" operator="lessThan">
      <formula>0.8</formula>
    </cfRule>
  </conditionalFormatting>
  <conditionalFormatting sqref="O10:O12">
    <cfRule type="cellIs" dxfId="1729" priority="40" operator="greaterThan">
      <formula>0</formula>
    </cfRule>
  </conditionalFormatting>
  <conditionalFormatting sqref="P10:P12">
    <cfRule type="cellIs" dxfId="1728" priority="43" operator="lessThan">
      <formula>0</formula>
    </cfRule>
  </conditionalFormatting>
  <conditionalFormatting sqref="Q10:Q12">
    <cfRule type="cellIs" dxfId="1727" priority="41" operator="greaterThan">
      <formula>1</formula>
    </cfRule>
    <cfRule type="cellIs" dxfId="1726" priority="42" operator="lessThan">
      <formula>0.8</formula>
    </cfRule>
  </conditionalFormatting>
  <conditionalFormatting sqref="AC27 R27">
    <cfRule type="cellIs" dxfId="1725" priority="39" operator="lessThan">
      <formula>0.8</formula>
    </cfRule>
  </conditionalFormatting>
  <conditionalFormatting sqref="O63">
    <cfRule type="cellIs" dxfId="1724" priority="34" operator="greaterThan">
      <formula>0</formula>
    </cfRule>
  </conditionalFormatting>
  <conditionalFormatting sqref="P63 AA63">
    <cfRule type="cellIs" dxfId="1723" priority="37" operator="lessThan">
      <formula>0</formula>
    </cfRule>
  </conditionalFormatting>
  <conditionalFormatting sqref="Q63 AB63">
    <cfRule type="cellIs" dxfId="1722" priority="35" operator="greaterThan">
      <formula>1</formula>
    </cfRule>
    <cfRule type="cellIs" dxfId="1721" priority="36" operator="lessThan">
      <formula>0.8</formula>
    </cfRule>
  </conditionalFormatting>
  <conditionalFormatting sqref="R63 AC63">
    <cfRule type="cellIs" dxfId="1720" priority="38" operator="lessThan">
      <formula>0.8</formula>
    </cfRule>
  </conditionalFormatting>
  <conditionalFormatting sqref="O18">
    <cfRule type="cellIs" dxfId="1719" priority="29" operator="greaterThan">
      <formula>0</formula>
    </cfRule>
  </conditionalFormatting>
  <conditionalFormatting sqref="P18">
    <cfRule type="cellIs" dxfId="1718" priority="32" operator="lessThan">
      <formula>0</formula>
    </cfRule>
  </conditionalFormatting>
  <conditionalFormatting sqref="Q18">
    <cfRule type="cellIs" dxfId="1717" priority="30" operator="greaterThan">
      <formula>1</formula>
    </cfRule>
    <cfRule type="cellIs" dxfId="1716" priority="31" operator="lessThan">
      <formula>0.8</formula>
    </cfRule>
  </conditionalFormatting>
  <conditionalFormatting sqref="R18 AC18">
    <cfRule type="cellIs" dxfId="1715" priority="33" operator="lessThan">
      <formula>0.8</formula>
    </cfRule>
  </conditionalFormatting>
  <conditionalFormatting sqref="O53">
    <cfRule type="cellIs" dxfId="1714" priority="23" operator="greaterThan">
      <formula>0</formula>
    </cfRule>
  </conditionalFormatting>
  <conditionalFormatting sqref="P53">
    <cfRule type="cellIs" dxfId="1713" priority="27" operator="lessThan">
      <formula>0</formula>
    </cfRule>
  </conditionalFormatting>
  <conditionalFormatting sqref="Q53">
    <cfRule type="cellIs" dxfId="1712" priority="24" operator="greaterThan">
      <formula>1</formula>
    </cfRule>
    <cfRule type="cellIs" dxfId="1711" priority="25" operator="lessThan">
      <formula>0.8</formula>
    </cfRule>
  </conditionalFormatting>
  <conditionalFormatting sqref="R53 AC53">
    <cfRule type="cellIs" dxfId="1710" priority="28" operator="lessThan">
      <formula>0.8</formula>
    </cfRule>
  </conditionalFormatting>
  <conditionalFormatting sqref="AC53">
    <cfRule type="cellIs" dxfId="1709" priority="26" operator="lessThan">
      <formula>0.8</formula>
    </cfRule>
  </conditionalFormatting>
  <conditionalFormatting sqref="O54">
    <cfRule type="cellIs" dxfId="1708" priority="17" operator="greaterThan">
      <formula>0</formula>
    </cfRule>
  </conditionalFormatting>
  <conditionalFormatting sqref="P54">
    <cfRule type="cellIs" dxfId="1707" priority="21" operator="lessThan">
      <formula>0</formula>
    </cfRule>
  </conditionalFormatting>
  <conditionalFormatting sqref="Q54">
    <cfRule type="cellIs" dxfId="1706" priority="18" operator="greaterThan">
      <formula>1</formula>
    </cfRule>
    <cfRule type="cellIs" dxfId="1705" priority="19" operator="lessThan">
      <formula>0.8</formula>
    </cfRule>
  </conditionalFormatting>
  <conditionalFormatting sqref="R54 AC54">
    <cfRule type="cellIs" dxfId="1704" priority="22" operator="lessThan">
      <formula>0.8</formula>
    </cfRule>
  </conditionalFormatting>
  <conditionalFormatting sqref="AC54">
    <cfRule type="cellIs" dxfId="1703" priority="20" operator="lessThan">
      <formula>0.8</formula>
    </cfRule>
  </conditionalFormatting>
  <conditionalFormatting sqref="AC28 R28">
    <cfRule type="cellIs" dxfId="1702" priority="16" operator="lessThan">
      <formula>0.8</formula>
    </cfRule>
  </conditionalFormatting>
  <conditionalFormatting sqref="R26 AC26">
    <cfRule type="cellIs" dxfId="1701" priority="15" operator="lessThan">
      <formula>0.8</formula>
    </cfRule>
  </conditionalFormatting>
  <conditionalFormatting sqref="AC26">
    <cfRule type="cellIs" dxfId="1700" priority="14" operator="lessThan">
      <formula>0.8</formula>
    </cfRule>
  </conditionalFormatting>
  <conditionalFormatting sqref="O62">
    <cfRule type="cellIs" dxfId="1699" priority="9" operator="greaterThan">
      <formula>0</formula>
    </cfRule>
  </conditionalFormatting>
  <conditionalFormatting sqref="P62 AA62">
    <cfRule type="cellIs" dxfId="1698" priority="12" operator="lessThan">
      <formula>0</formula>
    </cfRule>
  </conditionalFormatting>
  <conditionalFormatting sqref="Q62 AB62">
    <cfRule type="cellIs" dxfId="1697" priority="10" operator="greaterThan">
      <formula>1</formula>
    </cfRule>
    <cfRule type="cellIs" dxfId="1696" priority="11" operator="lessThan">
      <formula>0.8</formula>
    </cfRule>
  </conditionalFormatting>
  <conditionalFormatting sqref="R62 AC62">
    <cfRule type="cellIs" dxfId="1695" priority="13" operator="lessThan">
      <formula>0.8</formula>
    </cfRule>
  </conditionalFormatting>
  <conditionalFormatting sqref="P8">
    <cfRule type="cellIs" dxfId="1694" priority="8" operator="lessThan">
      <formula>0</formula>
    </cfRule>
  </conditionalFormatting>
  <conditionalFormatting sqref="P19">
    <cfRule type="cellIs" dxfId="1693" priority="7" operator="lessThan">
      <formula>0</formula>
    </cfRule>
  </conditionalFormatting>
  <conditionalFormatting sqref="P29">
    <cfRule type="cellIs" dxfId="1692" priority="6" operator="lessThan">
      <formula>0</formula>
    </cfRule>
  </conditionalFormatting>
  <conditionalFormatting sqref="P37">
    <cfRule type="cellIs" dxfId="1691" priority="5" operator="lessThan">
      <formula>0</formula>
    </cfRule>
  </conditionalFormatting>
  <conditionalFormatting sqref="P55">
    <cfRule type="cellIs" dxfId="1690" priority="4" operator="lessThan">
      <formula>0</formula>
    </cfRule>
  </conditionalFormatting>
  <conditionalFormatting sqref="P60">
    <cfRule type="cellIs" dxfId="1689" priority="3" operator="lessThan">
      <formula>0</formula>
    </cfRule>
  </conditionalFormatting>
  <conditionalFormatting sqref="P68">
    <cfRule type="cellIs" dxfId="1688" priority="2" operator="lessThan">
      <formula>0</formula>
    </cfRule>
  </conditionalFormatting>
  <conditionalFormatting sqref="P75">
    <cfRule type="cellIs" dxfId="1687" priority="1" operator="lessThan">
      <formula>0</formula>
    </cfRule>
  </conditionalFormatting>
  <dataValidations count="1">
    <dataValidation type="list" allowBlank="1" showInputMessage="1" showErrorMessage="1" sqref="Z8 Z65:Z67 Y5:Z7 Y8:Y67 Z10:Z61 Y68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1128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80" t="s">
        <v>509</v>
      </c>
      <c r="C3" s="421" t="str">
        <f>TEXT('0722 4度C'!A2,"yyyy.mm.ddaaaa")</f>
        <v>2025.07.22星期二</v>
      </c>
      <c r="D3" s="421"/>
      <c r="E3" s="280" t="s">
        <v>329</v>
      </c>
      <c r="F3" s="422">
        <f>'0722 4度C'!D1</f>
        <v>182125</v>
      </c>
      <c r="G3" s="422"/>
      <c r="H3" s="280" t="s">
        <v>385</v>
      </c>
      <c r="I3" s="423">
        <f>'0722 4度C'!F1</f>
        <v>6240664.3100000005</v>
      </c>
      <c r="J3" s="423"/>
      <c r="K3" s="31"/>
      <c r="L3" s="32"/>
      <c r="M3" s="33"/>
      <c r="N3" s="33"/>
    </row>
    <row r="4" spans="2:17" ht="28.5" customHeight="1">
      <c r="B4" s="424" t="s">
        <v>386</v>
      </c>
      <c r="C4" s="424" t="s">
        <v>330</v>
      </c>
      <c r="D4" s="424"/>
      <c r="E4" s="425" t="s">
        <v>331</v>
      </c>
      <c r="F4" s="425"/>
      <c r="G4" s="425" t="s">
        <v>527</v>
      </c>
      <c r="H4" s="425"/>
      <c r="I4" s="425" t="s">
        <v>528</v>
      </c>
      <c r="J4" s="425"/>
      <c r="L4" s="33"/>
      <c r="M4" s="33"/>
      <c r="N4" s="33"/>
    </row>
    <row r="5" spans="2:17" ht="28.5" customHeight="1">
      <c r="B5" s="424"/>
      <c r="C5" s="424" t="s">
        <v>655</v>
      </c>
      <c r="D5" s="424"/>
      <c r="E5" s="424" t="s">
        <v>508</v>
      </c>
      <c r="F5" s="424"/>
      <c r="G5" s="426" t="s">
        <v>388</v>
      </c>
      <c r="H5" s="426"/>
      <c r="I5" s="427" t="s">
        <v>389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140.60593677018028</v>
      </c>
      <c r="F6" s="424">
        <f>AVERAGE(D27:O27,D13:J13)</f>
        <v>143.05661522078611</v>
      </c>
      <c r="G6" s="429">
        <f>AVERAGE(D13:J13)</f>
        <v>143.05661522078611</v>
      </c>
      <c r="H6" s="429"/>
      <c r="I6" s="429">
        <f>AVERAGE(K13:M13)</f>
        <v>134.88768705210001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128.20786696399051</v>
      </c>
      <c r="F7" s="434">
        <f>AVERAGE(D28:O28,D14:J14)</f>
        <v>130.49275302741236</v>
      </c>
      <c r="G7" s="435">
        <f>AVERAGE(D14:J14)</f>
        <v>130.49275302741236</v>
      </c>
      <c r="H7" s="435"/>
      <c r="I7" s="435">
        <f>AVERAGE(K14:M14)</f>
        <v>122.87646614933948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0.91171104237238487</v>
      </c>
      <c r="F8" s="432">
        <f>AVERAGE(D15:J15,D29:O29)</f>
        <v>0.91202804575601082</v>
      </c>
      <c r="G8" s="437">
        <f>AVERAGE(D15:J15)</f>
        <v>0.91202804575601082</v>
      </c>
      <c r="H8" s="437"/>
      <c r="I8" s="437">
        <f>AVERAGE(K15:M15)</f>
        <v>0.91097136781059085</v>
      </c>
      <c r="J8" s="437"/>
      <c r="K8" s="34" t="s">
        <v>272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1169</v>
      </c>
      <c r="C10" s="439"/>
      <c r="D10" s="440" t="s">
        <v>390</v>
      </c>
      <c r="E10" s="441"/>
      <c r="F10" s="441"/>
      <c r="G10" s="441"/>
      <c r="H10" s="441"/>
      <c r="I10" s="441"/>
      <c r="J10" s="442"/>
      <c r="K10" s="443" t="s">
        <v>333</v>
      </c>
      <c r="L10" s="444"/>
      <c r="M10" s="445"/>
      <c r="P10" s="37"/>
      <c r="Q10" s="37"/>
    </row>
    <row r="11" spans="2:17" ht="17.25" customHeight="1">
      <c r="B11" s="431" t="s">
        <v>1170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334</v>
      </c>
      <c r="E12" s="42" t="s">
        <v>335</v>
      </c>
      <c r="F12" s="42" t="s">
        <v>1171</v>
      </c>
      <c r="G12" s="42" t="s">
        <v>855</v>
      </c>
      <c r="H12" s="42" t="s">
        <v>279</v>
      </c>
      <c r="I12" s="42" t="s">
        <v>455</v>
      </c>
      <c r="J12" s="43" t="s">
        <v>336</v>
      </c>
      <c r="K12" s="41" t="s">
        <v>1172</v>
      </c>
      <c r="L12" s="42" t="s">
        <v>1173</v>
      </c>
      <c r="M12" s="43" t="s">
        <v>1174</v>
      </c>
    </row>
    <row r="13" spans="2:17" ht="40.15" customHeight="1">
      <c r="B13" s="447" t="s">
        <v>1175</v>
      </c>
      <c r="C13" s="44" t="s">
        <v>459</v>
      </c>
      <c r="D13" s="45">
        <f>SUMIFS('0722 4度C'!$K:$K,'0722 4度C'!$A:$A,"燴飯線",'0722 4度C'!$B:$B,"平均")</f>
        <v>105.88235294117646</v>
      </c>
      <c r="E13" s="46">
        <f>SUMIFS('0722 4度C'!$K:$K,'0722 4度C'!$A:$A,"沙拉線一線",'0722 4度C'!$B:$B,"平均")</f>
        <v>81.081081081081081</v>
      </c>
      <c r="F13" s="47">
        <f>SUMIFS('0722 4度C'!$K:$K,'0722 4度C'!$A:$A,"沙拉線二線",'0722 4度C'!$B:$B,"平均")</f>
        <v>80.702127659574472</v>
      </c>
      <c r="G13" s="47">
        <f>SUMIFS('0722 4度C'!$K:$K,'0722 4度C'!$A:$A,"沙拉線三線",'0722 4度C'!$B:$B,"平均")</f>
        <v>104.6979865771812</v>
      </c>
      <c r="H13" s="47">
        <f>SUMIFS('0722 4度C'!$K:$K,'0722 4度C'!$A:$A,"自動包裝線",'0722 4度C'!$B:$B,"平均")</f>
        <v>300</v>
      </c>
      <c r="I13" s="47">
        <f>SUMIFS('0722 4度C'!$K:$K,'0722 4度C'!$A:$A,"涼麵一線",'0722 4度C'!$B:$B,"平均")</f>
        <v>89.552238805970148</v>
      </c>
      <c r="J13" s="48">
        <f>SUMIFS('0722 4度C'!$K:$K,'0722 4度C'!$A:$A,"三明治四線",'0722 4度C'!$B:$B,"平均")</f>
        <v>239.48051948051946</v>
      </c>
      <c r="K13" s="49">
        <f>SUMIFS('0722 4度C'!$K:$K,'0722 4度C'!$A:$A,"三明治一線",'0722 4度C'!$B:$B,"平均")</f>
        <v>137.70491803278691</v>
      </c>
      <c r="L13" s="50">
        <f>SUMIFS('0722 4度C'!$K:$K,'0722 4度C'!$A:$A,"三明治二線",'0722 4度C'!$B:$B,"平均")</f>
        <v>127.1523178807947</v>
      </c>
      <c r="M13" s="48">
        <f>SUMIFS('0722 4度C'!$K:$K,'0722 4度C'!$A:$A,"自動包裝二線",'0722 4度C'!$B:$B,"平均")</f>
        <v>139.80582524271844</v>
      </c>
    </row>
    <row r="14" spans="2:17" ht="39.6" customHeight="1">
      <c r="B14" s="447"/>
      <c r="C14" s="51" t="s">
        <v>661</v>
      </c>
      <c r="D14" s="52">
        <f>SUMIFS('0722 4度C'!$N:$N,'0722 4度C'!$A:$A,"燴飯線",'0722 4度C'!$B:$B,"平均")</f>
        <v>96.7731807413833</v>
      </c>
      <c r="E14" s="53">
        <f>SUMIFS('0722 4度C'!$N:$N,'0722 4度C'!$A:$A,"沙拉線一線",'0722 4度C'!$B:$B,"平均")</f>
        <v>73.652940195072716</v>
      </c>
      <c r="F14" s="53">
        <f>SUMIFS('0722 4度C'!$N:$N,'0722 4度C'!$A:$A,"沙拉線二線",'0722 4度C'!$B:$B,"平均")</f>
        <v>73.585722535190612</v>
      </c>
      <c r="G14" s="53">
        <f>SUMIFS('0722 4度C'!$N:$N,'0722 4度C'!$A:$A,"沙拉線三線",'0722 4度C'!$B:$B,"平均")</f>
        <v>95.635426927626412</v>
      </c>
      <c r="H14" s="53">
        <f>SUMIFS('0722 4度C'!$N:$N,'0722 4度C'!$A:$A,"自動包裝線",'0722 4度C'!$B:$B,"平均")</f>
        <v>273.17309236430162</v>
      </c>
      <c r="I14" s="53">
        <f>SUMIFS('0722 4度C'!$N:$N,'0722 4度C'!$A:$A,"涼麵一線",'0722 4度C'!$B:$B,"平均")</f>
        <v>81.629215670245983</v>
      </c>
      <c r="J14" s="54">
        <f>SUMIFS('0722 4度C'!$N:$N,'0722 4度C'!$A:$A,"三明治四線",'0722 4度C'!$B:$B,"平均")</f>
        <v>218.999692758066</v>
      </c>
      <c r="K14" s="55">
        <f>SUMIFS('0722 4度C'!$N:$N,'0722 4度C'!$A:$A,"三明治一線",'0722 4度C'!$B:$B,"平均")</f>
        <v>125.53071192093358</v>
      </c>
      <c r="L14" s="56">
        <f>SUMIFS('0722 4度C'!$N:$N,'0722 4度C'!$A:$A,"三明治二線",'0722 4度C'!$B:$B,"平均")</f>
        <v>115.8900001919318</v>
      </c>
      <c r="M14" s="54">
        <f>SUMIFS('0722 4度C'!$N:$N,'0722 4度C'!$A:$A,"自動包裝二線",'0722 4度C'!$B:$B,"平均")</f>
        <v>127.20868633515305</v>
      </c>
    </row>
    <row r="15" spans="2:17" ht="40.15" customHeight="1">
      <c r="B15" s="447"/>
      <c r="C15" s="57" t="s">
        <v>395</v>
      </c>
      <c r="D15" s="58">
        <f>D14/D13</f>
        <v>0.91396892922417572</v>
      </c>
      <c r="E15" s="59">
        <f t="shared" ref="E15:M15" si="0">E14/E13</f>
        <v>0.90838626240589682</v>
      </c>
      <c r="F15" s="59">
        <f t="shared" si="0"/>
        <v>0.91181886610966478</v>
      </c>
      <c r="G15" s="59">
        <f t="shared" si="0"/>
        <v>0.91344093668053439</v>
      </c>
      <c r="H15" s="59">
        <f>H14/H13</f>
        <v>0.91057697454767206</v>
      </c>
      <c r="I15" s="59">
        <f>I14/I13</f>
        <v>0.9115262416510802</v>
      </c>
      <c r="J15" s="60">
        <f>J14/J13</f>
        <v>0.91447810967305221</v>
      </c>
      <c r="K15" s="58">
        <f>K14/K13</f>
        <v>0.91159207466392234</v>
      </c>
      <c r="L15" s="59">
        <f>L14/L13</f>
        <v>0.91142656400946365</v>
      </c>
      <c r="M15" s="60">
        <f t="shared" si="0"/>
        <v>0.90989546475838645</v>
      </c>
    </row>
    <row r="16" spans="2:17" ht="17.25" customHeight="1">
      <c r="B16" s="430" t="s">
        <v>338</v>
      </c>
      <c r="C16" s="279" t="s">
        <v>1176</v>
      </c>
      <c r="D16" s="61">
        <f>VLOOKUP("燴飯線",'0722 4度C'!$A:$T,19,0)</f>
        <v>0.70833333333333337</v>
      </c>
      <c r="E16" s="24">
        <f>VLOOKUP("沙拉線一線",'0722 4度C'!$A:$T,19,0)</f>
        <v>0.12986111111111112</v>
      </c>
      <c r="F16" s="24">
        <f>VLOOKUP("沙拉線二線",'0722 4度C'!$A:$T,19,0)</f>
        <v>0.25</v>
      </c>
      <c r="G16" s="24">
        <f>VLOOKUP("沙拉線三線",'0722 4度C'!$A:$T,19,0)</f>
        <v>0.16666666666666666</v>
      </c>
      <c r="H16" s="24">
        <f>VLOOKUP("自動包裝線",'0722 4度C'!$A:$T,19,0)</f>
        <v>0.20833333333333334</v>
      </c>
      <c r="I16" s="24">
        <f>VLOOKUP("涼麵一線",'0722 4度C'!$A:$T,19,0)</f>
        <v>0.29305555555555557</v>
      </c>
      <c r="J16" s="62">
        <f>VLOOKUP("三明治四線",'0722 4度C'!$A:$T,19,0)</f>
        <v>0.20833333333333334</v>
      </c>
      <c r="K16" s="63">
        <f>VLOOKUP("三明治一線",'0722 4度C'!$A:$T,19,0)</f>
        <v>0.125</v>
      </c>
      <c r="L16" s="64">
        <f>VLOOKUP("三明治二線",'0722 4度C'!$A:$T,19,0)</f>
        <v>8.3333333333333329E-2</v>
      </c>
      <c r="M16" s="65">
        <f>VLOOKUP("自動包裝二線",'0722 4度C'!$A:$T,19,0)</f>
        <v>0.125</v>
      </c>
    </row>
    <row r="17" spans="2:13" ht="17.25" customHeight="1">
      <c r="B17" s="431"/>
      <c r="C17" s="279" t="s">
        <v>340</v>
      </c>
      <c r="D17" s="63">
        <f>LOOKUP(2,1/(('0722 4度C'!$A:$A="燴飯線")*('0722 4度C'!$T:$T&lt;&gt;"")),'0722 4度C'!$T:$T)</f>
        <v>0.86111111111111116</v>
      </c>
      <c r="E17" s="24">
        <f>LOOKUP(2,1/(('0722 4度C'!$A:$A="沙拉線一線")*('0722 4度C'!$T:$T&lt;&gt;"")),'0722 4度C'!$T:$T)</f>
        <v>0.65555555555555556</v>
      </c>
      <c r="F17" s="24">
        <f>LOOKUP(2,1/(('0722 4度C'!$A:$A="沙拉線二線")*('0722 4度C'!$T:$T&lt;&gt;"")),'0722 4度C'!$T:$T)</f>
        <v>0.84375</v>
      </c>
      <c r="G17" s="24">
        <f>LOOKUP(2,1/(('0722 4度C'!$A:$A="沙拉線三線")*('0722 4度C'!$T:$T&lt;&gt;"")),'0722 4度C'!$T:$T)</f>
        <v>1.0027777777777778</v>
      </c>
      <c r="H17" s="24">
        <f>LOOKUP(2,1/(('0722 4度C'!$A:$A="自動包裝線")*('0722 4度C'!$T:$T&lt;&gt;"")),'0722 4度C'!$T:$T)</f>
        <v>0.63611111111111107</v>
      </c>
      <c r="I17" s="24">
        <f>LOOKUP(2,1/(('0722 4度C'!$A:$A="涼麵一線")*('0722 4度C'!$T:$T&lt;&gt;"")),'0722 4度C'!$T:$T)</f>
        <v>0.83611111111111114</v>
      </c>
      <c r="J17" s="62">
        <f>LOOKUP(2,1/(('0722 4度C'!$A:$A="三明治四線")*('0722 4度C'!$T:$T&lt;&gt;"")),'0722 4度C'!$T:$T)</f>
        <v>0.62499999999999989</v>
      </c>
      <c r="K17" s="61">
        <f>LOOKUP(2,1/(('0722 4度C'!$A:$A="三明治一線")*('0722 4度C'!$T:$T&lt;&gt;"")),'0722 4度C'!$T:$T)</f>
        <v>0.6993055555555554</v>
      </c>
      <c r="L17" s="24">
        <f>LOOKUP(2,1/(('0722 4度C'!$A:$A="三明治二線")*('0722 4度C'!$T:$T&lt;&gt;"")),'0722 4度C'!$T:$T)</f>
        <v>0.64861111111111092</v>
      </c>
      <c r="M17" s="62">
        <f>LOOKUP(2,1/(('0722 4度C'!$A:$A="自動包裝二線")*('0722 4度C'!$T:$T&lt;&gt;"")),'0722 4度C'!$T:$T)</f>
        <v>0.65416666666666667</v>
      </c>
    </row>
    <row r="18" spans="2:13" ht="17.25" customHeight="1">
      <c r="B18" s="431" t="s">
        <v>341</v>
      </c>
      <c r="C18" s="446"/>
      <c r="D18" s="66">
        <f>SUMIFS('0722 4度C'!$I:$I,'0722 4度C'!$A:$A,"燴飯線",'0722 4度C'!$B:$B,"平均")</f>
        <v>17</v>
      </c>
      <c r="E18" s="67">
        <f>SUMIFS('0722 4度C'!$I:$I,'0722 4度C'!$A:$A,"沙拉線一線",'0722 4度C'!$B:$B,"平均")</f>
        <v>18.5</v>
      </c>
      <c r="F18" s="67">
        <f>SUMIFS('0722 4度C'!$I:$I,'0722 4度C'!$A:$A,"沙拉線二線",'0722 4度C'!$B:$B,"平均")</f>
        <v>18.8</v>
      </c>
      <c r="G18" s="67">
        <f>SUMIFS('0722 4度C'!$I:$I,'0722 4度C'!$A:$A,"沙拉線三線",'0722 4度C'!$B:$B,"平均")</f>
        <v>16.555555555555557</v>
      </c>
      <c r="H18" s="67">
        <f>SUMIFS('0722 4度C'!$I:$I,'0722 4度C'!$A:$A,"自動包裝線",'0722 4度C'!$B:$B,"平均")</f>
        <v>10</v>
      </c>
      <c r="I18" s="67">
        <f>SUMIFS('0722 4度C'!$I:$I,'0722 4度C'!$A:$A,"涼麵一線",'0722 4度C'!$B:$B,"平均")</f>
        <v>16.75</v>
      </c>
      <c r="J18" s="68">
        <f>SUMIFS('0722 4度C'!$I:$I,'0722 4度C'!$A:$A,"三明治四線",'0722 4度C'!$B:$B,"平均")</f>
        <v>11</v>
      </c>
      <c r="K18" s="66">
        <f>SUMIFS('0722 4度C'!$I:$I,'0722 4度C'!$A:$A,"三明治一線",'0722 4度C'!$B:$B,"平均")</f>
        <v>17.428571428571427</v>
      </c>
      <c r="L18" s="67">
        <f>SUMIFS('0722 4度C'!$I:$I,'0722 4度C'!$A:$A,"三明治二線",'0722 4度C'!$B:$B,"平均")</f>
        <v>18.875</v>
      </c>
      <c r="M18" s="68">
        <f>SUMIFS('0722 4度C'!$I:$I,'0722 4度C'!$A:$A,"自動包裝二線",'0722 4度C'!$B:$B,"平均")</f>
        <v>17.166666666666668</v>
      </c>
    </row>
    <row r="19" spans="2:13" ht="17.25" customHeight="1">
      <c r="B19" s="448" t="s">
        <v>1177</v>
      </c>
      <c r="C19" s="449"/>
      <c r="D19" s="69" t="s">
        <v>50</v>
      </c>
      <c r="E19" s="70" t="s">
        <v>51</v>
      </c>
      <c r="F19" s="70" t="s">
        <v>397</v>
      </c>
      <c r="G19" s="70" t="s">
        <v>397</v>
      </c>
      <c r="H19" s="70" t="s">
        <v>52</v>
      </c>
      <c r="I19" s="70" t="s">
        <v>50</v>
      </c>
      <c r="J19" s="71" t="s">
        <v>52</v>
      </c>
      <c r="K19" s="69" t="s">
        <v>1178</v>
      </c>
      <c r="L19" s="70" t="s">
        <v>288</v>
      </c>
      <c r="M19" s="71" t="s">
        <v>1178</v>
      </c>
    </row>
    <row r="20" spans="2:13" ht="17.25" customHeight="1">
      <c r="B20" s="448" t="s">
        <v>623</v>
      </c>
      <c r="C20" s="449"/>
      <c r="D20" s="69"/>
      <c r="E20" s="70"/>
      <c r="F20" s="70" t="s">
        <v>342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343</v>
      </c>
      <c r="C21" s="451"/>
      <c r="D21" s="72"/>
      <c r="E21" s="73" t="s">
        <v>344</v>
      </c>
      <c r="F21" s="452" t="s">
        <v>260</v>
      </c>
      <c r="G21" s="453"/>
      <c r="H21" s="73" t="s">
        <v>290</v>
      </c>
      <c r="I21" s="73" t="s">
        <v>402</v>
      </c>
      <c r="J21" s="74" t="s">
        <v>290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68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6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345</v>
      </c>
      <c r="B1" s="1"/>
      <c r="C1" s="2" t="s">
        <v>346</v>
      </c>
      <c r="D1" s="3">
        <f>SUM(F5:F75)</f>
        <v>182125</v>
      </c>
      <c r="E1" s="282" t="s">
        <v>295</v>
      </c>
      <c r="F1" s="1">
        <f>SUM(G5:G75)</f>
        <v>6240664.3100000005</v>
      </c>
      <c r="G1" s="1" t="s">
        <v>348</v>
      </c>
      <c r="H1" s="4">
        <f>L8+L13+L55+L60+L19+L68+L37+L46+L29+L75</f>
        <v>162.07579365079366</v>
      </c>
      <c r="I1" s="454" t="s">
        <v>1179</v>
      </c>
      <c r="J1" s="454"/>
      <c r="K1" s="454"/>
      <c r="L1" s="454" t="s">
        <v>350</v>
      </c>
      <c r="M1" s="454"/>
      <c r="N1" s="454"/>
      <c r="O1" s="454" t="s">
        <v>299</v>
      </c>
      <c r="P1" s="454"/>
      <c r="Q1" s="454"/>
      <c r="R1" s="454"/>
      <c r="S1" s="454" t="s">
        <v>1180</v>
      </c>
      <c r="T1" s="454"/>
      <c r="U1" s="454"/>
      <c r="V1" s="454"/>
      <c r="W1" s="454"/>
      <c r="X1" s="454"/>
      <c r="Y1" s="454" t="s">
        <v>353</v>
      </c>
      <c r="Z1" s="454"/>
      <c r="AA1" s="454" t="s">
        <v>354</v>
      </c>
      <c r="AB1" s="455"/>
      <c r="AC1" s="455"/>
    </row>
    <row r="2" spans="1:29" ht="26.25" customHeight="1">
      <c r="A2" s="22">
        <v>45860</v>
      </c>
      <c r="B2" s="23" t="s">
        <v>74</v>
      </c>
      <c r="C2" s="2" t="s">
        <v>304</v>
      </c>
      <c r="D2" s="6">
        <f>AVERAGE(N8,N13,N55,N60,N19,N68,N29,N37,N46,N75)</f>
        <v>128.20786696399051</v>
      </c>
      <c r="E2" s="7" t="s">
        <v>0</v>
      </c>
      <c r="F2" s="8">
        <f>F1/D1</f>
        <v>34.26583011667811</v>
      </c>
      <c r="G2" s="1" t="s">
        <v>357</v>
      </c>
      <c r="H2" s="292">
        <f>COUNT(H5:H75)</f>
        <v>10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358</v>
      </c>
      <c r="B3" s="456" t="s">
        <v>359</v>
      </c>
      <c r="C3" s="456" t="s">
        <v>360</v>
      </c>
      <c r="D3" s="456"/>
      <c r="E3" s="457" t="s">
        <v>1181</v>
      </c>
      <c r="F3" s="456" t="s">
        <v>362</v>
      </c>
      <c r="G3" s="457" t="s">
        <v>363</v>
      </c>
      <c r="H3" s="463" t="s">
        <v>1182</v>
      </c>
      <c r="I3" s="464" t="s">
        <v>365</v>
      </c>
      <c r="J3" s="465" t="s">
        <v>366</v>
      </c>
      <c r="K3" s="459" t="s">
        <v>1183</v>
      </c>
      <c r="L3" s="464" t="s">
        <v>365</v>
      </c>
      <c r="M3" s="465" t="s">
        <v>1184</v>
      </c>
      <c r="N3" s="459" t="s">
        <v>1183</v>
      </c>
      <c r="O3" s="464" t="s">
        <v>365</v>
      </c>
      <c r="P3" s="459" t="s">
        <v>304</v>
      </c>
      <c r="Q3" s="460" t="s">
        <v>316</v>
      </c>
      <c r="R3" s="461" t="s">
        <v>368</v>
      </c>
      <c r="S3" s="462" t="s">
        <v>1</v>
      </c>
      <c r="T3" s="462"/>
      <c r="U3" s="463" t="s">
        <v>2</v>
      </c>
      <c r="V3" s="463" t="s">
        <v>369</v>
      </c>
      <c r="W3" s="456" t="s">
        <v>230</v>
      </c>
      <c r="X3" s="456"/>
      <c r="Y3" s="475" t="s">
        <v>320</v>
      </c>
      <c r="Z3" s="476"/>
      <c r="AA3" s="465" t="s">
        <v>366</v>
      </c>
      <c r="AB3" s="460" t="s">
        <v>1185</v>
      </c>
      <c r="AC3" s="461" t="s">
        <v>368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91" t="s">
        <v>3</v>
      </c>
      <c r="T4" s="291" t="s">
        <v>4</v>
      </c>
      <c r="U4" s="463"/>
      <c r="V4" s="463"/>
      <c r="W4" s="282" t="s">
        <v>372</v>
      </c>
      <c r="X4" s="282" t="s">
        <v>373</v>
      </c>
      <c r="Y4" s="476"/>
      <c r="Z4" s="476"/>
      <c r="AA4" s="465"/>
      <c r="AB4" s="460"/>
      <c r="AC4" s="461"/>
    </row>
    <row r="5" spans="1:29">
      <c r="A5" s="471" t="s">
        <v>323</v>
      </c>
      <c r="B5" s="26" t="s">
        <v>13</v>
      </c>
      <c r="C5" s="472" t="s">
        <v>58</v>
      </c>
      <c r="D5" s="472"/>
      <c r="E5" s="26">
        <v>46.93</v>
      </c>
      <c r="F5" s="291">
        <v>1106</v>
      </c>
      <c r="G5" s="282">
        <f>E5*F5</f>
        <v>51904.58</v>
      </c>
      <c r="H5" s="76" t="s">
        <v>57</v>
      </c>
      <c r="I5" s="289">
        <v>17</v>
      </c>
      <c r="J5" s="18">
        <v>1800</v>
      </c>
      <c r="K5" s="9">
        <f>J5/I5</f>
        <v>105.88235294117646</v>
      </c>
      <c r="L5" s="289">
        <v>17</v>
      </c>
      <c r="M5" s="10">
        <f>F5/V5*60</f>
        <v>1658.9999999999995</v>
      </c>
      <c r="N5" s="9">
        <f>M5/L5</f>
        <v>97.588235294117624</v>
      </c>
      <c r="O5" s="11">
        <f t="shared" ref="O5:O7" si="0">L5-I5</f>
        <v>0</v>
      </c>
      <c r="P5" s="12">
        <f t="shared" ref="P5:P7" si="1">N5-K5</f>
        <v>-8.2941176470588402</v>
      </c>
      <c r="Q5" s="283">
        <f>N5/K5</f>
        <v>0.92166666666666652</v>
      </c>
      <c r="R5" s="470">
        <f>Q8</f>
        <v>0.91396892922417572</v>
      </c>
      <c r="S5" s="24">
        <v>0.70833333333333337</v>
      </c>
      <c r="T5" s="24">
        <v>0.73611111111111116</v>
      </c>
      <c r="U5" s="282"/>
      <c r="V5" s="290">
        <f>(T5-S5)*24*60</f>
        <v>40.000000000000014</v>
      </c>
      <c r="W5" s="13"/>
      <c r="X5" s="13"/>
      <c r="Y5" s="456"/>
      <c r="Z5" s="456"/>
      <c r="AA5" s="11">
        <f t="shared" ref="AA5:AA68" si="2">M5-J5</f>
        <v>-141.00000000000045</v>
      </c>
      <c r="AB5" s="283">
        <f t="shared" ref="AB5:AB7" si="3">M5/J5</f>
        <v>0.92166666666666641</v>
      </c>
      <c r="AC5" s="470">
        <f>AB8</f>
        <v>0.91396892922417561</v>
      </c>
    </row>
    <row r="6" spans="1:29">
      <c r="A6" s="464" t="s">
        <v>323</v>
      </c>
      <c r="B6" s="26" t="s">
        <v>13</v>
      </c>
      <c r="C6" s="472" t="s">
        <v>60</v>
      </c>
      <c r="D6" s="472"/>
      <c r="E6" s="26">
        <v>50.49</v>
      </c>
      <c r="F6" s="291">
        <v>2239</v>
      </c>
      <c r="G6" s="282">
        <f t="shared" ref="G6:G7" si="4">E6*F6</f>
        <v>113047.11</v>
      </c>
      <c r="H6" s="76" t="s">
        <v>57</v>
      </c>
      <c r="I6" s="289">
        <v>16</v>
      </c>
      <c r="J6" s="18">
        <v>1800</v>
      </c>
      <c r="K6" s="9">
        <f t="shared" ref="K6:K7" si="5">J6/I6</f>
        <v>112.5</v>
      </c>
      <c r="L6" s="289">
        <v>16</v>
      </c>
      <c r="M6" s="10">
        <f>F6/V6*60</f>
        <v>1638.2926829268285</v>
      </c>
      <c r="N6" s="9">
        <f t="shared" ref="N6:N7" si="6">M6/L6</f>
        <v>102.39329268292678</v>
      </c>
      <c r="O6" s="11">
        <f t="shared" si="0"/>
        <v>0</v>
      </c>
      <c r="P6" s="12">
        <f t="shared" si="1"/>
        <v>-10.106707317073216</v>
      </c>
      <c r="Q6" s="283">
        <f t="shared" ref="Q6:Q7" si="7">N6/K6</f>
        <v>0.91016260162601581</v>
      </c>
      <c r="R6" s="470"/>
      <c r="S6" s="24">
        <v>0.74027777777777781</v>
      </c>
      <c r="T6" s="24">
        <v>0.79722222222222228</v>
      </c>
      <c r="U6" s="282">
        <f>(S6-T5)*24*60</f>
        <v>5.9999999999999787</v>
      </c>
      <c r="V6" s="290">
        <f>(T6-S6)*24*60</f>
        <v>82.000000000000028</v>
      </c>
      <c r="W6" s="14"/>
      <c r="X6" s="14"/>
      <c r="Y6" s="456"/>
      <c r="Z6" s="456"/>
      <c r="AA6" s="11">
        <f t="shared" si="2"/>
        <v>-161.70731707317145</v>
      </c>
      <c r="AB6" s="283">
        <f t="shared" si="3"/>
        <v>0.91016260162601581</v>
      </c>
      <c r="AC6" s="470"/>
    </row>
    <row r="7" spans="1:29">
      <c r="A7" s="464" t="s">
        <v>323</v>
      </c>
      <c r="B7" s="26" t="s">
        <v>13</v>
      </c>
      <c r="C7" s="468" t="s">
        <v>448</v>
      </c>
      <c r="D7" s="469"/>
      <c r="E7" s="26">
        <v>50.67</v>
      </c>
      <c r="F7" s="291">
        <v>2348</v>
      </c>
      <c r="G7" s="282">
        <f t="shared" si="4"/>
        <v>118973.16</v>
      </c>
      <c r="H7" s="76" t="s">
        <v>57</v>
      </c>
      <c r="I7" s="289">
        <v>18</v>
      </c>
      <c r="J7" s="18">
        <v>1800</v>
      </c>
      <c r="K7" s="9">
        <f t="shared" si="5"/>
        <v>100</v>
      </c>
      <c r="L7" s="289">
        <v>18</v>
      </c>
      <c r="M7" s="10">
        <f t="shared" ref="M7" si="8">F7/V7*60</f>
        <v>1638.1395348837207</v>
      </c>
      <c r="N7" s="9">
        <f t="shared" si="6"/>
        <v>91.00775193798448</v>
      </c>
      <c r="O7" s="11">
        <f t="shared" si="0"/>
        <v>0</v>
      </c>
      <c r="P7" s="12">
        <f t="shared" si="1"/>
        <v>-8.9922480620155198</v>
      </c>
      <c r="Q7" s="283">
        <f t="shared" si="7"/>
        <v>0.91007751937984482</v>
      </c>
      <c r="R7" s="470"/>
      <c r="S7" s="24">
        <v>0.80138888888888893</v>
      </c>
      <c r="T7" s="24">
        <v>0.86111111111111116</v>
      </c>
      <c r="U7" s="282">
        <f t="shared" ref="U7" si="9">(S7-T6)*24*60</f>
        <v>5.9999999999999787</v>
      </c>
      <c r="V7" s="290">
        <f t="shared" ref="V7" si="10">(T7-S7)*24*60</f>
        <v>86.000000000000014</v>
      </c>
      <c r="W7" s="14"/>
      <c r="X7" s="14"/>
      <c r="Y7" s="473"/>
      <c r="Z7" s="474"/>
      <c r="AA7" s="11">
        <f t="shared" si="2"/>
        <v>-161.86046511627933</v>
      </c>
      <c r="AB7" s="283">
        <f t="shared" si="3"/>
        <v>0.91007751937984482</v>
      </c>
      <c r="AC7" s="470"/>
    </row>
    <row r="8" spans="1:29">
      <c r="A8" s="464" t="s">
        <v>323</v>
      </c>
      <c r="B8" s="26" t="s">
        <v>1186</v>
      </c>
      <c r="C8" s="466"/>
      <c r="D8" s="466"/>
      <c r="E8" s="281"/>
      <c r="F8" s="16"/>
      <c r="G8" s="9"/>
      <c r="H8" s="291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1645.1440726035162</v>
      </c>
      <c r="N8" s="9">
        <f>M8/L8</f>
        <v>96.7731807413833</v>
      </c>
      <c r="O8" s="11">
        <f>L8-I8</f>
        <v>0</v>
      </c>
      <c r="P8" s="12">
        <f>N8-K8</f>
        <v>-9.1091721997931643</v>
      </c>
      <c r="Q8" s="283">
        <f>N8/K8</f>
        <v>0.91396892922417572</v>
      </c>
      <c r="R8" s="470"/>
      <c r="S8" s="24"/>
      <c r="T8" s="24"/>
      <c r="U8" s="282"/>
      <c r="V8" s="290"/>
      <c r="W8" s="9"/>
      <c r="X8" s="9"/>
      <c r="Y8" s="456"/>
      <c r="Z8" s="456"/>
      <c r="AA8" s="11">
        <f t="shared" si="2"/>
        <v>-154.85592739648382</v>
      </c>
      <c r="AB8" s="283">
        <f>M8/J8</f>
        <v>0.91396892922417561</v>
      </c>
      <c r="AC8" s="470"/>
    </row>
    <row r="9" spans="1:29" ht="15.75" customHeight="1">
      <c r="A9" s="467" t="s">
        <v>376</v>
      </c>
      <c r="B9" s="26" t="s">
        <v>15</v>
      </c>
      <c r="C9" s="468" t="s">
        <v>16</v>
      </c>
      <c r="D9" s="469"/>
      <c r="E9" s="26">
        <v>39.619999999999997</v>
      </c>
      <c r="F9" s="291">
        <v>4386</v>
      </c>
      <c r="G9" s="282">
        <f t="shared" ref="G9:G12" si="11">E9*F9</f>
        <v>173773.31999999998</v>
      </c>
      <c r="H9" s="76" t="s">
        <v>57</v>
      </c>
      <c r="I9" s="289">
        <v>19</v>
      </c>
      <c r="J9" s="18">
        <v>1500</v>
      </c>
      <c r="K9" s="9">
        <f t="shared" ref="K9:K12" si="12">J9/I9</f>
        <v>78.94736842105263</v>
      </c>
      <c r="L9" s="289">
        <v>19</v>
      </c>
      <c r="M9" s="10">
        <f t="shared" ref="M9:M12" si="13">F9/V9*60</f>
        <v>1363.523316062176</v>
      </c>
      <c r="N9" s="9">
        <f t="shared" ref="N9:N12" si="14">M9/L9</f>
        <v>71.764385055904</v>
      </c>
      <c r="O9" s="11">
        <f t="shared" ref="O9:O12" si="15">L9-I9</f>
        <v>0</v>
      </c>
      <c r="P9" s="12">
        <f>N9-K9</f>
        <v>-7.1829833651486297</v>
      </c>
      <c r="Q9" s="283">
        <f>N9/K9</f>
        <v>0.90901554404145068</v>
      </c>
      <c r="R9" s="470">
        <f>Q13</f>
        <v>0.90838626240589682</v>
      </c>
      <c r="S9" s="24">
        <v>0.12986111111111112</v>
      </c>
      <c r="T9" s="24">
        <v>0.2638888888888889</v>
      </c>
      <c r="U9" s="282"/>
      <c r="V9" s="290">
        <f t="shared" ref="V9:V12" si="16">(T9-S9)*24*60</f>
        <v>193</v>
      </c>
      <c r="W9" s="9"/>
      <c r="X9" s="9"/>
      <c r="Y9" s="456"/>
      <c r="Z9" s="456"/>
      <c r="AA9" s="11">
        <f t="shared" si="2"/>
        <v>-136.47668393782396</v>
      </c>
      <c r="AB9" s="283">
        <f>M9/J9</f>
        <v>0.90901554404145068</v>
      </c>
      <c r="AC9" s="470">
        <f>AB13</f>
        <v>0.90838626240589682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91">
        <v>2500</v>
      </c>
      <c r="G10" s="282">
        <f t="shared" si="11"/>
        <v>99500</v>
      </c>
      <c r="H10" s="76">
        <v>2</v>
      </c>
      <c r="I10" s="289">
        <v>18</v>
      </c>
      <c r="J10" s="18">
        <v>1500</v>
      </c>
      <c r="K10" s="9">
        <f t="shared" si="12"/>
        <v>83.333333333333329</v>
      </c>
      <c r="L10" s="289">
        <v>18</v>
      </c>
      <c r="M10" s="10">
        <f t="shared" si="13"/>
        <v>1363.6363636363633</v>
      </c>
      <c r="N10" s="9">
        <f t="shared" si="14"/>
        <v>75.757575757575736</v>
      </c>
      <c r="O10" s="11">
        <f t="shared" si="15"/>
        <v>0</v>
      </c>
      <c r="P10" s="12">
        <f t="shared" ref="P10:P12" si="17">N10-K10</f>
        <v>-7.5757575757575921</v>
      </c>
      <c r="Q10" s="283">
        <f t="shared" ref="Q10:Q12" si="18">N10/K10</f>
        <v>0.90909090909090884</v>
      </c>
      <c r="R10" s="470"/>
      <c r="S10" s="24">
        <v>0.28888888888888886</v>
      </c>
      <c r="T10" s="24">
        <v>0.36527777777777776</v>
      </c>
      <c r="U10" s="282">
        <f>(S10-T9)*24*60</f>
        <v>35.99999999999995</v>
      </c>
      <c r="V10" s="290">
        <f t="shared" si="16"/>
        <v>110.00000000000001</v>
      </c>
      <c r="W10" s="14"/>
      <c r="X10" s="14"/>
      <c r="Y10" s="456"/>
      <c r="Z10" s="456"/>
      <c r="AA10" s="11">
        <f t="shared" si="2"/>
        <v>-136.36363636363672</v>
      </c>
      <c r="AB10" s="283">
        <f t="shared" ref="AB10:AB29" si="19">M10/J10</f>
        <v>0.90909090909090884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91">
        <v>4012</v>
      </c>
      <c r="G11" s="282">
        <f t="shared" si="11"/>
        <v>157631.48000000001</v>
      </c>
      <c r="H11" s="76" t="s">
        <v>57</v>
      </c>
      <c r="I11" s="289">
        <v>19</v>
      </c>
      <c r="J11" s="18">
        <v>1500</v>
      </c>
      <c r="K11" s="9">
        <f t="shared" si="12"/>
        <v>78.94736842105263</v>
      </c>
      <c r="L11" s="289">
        <v>19</v>
      </c>
      <c r="M11" s="10">
        <f t="shared" si="13"/>
        <v>1360</v>
      </c>
      <c r="N11" s="9">
        <f t="shared" si="14"/>
        <v>71.578947368421055</v>
      </c>
      <c r="O11" s="11">
        <f t="shared" si="15"/>
        <v>0</v>
      </c>
      <c r="P11" s="12">
        <f t="shared" si="17"/>
        <v>-7.3684210526315752</v>
      </c>
      <c r="Q11" s="283">
        <f t="shared" si="18"/>
        <v>0.90666666666666673</v>
      </c>
      <c r="R11" s="470"/>
      <c r="S11" s="24">
        <v>0.37291666666666662</v>
      </c>
      <c r="T11" s="24">
        <v>0.49583333333333329</v>
      </c>
      <c r="U11" s="282">
        <f t="shared" ref="U11:U12" si="20">(S11-T10)*24*60</f>
        <v>10.999999999999961</v>
      </c>
      <c r="V11" s="290">
        <f t="shared" si="16"/>
        <v>177</v>
      </c>
      <c r="W11" s="14"/>
      <c r="X11" s="14"/>
      <c r="Y11" s="456"/>
      <c r="Z11" s="456"/>
      <c r="AA11" s="11">
        <f t="shared" si="2"/>
        <v>-140</v>
      </c>
      <c r="AB11" s="283">
        <f t="shared" si="19"/>
        <v>0.90666666666666662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91">
        <v>3885</v>
      </c>
      <c r="G12" s="282">
        <f t="shared" si="11"/>
        <v>154623</v>
      </c>
      <c r="H12" s="76" t="s">
        <v>57</v>
      </c>
      <c r="I12" s="289">
        <v>18</v>
      </c>
      <c r="J12" s="18">
        <v>1500</v>
      </c>
      <c r="K12" s="9">
        <f t="shared" si="12"/>
        <v>83.333333333333329</v>
      </c>
      <c r="L12" s="289">
        <v>18</v>
      </c>
      <c r="M12" s="10">
        <f t="shared" si="13"/>
        <v>1363.1578947368419</v>
      </c>
      <c r="N12" s="9">
        <f t="shared" si="14"/>
        <v>75.730994152046776</v>
      </c>
      <c r="O12" s="11">
        <f t="shared" si="15"/>
        <v>0</v>
      </c>
      <c r="P12" s="12">
        <f t="shared" si="17"/>
        <v>-7.6023391812865526</v>
      </c>
      <c r="Q12" s="283">
        <f t="shared" si="18"/>
        <v>0.90877192982456134</v>
      </c>
      <c r="R12" s="470"/>
      <c r="S12" s="24">
        <v>0.53680555555555554</v>
      </c>
      <c r="T12" s="24">
        <v>0.65555555555555556</v>
      </c>
      <c r="U12" s="282">
        <f t="shared" si="20"/>
        <v>59.000000000000028</v>
      </c>
      <c r="V12" s="290">
        <f t="shared" si="16"/>
        <v>171.00000000000003</v>
      </c>
      <c r="W12" s="14"/>
      <c r="X12" s="14"/>
      <c r="Y12" s="456"/>
      <c r="Z12" s="456"/>
      <c r="AA12" s="11">
        <f t="shared" si="2"/>
        <v>-136.84210526315815</v>
      </c>
      <c r="AB12" s="283">
        <f t="shared" si="19"/>
        <v>0.90877192982456123</v>
      </c>
      <c r="AC12" s="470"/>
    </row>
    <row r="13" spans="1:29" ht="16.5" customHeight="1">
      <c r="A13" s="467" t="s">
        <v>5</v>
      </c>
      <c r="B13" s="26" t="s">
        <v>236</v>
      </c>
      <c r="C13" s="466"/>
      <c r="D13" s="466"/>
      <c r="E13" s="281"/>
      <c r="F13" s="18"/>
      <c r="G13" s="10"/>
      <c r="H13" s="291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1362.5793936088453</v>
      </c>
      <c r="N13" s="9">
        <f>M13/L13</f>
        <v>73.652940195072716</v>
      </c>
      <c r="O13" s="11">
        <f>L13-I13</f>
        <v>0</v>
      </c>
      <c r="P13" s="12">
        <f>N13-K13</f>
        <v>-7.4281408860083644</v>
      </c>
      <c r="Q13" s="283">
        <f>N13/K13</f>
        <v>0.90838626240589682</v>
      </c>
      <c r="R13" s="470"/>
      <c r="S13" s="24"/>
      <c r="T13" s="24"/>
      <c r="U13" s="9"/>
      <c r="V13" s="290"/>
      <c r="W13" s="9"/>
      <c r="X13" s="9"/>
      <c r="Y13" s="456"/>
      <c r="Z13" s="456"/>
      <c r="AA13" s="11">
        <f t="shared" si="2"/>
        <v>-137.42060639115471</v>
      </c>
      <c r="AB13" s="283">
        <f t="shared" si="19"/>
        <v>0.90838626240589682</v>
      </c>
      <c r="AC13" s="470"/>
    </row>
    <row r="14" spans="1:29" ht="16.5" customHeight="1">
      <c r="A14" s="480" t="s">
        <v>1187</v>
      </c>
      <c r="B14" s="291" t="s">
        <v>18</v>
      </c>
      <c r="C14" s="477" t="s">
        <v>19</v>
      </c>
      <c r="D14" s="477"/>
      <c r="E14" s="26">
        <v>41</v>
      </c>
      <c r="F14" s="291">
        <v>1874</v>
      </c>
      <c r="G14" s="282">
        <f t="shared" ref="G14:G18" si="21">E14*F14</f>
        <v>76834</v>
      </c>
      <c r="H14" s="76" t="s">
        <v>57</v>
      </c>
      <c r="I14" s="289">
        <v>26</v>
      </c>
      <c r="J14" s="18">
        <v>1286</v>
      </c>
      <c r="K14" s="9">
        <f>J14/I14</f>
        <v>49.46153846153846</v>
      </c>
      <c r="L14" s="289">
        <v>26</v>
      </c>
      <c r="M14" s="10">
        <f>F14/V14*60</f>
        <v>1171.2500000000005</v>
      </c>
      <c r="N14" s="9">
        <f t="shared" ref="N14:N28" si="22">M14/L14</f>
        <v>45.048076923076941</v>
      </c>
      <c r="O14" s="11">
        <f t="shared" ref="O14" si="23">L14-I14</f>
        <v>0</v>
      </c>
      <c r="P14" s="12">
        <f t="shared" ref="P14" si="24">N14-K14</f>
        <v>-4.4134615384615188</v>
      </c>
      <c r="Q14" s="283">
        <f>N14/K14</f>
        <v>0.9107698289269055</v>
      </c>
      <c r="R14" s="470">
        <f>Q19</f>
        <v>0.91181886610966478</v>
      </c>
      <c r="S14" s="24">
        <v>0.25</v>
      </c>
      <c r="T14" s="24">
        <v>0.31666666666666665</v>
      </c>
      <c r="U14" s="282"/>
      <c r="V14" s="290">
        <f>(T14-S14)*24*60</f>
        <v>95.999999999999972</v>
      </c>
      <c r="W14" s="15"/>
      <c r="X14" s="15"/>
      <c r="Y14" s="456"/>
      <c r="Z14" s="456"/>
      <c r="AA14" s="11">
        <f t="shared" si="2"/>
        <v>-114.74999999999955</v>
      </c>
      <c r="AB14" s="283">
        <f t="shared" si="19"/>
        <v>0.9107698289269055</v>
      </c>
      <c r="AC14" s="470">
        <f>AB19</f>
        <v>0.91181886610966489</v>
      </c>
    </row>
    <row r="15" spans="1:29" ht="16.5" customHeight="1">
      <c r="A15" s="481" t="s">
        <v>6</v>
      </c>
      <c r="B15" s="291" t="s">
        <v>15</v>
      </c>
      <c r="C15" s="477" t="s">
        <v>68</v>
      </c>
      <c r="D15" s="477"/>
      <c r="E15" s="26">
        <v>39.29</v>
      </c>
      <c r="F15" s="291">
        <v>1861</v>
      </c>
      <c r="G15" s="282">
        <f t="shared" si="21"/>
        <v>73118.69</v>
      </c>
      <c r="H15" s="76" t="s">
        <v>57</v>
      </c>
      <c r="I15" s="289">
        <v>18</v>
      </c>
      <c r="J15" s="18">
        <v>1500</v>
      </c>
      <c r="K15" s="9">
        <f>J15/I15</f>
        <v>83.333333333333329</v>
      </c>
      <c r="L15" s="289">
        <v>18</v>
      </c>
      <c r="M15" s="10">
        <f>F15/V15*60</f>
        <v>1378.518518518518</v>
      </c>
      <c r="N15" s="9">
        <f t="shared" si="22"/>
        <v>76.584362139917673</v>
      </c>
      <c r="O15" s="11">
        <f>L15-I15</f>
        <v>0</v>
      </c>
      <c r="P15" s="12">
        <f>N15-K15</f>
        <v>-6.748971193415656</v>
      </c>
      <c r="Q15" s="283">
        <f>N15/K15</f>
        <v>0.91901234567901213</v>
      </c>
      <c r="R15" s="470"/>
      <c r="S15" s="24">
        <v>0.32430555555555551</v>
      </c>
      <c r="T15" s="24">
        <v>0.38055555555555554</v>
      </c>
      <c r="U15" s="282">
        <f>(S15-T14)*24*60</f>
        <v>10.999999999999961</v>
      </c>
      <c r="V15" s="290">
        <f>(T15-S15)*24*60</f>
        <v>81.000000000000028</v>
      </c>
      <c r="W15" s="14"/>
      <c r="X15" s="14"/>
      <c r="Y15" s="456"/>
      <c r="Z15" s="456"/>
      <c r="AA15" s="11">
        <f t="shared" si="2"/>
        <v>-121.48148148148198</v>
      </c>
      <c r="AB15" s="283">
        <f t="shared" si="19"/>
        <v>0.91901234567901202</v>
      </c>
      <c r="AC15" s="470"/>
    </row>
    <row r="16" spans="1:29" ht="16.5" customHeight="1">
      <c r="A16" s="481" t="s">
        <v>6</v>
      </c>
      <c r="B16" s="291" t="s">
        <v>15</v>
      </c>
      <c r="C16" s="477" t="s">
        <v>54</v>
      </c>
      <c r="D16" s="477"/>
      <c r="E16" s="26">
        <v>39.29</v>
      </c>
      <c r="F16" s="291">
        <v>3282</v>
      </c>
      <c r="G16" s="282">
        <f t="shared" si="21"/>
        <v>128949.78</v>
      </c>
      <c r="H16" s="76" t="s">
        <v>57</v>
      </c>
      <c r="I16" s="289">
        <v>17</v>
      </c>
      <c r="J16" s="18">
        <v>1500</v>
      </c>
      <c r="K16" s="9">
        <f t="shared" ref="K16:K18" si="25">J16/I16</f>
        <v>88.235294117647058</v>
      </c>
      <c r="L16" s="289">
        <v>17</v>
      </c>
      <c r="M16" s="10">
        <f t="shared" ref="M16:M18" si="26">F16/V16*60</f>
        <v>1367.5000000000002</v>
      </c>
      <c r="N16" s="9">
        <f t="shared" si="22"/>
        <v>80.441176470588246</v>
      </c>
      <c r="O16" s="11">
        <f t="shared" ref="O16:O18" si="27">L16-I16</f>
        <v>0</v>
      </c>
      <c r="P16" s="12">
        <f t="shared" ref="P16:P18" si="28">N16-K16</f>
        <v>-7.7941176470588118</v>
      </c>
      <c r="Q16" s="283">
        <f t="shared" ref="Q16:Q28" si="29">N16/K16</f>
        <v>0.91166666666666685</v>
      </c>
      <c r="R16" s="470"/>
      <c r="S16" s="24">
        <v>0.38749999999999996</v>
      </c>
      <c r="T16" s="24">
        <v>0.48749999999999993</v>
      </c>
      <c r="U16" s="282">
        <f t="shared" ref="U16:U18" si="30">(S16-T15)*24*60</f>
        <v>9.9999999999999645</v>
      </c>
      <c r="V16" s="290">
        <f t="shared" ref="V16:V18" si="31">(T16-S16)*24*60</f>
        <v>143.99999999999997</v>
      </c>
      <c r="W16" s="14"/>
      <c r="X16" s="14"/>
      <c r="Y16" s="456"/>
      <c r="Z16" s="456"/>
      <c r="AA16" s="11">
        <f t="shared" si="2"/>
        <v>-132.49999999999977</v>
      </c>
      <c r="AB16" s="283">
        <f t="shared" si="19"/>
        <v>0.91166666666666685</v>
      </c>
      <c r="AC16" s="470"/>
    </row>
    <row r="17" spans="1:29" ht="16.5" customHeight="1">
      <c r="A17" s="481" t="s">
        <v>6</v>
      </c>
      <c r="B17" s="291" t="s">
        <v>13</v>
      </c>
      <c r="C17" s="477" t="s">
        <v>63</v>
      </c>
      <c r="D17" s="477"/>
      <c r="E17" s="26">
        <v>50.98</v>
      </c>
      <c r="F17" s="291">
        <v>3024</v>
      </c>
      <c r="G17" s="282">
        <f t="shared" si="21"/>
        <v>154163.51999999999</v>
      </c>
      <c r="H17" s="76" t="s">
        <v>57</v>
      </c>
      <c r="I17" s="289">
        <v>17</v>
      </c>
      <c r="J17" s="18">
        <v>1800</v>
      </c>
      <c r="K17" s="9">
        <f t="shared" si="25"/>
        <v>105.88235294117646</v>
      </c>
      <c r="L17" s="289">
        <v>17</v>
      </c>
      <c r="M17" s="10">
        <f t="shared" si="26"/>
        <v>1634.5945945945955</v>
      </c>
      <c r="N17" s="9">
        <f t="shared" si="22"/>
        <v>96.152623211446794</v>
      </c>
      <c r="O17" s="11">
        <f t="shared" si="27"/>
        <v>0</v>
      </c>
      <c r="P17" s="12">
        <f t="shared" si="28"/>
        <v>-9.7297297297296694</v>
      </c>
      <c r="Q17" s="283">
        <f t="shared" si="29"/>
        <v>0.90810810810810871</v>
      </c>
      <c r="R17" s="470"/>
      <c r="S17" s="24">
        <v>0.70833333333333337</v>
      </c>
      <c r="T17" s="24">
        <v>0.78541666666666665</v>
      </c>
      <c r="U17" s="282">
        <f t="shared" si="30"/>
        <v>318.00000000000017</v>
      </c>
      <c r="V17" s="290">
        <f t="shared" si="31"/>
        <v>110.99999999999993</v>
      </c>
      <c r="W17" s="14"/>
      <c r="X17" s="14"/>
      <c r="Y17" s="456"/>
      <c r="Z17" s="456"/>
      <c r="AA17" s="11">
        <f t="shared" si="2"/>
        <v>-165.40540540540451</v>
      </c>
      <c r="AB17" s="283">
        <f t="shared" si="19"/>
        <v>0.9081081081081086</v>
      </c>
      <c r="AC17" s="470"/>
    </row>
    <row r="18" spans="1:29" ht="16.5" customHeight="1">
      <c r="A18" s="481" t="s">
        <v>6</v>
      </c>
      <c r="B18" s="291" t="s">
        <v>13</v>
      </c>
      <c r="C18" s="477" t="s">
        <v>66</v>
      </c>
      <c r="D18" s="477"/>
      <c r="E18" s="26">
        <v>57.73</v>
      </c>
      <c r="F18" s="291">
        <v>1752</v>
      </c>
      <c r="G18" s="282">
        <f t="shared" si="21"/>
        <v>101142.95999999999</v>
      </c>
      <c r="H18" s="76" t="s">
        <v>57</v>
      </c>
      <c r="I18" s="289">
        <v>16</v>
      </c>
      <c r="J18" s="18">
        <v>1500</v>
      </c>
      <c r="K18" s="9">
        <f t="shared" si="25"/>
        <v>93.75</v>
      </c>
      <c r="L18" s="289">
        <v>16</v>
      </c>
      <c r="M18" s="10">
        <f t="shared" si="26"/>
        <v>1365.1948051948045</v>
      </c>
      <c r="N18" s="9">
        <f t="shared" si="22"/>
        <v>85.324675324675283</v>
      </c>
      <c r="O18" s="11">
        <f t="shared" si="27"/>
        <v>0</v>
      </c>
      <c r="P18" s="12">
        <f t="shared" si="28"/>
        <v>-8.4253246753247168</v>
      </c>
      <c r="Q18" s="283">
        <f t="shared" si="29"/>
        <v>0.91012987012986968</v>
      </c>
      <c r="R18" s="470"/>
      <c r="S18" s="24">
        <v>0.79027777777777775</v>
      </c>
      <c r="T18" s="24">
        <v>0.84375</v>
      </c>
      <c r="U18" s="282">
        <f t="shared" si="30"/>
        <v>6.9999999999999751</v>
      </c>
      <c r="V18" s="290">
        <f t="shared" si="31"/>
        <v>77.000000000000043</v>
      </c>
      <c r="W18" s="14"/>
      <c r="X18" s="14"/>
      <c r="Y18" s="456"/>
      <c r="Z18" s="456"/>
      <c r="AA18" s="11">
        <f t="shared" si="2"/>
        <v>-134.80519480519547</v>
      </c>
      <c r="AB18" s="283">
        <f t="shared" si="19"/>
        <v>0.91012987012986968</v>
      </c>
      <c r="AC18" s="470"/>
    </row>
    <row r="19" spans="1:29" ht="16.5" customHeight="1">
      <c r="A19" s="481" t="s">
        <v>6</v>
      </c>
      <c r="B19" s="26" t="s">
        <v>236</v>
      </c>
      <c r="C19" s="466"/>
      <c r="D19" s="466"/>
      <c r="E19" s="281"/>
      <c r="F19" s="16"/>
      <c r="G19" s="9"/>
      <c r="H19" s="291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1383.4115836615836</v>
      </c>
      <c r="N19" s="9">
        <f t="shared" si="22"/>
        <v>73.585722535190612</v>
      </c>
      <c r="O19" s="11">
        <f>L19-I19</f>
        <v>0</v>
      </c>
      <c r="P19" s="12">
        <f>N19-K19</f>
        <v>-7.11640512438386</v>
      </c>
      <c r="Q19" s="283">
        <f t="shared" si="29"/>
        <v>0.91181886610966478</v>
      </c>
      <c r="R19" s="470"/>
      <c r="S19" s="24"/>
      <c r="T19" s="24"/>
      <c r="U19" s="282"/>
      <c r="V19" s="290"/>
      <c r="W19" s="9"/>
      <c r="X19" s="9"/>
      <c r="Y19" s="456"/>
      <c r="Z19" s="456"/>
      <c r="AA19" s="11">
        <f t="shared" si="2"/>
        <v>-133.78841633841648</v>
      </c>
      <c r="AB19" s="283">
        <f t="shared" si="19"/>
        <v>0.91181886610966489</v>
      </c>
      <c r="AC19" s="470"/>
    </row>
    <row r="20" spans="1:29" ht="15.75" customHeight="1">
      <c r="A20" s="478" t="s">
        <v>1188</v>
      </c>
      <c r="B20" s="26" t="s">
        <v>21</v>
      </c>
      <c r="C20" s="477" t="s">
        <v>22</v>
      </c>
      <c r="D20" s="477"/>
      <c r="E20" s="26">
        <v>43.14</v>
      </c>
      <c r="F20" s="291">
        <v>1281</v>
      </c>
      <c r="G20" s="282">
        <f t="shared" ref="G20:G28" si="32">E20*F20</f>
        <v>55262.340000000004</v>
      </c>
      <c r="H20" s="76" t="s">
        <v>57</v>
      </c>
      <c r="I20" s="289">
        <v>17</v>
      </c>
      <c r="J20" s="18">
        <v>1200</v>
      </c>
      <c r="K20" s="9">
        <f t="shared" ref="K20:K29" si="33">J20/I20</f>
        <v>70.588235294117652</v>
      </c>
      <c r="L20" s="289">
        <v>17</v>
      </c>
      <c r="M20" s="10">
        <f t="shared" ref="M20:M28" si="34">F20/V20*60</f>
        <v>1098.0000000000002</v>
      </c>
      <c r="N20" s="9">
        <f t="shared" si="22"/>
        <v>64.588235294117666</v>
      </c>
      <c r="O20" s="11">
        <f t="shared" ref="O20:O28" si="35">L20-I20</f>
        <v>0</v>
      </c>
      <c r="P20" s="12">
        <f t="shared" ref="P20:P28" si="36">N20-K20</f>
        <v>-5.9999999999999858</v>
      </c>
      <c r="Q20" s="283">
        <f t="shared" si="29"/>
        <v>0.91500000000000026</v>
      </c>
      <c r="R20" s="470">
        <f>Q29</f>
        <v>0.91344093668053439</v>
      </c>
      <c r="S20" s="24">
        <v>0.16666666666666666</v>
      </c>
      <c r="T20" s="24">
        <v>0.21527777777777776</v>
      </c>
      <c r="U20" s="282"/>
      <c r="V20" s="290">
        <f>(T20-S20)*24*60</f>
        <v>69.999999999999986</v>
      </c>
      <c r="W20" s="15"/>
      <c r="X20" s="15"/>
      <c r="Y20" s="456"/>
      <c r="Z20" s="456"/>
      <c r="AA20" s="11">
        <f t="shared" si="2"/>
        <v>-101.99999999999977</v>
      </c>
      <c r="AB20" s="283">
        <f t="shared" si="19"/>
        <v>0.91500000000000015</v>
      </c>
      <c r="AC20" s="470">
        <f>AB29</f>
        <v>0.91344093668053439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91">
        <v>3060</v>
      </c>
      <c r="G21" s="282">
        <f t="shared" si="32"/>
        <v>176653.8</v>
      </c>
      <c r="H21" s="76" t="s">
        <v>57</v>
      </c>
      <c r="I21" s="289">
        <v>16</v>
      </c>
      <c r="J21" s="18">
        <v>1800</v>
      </c>
      <c r="K21" s="9">
        <f t="shared" si="33"/>
        <v>112.5</v>
      </c>
      <c r="L21" s="289">
        <v>16</v>
      </c>
      <c r="M21" s="10">
        <f t="shared" si="34"/>
        <v>1639.2857142857138</v>
      </c>
      <c r="N21" s="9">
        <f t="shared" si="22"/>
        <v>102.45535714285711</v>
      </c>
      <c r="O21" s="11">
        <f t="shared" si="35"/>
        <v>0</v>
      </c>
      <c r="P21" s="12">
        <f t="shared" si="36"/>
        <v>-10.04464285714289</v>
      </c>
      <c r="Q21" s="283">
        <f t="shared" si="29"/>
        <v>0.91071428571428548</v>
      </c>
      <c r="R21" s="470"/>
      <c r="S21" s="24">
        <v>0.23333333333333331</v>
      </c>
      <c r="T21" s="24">
        <v>0.31111111111111112</v>
      </c>
      <c r="U21" s="282">
        <f>(S21-T20)*24*60</f>
        <v>25.999999999999986</v>
      </c>
      <c r="V21" s="290">
        <f t="shared" ref="V21:V28" si="37">(T21-S21)*24*60</f>
        <v>112.00000000000004</v>
      </c>
      <c r="W21" s="14"/>
      <c r="X21" s="282"/>
      <c r="Y21" s="456"/>
      <c r="Z21" s="456"/>
      <c r="AA21" s="11">
        <f t="shared" si="2"/>
        <v>-160.71428571428623</v>
      </c>
      <c r="AB21" s="283">
        <f t="shared" si="19"/>
        <v>0.91071428571428548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91">
        <v>2030</v>
      </c>
      <c r="G22" s="282">
        <f t="shared" si="32"/>
        <v>108970.4</v>
      </c>
      <c r="H22" s="76" t="s">
        <v>57</v>
      </c>
      <c r="I22" s="289">
        <v>17</v>
      </c>
      <c r="J22" s="18">
        <v>1800</v>
      </c>
      <c r="K22" s="9">
        <f t="shared" si="33"/>
        <v>105.88235294117646</v>
      </c>
      <c r="L22" s="289">
        <v>17</v>
      </c>
      <c r="M22" s="10">
        <f t="shared" si="34"/>
        <v>1645.9459459459465</v>
      </c>
      <c r="N22" s="9">
        <f t="shared" si="22"/>
        <v>96.820349761526259</v>
      </c>
      <c r="O22" s="11">
        <f t="shared" si="35"/>
        <v>0</v>
      </c>
      <c r="P22" s="12">
        <f t="shared" si="36"/>
        <v>-9.0620031796502047</v>
      </c>
      <c r="Q22" s="283">
        <f t="shared" si="29"/>
        <v>0.91441441441441473</v>
      </c>
      <c r="R22" s="470"/>
      <c r="S22" s="24">
        <v>0.31597222222222221</v>
      </c>
      <c r="T22" s="24">
        <v>0.36736111111111108</v>
      </c>
      <c r="U22" s="282">
        <f t="shared" ref="U22:U28" si="38">(S22-T21)*24*60</f>
        <v>6.9999999999999751</v>
      </c>
      <c r="V22" s="290">
        <f t="shared" si="37"/>
        <v>73.999999999999972</v>
      </c>
      <c r="W22" s="14"/>
      <c r="X22" s="282"/>
      <c r="Y22" s="456"/>
      <c r="Z22" s="456"/>
      <c r="AA22" s="11">
        <f t="shared" si="2"/>
        <v>-154.05405405405349</v>
      </c>
      <c r="AB22" s="283">
        <f t="shared" si="19"/>
        <v>0.91441441441441473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91">
        <v>1182</v>
      </c>
      <c r="G23" s="282">
        <f t="shared" si="32"/>
        <v>59891.94</v>
      </c>
      <c r="H23" s="76" t="s">
        <v>57</v>
      </c>
      <c r="I23" s="289">
        <v>16</v>
      </c>
      <c r="J23" s="18">
        <v>1800</v>
      </c>
      <c r="K23" s="9">
        <f t="shared" si="33"/>
        <v>112.5</v>
      </c>
      <c r="L23" s="289">
        <v>16</v>
      </c>
      <c r="M23" s="10">
        <f t="shared" si="34"/>
        <v>1649.3023255813951</v>
      </c>
      <c r="N23" s="9">
        <f t="shared" si="22"/>
        <v>103.08139534883719</v>
      </c>
      <c r="O23" s="11">
        <f t="shared" si="35"/>
        <v>0</v>
      </c>
      <c r="P23" s="12">
        <f t="shared" si="36"/>
        <v>-9.4186046511628092</v>
      </c>
      <c r="Q23" s="283">
        <f t="shared" si="29"/>
        <v>0.91627906976744167</v>
      </c>
      <c r="R23" s="470"/>
      <c r="S23" s="24">
        <v>0.37083333333333329</v>
      </c>
      <c r="T23" s="24">
        <v>0.40069444444444441</v>
      </c>
      <c r="U23" s="282">
        <f t="shared" si="38"/>
        <v>4.9999999999999822</v>
      </c>
      <c r="V23" s="290">
        <f t="shared" si="37"/>
        <v>43.000000000000007</v>
      </c>
      <c r="W23" s="14"/>
      <c r="X23" s="282"/>
      <c r="Y23" s="456"/>
      <c r="Z23" s="456"/>
      <c r="AA23" s="11">
        <f t="shared" si="2"/>
        <v>-150.69767441860495</v>
      </c>
      <c r="AB23" s="283">
        <f t="shared" si="19"/>
        <v>0.91627906976744167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291">
        <v>3646</v>
      </c>
      <c r="G24" s="282">
        <f t="shared" si="32"/>
        <v>212087.82</v>
      </c>
      <c r="H24" s="76" t="s">
        <v>57</v>
      </c>
      <c r="I24" s="289">
        <v>18</v>
      </c>
      <c r="J24" s="18">
        <v>1800</v>
      </c>
      <c r="K24" s="9">
        <f t="shared" si="33"/>
        <v>100</v>
      </c>
      <c r="L24" s="289">
        <v>18</v>
      </c>
      <c r="M24" s="10">
        <f t="shared" si="34"/>
        <v>1644.812030075188</v>
      </c>
      <c r="N24" s="9">
        <f t="shared" si="22"/>
        <v>91.378446115288227</v>
      </c>
      <c r="O24" s="11">
        <f t="shared" si="35"/>
        <v>0</v>
      </c>
      <c r="P24" s="12">
        <f t="shared" si="36"/>
        <v>-8.6215538847117728</v>
      </c>
      <c r="Q24" s="283">
        <f t="shared" si="29"/>
        <v>0.91378446115288225</v>
      </c>
      <c r="R24" s="470"/>
      <c r="S24" s="24">
        <v>0.4055555555555555</v>
      </c>
      <c r="T24" s="24">
        <v>0.49791666666666662</v>
      </c>
      <c r="U24" s="282">
        <f t="shared" si="38"/>
        <v>6.9999999999999751</v>
      </c>
      <c r="V24" s="290">
        <f t="shared" si="37"/>
        <v>133</v>
      </c>
      <c r="W24" s="14"/>
      <c r="X24" s="282"/>
      <c r="Y24" s="456"/>
      <c r="Z24" s="456"/>
      <c r="AA24" s="11">
        <f t="shared" si="2"/>
        <v>-155.18796992481202</v>
      </c>
      <c r="AB24" s="283">
        <f t="shared" si="19"/>
        <v>0.91378446115288225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291">
        <v>3179</v>
      </c>
      <c r="G25" s="282">
        <f t="shared" si="32"/>
        <v>161874.68</v>
      </c>
      <c r="H25" s="76" t="s">
        <v>57</v>
      </c>
      <c r="I25" s="289">
        <v>16</v>
      </c>
      <c r="J25" s="18">
        <v>1800</v>
      </c>
      <c r="K25" s="9">
        <f t="shared" si="33"/>
        <v>112.5</v>
      </c>
      <c r="L25" s="289">
        <v>16</v>
      </c>
      <c r="M25" s="10">
        <f t="shared" si="34"/>
        <v>1644.3103448275851</v>
      </c>
      <c r="N25" s="9">
        <f t="shared" si="22"/>
        <v>102.76939655172407</v>
      </c>
      <c r="O25" s="11">
        <f t="shared" si="35"/>
        <v>0</v>
      </c>
      <c r="P25" s="12">
        <f t="shared" si="36"/>
        <v>-9.7306034482759287</v>
      </c>
      <c r="Q25" s="283">
        <f t="shared" si="29"/>
        <v>0.91350574712643617</v>
      </c>
      <c r="R25" s="470"/>
      <c r="S25" s="24">
        <v>0.70833333333333337</v>
      </c>
      <c r="T25" s="24">
        <v>0.78888888888888897</v>
      </c>
      <c r="U25" s="282">
        <f t="shared" si="38"/>
        <v>303.00000000000017</v>
      </c>
      <c r="V25" s="290">
        <f t="shared" si="37"/>
        <v>116.00000000000007</v>
      </c>
      <c r="W25" s="14"/>
      <c r="X25" s="15"/>
      <c r="Y25" s="456"/>
      <c r="Z25" s="456"/>
      <c r="AA25" s="11">
        <f t="shared" si="2"/>
        <v>-155.68965517241486</v>
      </c>
      <c r="AB25" s="283">
        <f t="shared" si="19"/>
        <v>0.91350574712643617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291">
        <v>632</v>
      </c>
      <c r="G26" s="282">
        <f t="shared" si="32"/>
        <v>33666.639999999999</v>
      </c>
      <c r="H26" s="76" t="s">
        <v>57</v>
      </c>
      <c r="I26" s="289">
        <v>15</v>
      </c>
      <c r="J26" s="18">
        <v>1800</v>
      </c>
      <c r="K26" s="9">
        <f t="shared" si="33"/>
        <v>120</v>
      </c>
      <c r="L26" s="289">
        <v>15</v>
      </c>
      <c r="M26" s="10">
        <f t="shared" si="34"/>
        <v>1648.6956521739073</v>
      </c>
      <c r="N26" s="9">
        <f t="shared" si="22"/>
        <v>109.91304347826049</v>
      </c>
      <c r="O26" s="11">
        <f t="shared" si="35"/>
        <v>0</v>
      </c>
      <c r="P26" s="12">
        <f t="shared" si="36"/>
        <v>-10.086956521739509</v>
      </c>
      <c r="Q26" s="283">
        <f t="shared" si="29"/>
        <v>0.91594202898550414</v>
      </c>
      <c r="R26" s="470"/>
      <c r="S26" s="24">
        <v>0.79236111111111118</v>
      </c>
      <c r="T26" s="24">
        <v>0.80833333333333346</v>
      </c>
      <c r="U26" s="282">
        <f t="shared" si="38"/>
        <v>4.9999999999999822</v>
      </c>
      <c r="V26" s="290">
        <f t="shared" si="37"/>
        <v>23.000000000000078</v>
      </c>
      <c r="W26" s="14"/>
      <c r="X26" s="15"/>
      <c r="Y26" s="473"/>
      <c r="Z26" s="474"/>
      <c r="AA26" s="11">
        <f t="shared" si="2"/>
        <v>-151.30434782609268</v>
      </c>
      <c r="AB26" s="283">
        <f t="shared" si="19"/>
        <v>0.91594202898550403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47.6</v>
      </c>
      <c r="F27" s="291">
        <v>1500</v>
      </c>
      <c r="G27" s="282">
        <f t="shared" si="32"/>
        <v>71400</v>
      </c>
      <c r="H27" s="76">
        <v>2</v>
      </c>
      <c r="I27" s="289">
        <v>17</v>
      </c>
      <c r="J27" s="18">
        <v>1800</v>
      </c>
      <c r="K27" s="9">
        <f t="shared" si="33"/>
        <v>105.88235294117646</v>
      </c>
      <c r="L27" s="289">
        <v>17</v>
      </c>
      <c r="M27" s="10">
        <f t="shared" si="34"/>
        <v>1636.3636363636374</v>
      </c>
      <c r="N27" s="9">
        <f t="shared" si="22"/>
        <v>96.256684491978675</v>
      </c>
      <c r="O27" s="11">
        <f t="shared" si="35"/>
        <v>0</v>
      </c>
      <c r="P27" s="12">
        <f t="shared" si="36"/>
        <v>-9.6256684491977893</v>
      </c>
      <c r="Q27" s="283">
        <f t="shared" si="29"/>
        <v>0.90909090909090973</v>
      </c>
      <c r="R27" s="470"/>
      <c r="S27" s="24">
        <v>0.81180555555555567</v>
      </c>
      <c r="T27" s="24">
        <v>0.85000000000000009</v>
      </c>
      <c r="U27" s="282">
        <f t="shared" si="38"/>
        <v>4.9999999999999822</v>
      </c>
      <c r="V27" s="290">
        <f t="shared" si="37"/>
        <v>54.999999999999964</v>
      </c>
      <c r="W27" s="14"/>
      <c r="X27" s="14"/>
      <c r="Y27" s="473"/>
      <c r="Z27" s="474"/>
      <c r="AA27" s="11">
        <f t="shared" si="2"/>
        <v>-163.6363636363626</v>
      </c>
      <c r="AB27" s="283">
        <f t="shared" si="19"/>
        <v>0.90909090909090962</v>
      </c>
      <c r="AC27" s="470"/>
    </row>
    <row r="28" spans="1:29" ht="15.75" customHeight="1">
      <c r="A28" s="479" t="s">
        <v>7</v>
      </c>
      <c r="B28" s="26" t="s">
        <v>13</v>
      </c>
      <c r="C28" s="482" t="s">
        <v>1162</v>
      </c>
      <c r="D28" s="483"/>
      <c r="E28" s="26">
        <v>47.6</v>
      </c>
      <c r="F28" s="291">
        <v>4436</v>
      </c>
      <c r="G28" s="282">
        <f t="shared" si="32"/>
        <v>211153.6</v>
      </c>
      <c r="H28" s="76" t="s">
        <v>57</v>
      </c>
      <c r="I28" s="289">
        <v>17</v>
      </c>
      <c r="J28" s="18">
        <v>1800</v>
      </c>
      <c r="K28" s="9">
        <f t="shared" si="33"/>
        <v>105.88235294117646</v>
      </c>
      <c r="L28" s="289">
        <v>17</v>
      </c>
      <c r="M28" s="10">
        <f t="shared" si="34"/>
        <v>1642.9629629629637</v>
      </c>
      <c r="N28" s="9">
        <f t="shared" si="22"/>
        <v>96.644880174291984</v>
      </c>
      <c r="O28" s="11">
        <f t="shared" si="35"/>
        <v>0</v>
      </c>
      <c r="P28" s="12">
        <f t="shared" si="36"/>
        <v>-9.2374727668844798</v>
      </c>
      <c r="Q28" s="283">
        <f t="shared" si="29"/>
        <v>0.91275720164609098</v>
      </c>
      <c r="R28" s="470"/>
      <c r="S28" s="24">
        <v>0.89027777777777783</v>
      </c>
      <c r="T28" s="24">
        <v>1.0027777777777778</v>
      </c>
      <c r="U28" s="282">
        <f t="shared" si="38"/>
        <v>57.999999999999957</v>
      </c>
      <c r="V28" s="290">
        <f t="shared" si="37"/>
        <v>161.99999999999991</v>
      </c>
      <c r="W28" s="14"/>
      <c r="X28" s="14"/>
      <c r="Y28" s="473"/>
      <c r="Z28" s="474"/>
      <c r="AA28" s="11">
        <f t="shared" si="2"/>
        <v>-157.03703703703627</v>
      </c>
      <c r="AB28" s="283">
        <f t="shared" si="19"/>
        <v>0.91275720164609098</v>
      </c>
      <c r="AC28" s="470"/>
    </row>
    <row r="29" spans="1:29" ht="15.75" customHeight="1">
      <c r="A29" s="479" t="s">
        <v>7</v>
      </c>
      <c r="B29" s="26" t="s">
        <v>236</v>
      </c>
      <c r="C29" s="466"/>
      <c r="D29" s="466"/>
      <c r="E29" s="281"/>
      <c r="F29" s="291"/>
      <c r="G29" s="282"/>
      <c r="H29" s="291"/>
      <c r="I29" s="17">
        <v>16.555555555555557</v>
      </c>
      <c r="J29" s="18">
        <v>1733.3333333333333</v>
      </c>
      <c r="K29" s="9">
        <f t="shared" si="33"/>
        <v>104.6979865771812</v>
      </c>
      <c r="L29" s="17">
        <v>16.555555555555557</v>
      </c>
      <c r="M29" s="10">
        <f>AVERAGE(M20:M28)</f>
        <v>1583.2976235795929</v>
      </c>
      <c r="N29" s="9">
        <f>M29/L29</f>
        <v>95.635426927626412</v>
      </c>
      <c r="O29" s="11">
        <f>L29-I29</f>
        <v>0</v>
      </c>
      <c r="P29" s="12">
        <f>N29-K29</f>
        <v>-9.0625596495547853</v>
      </c>
      <c r="Q29" s="283">
        <f>N29/K29</f>
        <v>0.91344093668053439</v>
      </c>
      <c r="R29" s="470"/>
      <c r="S29" s="24"/>
      <c r="T29" s="24"/>
      <c r="U29" s="9"/>
      <c r="V29" s="290"/>
      <c r="W29" s="9"/>
      <c r="X29" s="9"/>
      <c r="Y29" s="456"/>
      <c r="Z29" s="456"/>
      <c r="AA29" s="11">
        <f t="shared" si="2"/>
        <v>-150.03570975374032</v>
      </c>
      <c r="AB29" s="283">
        <f t="shared" si="19"/>
        <v>0.91344093668053439</v>
      </c>
      <c r="AC29" s="470"/>
    </row>
    <row r="30" spans="1:29" ht="15.75" customHeight="1">
      <c r="A30" s="484" t="s">
        <v>1189</v>
      </c>
      <c r="B30" s="26" t="s">
        <v>24</v>
      </c>
      <c r="C30" s="477" t="s">
        <v>26</v>
      </c>
      <c r="D30" s="477"/>
      <c r="E30" s="26">
        <v>26.2</v>
      </c>
      <c r="F30" s="291">
        <v>4485</v>
      </c>
      <c r="G30" s="282">
        <f t="shared" ref="G30:G36" si="39">E30*F30</f>
        <v>117507</v>
      </c>
      <c r="H30" s="76" t="s">
        <v>57</v>
      </c>
      <c r="I30" s="289">
        <v>20</v>
      </c>
      <c r="J30" s="18">
        <v>2400</v>
      </c>
      <c r="K30" s="9">
        <f>J30/I30</f>
        <v>120</v>
      </c>
      <c r="L30" s="289">
        <v>20</v>
      </c>
      <c r="M30" s="10">
        <f t="shared" ref="M30:M36" si="40">F30/V30*60</f>
        <v>2187.8048780487811</v>
      </c>
      <c r="N30" s="9">
        <f t="shared" ref="N30:N36" si="41">M30/L30</f>
        <v>109.39024390243905</v>
      </c>
      <c r="O30" s="11">
        <f t="shared" ref="O30:O36" si="42">L30-I30</f>
        <v>0</v>
      </c>
      <c r="P30" s="12">
        <f t="shared" ref="P30:P36" si="43">N30-K30</f>
        <v>-10.609756097560947</v>
      </c>
      <c r="Q30" s="283">
        <f t="shared" ref="Q30:Q36" si="44">N30/K30</f>
        <v>0.91158536585365879</v>
      </c>
      <c r="R30" s="470">
        <f>Q37</f>
        <v>0.91159207466392234</v>
      </c>
      <c r="S30" s="24">
        <v>0.125</v>
      </c>
      <c r="T30" s="24">
        <v>0.21041666666666664</v>
      </c>
      <c r="U30" s="282"/>
      <c r="V30" s="290">
        <f t="shared" ref="V30:V36" si="45">(T30-S30)*24*60</f>
        <v>122.99999999999996</v>
      </c>
      <c r="W30" s="14"/>
      <c r="X30" s="14"/>
      <c r="Y30" s="456"/>
      <c r="Z30" s="456"/>
      <c r="AA30" s="11">
        <f t="shared" si="2"/>
        <v>-212.19512195121888</v>
      </c>
      <c r="AB30" s="283">
        <f>M30/J30</f>
        <v>0.91158536585365879</v>
      </c>
      <c r="AC30" s="470">
        <f>AB37</f>
        <v>0.91159207466392234</v>
      </c>
    </row>
    <row r="31" spans="1:29" ht="15.75" customHeight="1">
      <c r="A31" s="484" t="s">
        <v>8</v>
      </c>
      <c r="B31" s="26" t="s">
        <v>24</v>
      </c>
      <c r="C31" s="477" t="s">
        <v>25</v>
      </c>
      <c r="D31" s="477"/>
      <c r="E31" s="26">
        <v>20.52</v>
      </c>
      <c r="F31" s="291">
        <v>4876</v>
      </c>
      <c r="G31" s="282">
        <f t="shared" si="39"/>
        <v>100055.52</v>
      </c>
      <c r="H31" s="76" t="s">
        <v>57</v>
      </c>
      <c r="I31" s="289">
        <v>18</v>
      </c>
      <c r="J31" s="18">
        <v>2400</v>
      </c>
      <c r="K31" s="9">
        <f t="shared" ref="K31:K37" si="46">J31/I31</f>
        <v>133.33333333333334</v>
      </c>
      <c r="L31" s="289">
        <v>18</v>
      </c>
      <c r="M31" s="10">
        <f t="shared" si="40"/>
        <v>2183.283582089553</v>
      </c>
      <c r="N31" s="9">
        <f t="shared" si="41"/>
        <v>121.29353233830849</v>
      </c>
      <c r="O31" s="11">
        <f t="shared" si="42"/>
        <v>0</v>
      </c>
      <c r="P31" s="12">
        <f t="shared" si="43"/>
        <v>-12.039800995024848</v>
      </c>
      <c r="Q31" s="283">
        <f t="shared" si="44"/>
        <v>0.90970149253731369</v>
      </c>
      <c r="R31" s="470"/>
      <c r="S31" s="24">
        <v>0.2298611111111111</v>
      </c>
      <c r="T31" s="24">
        <v>0.32291666666666663</v>
      </c>
      <c r="U31" s="282">
        <f>(S31-T30)*24*60</f>
        <v>28.000000000000021</v>
      </c>
      <c r="V31" s="290">
        <f t="shared" si="45"/>
        <v>133.99999999999994</v>
      </c>
      <c r="W31" s="14"/>
      <c r="X31" s="14"/>
      <c r="Y31" s="456"/>
      <c r="Z31" s="456"/>
      <c r="AA31" s="11">
        <f t="shared" si="2"/>
        <v>-216.71641791044703</v>
      </c>
      <c r="AB31" s="283">
        <f t="shared" ref="AB31:AB36" si="47">M31/J31</f>
        <v>0.90970149253731369</v>
      </c>
      <c r="AC31" s="470"/>
    </row>
    <row r="32" spans="1:29" ht="15.75" customHeight="1">
      <c r="A32" s="484" t="s">
        <v>8</v>
      </c>
      <c r="B32" s="26" t="s">
        <v>24</v>
      </c>
      <c r="C32" s="477" t="s">
        <v>513</v>
      </c>
      <c r="D32" s="477"/>
      <c r="E32" s="26">
        <v>31.29</v>
      </c>
      <c r="F32" s="291">
        <v>3500</v>
      </c>
      <c r="G32" s="282">
        <f t="shared" si="39"/>
        <v>109515</v>
      </c>
      <c r="H32" s="76">
        <v>2</v>
      </c>
      <c r="I32" s="289">
        <v>16</v>
      </c>
      <c r="J32" s="18">
        <v>2400</v>
      </c>
      <c r="K32" s="9">
        <f t="shared" si="46"/>
        <v>150</v>
      </c>
      <c r="L32" s="289">
        <v>16</v>
      </c>
      <c r="M32" s="10">
        <f t="shared" si="40"/>
        <v>2187.5000000000005</v>
      </c>
      <c r="N32" s="9">
        <f t="shared" si="41"/>
        <v>136.71875000000003</v>
      </c>
      <c r="O32" s="11">
        <f t="shared" si="42"/>
        <v>0</v>
      </c>
      <c r="P32" s="12">
        <f t="shared" si="43"/>
        <v>-13.281249999999972</v>
      </c>
      <c r="Q32" s="283">
        <f t="shared" si="44"/>
        <v>0.91145833333333348</v>
      </c>
      <c r="R32" s="470"/>
      <c r="S32" s="24">
        <v>0.32847222222222217</v>
      </c>
      <c r="T32" s="24">
        <v>0.39513888888888882</v>
      </c>
      <c r="U32" s="282">
        <f t="shared" ref="U32:U36" si="48">(S32-T31)*24*60</f>
        <v>7.9999999999999716</v>
      </c>
      <c r="V32" s="290">
        <f t="shared" si="45"/>
        <v>95.999999999999972</v>
      </c>
      <c r="W32" s="14"/>
      <c r="X32" s="14"/>
      <c r="Y32" s="456"/>
      <c r="Z32" s="456"/>
      <c r="AA32" s="11">
        <f t="shared" si="2"/>
        <v>-212.49999999999955</v>
      </c>
      <c r="AB32" s="283">
        <f t="shared" si="47"/>
        <v>0.91145833333333348</v>
      </c>
      <c r="AC32" s="470"/>
    </row>
    <row r="33" spans="1:29" ht="15.75" customHeight="1">
      <c r="A33" s="484" t="s">
        <v>8</v>
      </c>
      <c r="B33" s="26" t="s">
        <v>24</v>
      </c>
      <c r="C33" s="477" t="s">
        <v>84</v>
      </c>
      <c r="D33" s="477"/>
      <c r="E33" s="26">
        <v>24.25</v>
      </c>
      <c r="F33" s="291">
        <v>3300</v>
      </c>
      <c r="G33" s="282">
        <f t="shared" si="39"/>
        <v>80025</v>
      </c>
      <c r="H33" s="76">
        <v>2</v>
      </c>
      <c r="I33" s="289">
        <v>18</v>
      </c>
      <c r="J33" s="18">
        <v>2400</v>
      </c>
      <c r="K33" s="9">
        <f t="shared" si="46"/>
        <v>133.33333333333334</v>
      </c>
      <c r="L33" s="289">
        <v>18</v>
      </c>
      <c r="M33" s="10">
        <f t="shared" si="40"/>
        <v>2200</v>
      </c>
      <c r="N33" s="9">
        <f t="shared" si="41"/>
        <v>122.22222222222223</v>
      </c>
      <c r="O33" s="11">
        <f t="shared" si="42"/>
        <v>0</v>
      </c>
      <c r="P33" s="12">
        <f t="shared" si="43"/>
        <v>-11.111111111111114</v>
      </c>
      <c r="Q33" s="283">
        <f t="shared" si="44"/>
        <v>0.91666666666666663</v>
      </c>
      <c r="R33" s="470"/>
      <c r="S33" s="24">
        <v>0.40069444444444435</v>
      </c>
      <c r="T33" s="24">
        <v>0.46319444444444435</v>
      </c>
      <c r="U33" s="282">
        <f t="shared" si="48"/>
        <v>7.9999999999999716</v>
      </c>
      <c r="V33" s="290">
        <f t="shared" si="45"/>
        <v>90</v>
      </c>
      <c r="W33" s="14"/>
      <c r="X33" s="14"/>
      <c r="Y33" s="456"/>
      <c r="Z33" s="456"/>
      <c r="AA33" s="11">
        <f t="shared" si="2"/>
        <v>-200</v>
      </c>
      <c r="AB33" s="283">
        <f t="shared" si="47"/>
        <v>0.91666666666666663</v>
      </c>
      <c r="AC33" s="470"/>
    </row>
    <row r="34" spans="1:29" ht="15.75" customHeight="1">
      <c r="A34" s="484" t="s">
        <v>8</v>
      </c>
      <c r="B34" s="26" t="s">
        <v>24</v>
      </c>
      <c r="C34" s="477" t="s">
        <v>69</v>
      </c>
      <c r="D34" s="477"/>
      <c r="E34" s="26">
        <v>22.35</v>
      </c>
      <c r="F34" s="291">
        <v>2578</v>
      </c>
      <c r="G34" s="282">
        <f t="shared" si="39"/>
        <v>57618.3</v>
      </c>
      <c r="H34" s="76" t="s">
        <v>57</v>
      </c>
      <c r="I34" s="289">
        <v>16</v>
      </c>
      <c r="J34" s="18">
        <v>2400</v>
      </c>
      <c r="K34" s="9">
        <f t="shared" si="46"/>
        <v>150</v>
      </c>
      <c r="L34" s="289">
        <v>16</v>
      </c>
      <c r="M34" s="10">
        <f t="shared" si="40"/>
        <v>2178.5915492957724</v>
      </c>
      <c r="N34" s="9">
        <f t="shared" si="41"/>
        <v>136.16197183098578</v>
      </c>
      <c r="O34" s="11">
        <f t="shared" si="42"/>
        <v>0</v>
      </c>
      <c r="P34" s="12">
        <f t="shared" si="43"/>
        <v>-13.838028169014223</v>
      </c>
      <c r="Q34" s="283">
        <f t="shared" si="44"/>
        <v>0.90774647887323856</v>
      </c>
      <c r="R34" s="470"/>
      <c r="S34" s="24">
        <v>0.46805555555555545</v>
      </c>
      <c r="T34" s="24">
        <v>0.51736111111111105</v>
      </c>
      <c r="U34" s="282">
        <f t="shared" si="48"/>
        <v>6.9999999999999751</v>
      </c>
      <c r="V34" s="290">
        <f t="shared" si="45"/>
        <v>71.000000000000071</v>
      </c>
      <c r="W34" s="14"/>
      <c r="X34" s="14"/>
      <c r="Y34" s="456"/>
      <c r="Z34" s="456"/>
      <c r="AA34" s="11">
        <f t="shared" si="2"/>
        <v>-221.40845070422756</v>
      </c>
      <c r="AB34" s="283">
        <f t="shared" si="47"/>
        <v>0.90774647887323856</v>
      </c>
      <c r="AC34" s="470"/>
    </row>
    <row r="35" spans="1:29" ht="15.75" customHeight="1">
      <c r="A35" s="484" t="s">
        <v>8</v>
      </c>
      <c r="B35" s="26" t="s">
        <v>24</v>
      </c>
      <c r="C35" s="477" t="s">
        <v>513</v>
      </c>
      <c r="D35" s="477"/>
      <c r="E35" s="26">
        <v>31.29</v>
      </c>
      <c r="F35" s="291">
        <v>4942</v>
      </c>
      <c r="G35" s="282">
        <f t="shared" si="39"/>
        <v>154635.18</v>
      </c>
      <c r="H35" s="76" t="s">
        <v>57</v>
      </c>
      <c r="I35" s="289">
        <v>16</v>
      </c>
      <c r="J35" s="18">
        <v>2400</v>
      </c>
      <c r="K35" s="9">
        <f t="shared" si="46"/>
        <v>150</v>
      </c>
      <c r="L35" s="289">
        <v>16</v>
      </c>
      <c r="M35" s="10">
        <f t="shared" si="40"/>
        <v>2180.2941176470586</v>
      </c>
      <c r="N35" s="9">
        <f t="shared" si="41"/>
        <v>136.26838235294116</v>
      </c>
      <c r="O35" s="11">
        <f t="shared" si="42"/>
        <v>0</v>
      </c>
      <c r="P35" s="12">
        <f t="shared" si="43"/>
        <v>-13.73161764705884</v>
      </c>
      <c r="Q35" s="283">
        <f t="shared" si="44"/>
        <v>0.90845588235294106</v>
      </c>
      <c r="R35" s="470"/>
      <c r="S35" s="24">
        <v>0.55555555555555547</v>
      </c>
      <c r="T35" s="24">
        <v>0.64999999999999991</v>
      </c>
      <c r="U35" s="282">
        <f t="shared" si="48"/>
        <v>54.999999999999964</v>
      </c>
      <c r="V35" s="290">
        <f t="shared" si="45"/>
        <v>136</v>
      </c>
      <c r="W35" s="14"/>
      <c r="X35" s="14"/>
      <c r="Y35" s="456"/>
      <c r="Z35" s="456"/>
      <c r="AA35" s="11">
        <f t="shared" si="2"/>
        <v>-219.70588235294144</v>
      </c>
      <c r="AB35" s="283">
        <f t="shared" si="47"/>
        <v>0.90845588235294106</v>
      </c>
      <c r="AC35" s="470"/>
    </row>
    <row r="36" spans="1:29" ht="15.75" customHeight="1">
      <c r="A36" s="484" t="s">
        <v>8</v>
      </c>
      <c r="B36" s="26" t="s">
        <v>24</v>
      </c>
      <c r="C36" s="477" t="s">
        <v>84</v>
      </c>
      <c r="D36" s="477"/>
      <c r="E36" s="26">
        <v>24.25</v>
      </c>
      <c r="F36" s="291">
        <v>2417</v>
      </c>
      <c r="G36" s="282">
        <f t="shared" si="39"/>
        <v>58612.25</v>
      </c>
      <c r="H36" s="76" t="s">
        <v>57</v>
      </c>
      <c r="I36" s="289">
        <v>18</v>
      </c>
      <c r="J36" s="18">
        <v>2400</v>
      </c>
      <c r="K36" s="9">
        <f t="shared" si="46"/>
        <v>133.33333333333334</v>
      </c>
      <c r="L36" s="289">
        <v>18</v>
      </c>
      <c r="M36" s="10">
        <f t="shared" si="40"/>
        <v>2197.2727272727298</v>
      </c>
      <c r="N36" s="9">
        <f t="shared" si="41"/>
        <v>122.07070707070721</v>
      </c>
      <c r="O36" s="11">
        <f t="shared" si="42"/>
        <v>0</v>
      </c>
      <c r="P36" s="12">
        <f t="shared" si="43"/>
        <v>-11.262626262626128</v>
      </c>
      <c r="Q36" s="283">
        <f t="shared" si="44"/>
        <v>0.91553030303030403</v>
      </c>
      <c r="R36" s="470"/>
      <c r="S36" s="24">
        <v>0.65347222222222212</v>
      </c>
      <c r="T36" s="24">
        <v>0.6993055555555554</v>
      </c>
      <c r="U36" s="282">
        <f t="shared" si="48"/>
        <v>4.9999999999999822</v>
      </c>
      <c r="V36" s="290">
        <f t="shared" si="45"/>
        <v>65.999999999999929</v>
      </c>
      <c r="W36" s="14"/>
      <c r="X36" s="14"/>
      <c r="Y36" s="456"/>
      <c r="Z36" s="456"/>
      <c r="AA36" s="11">
        <f t="shared" si="2"/>
        <v>-202.72727272727025</v>
      </c>
      <c r="AB36" s="283">
        <f t="shared" si="47"/>
        <v>0.91553030303030403</v>
      </c>
      <c r="AC36" s="470"/>
    </row>
    <row r="37" spans="1:29" ht="15.75" customHeight="1">
      <c r="A37" s="484" t="s">
        <v>8</v>
      </c>
      <c r="B37" s="26" t="s">
        <v>1186</v>
      </c>
      <c r="C37" s="466"/>
      <c r="D37" s="466"/>
      <c r="E37" s="281"/>
      <c r="F37" s="291"/>
      <c r="G37" s="282"/>
      <c r="H37" s="291"/>
      <c r="I37" s="17">
        <v>17.428571428571427</v>
      </c>
      <c r="J37" s="18">
        <v>2400</v>
      </c>
      <c r="K37" s="9">
        <f t="shared" si="46"/>
        <v>137.70491803278691</v>
      </c>
      <c r="L37" s="17">
        <v>17.428571428571427</v>
      </c>
      <c r="M37" s="10">
        <f>AVERAGE(M30:M36)</f>
        <v>2187.8209791934137</v>
      </c>
      <c r="N37" s="9">
        <f>M37/L37</f>
        <v>125.53071192093358</v>
      </c>
      <c r="O37" s="11">
        <f>L37-I37</f>
        <v>0</v>
      </c>
      <c r="P37" s="12">
        <f>N37-K37</f>
        <v>-12.174206111853323</v>
      </c>
      <c r="Q37" s="283">
        <f>N37/K37</f>
        <v>0.91159207466392234</v>
      </c>
      <c r="R37" s="470"/>
      <c r="S37" s="24"/>
      <c r="T37" s="24"/>
      <c r="U37" s="282"/>
      <c r="V37" s="290"/>
      <c r="W37" s="282"/>
      <c r="X37" s="282"/>
      <c r="Y37" s="456"/>
      <c r="Z37" s="456"/>
      <c r="AA37" s="11">
        <f t="shared" si="2"/>
        <v>-212.17902080658632</v>
      </c>
      <c r="AB37" s="283">
        <f>M37/J37</f>
        <v>0.91159207466392234</v>
      </c>
      <c r="AC37" s="470"/>
    </row>
    <row r="38" spans="1:29" ht="15.75" customHeight="1">
      <c r="A38" s="485" t="s">
        <v>1190</v>
      </c>
      <c r="B38" s="26" t="s">
        <v>24</v>
      </c>
      <c r="C38" s="487" t="s">
        <v>29</v>
      </c>
      <c r="D38" s="487"/>
      <c r="E38" s="26">
        <v>26.2</v>
      </c>
      <c r="F38" s="291">
        <v>2500</v>
      </c>
      <c r="G38" s="282">
        <f t="shared" ref="G38:G45" si="49">E38*F38</f>
        <v>65500</v>
      </c>
      <c r="H38" s="76">
        <v>2</v>
      </c>
      <c r="I38" s="289">
        <v>18</v>
      </c>
      <c r="J38" s="18">
        <v>2400</v>
      </c>
      <c r="K38" s="9">
        <f>J38/I38</f>
        <v>133.33333333333334</v>
      </c>
      <c r="L38" s="289">
        <v>18</v>
      </c>
      <c r="M38" s="10">
        <f>F38/V38*60</f>
        <v>2173.9130434782619</v>
      </c>
      <c r="N38" s="9">
        <f>M38/L38</f>
        <v>120.77294685990344</v>
      </c>
      <c r="O38" s="11">
        <f t="shared" ref="O38:O45" si="50">L38-I38</f>
        <v>0</v>
      </c>
      <c r="P38" s="12">
        <f t="shared" ref="P38:P55" si="51">N38-K38</f>
        <v>-12.560386473429901</v>
      </c>
      <c r="Q38" s="283">
        <f t="shared" ref="Q38:Q50" si="52">N38/K38</f>
        <v>0.90579710144927572</v>
      </c>
      <c r="R38" s="470">
        <f>Q46</f>
        <v>0.91142656400946365</v>
      </c>
      <c r="S38" s="24">
        <v>8.3333333333333329E-2</v>
      </c>
      <c r="T38" s="24">
        <v>0.13124999999999998</v>
      </c>
      <c r="U38" s="282"/>
      <c r="V38" s="290">
        <f t="shared" ref="V38:V45" si="53">(T38-S38)*24*60</f>
        <v>68.999999999999972</v>
      </c>
      <c r="W38" s="15"/>
      <c r="X38" s="15"/>
      <c r="Y38" s="456"/>
      <c r="Z38" s="456"/>
      <c r="AA38" s="11">
        <f t="shared" si="2"/>
        <v>-226.0869565217381</v>
      </c>
      <c r="AB38" s="283">
        <f>M38/J38</f>
        <v>0.90579710144927583</v>
      </c>
      <c r="AC38" s="470">
        <f>AB46</f>
        <v>0.91142656400946365</v>
      </c>
    </row>
    <row r="39" spans="1:29" ht="15.75" customHeight="1">
      <c r="A39" s="485" t="s">
        <v>1190</v>
      </c>
      <c r="B39" s="26" t="s">
        <v>24</v>
      </c>
      <c r="C39" s="487" t="s">
        <v>31</v>
      </c>
      <c r="D39" s="487"/>
      <c r="E39" s="26">
        <v>24.45</v>
      </c>
      <c r="F39" s="291">
        <v>2483</v>
      </c>
      <c r="G39" s="282">
        <f t="shared" si="49"/>
        <v>60709.35</v>
      </c>
      <c r="H39" s="76" t="s">
        <v>57</v>
      </c>
      <c r="I39" s="289">
        <v>20</v>
      </c>
      <c r="J39" s="18">
        <v>2400</v>
      </c>
      <c r="K39" s="9">
        <f t="shared" ref="K39:K54" si="54">J39/I39</f>
        <v>120</v>
      </c>
      <c r="L39" s="289">
        <v>20</v>
      </c>
      <c r="M39" s="10">
        <f t="shared" ref="M39:M45" si="55">F39/V39*60</f>
        <v>2190.8823529411766</v>
      </c>
      <c r="N39" s="9">
        <f t="shared" ref="N39:N45" si="56">M39/L39</f>
        <v>109.54411764705883</v>
      </c>
      <c r="O39" s="11">
        <f t="shared" si="50"/>
        <v>0</v>
      </c>
      <c r="P39" s="12">
        <f t="shared" si="51"/>
        <v>-10.455882352941174</v>
      </c>
      <c r="Q39" s="283">
        <f t="shared" si="52"/>
        <v>0.91286764705882351</v>
      </c>
      <c r="R39" s="470"/>
      <c r="S39" s="24">
        <v>0.15138888888888888</v>
      </c>
      <c r="T39" s="24">
        <v>0.1986111111111111</v>
      </c>
      <c r="U39" s="282">
        <f>(S39-T38)*24*60</f>
        <v>29.000000000000018</v>
      </c>
      <c r="V39" s="290">
        <f t="shared" si="53"/>
        <v>68</v>
      </c>
      <c r="W39" s="282"/>
      <c r="X39" s="282"/>
      <c r="Y39" s="456"/>
      <c r="Z39" s="456"/>
      <c r="AA39" s="11">
        <f t="shared" si="2"/>
        <v>-209.11764705882342</v>
      </c>
      <c r="AB39" s="283">
        <f t="shared" ref="AB39:AB68" si="57">M39/J39</f>
        <v>0.91286764705882362</v>
      </c>
      <c r="AC39" s="470"/>
    </row>
    <row r="40" spans="1:29">
      <c r="A40" s="486" t="s">
        <v>243</v>
      </c>
      <c r="B40" s="26" t="s">
        <v>24</v>
      </c>
      <c r="C40" s="487" t="s">
        <v>32</v>
      </c>
      <c r="D40" s="487"/>
      <c r="E40" s="26">
        <v>26.2</v>
      </c>
      <c r="F40" s="291">
        <v>3069</v>
      </c>
      <c r="G40" s="282">
        <f t="shared" si="49"/>
        <v>80407.8</v>
      </c>
      <c r="H40" s="76" t="s">
        <v>57</v>
      </c>
      <c r="I40" s="289">
        <v>20</v>
      </c>
      <c r="J40" s="18">
        <v>2400</v>
      </c>
      <c r="K40" s="9">
        <f t="shared" si="54"/>
        <v>120</v>
      </c>
      <c r="L40" s="289">
        <v>20</v>
      </c>
      <c r="M40" s="10">
        <f t="shared" si="55"/>
        <v>2192.1428571428564</v>
      </c>
      <c r="N40" s="9">
        <f t="shared" si="56"/>
        <v>109.60714285714282</v>
      </c>
      <c r="O40" s="11">
        <f t="shared" si="50"/>
        <v>0</v>
      </c>
      <c r="P40" s="12">
        <f t="shared" si="51"/>
        <v>-10.392857142857181</v>
      </c>
      <c r="Q40" s="283">
        <f t="shared" si="52"/>
        <v>0.91339285714285678</v>
      </c>
      <c r="R40" s="470"/>
      <c r="S40" s="24">
        <v>0.20416666666666666</v>
      </c>
      <c r="T40" s="24">
        <v>0.26250000000000001</v>
      </c>
      <c r="U40" s="282">
        <f t="shared" ref="U40:U45" si="58">(S40-T39)*24*60</f>
        <v>8.0000000000000107</v>
      </c>
      <c r="V40" s="290">
        <f t="shared" si="53"/>
        <v>84.000000000000028</v>
      </c>
      <c r="W40" s="282"/>
      <c r="X40" s="282"/>
      <c r="Y40" s="456"/>
      <c r="Z40" s="456"/>
      <c r="AA40" s="11">
        <f t="shared" si="2"/>
        <v>-207.85714285714357</v>
      </c>
      <c r="AB40" s="283">
        <f t="shared" si="57"/>
        <v>0.9133928571428569</v>
      </c>
      <c r="AC40" s="470"/>
    </row>
    <row r="41" spans="1:29">
      <c r="A41" s="486" t="s">
        <v>1191</v>
      </c>
      <c r="B41" s="26" t="s">
        <v>24</v>
      </c>
      <c r="C41" s="487" t="s">
        <v>30</v>
      </c>
      <c r="D41" s="487"/>
      <c r="E41" s="26">
        <v>26.39</v>
      </c>
      <c r="F41" s="291">
        <v>3300</v>
      </c>
      <c r="G41" s="282">
        <f t="shared" si="49"/>
        <v>87087</v>
      </c>
      <c r="H41" s="76">
        <v>2</v>
      </c>
      <c r="I41" s="289">
        <v>19</v>
      </c>
      <c r="J41" s="18">
        <v>2400</v>
      </c>
      <c r="K41" s="9">
        <f t="shared" si="54"/>
        <v>126.31578947368421</v>
      </c>
      <c r="L41" s="289">
        <v>19</v>
      </c>
      <c r="M41" s="10">
        <f t="shared" si="55"/>
        <v>2200</v>
      </c>
      <c r="N41" s="9">
        <f t="shared" si="56"/>
        <v>115.78947368421052</v>
      </c>
      <c r="O41" s="11">
        <f t="shared" si="50"/>
        <v>0</v>
      </c>
      <c r="P41" s="12">
        <f t="shared" si="51"/>
        <v>-10.526315789473685</v>
      </c>
      <c r="Q41" s="283">
        <f t="shared" si="52"/>
        <v>0.91666666666666663</v>
      </c>
      <c r="R41" s="470"/>
      <c r="S41" s="24">
        <v>0.2673611111111111</v>
      </c>
      <c r="T41" s="24">
        <v>0.3298611111111111</v>
      </c>
      <c r="U41" s="282">
        <f t="shared" si="58"/>
        <v>6.9999999999999751</v>
      </c>
      <c r="V41" s="290">
        <f t="shared" si="53"/>
        <v>90</v>
      </c>
      <c r="W41" s="14"/>
      <c r="X41" s="14"/>
      <c r="Y41" s="456"/>
      <c r="Z41" s="456"/>
      <c r="AA41" s="11">
        <f t="shared" si="2"/>
        <v>-200</v>
      </c>
      <c r="AB41" s="283">
        <f t="shared" si="57"/>
        <v>0.91666666666666663</v>
      </c>
      <c r="AC41" s="470"/>
    </row>
    <row r="42" spans="1:29">
      <c r="A42" s="486" t="s">
        <v>1190</v>
      </c>
      <c r="B42" s="26" t="s">
        <v>24</v>
      </c>
      <c r="C42" s="487" t="s">
        <v>27</v>
      </c>
      <c r="D42" s="487"/>
      <c r="E42" s="26">
        <v>20.52</v>
      </c>
      <c r="F42" s="291">
        <v>3229</v>
      </c>
      <c r="G42" s="282">
        <f t="shared" si="49"/>
        <v>66259.08</v>
      </c>
      <c r="H42" s="76" t="s">
        <v>57</v>
      </c>
      <c r="I42" s="289">
        <v>18</v>
      </c>
      <c r="J42" s="18">
        <v>2400</v>
      </c>
      <c r="K42" s="9">
        <f t="shared" si="54"/>
        <v>133.33333333333334</v>
      </c>
      <c r="L42" s="289">
        <v>18</v>
      </c>
      <c r="M42" s="10">
        <f t="shared" si="55"/>
        <v>2176.8539325842694</v>
      </c>
      <c r="N42" s="9">
        <f t="shared" si="56"/>
        <v>120.93632958801497</v>
      </c>
      <c r="O42" s="11">
        <f t="shared" si="50"/>
        <v>0</v>
      </c>
      <c r="P42" s="12">
        <f t="shared" si="51"/>
        <v>-12.397003745318372</v>
      </c>
      <c r="Q42" s="283">
        <f t="shared" si="52"/>
        <v>0.9070224719101122</v>
      </c>
      <c r="R42" s="470"/>
      <c r="S42" s="24">
        <v>0.3347222222222222</v>
      </c>
      <c r="T42" s="24">
        <v>0.39652777777777776</v>
      </c>
      <c r="U42" s="282">
        <f t="shared" si="58"/>
        <v>6.9999999999999751</v>
      </c>
      <c r="V42" s="290">
        <f t="shared" si="53"/>
        <v>89</v>
      </c>
      <c r="W42" s="14"/>
      <c r="X42" s="14"/>
      <c r="Y42" s="456"/>
      <c r="Z42" s="456"/>
      <c r="AA42" s="11">
        <f t="shared" si="2"/>
        <v>-223.14606741573061</v>
      </c>
      <c r="AB42" s="283">
        <f t="shared" si="57"/>
        <v>0.9070224719101122</v>
      </c>
      <c r="AC42" s="470"/>
    </row>
    <row r="43" spans="1:29">
      <c r="A43" s="486" t="s">
        <v>1190</v>
      </c>
      <c r="B43" s="26" t="s">
        <v>24</v>
      </c>
      <c r="C43" s="487" t="s">
        <v>55</v>
      </c>
      <c r="D43" s="487"/>
      <c r="E43" s="26">
        <v>26.2</v>
      </c>
      <c r="F43" s="291">
        <v>4281</v>
      </c>
      <c r="G43" s="282">
        <f t="shared" si="49"/>
        <v>112162.2</v>
      </c>
      <c r="H43" s="76" t="s">
        <v>57</v>
      </c>
      <c r="I43" s="289">
        <v>19</v>
      </c>
      <c r="J43" s="18">
        <v>2400</v>
      </c>
      <c r="K43" s="9">
        <f t="shared" si="54"/>
        <v>126.31578947368421</v>
      </c>
      <c r="L43" s="289">
        <v>19</v>
      </c>
      <c r="M43" s="10">
        <f t="shared" si="55"/>
        <v>2176.7796610169494</v>
      </c>
      <c r="N43" s="9">
        <f t="shared" si="56"/>
        <v>114.56735057983944</v>
      </c>
      <c r="O43" s="11">
        <f t="shared" si="50"/>
        <v>0</v>
      </c>
      <c r="P43" s="12">
        <f t="shared" si="51"/>
        <v>-11.748438893844764</v>
      </c>
      <c r="Q43" s="283">
        <f t="shared" si="52"/>
        <v>0.90699152542372896</v>
      </c>
      <c r="R43" s="470"/>
      <c r="S43" s="24">
        <v>0.40138888888888885</v>
      </c>
      <c r="T43" s="24">
        <v>0.48333333333333328</v>
      </c>
      <c r="U43" s="282">
        <f t="shared" si="58"/>
        <v>6.9999999999999751</v>
      </c>
      <c r="V43" s="290">
        <f t="shared" si="53"/>
        <v>117.99999999999999</v>
      </c>
      <c r="W43" s="14"/>
      <c r="X43" s="14"/>
      <c r="Y43" s="456"/>
      <c r="Z43" s="456"/>
      <c r="AA43" s="11">
        <f t="shared" si="2"/>
        <v>-223.22033898305062</v>
      </c>
      <c r="AB43" s="283">
        <f t="shared" si="57"/>
        <v>0.90699152542372896</v>
      </c>
      <c r="AC43" s="470"/>
    </row>
    <row r="44" spans="1:29">
      <c r="A44" s="486" t="s">
        <v>243</v>
      </c>
      <c r="B44" s="26" t="s">
        <v>24</v>
      </c>
      <c r="C44" s="487" t="s">
        <v>29</v>
      </c>
      <c r="D44" s="487"/>
      <c r="E44" s="26">
        <v>26.2</v>
      </c>
      <c r="F44" s="291">
        <v>4000</v>
      </c>
      <c r="G44" s="282">
        <f t="shared" si="49"/>
        <v>104800</v>
      </c>
      <c r="H44" s="76" t="s">
        <v>57</v>
      </c>
      <c r="I44" s="289">
        <v>18</v>
      </c>
      <c r="J44" s="18">
        <v>2400</v>
      </c>
      <c r="K44" s="9">
        <f t="shared" si="54"/>
        <v>133.33333333333334</v>
      </c>
      <c r="L44" s="289">
        <v>18</v>
      </c>
      <c r="M44" s="10">
        <f t="shared" si="55"/>
        <v>2181.8181818181833</v>
      </c>
      <c r="N44" s="9">
        <f t="shared" si="56"/>
        <v>121.2121212121213</v>
      </c>
      <c r="O44" s="11">
        <f t="shared" si="50"/>
        <v>0</v>
      </c>
      <c r="P44" s="12">
        <f t="shared" si="51"/>
        <v>-12.121212121212039</v>
      </c>
      <c r="Q44" s="283">
        <f t="shared" si="52"/>
        <v>0.90909090909090973</v>
      </c>
      <c r="R44" s="470"/>
      <c r="S44" s="24">
        <v>0.52499999999999991</v>
      </c>
      <c r="T44" s="24">
        <v>0.60138888888888875</v>
      </c>
      <c r="U44" s="282">
        <f t="shared" si="58"/>
        <v>59.999999999999943</v>
      </c>
      <c r="V44" s="290">
        <f t="shared" si="53"/>
        <v>109.99999999999993</v>
      </c>
      <c r="W44" s="14"/>
      <c r="X44" s="14"/>
      <c r="Y44" s="473"/>
      <c r="Z44" s="474"/>
      <c r="AA44" s="11">
        <f t="shared" si="2"/>
        <v>-218.18181818181665</v>
      </c>
      <c r="AB44" s="283">
        <f t="shared" si="57"/>
        <v>0.90909090909090973</v>
      </c>
      <c r="AC44" s="470"/>
    </row>
    <row r="45" spans="1:29">
      <c r="A45" s="486" t="s">
        <v>243</v>
      </c>
      <c r="B45" s="26" t="s">
        <v>24</v>
      </c>
      <c r="C45" s="487" t="s">
        <v>30</v>
      </c>
      <c r="D45" s="487"/>
      <c r="E45" s="26">
        <v>26.39</v>
      </c>
      <c r="F45" s="291">
        <v>2207</v>
      </c>
      <c r="G45" s="282">
        <f t="shared" si="49"/>
        <v>58242.73</v>
      </c>
      <c r="H45" s="76" t="s">
        <v>57</v>
      </c>
      <c r="I45" s="289">
        <v>19</v>
      </c>
      <c r="J45" s="18">
        <v>2400</v>
      </c>
      <c r="K45" s="9">
        <f t="shared" si="54"/>
        <v>126.31578947368421</v>
      </c>
      <c r="L45" s="289">
        <v>19</v>
      </c>
      <c r="M45" s="10">
        <f t="shared" si="55"/>
        <v>2207.0000000000018</v>
      </c>
      <c r="N45" s="9">
        <f t="shared" si="56"/>
        <v>116.1578947368422</v>
      </c>
      <c r="O45" s="11">
        <f t="shared" si="50"/>
        <v>0</v>
      </c>
      <c r="P45" s="12">
        <f t="shared" si="51"/>
        <v>-10.15789473684201</v>
      </c>
      <c r="Q45" s="283">
        <f t="shared" si="52"/>
        <v>0.91958333333333409</v>
      </c>
      <c r="R45" s="470"/>
      <c r="S45" s="24">
        <v>0.60694444444444429</v>
      </c>
      <c r="T45" s="24">
        <v>0.64861111111111092</v>
      </c>
      <c r="U45" s="282">
        <f t="shared" si="58"/>
        <v>7.9999999999999716</v>
      </c>
      <c r="V45" s="290">
        <f t="shared" si="53"/>
        <v>59.999999999999943</v>
      </c>
      <c r="W45" s="14"/>
      <c r="X45" s="14"/>
      <c r="Y45" s="473"/>
      <c r="Z45" s="474"/>
      <c r="AA45" s="11">
        <f t="shared" si="2"/>
        <v>-192.99999999999818</v>
      </c>
      <c r="AB45" s="283">
        <f t="shared" si="57"/>
        <v>0.91958333333333409</v>
      </c>
      <c r="AC45" s="470"/>
    </row>
    <row r="46" spans="1:29">
      <c r="A46" s="486" t="s">
        <v>1190</v>
      </c>
      <c r="B46" s="16" t="s">
        <v>236</v>
      </c>
      <c r="C46" s="466"/>
      <c r="D46" s="466"/>
      <c r="E46" s="281"/>
      <c r="F46" s="16"/>
      <c r="G46" s="9"/>
      <c r="H46" s="291"/>
      <c r="I46" s="17">
        <v>18.875</v>
      </c>
      <c r="J46" s="18">
        <v>2400</v>
      </c>
      <c r="K46" s="9">
        <f t="shared" si="54"/>
        <v>127.1523178807947</v>
      </c>
      <c r="L46" s="17">
        <v>18.875</v>
      </c>
      <c r="M46" s="10">
        <f>AVERAGE(M38:M45)</f>
        <v>2187.4237536227129</v>
      </c>
      <c r="N46" s="9">
        <f>M46/L46</f>
        <v>115.8900001919318</v>
      </c>
      <c r="O46" s="11">
        <f>L46-I46</f>
        <v>0</v>
      </c>
      <c r="P46" s="12">
        <f t="shared" si="51"/>
        <v>-11.262317688862893</v>
      </c>
      <c r="Q46" s="283">
        <f t="shared" si="52"/>
        <v>0.91142656400946365</v>
      </c>
      <c r="R46" s="470"/>
      <c r="S46" s="24"/>
      <c r="T46" s="24"/>
      <c r="U46" s="9"/>
      <c r="V46" s="290"/>
      <c r="W46" s="9"/>
      <c r="X46" s="9"/>
      <c r="Y46" s="456"/>
      <c r="Z46" s="456"/>
      <c r="AA46" s="11">
        <f t="shared" si="2"/>
        <v>-212.57624637728713</v>
      </c>
      <c r="AB46" s="283">
        <f t="shared" si="57"/>
        <v>0.91142656400946365</v>
      </c>
      <c r="AC46" s="470"/>
    </row>
    <row r="47" spans="1:29" ht="15.75" customHeight="1">
      <c r="A47" s="488" t="s">
        <v>1192</v>
      </c>
      <c r="B47" s="26" t="s">
        <v>33</v>
      </c>
      <c r="C47" s="491" t="s">
        <v>34</v>
      </c>
      <c r="D47" s="492"/>
      <c r="E47" s="26">
        <v>27.17</v>
      </c>
      <c r="F47" s="291">
        <v>2500</v>
      </c>
      <c r="G47" s="282">
        <f t="shared" ref="G47:G54" si="59">E47*F47</f>
        <v>67925</v>
      </c>
      <c r="H47" s="76">
        <v>2</v>
      </c>
      <c r="I47" s="289">
        <v>10</v>
      </c>
      <c r="J47" s="18">
        <v>3000</v>
      </c>
      <c r="K47" s="9">
        <f t="shared" si="54"/>
        <v>300</v>
      </c>
      <c r="L47" s="289">
        <v>10</v>
      </c>
      <c r="M47" s="10">
        <f t="shared" ref="M47:M48" si="60">F47/V47*60</f>
        <v>2727.2727272727266</v>
      </c>
      <c r="N47" s="10">
        <f t="shared" ref="N47:N55" si="61">M47/L47</f>
        <v>272.72727272727263</v>
      </c>
      <c r="O47" s="11">
        <f t="shared" ref="O47:O55" si="62">L47-I47</f>
        <v>0</v>
      </c>
      <c r="P47" s="12">
        <f t="shared" si="51"/>
        <v>-27.272727272727366</v>
      </c>
      <c r="Q47" s="283">
        <f t="shared" si="52"/>
        <v>0.90909090909090873</v>
      </c>
      <c r="R47" s="493">
        <f>Q55</f>
        <v>0.91057697454767206</v>
      </c>
      <c r="S47" s="24">
        <v>0.20833333333333334</v>
      </c>
      <c r="T47" s="24">
        <v>0.24652777777777779</v>
      </c>
      <c r="U47" s="15"/>
      <c r="V47" s="290">
        <f t="shared" ref="V47:V54" si="63">(T47-S47)*24*60</f>
        <v>55.000000000000007</v>
      </c>
      <c r="W47" s="282"/>
      <c r="X47" s="282"/>
      <c r="Y47" s="473"/>
      <c r="Z47" s="474"/>
      <c r="AA47" s="11">
        <f t="shared" si="2"/>
        <v>-272.72727272727343</v>
      </c>
      <c r="AB47" s="283">
        <f t="shared" si="57"/>
        <v>0.90909090909090884</v>
      </c>
      <c r="AC47" s="493">
        <f>AB55</f>
        <v>0.91057697454767217</v>
      </c>
    </row>
    <row r="48" spans="1:29" ht="15.75" customHeight="1">
      <c r="A48" s="489" t="s">
        <v>9</v>
      </c>
      <c r="B48" s="26" t="s">
        <v>33</v>
      </c>
      <c r="C48" s="491" t="s">
        <v>35</v>
      </c>
      <c r="D48" s="492"/>
      <c r="E48" s="26">
        <v>21.13</v>
      </c>
      <c r="F48" s="291">
        <v>3000</v>
      </c>
      <c r="G48" s="282">
        <f t="shared" si="59"/>
        <v>63390</v>
      </c>
      <c r="H48" s="76">
        <v>2</v>
      </c>
      <c r="I48" s="289">
        <v>10</v>
      </c>
      <c r="J48" s="18">
        <v>3000</v>
      </c>
      <c r="K48" s="9">
        <f t="shared" si="54"/>
        <v>300</v>
      </c>
      <c r="L48" s="289">
        <v>10</v>
      </c>
      <c r="M48" s="10">
        <f t="shared" si="60"/>
        <v>2727.272727272727</v>
      </c>
      <c r="N48" s="10">
        <f t="shared" si="61"/>
        <v>272.72727272727269</v>
      </c>
      <c r="O48" s="11">
        <f t="shared" si="62"/>
        <v>0</v>
      </c>
      <c r="P48" s="12">
        <f t="shared" si="51"/>
        <v>-27.272727272727309</v>
      </c>
      <c r="Q48" s="283">
        <f t="shared" si="52"/>
        <v>0.90909090909090895</v>
      </c>
      <c r="R48" s="494"/>
      <c r="S48" s="24">
        <v>0.25069444444444444</v>
      </c>
      <c r="T48" s="24">
        <v>0.29652777777777778</v>
      </c>
      <c r="U48" s="282">
        <f>(S48-T47)*24*60</f>
        <v>5.9999999999999787</v>
      </c>
      <c r="V48" s="290">
        <f t="shared" si="63"/>
        <v>66</v>
      </c>
      <c r="W48" s="14"/>
      <c r="X48" s="14"/>
      <c r="Y48" s="473"/>
      <c r="Z48" s="474"/>
      <c r="AA48" s="11">
        <f t="shared" si="2"/>
        <v>-272.72727272727298</v>
      </c>
      <c r="AB48" s="283">
        <f t="shared" si="57"/>
        <v>0.90909090909090906</v>
      </c>
      <c r="AC48" s="494"/>
    </row>
    <row r="49" spans="1:29" ht="15.75" customHeight="1">
      <c r="A49" s="489" t="s">
        <v>9</v>
      </c>
      <c r="B49" s="26" t="s">
        <v>33</v>
      </c>
      <c r="C49" s="491" t="s">
        <v>43</v>
      </c>
      <c r="D49" s="492"/>
      <c r="E49" s="26">
        <v>35.119999999999997</v>
      </c>
      <c r="F49" s="291">
        <v>4817</v>
      </c>
      <c r="G49" s="282">
        <f t="shared" si="59"/>
        <v>169173.03999999998</v>
      </c>
      <c r="H49" s="76" t="s">
        <v>57</v>
      </c>
      <c r="I49" s="289">
        <v>10</v>
      </c>
      <c r="J49" s="18">
        <v>3000</v>
      </c>
      <c r="K49" s="9">
        <f t="shared" si="54"/>
        <v>300</v>
      </c>
      <c r="L49" s="289">
        <v>10</v>
      </c>
      <c r="M49" s="10">
        <f>F49/V49*60</f>
        <v>2726.603773584905</v>
      </c>
      <c r="N49" s="10">
        <f t="shared" si="61"/>
        <v>272.66037735849051</v>
      </c>
      <c r="O49" s="11">
        <f t="shared" si="62"/>
        <v>0</v>
      </c>
      <c r="P49" s="12">
        <f t="shared" si="51"/>
        <v>-27.339622641509493</v>
      </c>
      <c r="Q49" s="283">
        <f t="shared" si="52"/>
        <v>0.90886792452830167</v>
      </c>
      <c r="R49" s="494"/>
      <c r="S49" s="24">
        <v>0.3</v>
      </c>
      <c r="T49" s="24">
        <v>0.37361111111111112</v>
      </c>
      <c r="U49" s="282">
        <f t="shared" ref="U49:U54" si="64">(S49-T48)*24*60</f>
        <v>4.9999999999999822</v>
      </c>
      <c r="V49" s="290">
        <f t="shared" si="63"/>
        <v>106.00000000000003</v>
      </c>
      <c r="W49" s="14"/>
      <c r="X49" s="14"/>
      <c r="Y49" s="473"/>
      <c r="Z49" s="474"/>
      <c r="AA49" s="11">
        <f t="shared" si="2"/>
        <v>-273.39622641509504</v>
      </c>
      <c r="AB49" s="283">
        <f t="shared" si="57"/>
        <v>0.90886792452830167</v>
      </c>
      <c r="AC49" s="494"/>
    </row>
    <row r="50" spans="1:29" ht="15.75" customHeight="1">
      <c r="A50" s="489" t="s">
        <v>9</v>
      </c>
      <c r="B50" s="26" t="s">
        <v>33</v>
      </c>
      <c r="C50" s="491" t="s">
        <v>67</v>
      </c>
      <c r="D50" s="492"/>
      <c r="E50" s="26">
        <v>40.18</v>
      </c>
      <c r="F50" s="291">
        <v>2332</v>
      </c>
      <c r="G50" s="282">
        <f t="shared" si="59"/>
        <v>93699.76</v>
      </c>
      <c r="H50" s="76" t="s">
        <v>57</v>
      </c>
      <c r="I50" s="289">
        <v>10</v>
      </c>
      <c r="J50" s="18">
        <v>3000</v>
      </c>
      <c r="K50" s="9">
        <f t="shared" si="54"/>
        <v>300</v>
      </c>
      <c r="L50" s="289">
        <v>10</v>
      </c>
      <c r="M50" s="10">
        <f t="shared" ref="M50:M54" si="65">F50/V50*60</f>
        <v>2743.5294117647072</v>
      </c>
      <c r="N50" s="10">
        <f t="shared" si="61"/>
        <v>274.35294117647072</v>
      </c>
      <c r="O50" s="11">
        <f t="shared" si="62"/>
        <v>0</v>
      </c>
      <c r="P50" s="12">
        <f t="shared" si="51"/>
        <v>-25.647058823529278</v>
      </c>
      <c r="Q50" s="283">
        <f t="shared" si="52"/>
        <v>0.91450980392156911</v>
      </c>
      <c r="R50" s="494"/>
      <c r="S50" s="24">
        <v>0.37916666666666665</v>
      </c>
      <c r="T50" s="24">
        <v>0.4145833333333333</v>
      </c>
      <c r="U50" s="282">
        <f t="shared" si="64"/>
        <v>7.9999999999999716</v>
      </c>
      <c r="V50" s="290">
        <f t="shared" si="63"/>
        <v>50.999999999999979</v>
      </c>
      <c r="W50" s="14"/>
      <c r="X50" s="14"/>
      <c r="Y50" s="473"/>
      <c r="Z50" s="474"/>
      <c r="AA50" s="11">
        <f t="shared" si="2"/>
        <v>-256.47058823529278</v>
      </c>
      <c r="AB50" s="283">
        <f t="shared" si="57"/>
        <v>0.91450980392156911</v>
      </c>
      <c r="AC50" s="494"/>
    </row>
    <row r="51" spans="1:29" ht="15.75" customHeight="1">
      <c r="A51" s="489" t="s">
        <v>9</v>
      </c>
      <c r="B51" s="26" t="s">
        <v>33</v>
      </c>
      <c r="C51" s="491" t="s">
        <v>73</v>
      </c>
      <c r="D51" s="492"/>
      <c r="E51" s="26">
        <v>28.5</v>
      </c>
      <c r="F51" s="291">
        <v>1593</v>
      </c>
      <c r="G51" s="282">
        <f t="shared" si="59"/>
        <v>45400.5</v>
      </c>
      <c r="H51" s="76" t="s">
        <v>57</v>
      </c>
      <c r="I51" s="289">
        <v>10</v>
      </c>
      <c r="J51" s="18">
        <v>3000</v>
      </c>
      <c r="K51" s="9">
        <f t="shared" si="54"/>
        <v>300</v>
      </c>
      <c r="L51" s="289">
        <v>10</v>
      </c>
      <c r="M51" s="10">
        <f t="shared" si="65"/>
        <v>2730.8571428571404</v>
      </c>
      <c r="N51" s="10">
        <f t="shared" si="61"/>
        <v>273.08571428571406</v>
      </c>
      <c r="O51" s="11">
        <f t="shared" si="62"/>
        <v>0</v>
      </c>
      <c r="P51" s="12">
        <f t="shared" si="51"/>
        <v>-26.914285714285938</v>
      </c>
      <c r="Q51" s="283">
        <f>N51/K51</f>
        <v>0.91028571428571359</v>
      </c>
      <c r="R51" s="494"/>
      <c r="S51" s="24">
        <v>0.41874999999999996</v>
      </c>
      <c r="T51" s="24">
        <v>0.44305555555555554</v>
      </c>
      <c r="U51" s="282">
        <f t="shared" si="64"/>
        <v>5.9999999999999787</v>
      </c>
      <c r="V51" s="290">
        <f t="shared" si="63"/>
        <v>35.000000000000036</v>
      </c>
      <c r="W51" s="14"/>
      <c r="X51" s="14"/>
      <c r="Y51" s="473"/>
      <c r="Z51" s="474"/>
      <c r="AA51" s="11">
        <f t="shared" si="2"/>
        <v>-269.14285714285961</v>
      </c>
      <c r="AB51" s="283">
        <f t="shared" si="57"/>
        <v>0.91028571428571348</v>
      </c>
      <c r="AC51" s="494"/>
    </row>
    <row r="52" spans="1:29" ht="15.75" customHeight="1">
      <c r="A52" s="489" t="s">
        <v>9</v>
      </c>
      <c r="B52" s="26" t="s">
        <v>33</v>
      </c>
      <c r="C52" s="491" t="s">
        <v>511</v>
      </c>
      <c r="D52" s="492"/>
      <c r="E52" s="26">
        <v>35.869999999999997</v>
      </c>
      <c r="F52" s="291">
        <v>3974</v>
      </c>
      <c r="G52" s="282">
        <f t="shared" si="59"/>
        <v>142547.37999999998</v>
      </c>
      <c r="H52" s="76" t="s">
        <v>57</v>
      </c>
      <c r="I52" s="289">
        <v>10</v>
      </c>
      <c r="J52" s="18">
        <v>3000</v>
      </c>
      <c r="K52" s="9">
        <f t="shared" si="54"/>
        <v>300</v>
      </c>
      <c r="L52" s="289">
        <v>10</v>
      </c>
      <c r="M52" s="10">
        <f t="shared" si="65"/>
        <v>2740.6896551724135</v>
      </c>
      <c r="N52" s="10">
        <f t="shared" si="61"/>
        <v>274.06896551724134</v>
      </c>
      <c r="O52" s="11">
        <f t="shared" si="62"/>
        <v>0</v>
      </c>
      <c r="P52" s="12">
        <f t="shared" si="51"/>
        <v>-25.931034482758662</v>
      </c>
      <c r="Q52" s="283">
        <f t="shared" ref="Q52:Q55" si="66">N52/K52</f>
        <v>0.91356321839080445</v>
      </c>
      <c r="R52" s="494"/>
      <c r="S52" s="24">
        <v>0.44652777777777775</v>
      </c>
      <c r="T52" s="24">
        <v>0.50694444444444442</v>
      </c>
      <c r="U52" s="282">
        <f t="shared" si="64"/>
        <v>4.9999999999999822</v>
      </c>
      <c r="V52" s="290">
        <f t="shared" si="63"/>
        <v>87.000000000000014</v>
      </c>
      <c r="W52" s="14"/>
      <c r="X52" s="14"/>
      <c r="Y52" s="473"/>
      <c r="Z52" s="474"/>
      <c r="AA52" s="11">
        <f t="shared" si="2"/>
        <v>-259.3103448275865</v>
      </c>
      <c r="AB52" s="283">
        <f t="shared" si="57"/>
        <v>0.91356321839080445</v>
      </c>
      <c r="AC52" s="494"/>
    </row>
    <row r="53" spans="1:29" ht="15.75" customHeight="1">
      <c r="A53" s="489" t="s">
        <v>9</v>
      </c>
      <c r="B53" s="26" t="s">
        <v>33</v>
      </c>
      <c r="C53" s="491" t="s">
        <v>34</v>
      </c>
      <c r="D53" s="492"/>
      <c r="E53" s="26">
        <v>27.17</v>
      </c>
      <c r="F53" s="291">
        <v>3738</v>
      </c>
      <c r="G53" s="282">
        <f t="shared" si="59"/>
        <v>101561.46</v>
      </c>
      <c r="H53" s="76" t="s">
        <v>57</v>
      </c>
      <c r="I53" s="289">
        <v>10</v>
      </c>
      <c r="J53" s="18">
        <v>3000</v>
      </c>
      <c r="K53" s="9">
        <f t="shared" si="54"/>
        <v>300</v>
      </c>
      <c r="L53" s="289">
        <v>10</v>
      </c>
      <c r="M53" s="10">
        <f t="shared" si="65"/>
        <v>2735.1219512195112</v>
      </c>
      <c r="N53" s="10">
        <f t="shared" si="61"/>
        <v>273.51219512195109</v>
      </c>
      <c r="O53" s="11">
        <f t="shared" si="62"/>
        <v>0</v>
      </c>
      <c r="P53" s="12">
        <f t="shared" si="51"/>
        <v>-26.487804878048905</v>
      </c>
      <c r="Q53" s="283">
        <f t="shared" si="66"/>
        <v>0.91170731707317032</v>
      </c>
      <c r="R53" s="494"/>
      <c r="S53" s="24">
        <v>0.54583333333333328</v>
      </c>
      <c r="T53" s="24">
        <v>0.60277777777777775</v>
      </c>
      <c r="U53" s="282">
        <f t="shared" si="64"/>
        <v>55.999999999999957</v>
      </c>
      <c r="V53" s="290">
        <f t="shared" si="63"/>
        <v>82.000000000000028</v>
      </c>
      <c r="W53" s="14"/>
      <c r="X53" s="14"/>
      <c r="Y53" s="473"/>
      <c r="Z53" s="474"/>
      <c r="AA53" s="11">
        <f t="shared" si="2"/>
        <v>-264.87804878048883</v>
      </c>
      <c r="AB53" s="283">
        <f t="shared" si="57"/>
        <v>0.91170731707317043</v>
      </c>
      <c r="AC53" s="494"/>
    </row>
    <row r="54" spans="1:29" ht="15.75" customHeight="1">
      <c r="A54" s="489" t="s">
        <v>9</v>
      </c>
      <c r="B54" s="26" t="s">
        <v>33</v>
      </c>
      <c r="C54" s="491" t="s">
        <v>35</v>
      </c>
      <c r="D54" s="492"/>
      <c r="E54" s="26">
        <v>21.13</v>
      </c>
      <c r="F54" s="291">
        <v>1815</v>
      </c>
      <c r="G54" s="282">
        <f t="shared" si="59"/>
        <v>38350.949999999997</v>
      </c>
      <c r="H54" s="76" t="s">
        <v>57</v>
      </c>
      <c r="I54" s="289">
        <v>10</v>
      </c>
      <c r="J54" s="18">
        <v>3000</v>
      </c>
      <c r="K54" s="9">
        <f t="shared" si="54"/>
        <v>300</v>
      </c>
      <c r="L54" s="289">
        <v>10</v>
      </c>
      <c r="M54" s="10">
        <f t="shared" si="65"/>
        <v>2722.4999999999991</v>
      </c>
      <c r="N54" s="10">
        <f t="shared" si="61"/>
        <v>272.24999999999989</v>
      </c>
      <c r="O54" s="11">
        <f t="shared" si="62"/>
        <v>0</v>
      </c>
      <c r="P54" s="12">
        <f t="shared" si="51"/>
        <v>-27.750000000000114</v>
      </c>
      <c r="Q54" s="283">
        <f t="shared" si="66"/>
        <v>0.90749999999999964</v>
      </c>
      <c r="R54" s="494"/>
      <c r="S54" s="24">
        <v>0.60833333333333328</v>
      </c>
      <c r="T54" s="24">
        <v>0.63611111111111107</v>
      </c>
      <c r="U54" s="282">
        <f t="shared" si="64"/>
        <v>7.9999999999999716</v>
      </c>
      <c r="V54" s="290">
        <f t="shared" si="63"/>
        <v>40.000000000000014</v>
      </c>
      <c r="W54" s="14"/>
      <c r="X54" s="14"/>
      <c r="Y54" s="473"/>
      <c r="Z54" s="474"/>
      <c r="AA54" s="11">
        <f t="shared" si="2"/>
        <v>-277.50000000000091</v>
      </c>
      <c r="AB54" s="283">
        <f t="shared" si="57"/>
        <v>0.90749999999999975</v>
      </c>
      <c r="AC54" s="494"/>
    </row>
    <row r="55" spans="1:29" ht="15.75" customHeight="1">
      <c r="A55" s="490" t="s">
        <v>9</v>
      </c>
      <c r="B55" s="26" t="s">
        <v>236</v>
      </c>
      <c r="C55" s="497"/>
      <c r="D55" s="498"/>
      <c r="E55" s="288"/>
      <c r="F55" s="291"/>
      <c r="G55" s="282"/>
      <c r="H55" s="291"/>
      <c r="I55" s="17">
        <v>10</v>
      </c>
      <c r="J55" s="18">
        <v>3000</v>
      </c>
      <c r="K55" s="9">
        <f>J55/I55</f>
        <v>300</v>
      </c>
      <c r="L55" s="17">
        <v>10</v>
      </c>
      <c r="M55" s="10">
        <f>AVERAGE(M47:M54)</f>
        <v>2731.7309236430165</v>
      </c>
      <c r="N55" s="9">
        <f t="shared" si="61"/>
        <v>273.17309236430162</v>
      </c>
      <c r="O55" s="11">
        <f t="shared" si="62"/>
        <v>0</v>
      </c>
      <c r="P55" s="12">
        <f t="shared" si="51"/>
        <v>-26.826907635698376</v>
      </c>
      <c r="Q55" s="283">
        <f t="shared" si="66"/>
        <v>0.91057697454767206</v>
      </c>
      <c r="R55" s="495"/>
      <c r="S55" s="24"/>
      <c r="T55" s="24"/>
      <c r="U55" s="282"/>
      <c r="V55" s="290"/>
      <c r="W55" s="14"/>
      <c r="X55" s="14"/>
      <c r="Y55" s="473"/>
      <c r="Z55" s="474"/>
      <c r="AA55" s="11">
        <f t="shared" si="2"/>
        <v>-268.26907635698353</v>
      </c>
      <c r="AB55" s="283">
        <f t="shared" si="57"/>
        <v>0.91057697454767217</v>
      </c>
      <c r="AC55" s="495"/>
    </row>
    <row r="56" spans="1:29" ht="15.75" customHeight="1">
      <c r="A56" s="461" t="s">
        <v>382</v>
      </c>
      <c r="B56" s="26" t="s">
        <v>15</v>
      </c>
      <c r="C56" s="487" t="s">
        <v>20</v>
      </c>
      <c r="D56" s="487"/>
      <c r="E56" s="26">
        <v>46</v>
      </c>
      <c r="F56" s="27">
        <v>3070</v>
      </c>
      <c r="G56" s="282">
        <f t="shared" ref="G56:G59" si="67">E56*F56</f>
        <v>141220</v>
      </c>
      <c r="H56" s="76" t="s">
        <v>57</v>
      </c>
      <c r="I56" s="289">
        <v>17</v>
      </c>
      <c r="J56" s="18">
        <v>1500</v>
      </c>
      <c r="K56" s="9">
        <f t="shared" ref="K56:K59" si="68">J56/I56</f>
        <v>88.235294117647058</v>
      </c>
      <c r="L56" s="289">
        <v>17</v>
      </c>
      <c r="M56" s="10">
        <f t="shared" ref="M56:M59" si="69">F56/V56*60</f>
        <v>1364.4444444444443</v>
      </c>
      <c r="N56" s="10">
        <f>M56/L56</f>
        <v>80.261437908496731</v>
      </c>
      <c r="O56" s="11">
        <f>L56-I56</f>
        <v>0</v>
      </c>
      <c r="P56" s="12">
        <f>N56-K56</f>
        <v>-7.9738562091503269</v>
      </c>
      <c r="Q56" s="283">
        <f>N56/K56</f>
        <v>0.90962962962962968</v>
      </c>
      <c r="R56" s="470">
        <f>Q60</f>
        <v>0.9115262416510802</v>
      </c>
      <c r="S56" s="24">
        <v>0.29305555555555557</v>
      </c>
      <c r="T56" s="24">
        <v>0.38680555555555557</v>
      </c>
      <c r="U56" s="15"/>
      <c r="V56" s="290">
        <f t="shared" ref="V56:V59" si="70">(T56-S56)*24*60</f>
        <v>135</v>
      </c>
      <c r="W56" s="15"/>
      <c r="X56" s="15"/>
      <c r="Y56" s="456"/>
      <c r="Z56" s="456"/>
      <c r="AA56" s="11">
        <f t="shared" si="2"/>
        <v>-135.55555555555566</v>
      </c>
      <c r="AB56" s="283">
        <f t="shared" si="57"/>
        <v>0.90962962962962957</v>
      </c>
      <c r="AC56" s="470">
        <f>AB60</f>
        <v>0.9115262416510802</v>
      </c>
    </row>
    <row r="57" spans="1:29" ht="15.75" customHeight="1">
      <c r="A57" s="461" t="s">
        <v>10</v>
      </c>
      <c r="B57" s="26" t="s">
        <v>15</v>
      </c>
      <c r="C57" s="487" t="s">
        <v>75</v>
      </c>
      <c r="D57" s="487"/>
      <c r="E57" s="26">
        <v>46</v>
      </c>
      <c r="F57" s="27">
        <v>3661</v>
      </c>
      <c r="G57" s="282">
        <f t="shared" si="67"/>
        <v>168406</v>
      </c>
      <c r="H57" s="76" t="s">
        <v>57</v>
      </c>
      <c r="I57" s="289">
        <v>18</v>
      </c>
      <c r="J57" s="18">
        <v>1500</v>
      </c>
      <c r="K57" s="9">
        <f t="shared" si="68"/>
        <v>83.333333333333329</v>
      </c>
      <c r="L57" s="289">
        <v>18</v>
      </c>
      <c r="M57" s="10">
        <f t="shared" si="69"/>
        <v>1364.3478260869565</v>
      </c>
      <c r="N57" s="10">
        <f t="shared" ref="N57:N59" si="71">M57/L57</f>
        <v>75.79710144927536</v>
      </c>
      <c r="O57" s="11">
        <f t="shared" ref="O57:O59" si="72">L57-I57</f>
        <v>0</v>
      </c>
      <c r="P57" s="12">
        <f t="shared" ref="P57:P59" si="73">N57-K57</f>
        <v>-7.536231884057969</v>
      </c>
      <c r="Q57" s="283">
        <f t="shared" ref="Q57:Q59" si="74">N57/K57</f>
        <v>0.90956521739130436</v>
      </c>
      <c r="R57" s="470"/>
      <c r="S57" s="24">
        <v>0.39097222222222222</v>
      </c>
      <c r="T57" s="24">
        <v>0.50277777777777777</v>
      </c>
      <c r="U57" s="282">
        <f t="shared" ref="U57:U59" si="75">(S57-T56)*24*60</f>
        <v>5.9999999999999787</v>
      </c>
      <c r="V57" s="290">
        <f t="shared" si="70"/>
        <v>161</v>
      </c>
      <c r="W57" s="14"/>
      <c r="X57" s="14"/>
      <c r="Y57" s="456"/>
      <c r="Z57" s="456"/>
      <c r="AA57" s="11">
        <f t="shared" si="2"/>
        <v>-135.6521739130435</v>
      </c>
      <c r="AB57" s="283">
        <f t="shared" si="57"/>
        <v>0.90956521739130436</v>
      </c>
      <c r="AC57" s="470"/>
    </row>
    <row r="58" spans="1:29" ht="15.75" customHeight="1">
      <c r="A58" s="461" t="s">
        <v>10</v>
      </c>
      <c r="B58" s="26" t="s">
        <v>13</v>
      </c>
      <c r="C58" s="491" t="s">
        <v>65</v>
      </c>
      <c r="D58" s="492"/>
      <c r="E58" s="26">
        <v>55.56</v>
      </c>
      <c r="F58" s="27">
        <v>2307</v>
      </c>
      <c r="G58" s="282">
        <f t="shared" si="67"/>
        <v>128176.92</v>
      </c>
      <c r="H58" s="76" t="s">
        <v>57</v>
      </c>
      <c r="I58" s="289">
        <v>17</v>
      </c>
      <c r="J58" s="18">
        <v>1500</v>
      </c>
      <c r="K58" s="9">
        <f t="shared" si="68"/>
        <v>88.235294117647058</v>
      </c>
      <c r="L58" s="289">
        <v>17</v>
      </c>
      <c r="M58" s="10">
        <f t="shared" si="69"/>
        <v>1370.4950495049511</v>
      </c>
      <c r="N58" s="10">
        <f t="shared" si="71"/>
        <v>80.617355853232425</v>
      </c>
      <c r="O58" s="11">
        <f t="shared" si="72"/>
        <v>0</v>
      </c>
      <c r="P58" s="12">
        <f t="shared" si="73"/>
        <v>-7.617938264414633</v>
      </c>
      <c r="Q58" s="283">
        <f t="shared" si="74"/>
        <v>0.91366336633663414</v>
      </c>
      <c r="R58" s="470"/>
      <c r="S58" s="24">
        <v>0.70833333333333337</v>
      </c>
      <c r="T58" s="24">
        <v>0.77847222222222223</v>
      </c>
      <c r="U58" s="282">
        <f t="shared" si="75"/>
        <v>296.00000000000006</v>
      </c>
      <c r="V58" s="290">
        <f t="shared" si="70"/>
        <v>100.99999999999996</v>
      </c>
      <c r="W58" s="14"/>
      <c r="X58" s="14"/>
      <c r="Y58" s="286"/>
      <c r="Z58" s="287"/>
      <c r="AA58" s="11">
        <f t="shared" si="2"/>
        <v>-129.50495049504889</v>
      </c>
      <c r="AB58" s="283">
        <f t="shared" si="57"/>
        <v>0.91366336633663403</v>
      </c>
      <c r="AC58" s="470"/>
    </row>
    <row r="59" spans="1:29" ht="15.75" customHeight="1">
      <c r="A59" s="461" t="s">
        <v>10</v>
      </c>
      <c r="B59" s="26" t="s">
        <v>13</v>
      </c>
      <c r="C59" s="284" t="s">
        <v>64</v>
      </c>
      <c r="D59" s="285"/>
      <c r="E59" s="26">
        <v>55.32</v>
      </c>
      <c r="F59" s="27">
        <v>1758</v>
      </c>
      <c r="G59" s="282">
        <f t="shared" si="67"/>
        <v>97252.56</v>
      </c>
      <c r="H59" s="76" t="s">
        <v>57</v>
      </c>
      <c r="I59" s="289">
        <v>15</v>
      </c>
      <c r="J59" s="18">
        <v>1500</v>
      </c>
      <c r="K59" s="9">
        <f t="shared" si="68"/>
        <v>100</v>
      </c>
      <c r="L59" s="289">
        <v>15</v>
      </c>
      <c r="M59" s="10">
        <f t="shared" si="69"/>
        <v>1369.8701298701289</v>
      </c>
      <c r="N59" s="10">
        <f t="shared" si="71"/>
        <v>91.324675324675269</v>
      </c>
      <c r="O59" s="11">
        <f t="shared" si="72"/>
        <v>0</v>
      </c>
      <c r="P59" s="12">
        <f t="shared" si="73"/>
        <v>-8.6753246753247311</v>
      </c>
      <c r="Q59" s="283">
        <f t="shared" si="74"/>
        <v>0.91324675324675264</v>
      </c>
      <c r="R59" s="470"/>
      <c r="S59" s="24">
        <v>0.78263888888888888</v>
      </c>
      <c r="T59" s="24">
        <v>0.83611111111111114</v>
      </c>
      <c r="U59" s="282">
        <f t="shared" si="75"/>
        <v>5.9999999999999787</v>
      </c>
      <c r="V59" s="290">
        <f t="shared" si="70"/>
        <v>77.000000000000043</v>
      </c>
      <c r="W59" s="14"/>
      <c r="X59" s="14"/>
      <c r="Y59" s="286"/>
      <c r="Z59" s="287"/>
      <c r="AA59" s="11">
        <f t="shared" si="2"/>
        <v>-130.12987012987105</v>
      </c>
      <c r="AB59" s="283">
        <f t="shared" si="57"/>
        <v>0.91324675324675264</v>
      </c>
      <c r="AC59" s="470"/>
    </row>
    <row r="60" spans="1:29">
      <c r="A60" s="496" t="s">
        <v>10</v>
      </c>
      <c r="B60" s="26" t="s">
        <v>1186</v>
      </c>
      <c r="C60" s="466"/>
      <c r="D60" s="466"/>
      <c r="E60" s="281"/>
      <c r="F60" s="16"/>
      <c r="G60" s="9"/>
      <c r="H60" s="291"/>
      <c r="I60" s="17">
        <v>16.75</v>
      </c>
      <c r="J60" s="18">
        <v>1500</v>
      </c>
      <c r="K60" s="9">
        <f>J60/I60</f>
        <v>89.552238805970148</v>
      </c>
      <c r="L60" s="17">
        <v>16.75</v>
      </c>
      <c r="M60" s="10">
        <f>AVERAGE(M56:M59)</f>
        <v>1367.2893624766202</v>
      </c>
      <c r="N60" s="9">
        <f>M60/L60</f>
        <v>81.629215670245983</v>
      </c>
      <c r="O60" s="11">
        <f>L60-I60</f>
        <v>0</v>
      </c>
      <c r="P60" s="12">
        <f>N60-K60</f>
        <v>-7.9230231357241649</v>
      </c>
      <c r="Q60" s="283">
        <f>N60/K60</f>
        <v>0.9115262416510802</v>
      </c>
      <c r="R60" s="470"/>
      <c r="S60" s="25"/>
      <c r="T60" s="24"/>
      <c r="U60" s="9"/>
      <c r="V60" s="290"/>
      <c r="W60" s="9"/>
      <c r="X60" s="9"/>
      <c r="Y60" s="456"/>
      <c r="Z60" s="456"/>
      <c r="AA60" s="11">
        <f t="shared" si="2"/>
        <v>-132.71063752337977</v>
      </c>
      <c r="AB60" s="283">
        <f t="shared" si="57"/>
        <v>0.9115262416510802</v>
      </c>
      <c r="AC60" s="470"/>
    </row>
    <row r="61" spans="1:29" ht="15.75" customHeight="1">
      <c r="A61" s="499" t="s">
        <v>1193</v>
      </c>
      <c r="B61" s="291" t="s">
        <v>33</v>
      </c>
      <c r="C61" s="487" t="s">
        <v>36</v>
      </c>
      <c r="D61" s="487"/>
      <c r="E61" s="26">
        <v>26.78</v>
      </c>
      <c r="F61" s="27">
        <v>2465</v>
      </c>
      <c r="G61" s="282">
        <f t="shared" ref="G61:G67" si="76">E61*F61</f>
        <v>66012.7</v>
      </c>
      <c r="H61" s="76" t="s">
        <v>57</v>
      </c>
      <c r="I61" s="289">
        <v>10</v>
      </c>
      <c r="J61" s="18">
        <v>3000</v>
      </c>
      <c r="K61" s="9">
        <f t="shared" ref="K61:K67" si="77">J61/I61</f>
        <v>300</v>
      </c>
      <c r="L61" s="17">
        <v>10</v>
      </c>
      <c r="M61" s="10">
        <f t="shared" ref="M61:M67" si="78">F61/V61*60</f>
        <v>2738.8888888888887</v>
      </c>
      <c r="N61" s="9">
        <f>M61/L61</f>
        <v>273.88888888888886</v>
      </c>
      <c r="O61" s="11">
        <f t="shared" ref="O61:O67" si="79">L61-I61</f>
        <v>0</v>
      </c>
      <c r="P61" s="12">
        <f t="shared" ref="P61:P67" si="80">N61-K61</f>
        <v>-26.111111111111143</v>
      </c>
      <c r="Q61" s="283">
        <f>N61/K61</f>
        <v>0.91296296296296287</v>
      </c>
      <c r="R61" s="470">
        <f>Q68</f>
        <v>0.91447810967305221</v>
      </c>
      <c r="S61" s="24">
        <v>0.20833333333333334</v>
      </c>
      <c r="T61" s="24">
        <v>0.24583333333333335</v>
      </c>
      <c r="U61" s="282"/>
      <c r="V61" s="290">
        <f t="shared" ref="V61:V67" si="81">(T61-S61)*24*60</f>
        <v>54.000000000000007</v>
      </c>
      <c r="W61" s="15"/>
      <c r="X61" s="15"/>
      <c r="Y61" s="456"/>
      <c r="Z61" s="456"/>
      <c r="AA61" s="11">
        <f t="shared" si="2"/>
        <v>-261.11111111111131</v>
      </c>
      <c r="AB61" s="283">
        <f t="shared" si="57"/>
        <v>0.91296296296296287</v>
      </c>
      <c r="AC61" s="470">
        <f>AB68</f>
        <v>0.91447810967305221</v>
      </c>
    </row>
    <row r="62" spans="1:29" ht="15.75" customHeight="1">
      <c r="A62" s="499" t="s">
        <v>11</v>
      </c>
      <c r="B62" s="291" t="s">
        <v>33</v>
      </c>
      <c r="C62" s="487" t="s">
        <v>42</v>
      </c>
      <c r="D62" s="487"/>
      <c r="E62" s="26">
        <v>35.369999999999997</v>
      </c>
      <c r="F62" s="27">
        <v>1739</v>
      </c>
      <c r="G62" s="282">
        <f t="shared" si="76"/>
        <v>61508.429999999993</v>
      </c>
      <c r="H62" s="76" t="s">
        <v>57</v>
      </c>
      <c r="I62" s="289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2745.7894736842086</v>
      </c>
      <c r="N62" s="9">
        <f t="shared" ref="N62:N67" si="82">M62/L62</f>
        <v>274.57894736842087</v>
      </c>
      <c r="O62" s="11">
        <f t="shared" si="79"/>
        <v>0</v>
      </c>
      <c r="P62" s="12">
        <f t="shared" si="80"/>
        <v>-25.42105263157913</v>
      </c>
      <c r="Q62" s="283">
        <f t="shared" ref="Q62:Q67" si="83">N62/K62</f>
        <v>0.91526315789473622</v>
      </c>
      <c r="R62" s="470"/>
      <c r="S62" s="24">
        <v>0.25</v>
      </c>
      <c r="T62" s="24">
        <v>0.27638888888888891</v>
      </c>
      <c r="U62" s="282">
        <f>(S62-T61)*24*60</f>
        <v>5.9999999999999787</v>
      </c>
      <c r="V62" s="290">
        <f t="shared" si="81"/>
        <v>38.000000000000028</v>
      </c>
      <c r="W62" s="282"/>
      <c r="X62" s="282"/>
      <c r="Y62" s="456"/>
      <c r="Z62" s="456"/>
      <c r="AA62" s="11">
        <f t="shared" si="2"/>
        <v>-254.21052631579141</v>
      </c>
      <c r="AB62" s="283">
        <f t="shared" si="57"/>
        <v>0.91526315789473622</v>
      </c>
      <c r="AC62" s="470"/>
    </row>
    <row r="63" spans="1:29" ht="15.75" customHeight="1">
      <c r="A63" s="499" t="s">
        <v>11</v>
      </c>
      <c r="B63" s="291" t="s">
        <v>33</v>
      </c>
      <c r="C63" s="487" t="s">
        <v>41</v>
      </c>
      <c r="D63" s="487"/>
      <c r="E63" s="26">
        <v>34.35</v>
      </c>
      <c r="F63" s="27">
        <v>1492</v>
      </c>
      <c r="G63" s="282">
        <f t="shared" si="76"/>
        <v>51250.200000000004</v>
      </c>
      <c r="H63" s="76" t="s">
        <v>57</v>
      </c>
      <c r="I63" s="289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2797.5000000000032</v>
      </c>
      <c r="N63" s="9">
        <f t="shared" si="82"/>
        <v>279.75000000000034</v>
      </c>
      <c r="O63" s="11">
        <f t="shared" si="79"/>
        <v>0</v>
      </c>
      <c r="P63" s="12">
        <f t="shared" si="80"/>
        <v>-20.249999999999659</v>
      </c>
      <c r="Q63" s="283">
        <f t="shared" si="83"/>
        <v>0.93250000000000111</v>
      </c>
      <c r="R63" s="470"/>
      <c r="S63" s="24">
        <v>0.28055555555555556</v>
      </c>
      <c r="T63" s="24">
        <v>0.30277777777777776</v>
      </c>
      <c r="U63" s="282">
        <f t="shared" ref="U63:U67" si="84">(S63-T62)*24*60</f>
        <v>5.9999999999999787</v>
      </c>
      <c r="V63" s="290">
        <f t="shared" si="81"/>
        <v>31.999999999999964</v>
      </c>
      <c r="W63" s="282"/>
      <c r="X63" s="282"/>
      <c r="Y63" s="456"/>
      <c r="Z63" s="456"/>
      <c r="AA63" s="11">
        <f t="shared" si="2"/>
        <v>-202.49999999999682</v>
      </c>
      <c r="AB63" s="283">
        <f t="shared" si="57"/>
        <v>0.93250000000000111</v>
      </c>
      <c r="AC63" s="470"/>
    </row>
    <row r="64" spans="1:29" ht="15.75" customHeight="1">
      <c r="A64" s="499" t="s">
        <v>11</v>
      </c>
      <c r="B64" s="291" t="s">
        <v>15</v>
      </c>
      <c r="C64" s="487" t="s">
        <v>39</v>
      </c>
      <c r="D64" s="487"/>
      <c r="E64" s="26">
        <v>26.97</v>
      </c>
      <c r="F64" s="27">
        <v>3265</v>
      </c>
      <c r="G64" s="282">
        <f t="shared" si="76"/>
        <v>88057.05</v>
      </c>
      <c r="H64" s="76" t="s">
        <v>57</v>
      </c>
      <c r="I64" s="289">
        <v>8</v>
      </c>
      <c r="J64" s="18">
        <v>1440</v>
      </c>
      <c r="K64" s="9">
        <f t="shared" si="77"/>
        <v>180</v>
      </c>
      <c r="L64" s="17">
        <v>8</v>
      </c>
      <c r="M64" s="10">
        <f t="shared" si="78"/>
        <v>1305.9999999999998</v>
      </c>
      <c r="N64" s="9">
        <f t="shared" si="82"/>
        <v>163.24999999999997</v>
      </c>
      <c r="O64" s="11">
        <f t="shared" si="79"/>
        <v>0</v>
      </c>
      <c r="P64" s="12">
        <f t="shared" si="80"/>
        <v>-16.750000000000028</v>
      </c>
      <c r="Q64" s="283">
        <f t="shared" si="83"/>
        <v>0.90694444444444433</v>
      </c>
      <c r="R64" s="470"/>
      <c r="S64" s="24">
        <v>0.30624999999999997</v>
      </c>
      <c r="T64" s="24">
        <v>0.41041666666666665</v>
      </c>
      <c r="U64" s="282">
        <f t="shared" si="84"/>
        <v>4.9999999999999822</v>
      </c>
      <c r="V64" s="290">
        <f t="shared" si="81"/>
        <v>150.00000000000003</v>
      </c>
      <c r="W64" s="282"/>
      <c r="X64" s="282"/>
      <c r="Y64" s="456"/>
      <c r="Z64" s="456"/>
      <c r="AA64" s="11">
        <f t="shared" si="2"/>
        <v>-134.00000000000023</v>
      </c>
      <c r="AB64" s="283">
        <f t="shared" si="57"/>
        <v>0.90694444444444433</v>
      </c>
      <c r="AC64" s="470"/>
    </row>
    <row r="65" spans="1:29">
      <c r="A65" s="500" t="s">
        <v>11</v>
      </c>
      <c r="B65" s="291" t="s">
        <v>33</v>
      </c>
      <c r="C65" s="487" t="s">
        <v>40</v>
      </c>
      <c r="D65" s="487"/>
      <c r="E65" s="26">
        <v>35.119999999999997</v>
      </c>
      <c r="F65" s="27">
        <v>1341</v>
      </c>
      <c r="G65" s="282">
        <f t="shared" si="76"/>
        <v>47095.92</v>
      </c>
      <c r="H65" s="76" t="s">
        <v>57</v>
      </c>
      <c r="I65" s="289">
        <v>13</v>
      </c>
      <c r="J65" s="18">
        <v>2000</v>
      </c>
      <c r="K65" s="9">
        <f t="shared" si="77"/>
        <v>153.84615384615384</v>
      </c>
      <c r="L65" s="17">
        <v>13</v>
      </c>
      <c r="M65" s="10">
        <f t="shared" si="78"/>
        <v>1828.6363636363635</v>
      </c>
      <c r="N65" s="9">
        <f t="shared" si="82"/>
        <v>140.66433566433565</v>
      </c>
      <c r="O65" s="11">
        <f t="shared" si="79"/>
        <v>0</v>
      </c>
      <c r="P65" s="12">
        <f t="shared" si="80"/>
        <v>-13.181818181818187</v>
      </c>
      <c r="Q65" s="283">
        <f t="shared" si="83"/>
        <v>0.91431818181818181</v>
      </c>
      <c r="R65" s="470"/>
      <c r="S65" s="24">
        <v>0.41597222222222219</v>
      </c>
      <c r="T65" s="24">
        <v>0.44652777777777775</v>
      </c>
      <c r="U65" s="282">
        <f t="shared" si="84"/>
        <v>7.9999999999999716</v>
      </c>
      <c r="V65" s="290">
        <f t="shared" si="81"/>
        <v>44</v>
      </c>
      <c r="W65" s="14"/>
      <c r="X65" s="14"/>
      <c r="Y65" s="456"/>
      <c r="Z65" s="456"/>
      <c r="AA65" s="11">
        <f t="shared" si="2"/>
        <v>-171.36363636363649</v>
      </c>
      <c r="AB65" s="283">
        <f t="shared" si="57"/>
        <v>0.91431818181818181</v>
      </c>
      <c r="AC65" s="470"/>
    </row>
    <row r="66" spans="1:29" ht="15" customHeight="1">
      <c r="A66" s="500" t="s">
        <v>11</v>
      </c>
      <c r="B66" s="291" t="s">
        <v>33</v>
      </c>
      <c r="C66" s="491" t="s">
        <v>1194</v>
      </c>
      <c r="D66" s="492"/>
      <c r="E66" s="26">
        <v>34.26</v>
      </c>
      <c r="F66" s="27">
        <v>4000</v>
      </c>
      <c r="G66" s="282">
        <f t="shared" si="76"/>
        <v>137040</v>
      </c>
      <c r="H66" s="76">
        <v>2</v>
      </c>
      <c r="I66" s="289">
        <v>13</v>
      </c>
      <c r="J66" s="18">
        <v>3000</v>
      </c>
      <c r="K66" s="9">
        <f t="shared" si="77"/>
        <v>230.76923076923077</v>
      </c>
      <c r="L66" s="17">
        <v>13</v>
      </c>
      <c r="M66" s="10">
        <f t="shared" si="78"/>
        <v>2727.272727272727</v>
      </c>
      <c r="N66" s="9">
        <f t="shared" si="82"/>
        <v>209.79020979020976</v>
      </c>
      <c r="O66" s="11">
        <f t="shared" si="79"/>
        <v>0</v>
      </c>
      <c r="P66" s="12">
        <f t="shared" si="80"/>
        <v>-20.979020979021016</v>
      </c>
      <c r="Q66" s="283">
        <f t="shared" si="83"/>
        <v>0.90909090909090895</v>
      </c>
      <c r="R66" s="470"/>
      <c r="S66" s="24">
        <v>0.4506944444444444</v>
      </c>
      <c r="T66" s="24">
        <v>0.51180555555555551</v>
      </c>
      <c r="U66" s="282">
        <f t="shared" si="84"/>
        <v>5.9999999999999787</v>
      </c>
      <c r="V66" s="290">
        <f t="shared" si="81"/>
        <v>88</v>
      </c>
      <c r="W66" s="282"/>
      <c r="X66" s="282"/>
      <c r="Y66" s="473"/>
      <c r="Z66" s="474"/>
      <c r="AA66" s="11">
        <f t="shared" si="2"/>
        <v>-272.72727272727298</v>
      </c>
      <c r="AB66" s="283">
        <f t="shared" si="57"/>
        <v>0.90909090909090906</v>
      </c>
      <c r="AC66" s="470"/>
    </row>
    <row r="67" spans="1:29">
      <c r="A67" s="500" t="s">
        <v>11</v>
      </c>
      <c r="B67" s="291" t="s">
        <v>33</v>
      </c>
      <c r="C67" s="284" t="s">
        <v>1194</v>
      </c>
      <c r="D67" s="285"/>
      <c r="E67" s="26">
        <v>34.26</v>
      </c>
      <c r="F67" s="27">
        <v>4894</v>
      </c>
      <c r="G67" s="282">
        <f t="shared" si="76"/>
        <v>167668.44</v>
      </c>
      <c r="H67" s="76" t="s">
        <v>57</v>
      </c>
      <c r="I67" s="289">
        <v>13</v>
      </c>
      <c r="J67" s="18">
        <v>3000</v>
      </c>
      <c r="K67" s="9">
        <f t="shared" si="77"/>
        <v>230.76923076923077</v>
      </c>
      <c r="L67" s="17">
        <v>13</v>
      </c>
      <c r="M67" s="10">
        <f t="shared" si="78"/>
        <v>2718.8888888888905</v>
      </c>
      <c r="N67" s="9">
        <f t="shared" si="82"/>
        <v>209.14529914529928</v>
      </c>
      <c r="O67" s="11">
        <f t="shared" si="79"/>
        <v>0</v>
      </c>
      <c r="P67" s="12">
        <f t="shared" si="80"/>
        <v>-21.623931623931497</v>
      </c>
      <c r="Q67" s="283">
        <f t="shared" si="83"/>
        <v>0.90629629629629682</v>
      </c>
      <c r="R67" s="470"/>
      <c r="S67" s="24">
        <v>0.54999999999999993</v>
      </c>
      <c r="T67" s="24">
        <v>0.62499999999999989</v>
      </c>
      <c r="U67" s="282">
        <f t="shared" si="84"/>
        <v>54.999999999999964</v>
      </c>
      <c r="V67" s="290">
        <f t="shared" si="81"/>
        <v>107.99999999999994</v>
      </c>
      <c r="W67" s="14"/>
      <c r="X67" s="14"/>
      <c r="Y67" s="286"/>
      <c r="Z67" s="287"/>
      <c r="AA67" s="11">
        <f t="shared" si="2"/>
        <v>-281.11111111110949</v>
      </c>
      <c r="AB67" s="283">
        <f t="shared" si="57"/>
        <v>0.90629629629629682</v>
      </c>
      <c r="AC67" s="470"/>
    </row>
    <row r="68" spans="1:29">
      <c r="A68" s="500" t="s">
        <v>11</v>
      </c>
      <c r="B68" s="26" t="s">
        <v>1195</v>
      </c>
      <c r="C68" s="466"/>
      <c r="D68" s="466"/>
      <c r="E68" s="281"/>
      <c r="F68" s="16"/>
      <c r="G68" s="9"/>
      <c r="H68" s="291"/>
      <c r="I68" s="17">
        <v>11</v>
      </c>
      <c r="J68" s="18">
        <v>2634.2857142857142</v>
      </c>
      <c r="K68" s="9">
        <f>J68/I68</f>
        <v>239.48051948051946</v>
      </c>
      <c r="L68" s="17">
        <v>11</v>
      </c>
      <c r="M68" s="10">
        <f>AVERAGE(M61:M67)</f>
        <v>2408.9966203387262</v>
      </c>
      <c r="N68" s="9">
        <f>M68/L68</f>
        <v>218.999692758066</v>
      </c>
      <c r="O68" s="11">
        <f>L68-I68</f>
        <v>0</v>
      </c>
      <c r="P68" s="12">
        <f>N68-K68</f>
        <v>-20.480826722453457</v>
      </c>
      <c r="Q68" s="283">
        <f>N68/K68</f>
        <v>0.91447810967305221</v>
      </c>
      <c r="R68" s="470"/>
      <c r="S68" s="24"/>
      <c r="T68" s="24"/>
      <c r="U68" s="9"/>
      <c r="V68" s="290"/>
      <c r="W68" s="9"/>
      <c r="X68" s="9"/>
      <c r="Y68" s="456"/>
      <c r="Z68" s="456"/>
      <c r="AA68" s="11">
        <f t="shared" si="2"/>
        <v>-225.28909394698803</v>
      </c>
      <c r="AB68" s="283">
        <f t="shared" si="57"/>
        <v>0.91447810967305221</v>
      </c>
      <c r="AC68" s="470"/>
    </row>
    <row r="69" spans="1:29" ht="15.75" customHeight="1">
      <c r="A69" s="467" t="s">
        <v>1196</v>
      </c>
      <c r="B69" s="291" t="s">
        <v>24</v>
      </c>
      <c r="C69" s="487" t="s">
        <v>83</v>
      </c>
      <c r="D69" s="487"/>
      <c r="E69" s="26">
        <v>32.03</v>
      </c>
      <c r="F69" s="291">
        <v>1492</v>
      </c>
      <c r="G69" s="282">
        <f t="shared" ref="G69:G74" si="85">E69*F69</f>
        <v>47788.76</v>
      </c>
      <c r="H69" s="76" t="s">
        <v>57</v>
      </c>
      <c r="I69" s="289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2183.4146341463406</v>
      </c>
      <c r="N69" s="9">
        <f t="shared" ref="N69:N74" si="87">M69/L69</f>
        <v>114.91655969191267</v>
      </c>
      <c r="O69" s="11">
        <f t="shared" ref="O69:O74" si="88">L69-I69</f>
        <v>0</v>
      </c>
      <c r="P69" s="12">
        <f t="shared" ref="P69:P74" si="89">N69-K69</f>
        <v>-11.399229781771538</v>
      </c>
      <c r="Q69" s="283">
        <f>N69/K69</f>
        <v>0.90975609756097531</v>
      </c>
      <c r="R69" s="470">
        <f>Q75</f>
        <v>0.90989546475838645</v>
      </c>
      <c r="S69" s="24">
        <v>0.125</v>
      </c>
      <c r="T69" s="24">
        <v>0.15347222222222223</v>
      </c>
      <c r="U69" s="15"/>
      <c r="V69" s="290">
        <f t="shared" ref="V69:V74" si="90">(T69-S69)*24*60</f>
        <v>41.000000000000014</v>
      </c>
      <c r="W69" s="14"/>
      <c r="X69" s="14"/>
      <c r="Y69" s="456"/>
      <c r="Z69" s="456"/>
      <c r="AA69" s="11">
        <f t="shared" ref="AA69:AA75" si="91">M69-J69</f>
        <v>-216.58536585365937</v>
      </c>
      <c r="AB69" s="283">
        <f>M69/J69</f>
        <v>0.90975609756097531</v>
      </c>
      <c r="AC69" s="470">
        <f>AB75</f>
        <v>0.90989546475838645</v>
      </c>
    </row>
    <row r="70" spans="1:29" ht="15.75" customHeight="1">
      <c r="A70" s="467" t="s">
        <v>12</v>
      </c>
      <c r="B70" s="291" t="s">
        <v>24</v>
      </c>
      <c r="C70" s="487" t="s">
        <v>56</v>
      </c>
      <c r="D70" s="487"/>
      <c r="E70" s="26">
        <v>20.2</v>
      </c>
      <c r="F70" s="291">
        <v>2662</v>
      </c>
      <c r="G70" s="282">
        <f t="shared" si="85"/>
        <v>53772.4</v>
      </c>
      <c r="H70" s="76" t="s">
        <v>57</v>
      </c>
      <c r="I70" s="289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4" si="92">F70/V70*60</f>
        <v>2187.9452054794524</v>
      </c>
      <c r="N70" s="9">
        <f t="shared" si="87"/>
        <v>115.15501081470802</v>
      </c>
      <c r="O70" s="11">
        <f t="shared" si="88"/>
        <v>0</v>
      </c>
      <c r="P70" s="12">
        <f t="shared" si="89"/>
        <v>-11.160778658976184</v>
      </c>
      <c r="Q70" s="283">
        <f t="shared" ref="Q70:Q75" si="93">N70/K70</f>
        <v>0.91164383561643858</v>
      </c>
      <c r="R70" s="470"/>
      <c r="S70" s="24">
        <v>0.17291666666666666</v>
      </c>
      <c r="T70" s="24">
        <v>0.22361111111111109</v>
      </c>
      <c r="U70" s="282">
        <f>(S70-T69)*24*60</f>
        <v>27.999999999999979</v>
      </c>
      <c r="V70" s="290">
        <f t="shared" si="90"/>
        <v>72.999999999999986</v>
      </c>
      <c r="W70" s="14"/>
      <c r="X70" s="14"/>
      <c r="Y70" s="456"/>
      <c r="Z70" s="456"/>
      <c r="AA70" s="11">
        <f t="shared" si="91"/>
        <v>-212.0547945205476</v>
      </c>
      <c r="AB70" s="283">
        <f t="shared" ref="AB70:AB75" si="94">M70/J70</f>
        <v>0.91164383561643847</v>
      </c>
      <c r="AC70" s="470"/>
    </row>
    <row r="71" spans="1:29" ht="15.75" customHeight="1">
      <c r="A71" s="467" t="s">
        <v>12</v>
      </c>
      <c r="B71" s="291" t="s">
        <v>24</v>
      </c>
      <c r="C71" s="487" t="s">
        <v>45</v>
      </c>
      <c r="D71" s="487"/>
      <c r="E71" s="26">
        <v>19.02</v>
      </c>
      <c r="F71" s="291">
        <v>4000</v>
      </c>
      <c r="G71" s="282">
        <f t="shared" si="85"/>
        <v>76080</v>
      </c>
      <c r="H71" s="76">
        <v>2</v>
      </c>
      <c r="I71" s="289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2181.8181818181824</v>
      </c>
      <c r="N71" s="9">
        <f t="shared" si="87"/>
        <v>145.4545454545455</v>
      </c>
      <c r="O71" s="11">
        <f t="shared" si="88"/>
        <v>0</v>
      </c>
      <c r="P71" s="12">
        <f t="shared" si="89"/>
        <v>-14.545454545454504</v>
      </c>
      <c r="Q71" s="283">
        <f t="shared" si="93"/>
        <v>0.90909090909090939</v>
      </c>
      <c r="R71" s="470"/>
      <c r="S71" s="24">
        <v>0.22777777777777777</v>
      </c>
      <c r="T71" s="24">
        <v>0.30416666666666664</v>
      </c>
      <c r="U71" s="282">
        <f t="shared" ref="U71:U74" si="95">(S71-T70)*24*60</f>
        <v>6.0000000000000187</v>
      </c>
      <c r="V71" s="290">
        <f t="shared" si="90"/>
        <v>109.99999999999997</v>
      </c>
      <c r="W71" s="14"/>
      <c r="X71" s="14"/>
      <c r="Y71" s="456"/>
      <c r="Z71" s="456"/>
      <c r="AA71" s="11">
        <f t="shared" si="91"/>
        <v>-218.18181818181756</v>
      </c>
      <c r="AB71" s="283">
        <f t="shared" si="94"/>
        <v>0.90909090909090939</v>
      </c>
      <c r="AC71" s="470"/>
    </row>
    <row r="72" spans="1:29" ht="15.75" customHeight="1">
      <c r="A72" s="467" t="s">
        <v>12</v>
      </c>
      <c r="B72" s="291" t="s">
        <v>24</v>
      </c>
      <c r="C72" s="487" t="s">
        <v>46</v>
      </c>
      <c r="D72" s="487"/>
      <c r="E72" s="26">
        <v>25</v>
      </c>
      <c r="F72" s="291">
        <v>4508</v>
      </c>
      <c r="G72" s="282">
        <f t="shared" si="85"/>
        <v>112700</v>
      </c>
      <c r="H72" s="76" t="s">
        <v>57</v>
      </c>
      <c r="I72" s="289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2181.2903225806444</v>
      </c>
      <c r="N72" s="9">
        <f t="shared" si="87"/>
        <v>145.41935483870964</v>
      </c>
      <c r="O72" s="11">
        <f t="shared" si="88"/>
        <v>0</v>
      </c>
      <c r="P72" s="12">
        <f t="shared" si="89"/>
        <v>-14.580645161290363</v>
      </c>
      <c r="Q72" s="283">
        <f t="shared" si="93"/>
        <v>0.90887096774193521</v>
      </c>
      <c r="R72" s="470"/>
      <c r="S72" s="24">
        <v>0.30833333333333329</v>
      </c>
      <c r="T72" s="24">
        <v>0.39444444444444443</v>
      </c>
      <c r="U72" s="282">
        <f t="shared" si="95"/>
        <v>5.9999999999999787</v>
      </c>
      <c r="V72" s="290">
        <f t="shared" si="90"/>
        <v>124.00000000000004</v>
      </c>
      <c r="W72" s="14"/>
      <c r="X72" s="14"/>
      <c r="Y72" s="456"/>
      <c r="Z72" s="456"/>
      <c r="AA72" s="11">
        <f t="shared" si="91"/>
        <v>-218.70967741935556</v>
      </c>
      <c r="AB72" s="283">
        <f t="shared" si="94"/>
        <v>0.90887096774193521</v>
      </c>
      <c r="AC72" s="470"/>
    </row>
    <row r="73" spans="1:29" ht="15.75" customHeight="1">
      <c r="A73" s="467" t="s">
        <v>12</v>
      </c>
      <c r="B73" s="291" t="s">
        <v>24</v>
      </c>
      <c r="C73" s="487" t="s">
        <v>510</v>
      </c>
      <c r="D73" s="487"/>
      <c r="E73" s="26">
        <v>28.51</v>
      </c>
      <c r="F73" s="291">
        <v>5429</v>
      </c>
      <c r="G73" s="282">
        <f t="shared" si="85"/>
        <v>154780.79</v>
      </c>
      <c r="H73" s="76" t="s">
        <v>57</v>
      </c>
      <c r="I73" s="289">
        <v>20</v>
      </c>
      <c r="J73" s="18">
        <v>2400</v>
      </c>
      <c r="K73" s="9">
        <f t="shared" ref="K73:K75" si="96">J73/I73</f>
        <v>120</v>
      </c>
      <c r="L73" s="17">
        <v>20</v>
      </c>
      <c r="M73" s="10">
        <f t="shared" si="92"/>
        <v>2186.1744966442948</v>
      </c>
      <c r="N73" s="9">
        <f t="shared" si="87"/>
        <v>109.30872483221474</v>
      </c>
      <c r="O73" s="11">
        <f t="shared" si="88"/>
        <v>0</v>
      </c>
      <c r="P73" s="12">
        <f t="shared" si="89"/>
        <v>-10.691275167785264</v>
      </c>
      <c r="Q73" s="283">
        <f t="shared" si="93"/>
        <v>0.91090604026845612</v>
      </c>
      <c r="R73" s="470"/>
      <c r="S73" s="24">
        <v>0.39861111111111108</v>
      </c>
      <c r="T73" s="24">
        <v>0.50208333333333333</v>
      </c>
      <c r="U73" s="282">
        <f t="shared" si="95"/>
        <v>5.9999999999999787</v>
      </c>
      <c r="V73" s="290">
        <f t="shared" si="90"/>
        <v>149.00000000000003</v>
      </c>
      <c r="W73" s="14"/>
      <c r="X73" s="14"/>
      <c r="Y73" s="456"/>
      <c r="Z73" s="456"/>
      <c r="AA73" s="11">
        <f t="shared" si="91"/>
        <v>-213.82550335570522</v>
      </c>
      <c r="AB73" s="283">
        <f t="shared" si="94"/>
        <v>0.91090604026845612</v>
      </c>
      <c r="AC73" s="470"/>
    </row>
    <row r="74" spans="1:29" ht="15.75" customHeight="1">
      <c r="A74" s="467" t="s">
        <v>12</v>
      </c>
      <c r="B74" s="291" t="s">
        <v>24</v>
      </c>
      <c r="C74" s="487" t="s">
        <v>45</v>
      </c>
      <c r="D74" s="487"/>
      <c r="E74" s="26">
        <v>19.02</v>
      </c>
      <c r="F74" s="291">
        <v>5891</v>
      </c>
      <c r="G74" s="282">
        <f t="shared" si="85"/>
        <v>112046.81999999999</v>
      </c>
      <c r="H74" s="76" t="s">
        <v>57</v>
      </c>
      <c r="I74" s="289">
        <v>15</v>
      </c>
      <c r="J74" s="18">
        <v>2400</v>
      </c>
      <c r="K74" s="9">
        <f t="shared" si="96"/>
        <v>160</v>
      </c>
      <c r="L74" s="17">
        <v>15</v>
      </c>
      <c r="M74" s="10">
        <f t="shared" si="92"/>
        <v>2181.8518518518508</v>
      </c>
      <c r="N74" s="9">
        <f t="shared" si="87"/>
        <v>145.45679012345673</v>
      </c>
      <c r="O74" s="11">
        <f t="shared" si="88"/>
        <v>0</v>
      </c>
      <c r="P74" s="12">
        <f t="shared" si="89"/>
        <v>-14.543209876543273</v>
      </c>
      <c r="Q74" s="283">
        <f t="shared" si="93"/>
        <v>0.90910493827160455</v>
      </c>
      <c r="R74" s="470"/>
      <c r="S74" s="24">
        <v>0.54166666666666663</v>
      </c>
      <c r="T74" s="24">
        <v>0.65416666666666667</v>
      </c>
      <c r="U74" s="282">
        <f t="shared" si="95"/>
        <v>56.999999999999957</v>
      </c>
      <c r="V74" s="290">
        <f t="shared" si="90"/>
        <v>162.00000000000006</v>
      </c>
      <c r="W74" s="14"/>
      <c r="X74" s="14"/>
      <c r="Y74" s="456"/>
      <c r="Z74" s="456"/>
      <c r="AA74" s="11">
        <f t="shared" si="91"/>
        <v>-218.14814814814918</v>
      </c>
      <c r="AB74" s="283">
        <f t="shared" si="94"/>
        <v>0.90910493827160455</v>
      </c>
      <c r="AC74" s="470"/>
    </row>
    <row r="75" spans="1:29" ht="16.5" customHeight="1">
      <c r="A75" s="501" t="s">
        <v>12</v>
      </c>
      <c r="B75" s="26" t="s">
        <v>1186</v>
      </c>
      <c r="C75" s="466"/>
      <c r="D75" s="466"/>
      <c r="E75" s="281"/>
      <c r="F75" s="16"/>
      <c r="G75" s="9"/>
      <c r="H75" s="291"/>
      <c r="I75" s="17">
        <v>17.166666666666668</v>
      </c>
      <c r="J75" s="18">
        <v>2400</v>
      </c>
      <c r="K75" s="9">
        <f t="shared" si="96"/>
        <v>139.80582524271844</v>
      </c>
      <c r="L75" s="17">
        <v>17.166666666666668</v>
      </c>
      <c r="M75" s="10">
        <f>AVERAGE(M69:M74)</f>
        <v>2183.7491154201275</v>
      </c>
      <c r="N75" s="9">
        <f>M75/L75</f>
        <v>127.20868633515305</v>
      </c>
      <c r="O75" s="11">
        <f>L75-I75</f>
        <v>0</v>
      </c>
      <c r="P75" s="12">
        <f>N75-K75</f>
        <v>-12.597138907565395</v>
      </c>
      <c r="Q75" s="283">
        <f t="shared" si="93"/>
        <v>0.90989546475838645</v>
      </c>
      <c r="R75" s="470"/>
      <c r="S75" s="24"/>
      <c r="T75" s="24"/>
      <c r="U75" s="9"/>
      <c r="V75" s="290"/>
      <c r="W75" s="9"/>
      <c r="X75" s="9"/>
      <c r="Y75" s="456"/>
      <c r="Z75" s="456"/>
      <c r="AA75" s="11">
        <f t="shared" si="91"/>
        <v>-216.25088457987249</v>
      </c>
      <c r="AB75" s="283">
        <f t="shared" si="94"/>
        <v>0.90989546475838645</v>
      </c>
      <c r="AC75" s="470"/>
    </row>
    <row r="76" spans="1:29">
      <c r="D76" s="19"/>
      <c r="E76" s="19"/>
    </row>
  </sheetData>
  <mergeCells count="198">
    <mergeCell ref="Y72:Z72"/>
    <mergeCell ref="C73:D73"/>
    <mergeCell ref="Y73:Z73"/>
    <mergeCell ref="A69:A75"/>
    <mergeCell ref="C69:D69"/>
    <mergeCell ref="R69:R75"/>
    <mergeCell ref="Y69:Z69"/>
    <mergeCell ref="AC69:AC75"/>
    <mergeCell ref="C70:D70"/>
    <mergeCell ref="Y70:Z70"/>
    <mergeCell ref="C71:D71"/>
    <mergeCell ref="Y71:Z71"/>
    <mergeCell ref="C72:D72"/>
    <mergeCell ref="C74:D74"/>
    <mergeCell ref="Y74:Z74"/>
    <mergeCell ref="C75:D75"/>
    <mergeCell ref="Y75:Z75"/>
    <mergeCell ref="A61:A68"/>
    <mergeCell ref="C61:D61"/>
    <mergeCell ref="R61:R68"/>
    <mergeCell ref="Y61:Z61"/>
    <mergeCell ref="AC61:AC68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C68:D68"/>
    <mergeCell ref="Y68:Z68"/>
    <mergeCell ref="AC56:AC60"/>
    <mergeCell ref="C57:D57"/>
    <mergeCell ref="Y57:Z57"/>
    <mergeCell ref="C58:D58"/>
    <mergeCell ref="C60:D60"/>
    <mergeCell ref="Y60:Z60"/>
    <mergeCell ref="C54:D54"/>
    <mergeCell ref="Y54:Z54"/>
    <mergeCell ref="C55:D55"/>
    <mergeCell ref="Y55:Z55"/>
    <mergeCell ref="AC47:AC55"/>
    <mergeCell ref="A56:A60"/>
    <mergeCell ref="C56:D56"/>
    <mergeCell ref="R56:R60"/>
    <mergeCell ref="Y56:Z56"/>
    <mergeCell ref="Y50:Z50"/>
    <mergeCell ref="C51:D51"/>
    <mergeCell ref="Y51:Z51"/>
    <mergeCell ref="C52:D52"/>
    <mergeCell ref="Y52:Z52"/>
    <mergeCell ref="C53:D53"/>
    <mergeCell ref="Y53:Z53"/>
    <mergeCell ref="A47:A55"/>
    <mergeCell ref="C47:D47"/>
    <mergeCell ref="R47:R55"/>
    <mergeCell ref="Y47:Z47"/>
    <mergeCell ref="C48:D48"/>
    <mergeCell ref="Y48:Z48"/>
    <mergeCell ref="C49:D49"/>
    <mergeCell ref="Y49:Z49"/>
    <mergeCell ref="C50:D50"/>
    <mergeCell ref="AC30:AC37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A38:A46"/>
    <mergeCell ref="C38:D38"/>
    <mergeCell ref="R38:R46"/>
    <mergeCell ref="Y38:Z38"/>
    <mergeCell ref="AC38:AC46"/>
    <mergeCell ref="C39:D39"/>
    <mergeCell ref="Y39:Z39"/>
    <mergeCell ref="C40:D40"/>
    <mergeCell ref="Y40:Z40"/>
    <mergeCell ref="C44:D44"/>
    <mergeCell ref="Y44:Z44"/>
    <mergeCell ref="C45:D45"/>
    <mergeCell ref="Y45:Z45"/>
    <mergeCell ref="C46:D46"/>
    <mergeCell ref="Y46:Z46"/>
    <mergeCell ref="C41:D41"/>
    <mergeCell ref="Y41:Z41"/>
    <mergeCell ref="C42:D42"/>
    <mergeCell ref="Y42:Z42"/>
    <mergeCell ref="C43:D43"/>
    <mergeCell ref="Y43:Z43"/>
    <mergeCell ref="A30:A37"/>
    <mergeCell ref="C30:D30"/>
    <mergeCell ref="R30:R37"/>
    <mergeCell ref="Y30:Z30"/>
    <mergeCell ref="Y35:Z35"/>
    <mergeCell ref="C36:D36"/>
    <mergeCell ref="Y36:Z36"/>
    <mergeCell ref="C37:D37"/>
    <mergeCell ref="Y37:Z37"/>
    <mergeCell ref="AC20:AC29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A20:A29"/>
    <mergeCell ref="C20:D20"/>
    <mergeCell ref="R20:R29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5 O5:O9 O13:O15 O55:O61 O19:O52">
    <cfRule type="cellIs" dxfId="1685" priority="52" operator="greaterThan">
      <formula>0</formula>
    </cfRule>
  </conditionalFormatting>
  <conditionalFormatting sqref="P5:P7 P64:P67 AA64:AA67 P69:P74 P30:P36 P61 P9 P13:P15 P20:P28 P56:P59 P38:P52 AA5:AA61 AA69:AA75">
    <cfRule type="cellIs" dxfId="1684" priority="56" operator="lessThan">
      <formula>0</formula>
    </cfRule>
  </conditionalFormatting>
  <conditionalFormatting sqref="AB64:AB67 Q64:Q75 Q5:Q9 Q13:Q15 Q55:Q61 Q19:Q52 AB5:AB61 AB69:AB75">
    <cfRule type="cellIs" dxfId="1683" priority="53" operator="greaterThan">
      <formula>1</formula>
    </cfRule>
    <cfRule type="cellIs" dxfId="1682" priority="54" operator="lessThan">
      <formula>0.8</formula>
    </cfRule>
  </conditionalFormatting>
  <conditionalFormatting sqref="AC14:AC15 R14:R15 AC64 R19:R25 AC19:AC25 R64:R75 AC5:AC9 R5:R9 R29:R52 AC29:AC52 AC55:AC61 R55:R61">
    <cfRule type="cellIs" dxfId="1681" priority="58" operator="lessThan">
      <formula>0.8</formula>
    </cfRule>
  </conditionalFormatting>
  <conditionalFormatting sqref="AC47">
    <cfRule type="cellIs" dxfId="1680" priority="60" operator="lessThan">
      <formula>0.8</formula>
    </cfRule>
  </conditionalFormatting>
  <conditionalFormatting sqref="AC20:AC25">
    <cfRule type="cellIs" dxfId="1679" priority="57" operator="lessThan">
      <formula>0.8</formula>
    </cfRule>
  </conditionalFormatting>
  <conditionalFormatting sqref="AC30">
    <cfRule type="cellIs" dxfId="1678" priority="59" operator="lessThan">
      <formula>0.8</formula>
    </cfRule>
  </conditionalFormatting>
  <conditionalFormatting sqref="AC38:AC45">
    <cfRule type="cellIs" dxfId="1677" priority="55" operator="lessThan">
      <formula>0.8</formula>
    </cfRule>
  </conditionalFormatting>
  <conditionalFormatting sqref="AA68">
    <cfRule type="cellIs" dxfId="1676" priority="51" operator="lessThan">
      <formula>0</formula>
    </cfRule>
  </conditionalFormatting>
  <conditionalFormatting sqref="AB68">
    <cfRule type="cellIs" dxfId="1675" priority="49" operator="greaterThan">
      <formula>1</formula>
    </cfRule>
    <cfRule type="cellIs" dxfId="1674" priority="50" operator="lessThan">
      <formula>0.8</formula>
    </cfRule>
  </conditionalFormatting>
  <conditionalFormatting sqref="O16:O17">
    <cfRule type="cellIs" dxfId="1673" priority="44" operator="greaterThan">
      <formula>0</formula>
    </cfRule>
  </conditionalFormatting>
  <conditionalFormatting sqref="P16:P17">
    <cfRule type="cellIs" dxfId="1672" priority="47" operator="lessThan">
      <formula>0</formula>
    </cfRule>
  </conditionalFormatting>
  <conditionalFormatting sqref="Q16:Q17">
    <cfRule type="cellIs" dxfId="1671" priority="45" operator="greaterThan">
      <formula>1</formula>
    </cfRule>
    <cfRule type="cellIs" dxfId="1670" priority="46" operator="lessThan">
      <formula>0.8</formula>
    </cfRule>
  </conditionalFormatting>
  <conditionalFormatting sqref="R16:R17 AC16:AC17">
    <cfRule type="cellIs" dxfId="1669" priority="48" operator="lessThan">
      <formula>0.8</formula>
    </cfRule>
  </conditionalFormatting>
  <conditionalFormatting sqref="O10:O12">
    <cfRule type="cellIs" dxfId="1668" priority="40" operator="greaterThan">
      <formula>0</formula>
    </cfRule>
  </conditionalFormatting>
  <conditionalFormatting sqref="P10:P12">
    <cfRule type="cellIs" dxfId="1667" priority="43" operator="lessThan">
      <formula>0</formula>
    </cfRule>
  </conditionalFormatting>
  <conditionalFormatting sqref="Q10:Q12">
    <cfRule type="cellIs" dxfId="1666" priority="41" operator="greaterThan">
      <formula>1</formula>
    </cfRule>
    <cfRule type="cellIs" dxfId="1665" priority="42" operator="lessThan">
      <formula>0.8</formula>
    </cfRule>
  </conditionalFormatting>
  <conditionalFormatting sqref="AC27 R27">
    <cfRule type="cellIs" dxfId="1664" priority="39" operator="lessThan">
      <formula>0.8</formula>
    </cfRule>
  </conditionalFormatting>
  <conditionalFormatting sqref="O63">
    <cfRule type="cellIs" dxfId="1663" priority="34" operator="greaterThan">
      <formula>0</formula>
    </cfRule>
  </conditionalFormatting>
  <conditionalFormatting sqref="P63 AA63">
    <cfRule type="cellIs" dxfId="1662" priority="37" operator="lessThan">
      <formula>0</formula>
    </cfRule>
  </conditionalFormatting>
  <conditionalFormatting sqref="Q63 AB63">
    <cfRule type="cellIs" dxfId="1661" priority="35" operator="greaterThan">
      <formula>1</formula>
    </cfRule>
    <cfRule type="cellIs" dxfId="1660" priority="36" operator="lessThan">
      <formula>0.8</formula>
    </cfRule>
  </conditionalFormatting>
  <conditionalFormatting sqref="R63 AC63">
    <cfRule type="cellIs" dxfId="1659" priority="38" operator="lessThan">
      <formula>0.8</formula>
    </cfRule>
  </conditionalFormatting>
  <conditionalFormatting sqref="O18">
    <cfRule type="cellIs" dxfId="1658" priority="29" operator="greaterThan">
      <formula>0</formula>
    </cfRule>
  </conditionalFormatting>
  <conditionalFormatting sqref="P18">
    <cfRule type="cellIs" dxfId="1657" priority="32" operator="lessThan">
      <formula>0</formula>
    </cfRule>
  </conditionalFormatting>
  <conditionalFormatting sqref="Q18">
    <cfRule type="cellIs" dxfId="1656" priority="30" operator="greaterThan">
      <formula>1</formula>
    </cfRule>
    <cfRule type="cellIs" dxfId="1655" priority="31" operator="lessThan">
      <formula>0.8</formula>
    </cfRule>
  </conditionalFormatting>
  <conditionalFormatting sqref="R18 AC18">
    <cfRule type="cellIs" dxfId="1654" priority="33" operator="lessThan">
      <formula>0.8</formula>
    </cfRule>
  </conditionalFormatting>
  <conditionalFormatting sqref="O53">
    <cfRule type="cellIs" dxfId="1653" priority="23" operator="greaterThan">
      <formula>0</formula>
    </cfRule>
  </conditionalFormatting>
  <conditionalFormatting sqref="P53">
    <cfRule type="cellIs" dxfId="1652" priority="27" operator="lessThan">
      <formula>0</formula>
    </cfRule>
  </conditionalFormatting>
  <conditionalFormatting sqref="Q53">
    <cfRule type="cellIs" dxfId="1651" priority="24" operator="greaterThan">
      <formula>1</formula>
    </cfRule>
    <cfRule type="cellIs" dxfId="1650" priority="25" operator="lessThan">
      <formula>0.8</formula>
    </cfRule>
  </conditionalFormatting>
  <conditionalFormatting sqref="R53 AC53">
    <cfRule type="cellIs" dxfId="1649" priority="28" operator="lessThan">
      <formula>0.8</formula>
    </cfRule>
  </conditionalFormatting>
  <conditionalFormatting sqref="AC53">
    <cfRule type="cellIs" dxfId="1648" priority="26" operator="lessThan">
      <formula>0.8</formula>
    </cfRule>
  </conditionalFormatting>
  <conditionalFormatting sqref="O54">
    <cfRule type="cellIs" dxfId="1647" priority="17" operator="greaterThan">
      <formula>0</formula>
    </cfRule>
  </conditionalFormatting>
  <conditionalFormatting sqref="P54">
    <cfRule type="cellIs" dxfId="1646" priority="21" operator="lessThan">
      <formula>0</formula>
    </cfRule>
  </conditionalFormatting>
  <conditionalFormatting sqref="Q54">
    <cfRule type="cellIs" dxfId="1645" priority="18" operator="greaterThan">
      <formula>1</formula>
    </cfRule>
    <cfRule type="cellIs" dxfId="1644" priority="19" operator="lessThan">
      <formula>0.8</formula>
    </cfRule>
  </conditionalFormatting>
  <conditionalFormatting sqref="R54 AC54">
    <cfRule type="cellIs" dxfId="1643" priority="22" operator="lessThan">
      <formula>0.8</formula>
    </cfRule>
  </conditionalFormatting>
  <conditionalFormatting sqref="AC54">
    <cfRule type="cellIs" dxfId="1642" priority="20" operator="lessThan">
      <formula>0.8</formula>
    </cfRule>
  </conditionalFormatting>
  <conditionalFormatting sqref="AC28 R28">
    <cfRule type="cellIs" dxfId="1641" priority="16" operator="lessThan">
      <formula>0.8</formula>
    </cfRule>
  </conditionalFormatting>
  <conditionalFormatting sqref="R26 AC26">
    <cfRule type="cellIs" dxfId="1640" priority="15" operator="lessThan">
      <formula>0.8</formula>
    </cfRule>
  </conditionalFormatting>
  <conditionalFormatting sqref="AC26">
    <cfRule type="cellIs" dxfId="1639" priority="14" operator="lessThan">
      <formula>0.8</formula>
    </cfRule>
  </conditionalFormatting>
  <conditionalFormatting sqref="O62">
    <cfRule type="cellIs" dxfId="1638" priority="9" operator="greaterThan">
      <formula>0</formula>
    </cfRule>
  </conditionalFormatting>
  <conditionalFormatting sqref="P62 AA62">
    <cfRule type="cellIs" dxfId="1637" priority="12" operator="lessThan">
      <formula>0</formula>
    </cfRule>
  </conditionalFormatting>
  <conditionalFormatting sqref="Q62 AB62">
    <cfRule type="cellIs" dxfId="1636" priority="10" operator="greaterThan">
      <formula>1</formula>
    </cfRule>
    <cfRule type="cellIs" dxfId="1635" priority="11" operator="lessThan">
      <formula>0.8</formula>
    </cfRule>
  </conditionalFormatting>
  <conditionalFormatting sqref="R62 AC62">
    <cfRule type="cellIs" dxfId="1634" priority="13" operator="lessThan">
      <formula>0.8</formula>
    </cfRule>
  </conditionalFormatting>
  <conditionalFormatting sqref="P8">
    <cfRule type="cellIs" dxfId="1633" priority="8" operator="lessThan">
      <formula>0</formula>
    </cfRule>
  </conditionalFormatting>
  <conditionalFormatting sqref="P19">
    <cfRule type="cellIs" dxfId="1632" priority="7" operator="lessThan">
      <formula>0</formula>
    </cfRule>
  </conditionalFormatting>
  <conditionalFormatting sqref="P29">
    <cfRule type="cellIs" dxfId="1631" priority="6" operator="lessThan">
      <formula>0</formula>
    </cfRule>
  </conditionalFormatting>
  <conditionalFormatting sqref="P37">
    <cfRule type="cellIs" dxfId="1630" priority="5" operator="lessThan">
      <formula>0</formula>
    </cfRule>
  </conditionalFormatting>
  <conditionalFormatting sqref="P55">
    <cfRule type="cellIs" dxfId="1629" priority="4" operator="lessThan">
      <formula>0</formula>
    </cfRule>
  </conditionalFormatting>
  <conditionalFormatting sqref="P60">
    <cfRule type="cellIs" dxfId="1628" priority="3" operator="lessThan">
      <formula>0</formula>
    </cfRule>
  </conditionalFormatting>
  <conditionalFormatting sqref="P68">
    <cfRule type="cellIs" dxfId="1627" priority="2" operator="lessThan">
      <formula>0</formula>
    </cfRule>
  </conditionalFormatting>
  <conditionalFormatting sqref="P75">
    <cfRule type="cellIs" dxfId="1626" priority="1" operator="lessThan">
      <formula>0</formula>
    </cfRule>
  </conditionalFormatting>
  <dataValidations count="1">
    <dataValidation type="list" allowBlank="1" showInputMessage="1" showErrorMessage="1" sqref="Z8 Z65:Z67 Y5:Z7 Y8:Y67 Z10:Z61 Y68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F3" sqref="F3:G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1128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66" t="s">
        <v>1129</v>
      </c>
      <c r="C3" s="421" t="str">
        <f>TEXT('0721 4度C'!A2,"yyyy.mm.ddaaaa")</f>
        <v>2025.07.21星期一</v>
      </c>
      <c r="D3" s="421"/>
      <c r="E3" s="266" t="s">
        <v>1130</v>
      </c>
      <c r="F3" s="422">
        <f>'0721 4度C'!D1</f>
        <v>174337</v>
      </c>
      <c r="G3" s="422"/>
      <c r="H3" s="266" t="s">
        <v>1131</v>
      </c>
      <c r="I3" s="423">
        <f>'0721 4度C'!F1</f>
        <v>5968790.29</v>
      </c>
      <c r="J3" s="423"/>
      <c r="K3" s="31"/>
      <c r="L3" s="32"/>
      <c r="M3" s="33"/>
      <c r="N3" s="33"/>
    </row>
    <row r="4" spans="2:17" ht="28.5" customHeight="1">
      <c r="B4" s="424" t="s">
        <v>1132</v>
      </c>
      <c r="C4" s="424" t="s">
        <v>1133</v>
      </c>
      <c r="D4" s="424"/>
      <c r="E4" s="425" t="s">
        <v>1134</v>
      </c>
      <c r="F4" s="425"/>
      <c r="G4" s="425" t="s">
        <v>1135</v>
      </c>
      <c r="H4" s="425"/>
      <c r="I4" s="425" t="s">
        <v>1136</v>
      </c>
      <c r="J4" s="425"/>
      <c r="L4" s="33"/>
      <c r="M4" s="33"/>
      <c r="N4" s="33"/>
    </row>
    <row r="5" spans="2:17" ht="28.5" customHeight="1">
      <c r="B5" s="424"/>
      <c r="C5" s="424" t="s">
        <v>1137</v>
      </c>
      <c r="D5" s="424"/>
      <c r="E5" s="424" t="s">
        <v>1138</v>
      </c>
      <c r="F5" s="424"/>
      <c r="G5" s="426" t="s">
        <v>1139</v>
      </c>
      <c r="H5" s="426"/>
      <c r="I5" s="427" t="s">
        <v>1140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141.05004168487343</v>
      </c>
      <c r="F6" s="424">
        <f>AVERAGE(D27:O27,D13:J13)</f>
        <v>143.6910508132049</v>
      </c>
      <c r="G6" s="429">
        <f>AVERAGE(D13:J13)</f>
        <v>143.6910508132049</v>
      </c>
      <c r="H6" s="429"/>
      <c r="I6" s="429">
        <f>AVERAGE(K13:M13)</f>
        <v>134.88768705210001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128.08492670103075</v>
      </c>
      <c r="F7" s="434">
        <f>AVERAGE(D28:O28,D14:J14)</f>
        <v>130.64895599743679</v>
      </c>
      <c r="G7" s="435">
        <f>AVERAGE(D14:J14)</f>
        <v>130.64895599743679</v>
      </c>
      <c r="H7" s="435"/>
      <c r="I7" s="435">
        <f>AVERAGE(K14:M14)</f>
        <v>122.10219167608335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0.90702845674322319</v>
      </c>
      <c r="F8" s="432">
        <f>AVERAGE(D15:J15,D29:O29)</f>
        <v>0.90779506623146422</v>
      </c>
      <c r="G8" s="437">
        <f>AVERAGE(D15:J15)</f>
        <v>0.90779506623146422</v>
      </c>
      <c r="H8" s="437"/>
      <c r="I8" s="437">
        <f>AVERAGE(K15:M15)</f>
        <v>0.905239701270661</v>
      </c>
      <c r="J8" s="437"/>
      <c r="K8" s="34" t="s">
        <v>1141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252</v>
      </c>
      <c r="E10" s="441"/>
      <c r="F10" s="441"/>
      <c r="G10" s="441"/>
      <c r="H10" s="441"/>
      <c r="I10" s="441"/>
      <c r="J10" s="442"/>
      <c r="K10" s="443" t="s">
        <v>1142</v>
      </c>
      <c r="L10" s="444"/>
      <c r="M10" s="445"/>
      <c r="P10" s="37"/>
      <c r="Q10" s="37"/>
    </row>
    <row r="11" spans="2:17" ht="17.25" customHeight="1">
      <c r="B11" s="431" t="s">
        <v>1143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1144</v>
      </c>
      <c r="E12" s="42" t="s">
        <v>1145</v>
      </c>
      <c r="F12" s="42" t="s">
        <v>277</v>
      </c>
      <c r="G12" s="42" t="s">
        <v>99</v>
      </c>
      <c r="H12" s="42" t="s">
        <v>253</v>
      </c>
      <c r="I12" s="42" t="s">
        <v>1146</v>
      </c>
      <c r="J12" s="43" t="s">
        <v>1147</v>
      </c>
      <c r="K12" s="41" t="s">
        <v>254</v>
      </c>
      <c r="L12" s="42" t="s">
        <v>77</v>
      </c>
      <c r="M12" s="43" t="s">
        <v>281</v>
      </c>
    </row>
    <row r="13" spans="2:17" ht="40.15" customHeight="1">
      <c r="B13" s="447" t="s">
        <v>1148</v>
      </c>
      <c r="C13" s="44" t="s">
        <v>283</v>
      </c>
      <c r="D13" s="45">
        <f>SUMIFS('0721 4度C'!$K:$K,'0721 4度C'!$A:$A,"燴飯線",'0721 4度C'!$B:$B,"平均")</f>
        <v>105.88235294117646</v>
      </c>
      <c r="E13" s="46">
        <f>SUMIFS('0721 4度C'!$K:$K,'0721 4度C'!$A:$A,"沙拉線一線",'0721 4度C'!$B:$B,"平均")</f>
        <v>81.081081081081081</v>
      </c>
      <c r="F13" s="47">
        <f>SUMIFS('0721 4度C'!$K:$K,'0721 4度C'!$A:$A,"沙拉線二線",'0721 4度C'!$B:$B,"平均")</f>
        <v>80.702127659574472</v>
      </c>
      <c r="G13" s="47">
        <f>SUMIFS('0721 4度C'!$K:$K,'0721 4度C'!$A:$A,"沙拉線三線",'0721 4度C'!$B:$B,"平均")</f>
        <v>104.6979865771812</v>
      </c>
      <c r="H13" s="47">
        <f>SUMIFS('0721 4度C'!$K:$K,'0721 4度C'!$A:$A,"自動包裝線",'0721 4度C'!$B:$B,"平均")</f>
        <v>300</v>
      </c>
      <c r="I13" s="47">
        <f>SUMIFS('0721 4度C'!$K:$K,'0721 4度C'!$A:$A,"涼麵一線",'0721 4度C'!$B:$B,"平均")</f>
        <v>89.552238805970148</v>
      </c>
      <c r="J13" s="48">
        <f>SUMIFS('0721 4度C'!$K:$K,'0721 4度C'!$A:$A,"三明治四線",'0721 4度C'!$B:$B,"平均")</f>
        <v>243.92156862745099</v>
      </c>
      <c r="K13" s="49">
        <f>SUMIFS('0721 4度C'!$K:$K,'0721 4度C'!$A:$A,"三明治一線",'0721 4度C'!$B:$B,"平均")</f>
        <v>137.70491803278691</v>
      </c>
      <c r="L13" s="50">
        <f>SUMIFS('0721 4度C'!$K:$K,'0721 4度C'!$A:$A,"三明治二線",'0721 4度C'!$B:$B,"平均")</f>
        <v>127.1523178807947</v>
      </c>
      <c r="M13" s="48">
        <f>SUMIFS('0721 4度C'!$K:$K,'0721 4度C'!$A:$A,"自動包裝二線",'0721 4度C'!$B:$B,"平均")</f>
        <v>139.80582524271844</v>
      </c>
    </row>
    <row r="14" spans="2:17" ht="39.6" customHeight="1">
      <c r="B14" s="447"/>
      <c r="C14" s="51" t="s">
        <v>256</v>
      </c>
      <c r="D14" s="52">
        <f>SUMIFS('0721 4度C'!$N:$N,'0721 4度C'!$A:$A,"燴飯線",'0721 4度C'!$B:$B,"平均")</f>
        <v>95.818802973385729</v>
      </c>
      <c r="E14" s="53">
        <f>SUMIFS('0721 4度C'!$N:$N,'0721 4度C'!$A:$A,"沙拉線一線",'0721 4度C'!$B:$B,"平均")</f>
        <v>73.440333954880614</v>
      </c>
      <c r="F14" s="53">
        <f>SUMIFS('0721 4度C'!$N:$N,'0721 4度C'!$A:$A,"沙拉線二線",'0721 4度C'!$B:$B,"平均")</f>
        <v>73.181310795279359</v>
      </c>
      <c r="G14" s="53">
        <f>SUMIFS('0721 4度C'!$N:$N,'0721 4度C'!$A:$A,"沙拉線三線",'0721 4度C'!$B:$B,"平均")</f>
        <v>95.342716980740619</v>
      </c>
      <c r="H14" s="53">
        <f>SUMIFS('0721 4度C'!$N:$N,'0721 4度C'!$A:$A,"自動包裝線",'0721 4度C'!$B:$B,"平均")</f>
        <v>273.57728463884115</v>
      </c>
      <c r="I14" s="53">
        <f>SUMIFS('0721 4度C'!$N:$N,'0721 4度C'!$A:$A,"涼麵一線",'0721 4度C'!$B:$B,"平均")</f>
        <v>80.871666116589836</v>
      </c>
      <c r="J14" s="54">
        <f>SUMIFS('0721 4度C'!$N:$N,'0721 4度C'!$A:$A,"三明治四線",'0721 4度C'!$B:$B,"平均")</f>
        <v>222.3105765223402</v>
      </c>
      <c r="K14" s="55">
        <f>SUMIFS('0721 4度C'!$N:$N,'0721 4度C'!$A:$A,"三明治一線",'0721 4度C'!$B:$B,"平均")</f>
        <v>124.5462874090999</v>
      </c>
      <c r="L14" s="56">
        <f>SUMIFS('0721 4度C'!$N:$N,'0721 4度C'!$A:$A,"三明治二線",'0721 4度C'!$B:$B,"平均")</f>
        <v>115.2255875592964</v>
      </c>
      <c r="M14" s="54">
        <f>SUMIFS('0721 4度C'!$N:$N,'0721 4度C'!$A:$A,"自動包裝二線",'0721 4度C'!$B:$B,"平均")</f>
        <v>126.53470005985373</v>
      </c>
    </row>
    <row r="15" spans="2:17" ht="40.15" customHeight="1">
      <c r="B15" s="447"/>
      <c r="C15" s="57" t="s">
        <v>257</v>
      </c>
      <c r="D15" s="58">
        <f>D14/D13</f>
        <v>0.90495536141530974</v>
      </c>
      <c r="E15" s="59">
        <f t="shared" ref="E15:M15" si="0">E14/E13</f>
        <v>0.90576411877686092</v>
      </c>
      <c r="F15" s="59">
        <f t="shared" si="0"/>
        <v>0.90680770033697067</v>
      </c>
      <c r="G15" s="59">
        <f t="shared" si="0"/>
        <v>0.91064518141861239</v>
      </c>
      <c r="H15" s="59">
        <f>H14/H13</f>
        <v>0.91192428212947052</v>
      </c>
      <c r="I15" s="59">
        <f>I14/I13</f>
        <v>0.90306693830191986</v>
      </c>
      <c r="J15" s="60">
        <f>J14/J13</f>
        <v>0.91140188124110522</v>
      </c>
      <c r="K15" s="58">
        <f>K14/K13</f>
        <v>0.90444327761370158</v>
      </c>
      <c r="L15" s="59">
        <f>L14/L13</f>
        <v>0.90620123549238318</v>
      </c>
      <c r="M15" s="60">
        <f t="shared" si="0"/>
        <v>0.90507459070589824</v>
      </c>
    </row>
    <row r="16" spans="2:17" ht="17.25" customHeight="1">
      <c r="B16" s="430" t="s">
        <v>285</v>
      </c>
      <c r="C16" s="265" t="s">
        <v>103</v>
      </c>
      <c r="D16" s="61">
        <f>VLOOKUP("燴飯線",'0721 4度C'!$A:$T,19,0)</f>
        <v>0.70833333333333337</v>
      </c>
      <c r="E16" s="24">
        <f>VLOOKUP("沙拉線一線",'0721 4度C'!$A:$T,19,0)</f>
        <v>0.12847222222222221</v>
      </c>
      <c r="F16" s="24">
        <f>VLOOKUP("沙拉線二線",'0721 4度C'!$A:$T,19,0)</f>
        <v>0.25</v>
      </c>
      <c r="G16" s="24">
        <f>VLOOKUP("沙拉線三線",'0721 4度C'!$A:$T,19,0)</f>
        <v>0.16666666666666666</v>
      </c>
      <c r="H16" s="24">
        <f>VLOOKUP("自動包裝線",'0721 4度C'!$A:$T,19,0)</f>
        <v>0.20833333333333334</v>
      </c>
      <c r="I16" s="24">
        <f>VLOOKUP("涼麵一線",'0721 4度C'!$A:$T,19,0)</f>
        <v>0.29305555555555557</v>
      </c>
      <c r="J16" s="62">
        <f>VLOOKUP("三明治四線",'0721 4度C'!$A:$T,19,0)</f>
        <v>0.25069444444444444</v>
      </c>
      <c r="K16" s="63">
        <f>VLOOKUP("三明治一線",'0721 4度C'!$A:$T,19,0)</f>
        <v>0.125</v>
      </c>
      <c r="L16" s="64">
        <f>VLOOKUP("三明治二線",'0721 4度C'!$A:$T,19,0)</f>
        <v>8.3333333333333329E-2</v>
      </c>
      <c r="M16" s="65">
        <f>VLOOKUP("自動包裝二線",'0721 4度C'!$A:$T,19,0)</f>
        <v>0.125</v>
      </c>
    </row>
    <row r="17" spans="2:13" ht="17.25" customHeight="1">
      <c r="B17" s="431"/>
      <c r="C17" s="265" t="s">
        <v>619</v>
      </c>
      <c r="D17" s="63">
        <f>LOOKUP(2,1/(('0721 4度C'!$A:$A="燴飯線")*('0721 4度C'!$T:$T&lt;&gt;"")),'0721 4度C'!$T:$T)</f>
        <v>0.86944444444444446</v>
      </c>
      <c r="E17" s="24">
        <f>LOOKUP(2,1/(('0721 4度C'!$A:$A="沙拉線一線")*('0721 4度C'!$T:$T&lt;&gt;"")),'0721 4度C'!$T:$T)</f>
        <v>0.65624999999999989</v>
      </c>
      <c r="F17" s="24">
        <f>LOOKUP(2,1/(('0721 4度C'!$A:$A="沙拉線二線")*('0721 4度C'!$T:$T&lt;&gt;"")),'0721 4度C'!$T:$T)</f>
        <v>0.83958333333333335</v>
      </c>
      <c r="G17" s="24">
        <f>LOOKUP(2,1/(('0721 4度C'!$A:$A="沙拉線三線")*('0721 4度C'!$T:$T&lt;&gt;"")),'0721 4度C'!$T:$T)</f>
        <v>0.98541666666666672</v>
      </c>
      <c r="H17" s="24">
        <f>LOOKUP(2,1/(('0721 4度C'!$A:$A="自動包裝線")*('0721 4度C'!$T:$T&lt;&gt;"")),'0721 4度C'!$T:$T)</f>
        <v>0.64861111111111114</v>
      </c>
      <c r="I17" s="24">
        <f>LOOKUP(2,1/(('0721 4度C'!$A:$A="涼麵一線")*('0721 4度C'!$T:$T&lt;&gt;"")),'0721 4度C'!$T:$T)</f>
        <v>0.8354166666666667</v>
      </c>
      <c r="J17" s="62">
        <f>LOOKUP(2,1/(('0721 4度C'!$A:$A="三明治四線")*('0721 4度C'!$T:$T&lt;&gt;"")),'0721 4度C'!$T:$T)</f>
        <v>0.49791666666666662</v>
      </c>
      <c r="K17" s="61">
        <f>LOOKUP(2,1/(('0721 4度C'!$A:$A="三明治一線")*('0721 4度C'!$T:$T&lt;&gt;"")),'0721 4度C'!$T:$T)</f>
        <v>0.70138888888888884</v>
      </c>
      <c r="L17" s="24">
        <f>LOOKUP(2,1/(('0721 4度C'!$A:$A="三明治二線")*('0721 4度C'!$T:$T&lt;&gt;"")),'0721 4度C'!$T:$T)</f>
        <v>0.64374999999999982</v>
      </c>
      <c r="M17" s="62">
        <f>LOOKUP(2,1/(('0721 4度C'!$A:$A="自動包裝二線")*('0721 4度C'!$T:$T&lt;&gt;"")),'0721 4度C'!$T:$T)</f>
        <v>0.66319444444444442</v>
      </c>
    </row>
    <row r="18" spans="2:13" ht="17.25" customHeight="1">
      <c r="B18" s="431" t="s">
        <v>620</v>
      </c>
      <c r="C18" s="446"/>
      <c r="D18" s="66">
        <f>SUMIFS('0721 4度C'!$I:$I,'0721 4度C'!$A:$A,"燴飯線",'0721 4度C'!$B:$B,"平均")</f>
        <v>17</v>
      </c>
      <c r="E18" s="67">
        <f>SUMIFS('0721 4度C'!$I:$I,'0721 4度C'!$A:$A,"沙拉線一線",'0721 4度C'!$B:$B,"平均")</f>
        <v>18.5</v>
      </c>
      <c r="F18" s="67">
        <f>SUMIFS('0721 4度C'!$I:$I,'0721 4度C'!$A:$A,"沙拉線二線",'0721 4度C'!$B:$B,"平均")</f>
        <v>18.8</v>
      </c>
      <c r="G18" s="67">
        <f>SUMIFS('0721 4度C'!$I:$I,'0721 4度C'!$A:$A,"沙拉線三線",'0721 4度C'!$B:$B,"平均")</f>
        <v>16.555555555555557</v>
      </c>
      <c r="H18" s="67">
        <f>SUMIFS('0721 4度C'!$I:$I,'0721 4度C'!$A:$A,"自動包裝線",'0721 4度C'!$B:$B,"平均")</f>
        <v>10</v>
      </c>
      <c r="I18" s="67">
        <f>SUMIFS('0721 4度C'!$I:$I,'0721 4度C'!$A:$A,"涼麵一線",'0721 4度C'!$B:$B,"平均")</f>
        <v>16.75</v>
      </c>
      <c r="J18" s="68">
        <f>SUMIFS('0721 4度C'!$I:$I,'0721 4度C'!$A:$A,"三明治四線",'0721 4度C'!$B:$B,"平均")</f>
        <v>10.199999999999999</v>
      </c>
      <c r="K18" s="66">
        <f>SUMIFS('0721 4度C'!$I:$I,'0721 4度C'!$A:$A,"三明治一線",'0721 4度C'!$B:$B,"平均")</f>
        <v>17.428571428571427</v>
      </c>
      <c r="L18" s="67">
        <f>SUMIFS('0721 4度C'!$I:$I,'0721 4度C'!$A:$A,"三明治二線",'0721 4度C'!$B:$B,"平均")</f>
        <v>18.875</v>
      </c>
      <c r="M18" s="68">
        <f>SUMIFS('0721 4度C'!$I:$I,'0721 4度C'!$A:$A,"自動包裝二線",'0721 4度C'!$B:$B,"平均")</f>
        <v>17.166666666666668</v>
      </c>
    </row>
    <row r="19" spans="2:13" ht="17.25" customHeight="1">
      <c r="B19" s="448" t="s">
        <v>1149</v>
      </c>
      <c r="C19" s="449"/>
      <c r="D19" s="69" t="s">
        <v>50</v>
      </c>
      <c r="E19" s="70" t="s">
        <v>51</v>
      </c>
      <c r="F19" s="70" t="s">
        <v>1150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1151</v>
      </c>
      <c r="L19" s="70" t="s">
        <v>105</v>
      </c>
      <c r="M19" s="71" t="s">
        <v>1151</v>
      </c>
    </row>
    <row r="20" spans="2:13" ht="17.25" customHeight="1">
      <c r="B20" s="448" t="s">
        <v>106</v>
      </c>
      <c r="C20" s="449"/>
      <c r="D20" s="69"/>
      <c r="E20" s="70"/>
      <c r="F20" s="70" t="s">
        <v>400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717</v>
      </c>
      <c r="C21" s="451"/>
      <c r="D21" s="72"/>
      <c r="E21" s="73" t="s">
        <v>401</v>
      </c>
      <c r="F21" s="452" t="s">
        <v>260</v>
      </c>
      <c r="G21" s="453"/>
      <c r="H21" s="73" t="s">
        <v>107</v>
      </c>
      <c r="I21" s="73" t="s">
        <v>108</v>
      </c>
      <c r="J21" s="74" t="s">
        <v>1152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62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5" activePane="bottomLeft" state="frozen"/>
      <selection activeCell="C3" sqref="C3:J3"/>
      <selection pane="bottomLeft" activeCell="C3" sqref="C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SUM(F5:F73)</f>
        <v>174337</v>
      </c>
      <c r="E1" s="272" t="s">
        <v>406</v>
      </c>
      <c r="F1" s="1">
        <f>SUM(G5:G73)</f>
        <v>5968790.29</v>
      </c>
      <c r="G1" s="1" t="s">
        <v>111</v>
      </c>
      <c r="H1" s="4">
        <f>L8+L13+L55+L60+L19+L66+L37+L46+L29+L73</f>
        <v>161.27579365079364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411</v>
      </c>
      <c r="T1" s="454"/>
      <c r="U1" s="454"/>
      <c r="V1" s="454"/>
      <c r="W1" s="454"/>
      <c r="X1" s="454"/>
      <c r="Y1" s="454" t="s">
        <v>672</v>
      </c>
      <c r="Z1" s="454"/>
      <c r="AA1" s="454" t="s">
        <v>354</v>
      </c>
      <c r="AB1" s="455"/>
      <c r="AC1" s="455"/>
    </row>
    <row r="2" spans="1:29" ht="26.25" customHeight="1">
      <c r="A2" s="22">
        <v>45859</v>
      </c>
      <c r="B2" s="23" t="s">
        <v>447</v>
      </c>
      <c r="C2" s="2" t="s">
        <v>1148</v>
      </c>
      <c r="D2" s="6">
        <f>AVERAGE(N8,N13,N55,N60,N19,N66,N29,N37,N46,N73)</f>
        <v>128.08492670103075</v>
      </c>
      <c r="E2" s="7" t="s">
        <v>0</v>
      </c>
      <c r="F2" s="8">
        <f>F1/D1</f>
        <v>34.237082719101508</v>
      </c>
      <c r="G2" s="1" t="s">
        <v>416</v>
      </c>
      <c r="H2" s="278">
        <f>COUNT(H5:H73)</f>
        <v>9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262</v>
      </c>
      <c r="B3" s="456" t="s">
        <v>1153</v>
      </c>
      <c r="C3" s="456" t="s">
        <v>419</v>
      </c>
      <c r="D3" s="456"/>
      <c r="E3" s="457" t="s">
        <v>117</v>
      </c>
      <c r="F3" s="456" t="s">
        <v>118</v>
      </c>
      <c r="G3" s="457" t="s">
        <v>592</v>
      </c>
      <c r="H3" s="463" t="s">
        <v>223</v>
      </c>
      <c r="I3" s="464" t="s">
        <v>224</v>
      </c>
      <c r="J3" s="465" t="s">
        <v>225</v>
      </c>
      <c r="K3" s="459" t="s">
        <v>114</v>
      </c>
      <c r="L3" s="464" t="s">
        <v>224</v>
      </c>
      <c r="M3" s="465" t="s">
        <v>225</v>
      </c>
      <c r="N3" s="459" t="s">
        <v>114</v>
      </c>
      <c r="O3" s="464" t="s">
        <v>1154</v>
      </c>
      <c r="P3" s="459" t="s">
        <v>114</v>
      </c>
      <c r="Q3" s="460" t="s">
        <v>727</v>
      </c>
      <c r="R3" s="461" t="s">
        <v>1155</v>
      </c>
      <c r="S3" s="462" t="s">
        <v>1</v>
      </c>
      <c r="T3" s="462"/>
      <c r="U3" s="463" t="s">
        <v>2</v>
      </c>
      <c r="V3" s="463" t="s">
        <v>79</v>
      </c>
      <c r="W3" s="456" t="s">
        <v>429</v>
      </c>
      <c r="X3" s="456"/>
      <c r="Y3" s="475" t="s">
        <v>231</v>
      </c>
      <c r="Z3" s="476"/>
      <c r="AA3" s="465" t="s">
        <v>1156</v>
      </c>
      <c r="AB3" s="460" t="s">
        <v>727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77" t="s">
        <v>3</v>
      </c>
      <c r="T4" s="277" t="s">
        <v>4</v>
      </c>
      <c r="U4" s="463"/>
      <c r="V4" s="463"/>
      <c r="W4" s="272" t="s">
        <v>232</v>
      </c>
      <c r="X4" s="272" t="s">
        <v>1157</v>
      </c>
      <c r="Y4" s="476"/>
      <c r="Z4" s="476"/>
      <c r="AA4" s="465"/>
      <c r="AB4" s="460"/>
      <c r="AC4" s="461"/>
    </row>
    <row r="5" spans="1:29">
      <c r="A5" s="471" t="s">
        <v>234</v>
      </c>
      <c r="B5" s="26" t="s">
        <v>13</v>
      </c>
      <c r="C5" s="472" t="s">
        <v>58</v>
      </c>
      <c r="D5" s="472"/>
      <c r="E5" s="26">
        <v>46.93</v>
      </c>
      <c r="F5" s="277">
        <v>1163</v>
      </c>
      <c r="G5" s="272">
        <f>E5*F5</f>
        <v>54579.59</v>
      </c>
      <c r="H5" s="76" t="s">
        <v>57</v>
      </c>
      <c r="I5" s="275">
        <v>17</v>
      </c>
      <c r="J5" s="18">
        <v>1800</v>
      </c>
      <c r="K5" s="9">
        <f>J5/I5</f>
        <v>105.88235294117646</v>
      </c>
      <c r="L5" s="275">
        <v>17</v>
      </c>
      <c r="M5" s="10">
        <f>F5/V5*60</f>
        <v>1622.7906976744184</v>
      </c>
      <c r="N5" s="9">
        <f>M5/L5</f>
        <v>95.458276333789314</v>
      </c>
      <c r="O5" s="11">
        <f t="shared" ref="O5:O7" si="0">L5-I5</f>
        <v>0</v>
      </c>
      <c r="P5" s="12">
        <f t="shared" ref="P5:P7" si="1">N5-K5</f>
        <v>-10.42407660738715</v>
      </c>
      <c r="Q5" s="273">
        <f>N5/K5</f>
        <v>0.90155038759689909</v>
      </c>
      <c r="R5" s="470">
        <f>Q8</f>
        <v>0.90495536141530974</v>
      </c>
      <c r="S5" s="24">
        <v>0.70833333333333337</v>
      </c>
      <c r="T5" s="24">
        <v>0.73819444444444449</v>
      </c>
      <c r="U5" s="272"/>
      <c r="V5" s="276">
        <f>(T5-S5)*24*60</f>
        <v>43.000000000000007</v>
      </c>
      <c r="W5" s="13"/>
      <c r="X5" s="13"/>
      <c r="Y5" s="456"/>
      <c r="Z5" s="456"/>
      <c r="AA5" s="11">
        <f t="shared" ref="AA5:AA68" si="2">M5-J5</f>
        <v>-177.20930232558158</v>
      </c>
      <c r="AB5" s="273">
        <f t="shared" ref="AB5:AB7" si="3">M5/J5</f>
        <v>0.90155038759689909</v>
      </c>
      <c r="AC5" s="470">
        <f>AB8</f>
        <v>0.90495536141530974</v>
      </c>
    </row>
    <row r="6" spans="1:29">
      <c r="A6" s="464" t="s">
        <v>234</v>
      </c>
      <c r="B6" s="26" t="s">
        <v>13</v>
      </c>
      <c r="C6" s="472" t="s">
        <v>60</v>
      </c>
      <c r="D6" s="472"/>
      <c r="E6" s="26">
        <v>50.49</v>
      </c>
      <c r="F6" s="277">
        <v>2202</v>
      </c>
      <c r="G6" s="272">
        <f t="shared" ref="G6:G7" si="4">E6*F6</f>
        <v>111178.98000000001</v>
      </c>
      <c r="H6" s="76" t="s">
        <v>57</v>
      </c>
      <c r="I6" s="275">
        <v>16</v>
      </c>
      <c r="J6" s="18">
        <v>1800</v>
      </c>
      <c r="K6" s="9">
        <f t="shared" ref="K6:K7" si="5">J6/I6</f>
        <v>112.5</v>
      </c>
      <c r="L6" s="275">
        <v>16</v>
      </c>
      <c r="M6" s="10">
        <f>F6/V6*60</f>
        <v>1631.1111111111106</v>
      </c>
      <c r="N6" s="9">
        <f t="shared" ref="N6:N7" si="6">M6/L6</f>
        <v>101.94444444444441</v>
      </c>
      <c r="O6" s="11">
        <f t="shared" si="0"/>
        <v>0</v>
      </c>
      <c r="P6" s="12">
        <f t="shared" si="1"/>
        <v>-10.555555555555586</v>
      </c>
      <c r="Q6" s="273">
        <f t="shared" ref="Q6:Q7" si="7">N6/K6</f>
        <v>0.90617283950617256</v>
      </c>
      <c r="R6" s="470"/>
      <c r="S6" s="24">
        <v>0.7416666666666667</v>
      </c>
      <c r="T6" s="24">
        <v>0.79791666666666672</v>
      </c>
      <c r="U6" s="272">
        <f>(S6-T5)*24*60</f>
        <v>4.9999999999999822</v>
      </c>
      <c r="V6" s="276">
        <f>(T6-S6)*24*60</f>
        <v>81.000000000000028</v>
      </c>
      <c r="W6" s="14"/>
      <c r="X6" s="14"/>
      <c r="Y6" s="456"/>
      <c r="Z6" s="456"/>
      <c r="AA6" s="11">
        <f t="shared" si="2"/>
        <v>-168.88888888888937</v>
      </c>
      <c r="AB6" s="273">
        <f t="shared" si="3"/>
        <v>0.90617283950617256</v>
      </c>
      <c r="AC6" s="470"/>
    </row>
    <row r="7" spans="1:29">
      <c r="A7" s="464" t="s">
        <v>1158</v>
      </c>
      <c r="B7" s="26" t="s">
        <v>13</v>
      </c>
      <c r="C7" s="468" t="s">
        <v>448</v>
      </c>
      <c r="D7" s="469"/>
      <c r="E7" s="26">
        <v>50.67</v>
      </c>
      <c r="F7" s="277">
        <v>2667</v>
      </c>
      <c r="G7" s="272">
        <f t="shared" si="4"/>
        <v>135136.89000000001</v>
      </c>
      <c r="H7" s="76" t="s">
        <v>57</v>
      </c>
      <c r="I7" s="275">
        <v>18</v>
      </c>
      <c r="J7" s="18">
        <v>1800</v>
      </c>
      <c r="K7" s="9">
        <f t="shared" si="5"/>
        <v>100</v>
      </c>
      <c r="L7" s="275">
        <v>18</v>
      </c>
      <c r="M7" s="10">
        <f t="shared" ref="M7" si="8">F7/V7*60</f>
        <v>1632.8571428571433</v>
      </c>
      <c r="N7" s="9">
        <f t="shared" si="6"/>
        <v>90.714285714285737</v>
      </c>
      <c r="O7" s="11">
        <f t="shared" si="0"/>
        <v>0</v>
      </c>
      <c r="P7" s="12">
        <f t="shared" si="1"/>
        <v>-9.2857142857142634</v>
      </c>
      <c r="Q7" s="273">
        <f t="shared" si="7"/>
        <v>0.90714285714285736</v>
      </c>
      <c r="R7" s="470"/>
      <c r="S7" s="24">
        <v>0.80138888888888893</v>
      </c>
      <c r="T7" s="24">
        <v>0.86944444444444446</v>
      </c>
      <c r="U7" s="272">
        <f t="shared" ref="U7" si="9">(S7-T6)*24*60</f>
        <v>4.9999999999999822</v>
      </c>
      <c r="V7" s="276">
        <f t="shared" ref="V7" si="10">(T7-S7)*24*60</f>
        <v>97.999999999999972</v>
      </c>
      <c r="W7" s="14"/>
      <c r="X7" s="14"/>
      <c r="Y7" s="473"/>
      <c r="Z7" s="474"/>
      <c r="AA7" s="11">
        <f t="shared" si="2"/>
        <v>-167.14285714285666</v>
      </c>
      <c r="AB7" s="273">
        <f t="shared" si="3"/>
        <v>0.90714285714285736</v>
      </c>
      <c r="AC7" s="470"/>
    </row>
    <row r="8" spans="1:29">
      <c r="A8" s="464" t="s">
        <v>234</v>
      </c>
      <c r="B8" s="26" t="s">
        <v>1159</v>
      </c>
      <c r="C8" s="466"/>
      <c r="D8" s="466"/>
      <c r="E8" s="271"/>
      <c r="F8" s="16"/>
      <c r="G8" s="9"/>
      <c r="H8" s="277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1628.9196505475575</v>
      </c>
      <c r="N8" s="9">
        <f>M8/L8</f>
        <v>95.818802973385729</v>
      </c>
      <c r="O8" s="11">
        <f>L8-I8</f>
        <v>0</v>
      </c>
      <c r="P8" s="12">
        <f>N8-K8</f>
        <v>-10.063549967790735</v>
      </c>
      <c r="Q8" s="273">
        <f>N8/K8</f>
        <v>0.90495536141530974</v>
      </c>
      <c r="R8" s="470"/>
      <c r="S8" s="24"/>
      <c r="T8" s="24"/>
      <c r="U8" s="272"/>
      <c r="V8" s="276"/>
      <c r="W8" s="9"/>
      <c r="X8" s="9"/>
      <c r="Y8" s="456"/>
      <c r="Z8" s="456"/>
      <c r="AA8" s="11">
        <f t="shared" si="2"/>
        <v>-171.08034945244253</v>
      </c>
      <c r="AB8" s="273">
        <f>M8/J8</f>
        <v>0.90495536141530974</v>
      </c>
      <c r="AC8" s="470"/>
    </row>
    <row r="9" spans="1:29" ht="15.75" customHeight="1">
      <c r="A9" s="467" t="s">
        <v>1160</v>
      </c>
      <c r="B9" s="26" t="s">
        <v>15</v>
      </c>
      <c r="C9" s="468" t="s">
        <v>16</v>
      </c>
      <c r="D9" s="469"/>
      <c r="E9" s="26">
        <v>39.619999999999997</v>
      </c>
      <c r="F9" s="277">
        <v>4427</v>
      </c>
      <c r="G9" s="272">
        <f t="shared" ref="G9:G12" si="11">E9*F9</f>
        <v>175397.74</v>
      </c>
      <c r="H9" s="76" t="s">
        <v>57</v>
      </c>
      <c r="I9" s="275">
        <v>19</v>
      </c>
      <c r="J9" s="18">
        <v>1500</v>
      </c>
      <c r="K9" s="9">
        <f t="shared" ref="K9:K12" si="12">J9/I9</f>
        <v>78.94736842105263</v>
      </c>
      <c r="L9" s="275">
        <v>19</v>
      </c>
      <c r="M9" s="10">
        <f t="shared" ref="M9:M12" si="13">F9/V9*60</f>
        <v>1355.2040816326535</v>
      </c>
      <c r="N9" s="9">
        <f t="shared" ref="N9:N12" si="14">M9/L9</f>
        <v>71.326530612244923</v>
      </c>
      <c r="O9" s="11">
        <f t="shared" ref="O9:O12" si="15">L9-I9</f>
        <v>0</v>
      </c>
      <c r="P9" s="12">
        <f>N9-K9</f>
        <v>-7.6208378088077069</v>
      </c>
      <c r="Q9" s="273">
        <f>N9/K9</f>
        <v>0.90346938775510233</v>
      </c>
      <c r="R9" s="470">
        <f>Q13</f>
        <v>0.90576411877686092</v>
      </c>
      <c r="S9" s="24">
        <v>0.12847222222222221</v>
      </c>
      <c r="T9" s="24">
        <v>0.26458333333333328</v>
      </c>
      <c r="U9" s="272"/>
      <c r="V9" s="276">
        <f t="shared" ref="V9:V12" si="16">(T9-S9)*24*60</f>
        <v>195.99999999999994</v>
      </c>
      <c r="W9" s="9"/>
      <c r="X9" s="9"/>
      <c r="Y9" s="456"/>
      <c r="Z9" s="456"/>
      <c r="AA9" s="11">
        <f t="shared" si="2"/>
        <v>-144.79591836734653</v>
      </c>
      <c r="AB9" s="273">
        <f>M9/J9</f>
        <v>0.90346938775510233</v>
      </c>
      <c r="AC9" s="470">
        <f>AB13</f>
        <v>0.90576411877686092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77">
        <v>2500</v>
      </c>
      <c r="G10" s="272">
        <f t="shared" si="11"/>
        <v>99500</v>
      </c>
      <c r="H10" s="76">
        <v>2</v>
      </c>
      <c r="I10" s="275">
        <v>18</v>
      </c>
      <c r="J10" s="18">
        <v>1500</v>
      </c>
      <c r="K10" s="9">
        <f t="shared" si="12"/>
        <v>83.333333333333329</v>
      </c>
      <c r="L10" s="275">
        <v>18</v>
      </c>
      <c r="M10" s="10">
        <f t="shared" si="13"/>
        <v>1363.6363636363633</v>
      </c>
      <c r="N10" s="9">
        <f t="shared" si="14"/>
        <v>75.757575757575736</v>
      </c>
      <c r="O10" s="11">
        <f t="shared" si="15"/>
        <v>0</v>
      </c>
      <c r="P10" s="12">
        <f t="shared" ref="P10:P12" si="17">N10-K10</f>
        <v>-7.5757575757575921</v>
      </c>
      <c r="Q10" s="273">
        <f t="shared" ref="Q10:Q12" si="18">N10/K10</f>
        <v>0.90909090909090884</v>
      </c>
      <c r="R10" s="470"/>
      <c r="S10" s="24">
        <v>0.28680555555555548</v>
      </c>
      <c r="T10" s="24">
        <v>0.36319444444444438</v>
      </c>
      <c r="U10" s="272">
        <f>(S10-T9)*24*60</f>
        <v>31.999999999999964</v>
      </c>
      <c r="V10" s="276">
        <f t="shared" si="16"/>
        <v>110.00000000000001</v>
      </c>
      <c r="W10" s="14"/>
      <c r="X10" s="14"/>
      <c r="Y10" s="456"/>
      <c r="Z10" s="456"/>
      <c r="AA10" s="11">
        <f t="shared" si="2"/>
        <v>-136.36363636363672</v>
      </c>
      <c r="AB10" s="273">
        <f t="shared" ref="AB10:AB29" si="19">M10/J10</f>
        <v>0.90909090909090884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77">
        <v>4217</v>
      </c>
      <c r="G11" s="272">
        <f t="shared" si="11"/>
        <v>165685.93</v>
      </c>
      <c r="H11" s="76" t="s">
        <v>57</v>
      </c>
      <c r="I11" s="275">
        <v>19</v>
      </c>
      <c r="J11" s="18">
        <v>1500</v>
      </c>
      <c r="K11" s="9">
        <f t="shared" si="12"/>
        <v>78.94736842105263</v>
      </c>
      <c r="L11" s="275">
        <v>19</v>
      </c>
      <c r="M11" s="10">
        <f t="shared" si="13"/>
        <v>1360.3225806451615</v>
      </c>
      <c r="N11" s="9">
        <f t="shared" si="14"/>
        <v>71.595925297113766</v>
      </c>
      <c r="O11" s="11">
        <f t="shared" si="15"/>
        <v>0</v>
      </c>
      <c r="P11" s="12">
        <f t="shared" si="17"/>
        <v>-7.3514431239388642</v>
      </c>
      <c r="Q11" s="273">
        <f t="shared" si="18"/>
        <v>0.90688172043010773</v>
      </c>
      <c r="R11" s="470"/>
      <c r="S11" s="24">
        <v>0.37291666666666656</v>
      </c>
      <c r="T11" s="24">
        <v>0.50208333333333321</v>
      </c>
      <c r="U11" s="272">
        <f t="shared" ref="U11:U12" si="20">(S11-T10)*24*60</f>
        <v>13.99999999999995</v>
      </c>
      <c r="V11" s="276">
        <f t="shared" si="16"/>
        <v>185.99999999999997</v>
      </c>
      <c r="W11" s="14"/>
      <c r="X11" s="14"/>
      <c r="Y11" s="456"/>
      <c r="Z11" s="456"/>
      <c r="AA11" s="11">
        <f t="shared" si="2"/>
        <v>-139.67741935483855</v>
      </c>
      <c r="AB11" s="273">
        <f t="shared" si="19"/>
        <v>0.90688172043010762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77">
        <v>3750</v>
      </c>
      <c r="G12" s="272">
        <f t="shared" si="11"/>
        <v>149250</v>
      </c>
      <c r="H12" s="76" t="s">
        <v>57</v>
      </c>
      <c r="I12" s="275">
        <v>18</v>
      </c>
      <c r="J12" s="18">
        <v>1500</v>
      </c>
      <c r="K12" s="9">
        <f t="shared" si="12"/>
        <v>83.333333333333329</v>
      </c>
      <c r="L12" s="275">
        <v>18</v>
      </c>
      <c r="M12" s="10">
        <f t="shared" si="13"/>
        <v>1355.4216867469875</v>
      </c>
      <c r="N12" s="9">
        <f t="shared" si="14"/>
        <v>75.301204819277075</v>
      </c>
      <c r="O12" s="11">
        <f t="shared" si="15"/>
        <v>0</v>
      </c>
      <c r="P12" s="12">
        <f t="shared" si="17"/>
        <v>-8.0321285140562537</v>
      </c>
      <c r="Q12" s="273">
        <f t="shared" si="18"/>
        <v>0.90361445783132499</v>
      </c>
      <c r="R12" s="470"/>
      <c r="S12" s="24">
        <v>0.54097222222222208</v>
      </c>
      <c r="T12" s="24">
        <v>0.65624999999999989</v>
      </c>
      <c r="U12" s="272">
        <f t="shared" si="20"/>
        <v>55.999999999999957</v>
      </c>
      <c r="V12" s="276">
        <f t="shared" si="16"/>
        <v>166.00000000000006</v>
      </c>
      <c r="W12" s="14"/>
      <c r="X12" s="14"/>
      <c r="Y12" s="456"/>
      <c r="Z12" s="456"/>
      <c r="AA12" s="11">
        <f t="shared" si="2"/>
        <v>-144.57831325301254</v>
      </c>
      <c r="AB12" s="273">
        <f t="shared" si="19"/>
        <v>0.90361445783132499</v>
      </c>
      <c r="AC12" s="470"/>
    </row>
    <row r="13" spans="1:29" ht="16.5" customHeight="1">
      <c r="A13" s="467" t="s">
        <v>5</v>
      </c>
      <c r="B13" s="26" t="s">
        <v>236</v>
      </c>
      <c r="C13" s="466"/>
      <c r="D13" s="466"/>
      <c r="E13" s="271"/>
      <c r="F13" s="18"/>
      <c r="G13" s="10"/>
      <c r="H13" s="277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1358.6461781652913</v>
      </c>
      <c r="N13" s="9">
        <f>M13/L13</f>
        <v>73.440333954880614</v>
      </c>
      <c r="O13" s="11">
        <f>L13-I13</f>
        <v>0</v>
      </c>
      <c r="P13" s="12">
        <f>N13-K13</f>
        <v>-7.6407471262004663</v>
      </c>
      <c r="Q13" s="273">
        <f>N13/K13</f>
        <v>0.90576411877686092</v>
      </c>
      <c r="R13" s="470"/>
      <c r="S13" s="24"/>
      <c r="T13" s="24"/>
      <c r="U13" s="9"/>
      <c r="V13" s="276"/>
      <c r="W13" s="9"/>
      <c r="X13" s="9"/>
      <c r="Y13" s="456"/>
      <c r="Z13" s="456"/>
      <c r="AA13" s="11">
        <f t="shared" si="2"/>
        <v>-141.3538218347087</v>
      </c>
      <c r="AB13" s="273">
        <f t="shared" si="19"/>
        <v>0.90576411877686092</v>
      </c>
      <c r="AC13" s="470"/>
    </row>
    <row r="14" spans="1:29" ht="16.5" customHeight="1">
      <c r="A14" s="480" t="s">
        <v>1161</v>
      </c>
      <c r="B14" s="277" t="s">
        <v>18</v>
      </c>
      <c r="C14" s="477" t="s">
        <v>19</v>
      </c>
      <c r="D14" s="477"/>
      <c r="E14" s="26">
        <v>41</v>
      </c>
      <c r="F14" s="277">
        <v>1924</v>
      </c>
      <c r="G14" s="272">
        <f t="shared" ref="G14:G18" si="21">E14*F14</f>
        <v>78884</v>
      </c>
      <c r="H14" s="76" t="s">
        <v>57</v>
      </c>
      <c r="I14" s="275">
        <v>26</v>
      </c>
      <c r="J14" s="18">
        <v>1286</v>
      </c>
      <c r="K14" s="9">
        <f>J14/I14</f>
        <v>49.46153846153846</v>
      </c>
      <c r="L14" s="275">
        <v>26</v>
      </c>
      <c r="M14" s="10">
        <f>F14/V14*60</f>
        <v>1166.0606060606065</v>
      </c>
      <c r="N14" s="9">
        <f t="shared" ref="N14:N28" si="22">M14/L14</f>
        <v>44.848484848484865</v>
      </c>
      <c r="O14" s="11">
        <f t="shared" ref="O14" si="23">L14-I14</f>
        <v>0</v>
      </c>
      <c r="P14" s="12">
        <f t="shared" ref="P14" si="24">N14-K14</f>
        <v>-4.6130536130535944</v>
      </c>
      <c r="Q14" s="273">
        <f>N14/K14</f>
        <v>0.90673453037372209</v>
      </c>
      <c r="R14" s="470">
        <f>Q19</f>
        <v>0.90680770033697067</v>
      </c>
      <c r="S14" s="24">
        <v>0.25</v>
      </c>
      <c r="T14" s="24">
        <v>0.31874999999999998</v>
      </c>
      <c r="U14" s="272"/>
      <c r="V14" s="276">
        <f>(T14-S14)*24*60</f>
        <v>98.999999999999972</v>
      </c>
      <c r="W14" s="15"/>
      <c r="X14" s="15"/>
      <c r="Y14" s="456"/>
      <c r="Z14" s="456"/>
      <c r="AA14" s="11">
        <f t="shared" si="2"/>
        <v>-119.93939393939354</v>
      </c>
      <c r="AB14" s="273">
        <f t="shared" si="19"/>
        <v>0.90673453037372198</v>
      </c>
      <c r="AC14" s="470">
        <f>AB19</f>
        <v>0.90680770033697078</v>
      </c>
    </row>
    <row r="15" spans="1:29" ht="16.5" customHeight="1">
      <c r="A15" s="481" t="s">
        <v>6</v>
      </c>
      <c r="B15" s="277" t="s">
        <v>15</v>
      </c>
      <c r="C15" s="477" t="s">
        <v>68</v>
      </c>
      <c r="D15" s="477"/>
      <c r="E15" s="26">
        <v>39.29</v>
      </c>
      <c r="F15" s="277">
        <v>2085</v>
      </c>
      <c r="G15" s="272">
        <f t="shared" si="21"/>
        <v>81919.649999999994</v>
      </c>
      <c r="H15" s="76" t="s">
        <v>57</v>
      </c>
      <c r="I15" s="275">
        <v>18</v>
      </c>
      <c r="J15" s="18">
        <v>1500</v>
      </c>
      <c r="K15" s="9">
        <f>J15/I15</f>
        <v>83.333333333333329</v>
      </c>
      <c r="L15" s="275">
        <v>18</v>
      </c>
      <c r="M15" s="10">
        <f>F15/V15*60</f>
        <v>1359.7826086956522</v>
      </c>
      <c r="N15" s="9">
        <f t="shared" si="22"/>
        <v>75.543478260869563</v>
      </c>
      <c r="O15" s="11">
        <f>L15-I15</f>
        <v>0</v>
      </c>
      <c r="P15" s="12">
        <f>N15-K15</f>
        <v>-7.7898550724637659</v>
      </c>
      <c r="Q15" s="273">
        <f>N15/K15</f>
        <v>0.90652173913043477</v>
      </c>
      <c r="R15" s="470"/>
      <c r="S15" s="24">
        <v>0.32777777777777772</v>
      </c>
      <c r="T15" s="24">
        <v>0.39166666666666661</v>
      </c>
      <c r="U15" s="272">
        <f>(S15-T14)*24*60</f>
        <v>12.999999999999954</v>
      </c>
      <c r="V15" s="276">
        <f>(T15-S15)*24*60</f>
        <v>92</v>
      </c>
      <c r="W15" s="14"/>
      <c r="X15" s="14"/>
      <c r="Y15" s="456"/>
      <c r="Z15" s="456"/>
      <c r="AA15" s="11">
        <f t="shared" si="2"/>
        <v>-140.21739130434776</v>
      </c>
      <c r="AB15" s="273">
        <f t="shared" si="19"/>
        <v>0.90652173913043488</v>
      </c>
      <c r="AC15" s="470"/>
    </row>
    <row r="16" spans="1:29" ht="16.5" customHeight="1">
      <c r="A16" s="481" t="s">
        <v>6</v>
      </c>
      <c r="B16" s="277" t="s">
        <v>15</v>
      </c>
      <c r="C16" s="477" t="s">
        <v>54</v>
      </c>
      <c r="D16" s="477"/>
      <c r="E16" s="26">
        <v>39.29</v>
      </c>
      <c r="F16" s="277">
        <v>3398</v>
      </c>
      <c r="G16" s="272">
        <f t="shared" si="21"/>
        <v>133507.41999999998</v>
      </c>
      <c r="H16" s="76" t="s">
        <v>57</v>
      </c>
      <c r="I16" s="275">
        <v>17</v>
      </c>
      <c r="J16" s="18">
        <v>1500</v>
      </c>
      <c r="K16" s="9">
        <f t="shared" ref="K16:K18" si="25">J16/I16</f>
        <v>88.235294117647058</v>
      </c>
      <c r="L16" s="275">
        <v>17</v>
      </c>
      <c r="M16" s="10">
        <f t="shared" ref="M16:M18" si="26">F16/V16*60</f>
        <v>1359.2000000000005</v>
      </c>
      <c r="N16" s="9">
        <f t="shared" si="22"/>
        <v>79.952941176470617</v>
      </c>
      <c r="O16" s="11">
        <f t="shared" ref="O16:O18" si="27">L16-I16</f>
        <v>0</v>
      </c>
      <c r="P16" s="12">
        <f t="shared" ref="P16:P18" si="28">N16-K16</f>
        <v>-8.2823529411764412</v>
      </c>
      <c r="Q16" s="273">
        <f t="shared" ref="Q16:Q28" si="29">N16/K16</f>
        <v>0.90613333333333368</v>
      </c>
      <c r="R16" s="470"/>
      <c r="S16" s="24">
        <v>0.4013888888888888</v>
      </c>
      <c r="T16" s="24">
        <v>0.50555555555555542</v>
      </c>
      <c r="U16" s="272">
        <f t="shared" ref="U16:U18" si="30">(S16-T15)*24*60</f>
        <v>13.99999999999995</v>
      </c>
      <c r="V16" s="276">
        <f t="shared" ref="V16:V18" si="31">(T16-S16)*24*60</f>
        <v>149.99999999999994</v>
      </c>
      <c r="W16" s="14"/>
      <c r="X16" s="14"/>
      <c r="Y16" s="456"/>
      <c r="Z16" s="456"/>
      <c r="AA16" s="11">
        <f t="shared" si="2"/>
        <v>-140.7999999999995</v>
      </c>
      <c r="AB16" s="273">
        <f t="shared" si="19"/>
        <v>0.90613333333333368</v>
      </c>
      <c r="AC16" s="470"/>
    </row>
    <row r="17" spans="1:29" ht="16.5" customHeight="1">
      <c r="A17" s="481" t="s">
        <v>6</v>
      </c>
      <c r="B17" s="277" t="s">
        <v>13</v>
      </c>
      <c r="C17" s="477" t="s">
        <v>63</v>
      </c>
      <c r="D17" s="477"/>
      <c r="E17" s="26">
        <v>50.98</v>
      </c>
      <c r="F17" s="277">
        <v>2821</v>
      </c>
      <c r="G17" s="272">
        <f t="shared" si="21"/>
        <v>143814.57999999999</v>
      </c>
      <c r="H17" s="76" t="s">
        <v>57</v>
      </c>
      <c r="I17" s="275">
        <v>17</v>
      </c>
      <c r="J17" s="18">
        <v>1800</v>
      </c>
      <c r="K17" s="9">
        <f t="shared" si="25"/>
        <v>105.88235294117646</v>
      </c>
      <c r="L17" s="275">
        <v>17</v>
      </c>
      <c r="M17" s="10">
        <f t="shared" si="26"/>
        <v>1627.5000000000009</v>
      </c>
      <c r="N17" s="9">
        <f t="shared" si="22"/>
        <v>95.735294117647115</v>
      </c>
      <c r="O17" s="11">
        <f t="shared" si="27"/>
        <v>0</v>
      </c>
      <c r="P17" s="12">
        <f t="shared" si="28"/>
        <v>-10.147058823529349</v>
      </c>
      <c r="Q17" s="273">
        <f t="shared" si="29"/>
        <v>0.90416666666666723</v>
      </c>
      <c r="R17" s="470"/>
      <c r="S17" s="24">
        <v>0.70833333333333337</v>
      </c>
      <c r="T17" s="24">
        <v>0.78055555555555556</v>
      </c>
      <c r="U17" s="272">
        <f t="shared" si="30"/>
        <v>292.00000000000023</v>
      </c>
      <c r="V17" s="276">
        <f t="shared" si="31"/>
        <v>103.99999999999994</v>
      </c>
      <c r="W17" s="14"/>
      <c r="X17" s="14"/>
      <c r="Y17" s="456"/>
      <c r="Z17" s="456"/>
      <c r="AA17" s="11">
        <f t="shared" si="2"/>
        <v>-172.49999999999909</v>
      </c>
      <c r="AB17" s="273">
        <f t="shared" si="19"/>
        <v>0.90416666666666712</v>
      </c>
      <c r="AC17" s="470"/>
    </row>
    <row r="18" spans="1:29" ht="16.5" customHeight="1">
      <c r="A18" s="481" t="s">
        <v>6</v>
      </c>
      <c r="B18" s="277" t="s">
        <v>13</v>
      </c>
      <c r="C18" s="477" t="s">
        <v>66</v>
      </c>
      <c r="D18" s="477"/>
      <c r="E18" s="26">
        <v>57.73</v>
      </c>
      <c r="F18" s="277">
        <v>1822</v>
      </c>
      <c r="G18" s="272">
        <f t="shared" si="21"/>
        <v>105184.06</v>
      </c>
      <c r="H18" s="76" t="s">
        <v>57</v>
      </c>
      <c r="I18" s="275">
        <v>16</v>
      </c>
      <c r="J18" s="18">
        <v>1500</v>
      </c>
      <c r="K18" s="9">
        <f t="shared" si="25"/>
        <v>93.75</v>
      </c>
      <c r="L18" s="275">
        <v>16</v>
      </c>
      <c r="M18" s="10">
        <f t="shared" si="26"/>
        <v>1366.4999999999995</v>
      </c>
      <c r="N18" s="9">
        <f t="shared" si="22"/>
        <v>85.406249999999972</v>
      </c>
      <c r="O18" s="11">
        <f t="shared" si="27"/>
        <v>0</v>
      </c>
      <c r="P18" s="12">
        <f t="shared" si="28"/>
        <v>-8.3437500000000284</v>
      </c>
      <c r="Q18" s="273">
        <f t="shared" si="29"/>
        <v>0.9109999999999997</v>
      </c>
      <c r="R18" s="470"/>
      <c r="S18" s="24">
        <v>0.78402777777777777</v>
      </c>
      <c r="T18" s="24">
        <v>0.83958333333333335</v>
      </c>
      <c r="U18" s="272">
        <f t="shared" si="30"/>
        <v>4.9999999999999822</v>
      </c>
      <c r="V18" s="276">
        <f t="shared" si="31"/>
        <v>80.000000000000028</v>
      </c>
      <c r="W18" s="14"/>
      <c r="X18" s="14"/>
      <c r="Y18" s="456"/>
      <c r="Z18" s="456"/>
      <c r="AA18" s="11">
        <f t="shared" si="2"/>
        <v>-133.50000000000045</v>
      </c>
      <c r="AB18" s="273">
        <f t="shared" si="19"/>
        <v>0.9109999999999997</v>
      </c>
      <c r="AC18" s="470"/>
    </row>
    <row r="19" spans="1:29" ht="16.5" customHeight="1">
      <c r="A19" s="481" t="s">
        <v>6</v>
      </c>
      <c r="B19" s="26" t="s">
        <v>236</v>
      </c>
      <c r="C19" s="466"/>
      <c r="D19" s="466"/>
      <c r="E19" s="271"/>
      <c r="F19" s="16"/>
      <c r="G19" s="9"/>
      <c r="H19" s="277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1375.8086429512521</v>
      </c>
      <c r="N19" s="9">
        <f t="shared" si="22"/>
        <v>73.181310795279359</v>
      </c>
      <c r="O19" s="11">
        <f>L19-I19</f>
        <v>0</v>
      </c>
      <c r="P19" s="12">
        <f>N19-K19</f>
        <v>-7.5208168642951136</v>
      </c>
      <c r="Q19" s="273">
        <f t="shared" si="29"/>
        <v>0.90680770033697067</v>
      </c>
      <c r="R19" s="470"/>
      <c r="S19" s="24"/>
      <c r="T19" s="24"/>
      <c r="U19" s="272"/>
      <c r="V19" s="276"/>
      <c r="W19" s="9"/>
      <c r="X19" s="9"/>
      <c r="Y19" s="456"/>
      <c r="Z19" s="456"/>
      <c r="AA19" s="11">
        <f t="shared" si="2"/>
        <v>-141.39135704874798</v>
      </c>
      <c r="AB19" s="273">
        <f t="shared" si="19"/>
        <v>0.90680770033697078</v>
      </c>
      <c r="AC19" s="470"/>
    </row>
    <row r="20" spans="1:29" ht="15.75" customHeight="1">
      <c r="A20" s="478" t="s">
        <v>240</v>
      </c>
      <c r="B20" s="26" t="s">
        <v>21</v>
      </c>
      <c r="C20" s="477" t="s">
        <v>22</v>
      </c>
      <c r="D20" s="477"/>
      <c r="E20" s="26">
        <v>43.14</v>
      </c>
      <c r="F20" s="277">
        <v>1318</v>
      </c>
      <c r="G20" s="272">
        <f t="shared" ref="G20:G28" si="32">E20*F20</f>
        <v>56858.520000000004</v>
      </c>
      <c r="H20" s="76" t="s">
        <v>57</v>
      </c>
      <c r="I20" s="275">
        <v>17</v>
      </c>
      <c r="J20" s="18">
        <v>1200</v>
      </c>
      <c r="K20" s="9">
        <f t="shared" ref="K20:K29" si="33">J20/I20</f>
        <v>70.588235294117652</v>
      </c>
      <c r="L20" s="275">
        <v>17</v>
      </c>
      <c r="M20" s="10">
        <f t="shared" ref="M20:M28" si="34">F20/V20*60</f>
        <v>1098.3333333333337</v>
      </c>
      <c r="N20" s="9">
        <f t="shared" si="22"/>
        <v>64.607843137254918</v>
      </c>
      <c r="O20" s="11">
        <f t="shared" ref="O20:O28" si="35">L20-I20</f>
        <v>0</v>
      </c>
      <c r="P20" s="12">
        <f t="shared" ref="P20:P28" si="36">N20-K20</f>
        <v>-5.9803921568627345</v>
      </c>
      <c r="Q20" s="273">
        <f t="shared" si="29"/>
        <v>0.91527777777777797</v>
      </c>
      <c r="R20" s="470">
        <f>Q29</f>
        <v>0.91064518141861239</v>
      </c>
      <c r="S20" s="24">
        <v>0.16666666666666666</v>
      </c>
      <c r="T20" s="24">
        <v>0.21666666666666665</v>
      </c>
      <c r="U20" s="272"/>
      <c r="V20" s="276">
        <f>(T20-S20)*24*60</f>
        <v>71.999999999999986</v>
      </c>
      <c r="W20" s="15"/>
      <c r="X20" s="15"/>
      <c r="Y20" s="456"/>
      <c r="Z20" s="456"/>
      <c r="AA20" s="11">
        <f t="shared" si="2"/>
        <v>-101.66666666666629</v>
      </c>
      <c r="AB20" s="273">
        <f t="shared" si="19"/>
        <v>0.91527777777777808</v>
      </c>
      <c r="AC20" s="470">
        <f>AB29</f>
        <v>0.9106451814186125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77">
        <v>2761</v>
      </c>
      <c r="G21" s="272">
        <f t="shared" si="32"/>
        <v>159392.53</v>
      </c>
      <c r="H21" s="76" t="s">
        <v>57</v>
      </c>
      <c r="I21" s="275">
        <v>16</v>
      </c>
      <c r="J21" s="18">
        <v>1800</v>
      </c>
      <c r="K21" s="9">
        <f t="shared" si="33"/>
        <v>112.5</v>
      </c>
      <c r="L21" s="275">
        <v>16</v>
      </c>
      <c r="M21" s="10">
        <f t="shared" si="34"/>
        <v>1640.1980198019801</v>
      </c>
      <c r="N21" s="9">
        <f t="shared" si="22"/>
        <v>102.51237623762376</v>
      </c>
      <c r="O21" s="11">
        <f t="shared" si="35"/>
        <v>0</v>
      </c>
      <c r="P21" s="12">
        <f t="shared" si="36"/>
        <v>-9.9876237623762449</v>
      </c>
      <c r="Q21" s="273">
        <f t="shared" si="29"/>
        <v>0.91122112211221118</v>
      </c>
      <c r="R21" s="470"/>
      <c r="S21" s="24">
        <v>0.23611111111111108</v>
      </c>
      <c r="T21" s="24">
        <v>0.30624999999999997</v>
      </c>
      <c r="U21" s="272">
        <f>(S21-T20)*24*60</f>
        <v>27.999999999999979</v>
      </c>
      <c r="V21" s="276">
        <f t="shared" ref="V21:V28" si="37">(T21-S21)*24*60</f>
        <v>101</v>
      </c>
      <c r="W21" s="14"/>
      <c r="X21" s="272"/>
      <c r="Y21" s="456"/>
      <c r="Z21" s="456"/>
      <c r="AA21" s="11">
        <f t="shared" si="2"/>
        <v>-159.80198019801992</v>
      </c>
      <c r="AB21" s="273">
        <f t="shared" si="19"/>
        <v>0.91122112211221118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77">
        <v>1982</v>
      </c>
      <c r="G22" s="272">
        <f t="shared" si="32"/>
        <v>106393.76</v>
      </c>
      <c r="H22" s="76" t="s">
        <v>57</v>
      </c>
      <c r="I22" s="275">
        <v>17</v>
      </c>
      <c r="J22" s="18">
        <v>1800</v>
      </c>
      <c r="K22" s="9">
        <f t="shared" si="33"/>
        <v>105.88235294117646</v>
      </c>
      <c r="L22" s="275">
        <v>17</v>
      </c>
      <c r="M22" s="10">
        <f t="shared" si="34"/>
        <v>1629.0410958904113</v>
      </c>
      <c r="N22" s="9">
        <f t="shared" si="22"/>
        <v>95.825946817083022</v>
      </c>
      <c r="O22" s="11">
        <f t="shared" si="35"/>
        <v>0</v>
      </c>
      <c r="P22" s="12">
        <f t="shared" si="36"/>
        <v>-10.056406124093442</v>
      </c>
      <c r="Q22" s="273">
        <f t="shared" si="29"/>
        <v>0.90502283105022863</v>
      </c>
      <c r="R22" s="470"/>
      <c r="S22" s="24">
        <v>0.3118055555555555</v>
      </c>
      <c r="T22" s="24">
        <v>0.36249999999999993</v>
      </c>
      <c r="U22" s="272">
        <f t="shared" ref="U22:U28" si="38">(S22-T21)*24*60</f>
        <v>7.9999999999999716</v>
      </c>
      <c r="V22" s="276">
        <f t="shared" si="37"/>
        <v>72.999999999999986</v>
      </c>
      <c r="W22" s="14"/>
      <c r="X22" s="272"/>
      <c r="Y22" s="456"/>
      <c r="Z22" s="456"/>
      <c r="AA22" s="11">
        <f t="shared" si="2"/>
        <v>-170.95890410958873</v>
      </c>
      <c r="AB22" s="273">
        <f t="shared" si="19"/>
        <v>0.90502283105022852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77">
        <v>1294</v>
      </c>
      <c r="G23" s="272">
        <f t="shared" si="32"/>
        <v>65566.98</v>
      </c>
      <c r="H23" s="76" t="s">
        <v>57</v>
      </c>
      <c r="I23" s="275">
        <v>16</v>
      </c>
      <c r="J23" s="18">
        <v>1800</v>
      </c>
      <c r="K23" s="9">
        <f t="shared" si="33"/>
        <v>112.5</v>
      </c>
      <c r="L23" s="275">
        <v>16</v>
      </c>
      <c r="M23" s="10">
        <f t="shared" si="34"/>
        <v>1651.9148936170216</v>
      </c>
      <c r="N23" s="9">
        <f t="shared" si="22"/>
        <v>103.24468085106385</v>
      </c>
      <c r="O23" s="11">
        <f t="shared" si="35"/>
        <v>0</v>
      </c>
      <c r="P23" s="12">
        <f t="shared" si="36"/>
        <v>-9.2553191489361524</v>
      </c>
      <c r="Q23" s="273">
        <f t="shared" si="29"/>
        <v>0.91773049645390081</v>
      </c>
      <c r="R23" s="470"/>
      <c r="S23" s="24">
        <v>0.36597222222222214</v>
      </c>
      <c r="T23" s="24">
        <v>0.39861111111111103</v>
      </c>
      <c r="U23" s="272">
        <f t="shared" si="38"/>
        <v>4.9999999999999822</v>
      </c>
      <c r="V23" s="276">
        <f t="shared" si="37"/>
        <v>46.999999999999993</v>
      </c>
      <c r="W23" s="14"/>
      <c r="X23" s="272"/>
      <c r="Y23" s="456"/>
      <c r="Z23" s="456"/>
      <c r="AA23" s="11">
        <f t="shared" si="2"/>
        <v>-148.08510638297844</v>
      </c>
      <c r="AB23" s="273">
        <f t="shared" si="19"/>
        <v>0.91773049645390081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277">
        <v>3731</v>
      </c>
      <c r="G24" s="272">
        <f t="shared" si="32"/>
        <v>217032.27000000002</v>
      </c>
      <c r="H24" s="76" t="s">
        <v>57</v>
      </c>
      <c r="I24" s="275">
        <v>18</v>
      </c>
      <c r="J24" s="18">
        <v>1800</v>
      </c>
      <c r="K24" s="9">
        <f t="shared" si="33"/>
        <v>100</v>
      </c>
      <c r="L24" s="275">
        <v>18</v>
      </c>
      <c r="M24" s="10">
        <f t="shared" si="34"/>
        <v>1622.1739130434783</v>
      </c>
      <c r="N24" s="9">
        <f t="shared" si="22"/>
        <v>90.120772946859901</v>
      </c>
      <c r="O24" s="11">
        <f t="shared" si="35"/>
        <v>0</v>
      </c>
      <c r="P24" s="12">
        <f t="shared" si="36"/>
        <v>-9.8792270531400987</v>
      </c>
      <c r="Q24" s="273">
        <f t="shared" si="29"/>
        <v>0.90120772946859906</v>
      </c>
      <c r="R24" s="470"/>
      <c r="S24" s="24">
        <v>0.40416666666666656</v>
      </c>
      <c r="T24" s="24">
        <v>0.49999999999999989</v>
      </c>
      <c r="U24" s="272">
        <f t="shared" si="38"/>
        <v>7.9999999999999716</v>
      </c>
      <c r="V24" s="276">
        <f t="shared" si="37"/>
        <v>138</v>
      </c>
      <c r="W24" s="14"/>
      <c r="X24" s="272"/>
      <c r="Y24" s="456"/>
      <c r="Z24" s="456"/>
      <c r="AA24" s="11">
        <f t="shared" si="2"/>
        <v>-177.82608695652175</v>
      </c>
      <c r="AB24" s="273">
        <f t="shared" si="19"/>
        <v>0.90120772946859906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277">
        <v>3086</v>
      </c>
      <c r="G25" s="272">
        <f t="shared" si="32"/>
        <v>157139.12</v>
      </c>
      <c r="H25" s="76" t="s">
        <v>57</v>
      </c>
      <c r="I25" s="275">
        <v>16</v>
      </c>
      <c r="J25" s="18">
        <v>1800</v>
      </c>
      <c r="K25" s="9">
        <f t="shared" si="33"/>
        <v>112.5</v>
      </c>
      <c r="L25" s="275">
        <v>16</v>
      </c>
      <c r="M25" s="10">
        <f t="shared" si="34"/>
        <v>1624.2105263157885</v>
      </c>
      <c r="N25" s="9">
        <f t="shared" si="22"/>
        <v>101.51315789473678</v>
      </c>
      <c r="O25" s="11">
        <f t="shared" si="35"/>
        <v>0</v>
      </c>
      <c r="P25" s="12">
        <f t="shared" si="36"/>
        <v>-10.986842105263221</v>
      </c>
      <c r="Q25" s="273">
        <f t="shared" si="29"/>
        <v>0.90233918128654911</v>
      </c>
      <c r="R25" s="470"/>
      <c r="S25" s="24">
        <v>0.70833333333333337</v>
      </c>
      <c r="T25" s="24">
        <v>0.78750000000000009</v>
      </c>
      <c r="U25" s="272">
        <f t="shared" si="38"/>
        <v>300.00000000000023</v>
      </c>
      <c r="V25" s="276">
        <f t="shared" si="37"/>
        <v>114.00000000000007</v>
      </c>
      <c r="W25" s="14"/>
      <c r="X25" s="15"/>
      <c r="Y25" s="456"/>
      <c r="Z25" s="456"/>
      <c r="AA25" s="11">
        <f t="shared" si="2"/>
        <v>-175.78947368421154</v>
      </c>
      <c r="AB25" s="273">
        <f t="shared" si="19"/>
        <v>0.90233918128654911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277">
        <v>697</v>
      </c>
      <c r="G26" s="272">
        <f t="shared" si="32"/>
        <v>37129.19</v>
      </c>
      <c r="H26" s="76" t="s">
        <v>57</v>
      </c>
      <c r="I26" s="275">
        <v>15</v>
      </c>
      <c r="J26" s="18">
        <v>1800</v>
      </c>
      <c r="K26" s="9">
        <f t="shared" si="33"/>
        <v>120</v>
      </c>
      <c r="L26" s="275">
        <v>15</v>
      </c>
      <c r="M26" s="10">
        <f t="shared" si="34"/>
        <v>1672.7999999999952</v>
      </c>
      <c r="N26" s="9">
        <f t="shared" si="22"/>
        <v>111.51999999999968</v>
      </c>
      <c r="O26" s="11">
        <f t="shared" si="35"/>
        <v>0</v>
      </c>
      <c r="P26" s="12">
        <f t="shared" si="36"/>
        <v>-8.4800000000003166</v>
      </c>
      <c r="Q26" s="273">
        <f t="shared" si="29"/>
        <v>0.92933333333333068</v>
      </c>
      <c r="R26" s="470"/>
      <c r="S26" s="24">
        <v>0.79305555555555562</v>
      </c>
      <c r="T26" s="24">
        <v>0.81041666666666679</v>
      </c>
      <c r="U26" s="272">
        <f t="shared" si="38"/>
        <v>7.9999999999999716</v>
      </c>
      <c r="V26" s="276">
        <f t="shared" si="37"/>
        <v>25.000000000000071</v>
      </c>
      <c r="W26" s="14"/>
      <c r="X26" s="15"/>
      <c r="Y26" s="473"/>
      <c r="Z26" s="474"/>
      <c r="AA26" s="11">
        <f t="shared" si="2"/>
        <v>-127.20000000000482</v>
      </c>
      <c r="AB26" s="273">
        <f t="shared" si="19"/>
        <v>0.92933333333333068</v>
      </c>
      <c r="AC26" s="470"/>
    </row>
    <row r="27" spans="1:29" ht="15.75" customHeight="1">
      <c r="A27" s="479" t="s">
        <v>7</v>
      </c>
      <c r="B27" s="26" t="s">
        <v>13</v>
      </c>
      <c r="C27" s="482" t="s">
        <v>1162</v>
      </c>
      <c r="D27" s="483"/>
      <c r="E27" s="26">
        <v>47.6</v>
      </c>
      <c r="F27" s="277">
        <v>1500</v>
      </c>
      <c r="G27" s="272">
        <f t="shared" si="32"/>
        <v>71400</v>
      </c>
      <c r="H27" s="76">
        <v>2</v>
      </c>
      <c r="I27" s="275">
        <v>17</v>
      </c>
      <c r="J27" s="18">
        <v>1800</v>
      </c>
      <c r="K27" s="9">
        <f t="shared" si="33"/>
        <v>105.88235294117646</v>
      </c>
      <c r="L27" s="275">
        <v>17</v>
      </c>
      <c r="M27" s="10">
        <f t="shared" si="34"/>
        <v>1636.3636363636374</v>
      </c>
      <c r="N27" s="9">
        <f t="shared" si="22"/>
        <v>96.256684491978675</v>
      </c>
      <c r="O27" s="11">
        <f t="shared" si="35"/>
        <v>0</v>
      </c>
      <c r="P27" s="12">
        <f t="shared" si="36"/>
        <v>-9.6256684491977893</v>
      </c>
      <c r="Q27" s="273">
        <f t="shared" si="29"/>
        <v>0.90909090909090973</v>
      </c>
      <c r="R27" s="470"/>
      <c r="S27" s="24">
        <v>0.81388888888888899</v>
      </c>
      <c r="T27" s="24">
        <v>0.85208333333333341</v>
      </c>
      <c r="U27" s="272">
        <f t="shared" si="38"/>
        <v>4.9999999999999822</v>
      </c>
      <c r="V27" s="276">
        <f t="shared" si="37"/>
        <v>54.999999999999964</v>
      </c>
      <c r="W27" s="14"/>
      <c r="X27" s="14"/>
      <c r="Y27" s="473"/>
      <c r="Z27" s="474"/>
      <c r="AA27" s="11">
        <f t="shared" si="2"/>
        <v>-163.6363636363626</v>
      </c>
      <c r="AB27" s="273">
        <f t="shared" si="19"/>
        <v>0.90909090909090962</v>
      </c>
      <c r="AC27" s="470"/>
    </row>
    <row r="28" spans="1:29" ht="15.75" customHeight="1">
      <c r="A28" s="479" t="s">
        <v>7</v>
      </c>
      <c r="B28" s="26" t="s">
        <v>13</v>
      </c>
      <c r="C28" s="482" t="s">
        <v>1162</v>
      </c>
      <c r="D28" s="483"/>
      <c r="E28" s="26">
        <v>47.6</v>
      </c>
      <c r="F28" s="277">
        <v>3697</v>
      </c>
      <c r="G28" s="272">
        <f t="shared" si="32"/>
        <v>175977.2</v>
      </c>
      <c r="H28" s="76" t="s">
        <v>57</v>
      </c>
      <c r="I28" s="275">
        <v>17</v>
      </c>
      <c r="J28" s="18">
        <v>1800</v>
      </c>
      <c r="K28" s="9">
        <f t="shared" si="33"/>
        <v>105.88235294117646</v>
      </c>
      <c r="L28" s="275">
        <v>17</v>
      </c>
      <c r="M28" s="10">
        <f t="shared" si="34"/>
        <v>1631.0294117647059</v>
      </c>
      <c r="N28" s="9">
        <f t="shared" si="22"/>
        <v>95.942906574394456</v>
      </c>
      <c r="O28" s="11">
        <f t="shared" si="35"/>
        <v>0</v>
      </c>
      <c r="P28" s="12">
        <f t="shared" si="36"/>
        <v>-9.9394463667820077</v>
      </c>
      <c r="Q28" s="273">
        <f t="shared" si="29"/>
        <v>0.90612745098039216</v>
      </c>
      <c r="R28" s="470"/>
      <c r="S28" s="24">
        <v>0.89097222222222228</v>
      </c>
      <c r="T28" s="24">
        <v>0.98541666666666672</v>
      </c>
      <c r="U28" s="272">
        <f t="shared" si="38"/>
        <v>55.999999999999957</v>
      </c>
      <c r="V28" s="276">
        <f t="shared" si="37"/>
        <v>136</v>
      </c>
      <c r="W28" s="14"/>
      <c r="X28" s="14"/>
      <c r="Y28" s="473"/>
      <c r="Z28" s="474"/>
      <c r="AA28" s="11">
        <f t="shared" si="2"/>
        <v>-168.97058823529414</v>
      </c>
      <c r="AB28" s="273">
        <f t="shared" si="19"/>
        <v>0.90612745098039216</v>
      </c>
      <c r="AC28" s="470"/>
    </row>
    <row r="29" spans="1:29" ht="15.75" customHeight="1">
      <c r="A29" s="479" t="s">
        <v>7</v>
      </c>
      <c r="B29" s="26" t="s">
        <v>1159</v>
      </c>
      <c r="C29" s="466"/>
      <c r="D29" s="466"/>
      <c r="E29" s="271"/>
      <c r="F29" s="277"/>
      <c r="G29" s="272"/>
      <c r="H29" s="277"/>
      <c r="I29" s="17">
        <v>16.555555555555557</v>
      </c>
      <c r="J29" s="18">
        <v>1733.3333333333333</v>
      </c>
      <c r="K29" s="9">
        <f t="shared" si="33"/>
        <v>104.6979865771812</v>
      </c>
      <c r="L29" s="17">
        <v>16.555555555555557</v>
      </c>
      <c r="M29" s="10">
        <f>AVERAGE(M20:M28)</f>
        <v>1578.4516477922616</v>
      </c>
      <c r="N29" s="9">
        <f>M29/L29</f>
        <v>95.342716980740619</v>
      </c>
      <c r="O29" s="11">
        <f>L29-I29</f>
        <v>0</v>
      </c>
      <c r="P29" s="12">
        <f>N29-K29</f>
        <v>-9.3552695964405785</v>
      </c>
      <c r="Q29" s="273">
        <f>N29/K29</f>
        <v>0.91064518141861239</v>
      </c>
      <c r="R29" s="470"/>
      <c r="S29" s="24"/>
      <c r="T29" s="24"/>
      <c r="U29" s="9"/>
      <c r="V29" s="276"/>
      <c r="W29" s="9"/>
      <c r="X29" s="9"/>
      <c r="Y29" s="456"/>
      <c r="Z29" s="456"/>
      <c r="AA29" s="11">
        <f t="shared" si="2"/>
        <v>-154.88168554107165</v>
      </c>
      <c r="AB29" s="273">
        <f t="shared" si="19"/>
        <v>0.9106451814186125</v>
      </c>
      <c r="AC29" s="470"/>
    </row>
    <row r="30" spans="1:29" ht="15.75" customHeight="1">
      <c r="A30" s="484" t="s">
        <v>1163</v>
      </c>
      <c r="B30" s="26" t="s">
        <v>24</v>
      </c>
      <c r="C30" s="477" t="s">
        <v>26</v>
      </c>
      <c r="D30" s="477"/>
      <c r="E30" s="26">
        <v>26.2</v>
      </c>
      <c r="F30" s="277">
        <v>4486</v>
      </c>
      <c r="G30" s="272">
        <f t="shared" ref="G30:G36" si="39">E30*F30</f>
        <v>117533.2</v>
      </c>
      <c r="H30" s="76" t="s">
        <v>57</v>
      </c>
      <c r="I30" s="275">
        <v>20</v>
      </c>
      <c r="J30" s="18">
        <v>2400</v>
      </c>
      <c r="K30" s="9">
        <f>J30/I30</f>
        <v>120</v>
      </c>
      <c r="L30" s="275">
        <v>20</v>
      </c>
      <c r="M30" s="10">
        <f t="shared" ref="M30:M36" si="40">F30/V30*60</f>
        <v>2170.645161290322</v>
      </c>
      <c r="N30" s="9">
        <f t="shared" ref="N30:N36" si="41">M30/L30</f>
        <v>108.5322580645161</v>
      </c>
      <c r="O30" s="11">
        <f t="shared" ref="O30:O36" si="42">L30-I30</f>
        <v>0</v>
      </c>
      <c r="P30" s="12">
        <f t="shared" ref="P30:P36" si="43">N30-K30</f>
        <v>-11.4677419354839</v>
      </c>
      <c r="Q30" s="273">
        <f t="shared" ref="Q30:Q36" si="44">N30/K30</f>
        <v>0.9044354838709675</v>
      </c>
      <c r="R30" s="470">
        <f>Q37</f>
        <v>0.90444327761370158</v>
      </c>
      <c r="S30" s="24">
        <v>0.125</v>
      </c>
      <c r="T30" s="24">
        <v>0.21111111111111114</v>
      </c>
      <c r="U30" s="272"/>
      <c r="V30" s="276">
        <f t="shared" ref="V30:V36" si="45">(T30-S30)*24*60</f>
        <v>124.00000000000004</v>
      </c>
      <c r="W30" s="14"/>
      <c r="X30" s="14"/>
      <c r="Y30" s="456"/>
      <c r="Z30" s="456"/>
      <c r="AA30" s="11">
        <f t="shared" si="2"/>
        <v>-229.35483870967801</v>
      </c>
      <c r="AB30" s="273">
        <f>M30/J30</f>
        <v>0.9044354838709675</v>
      </c>
      <c r="AC30" s="470">
        <f>AB37</f>
        <v>0.90444327761370158</v>
      </c>
    </row>
    <row r="31" spans="1:29" ht="15.75" customHeight="1">
      <c r="A31" s="484" t="s">
        <v>8</v>
      </c>
      <c r="B31" s="26" t="s">
        <v>24</v>
      </c>
      <c r="C31" s="477" t="s">
        <v>25</v>
      </c>
      <c r="D31" s="477"/>
      <c r="E31" s="26">
        <v>20.52</v>
      </c>
      <c r="F31" s="277">
        <v>4618</v>
      </c>
      <c r="G31" s="272">
        <f t="shared" si="39"/>
        <v>94761.36</v>
      </c>
      <c r="H31" s="76" t="s">
        <v>57</v>
      </c>
      <c r="I31" s="275">
        <v>18</v>
      </c>
      <c r="J31" s="18">
        <v>2400</v>
      </c>
      <c r="K31" s="9">
        <f t="shared" ref="K31:K37" si="46">J31/I31</f>
        <v>133.33333333333334</v>
      </c>
      <c r="L31" s="275">
        <v>18</v>
      </c>
      <c r="M31" s="10">
        <f t="shared" si="40"/>
        <v>2164.6874999999995</v>
      </c>
      <c r="N31" s="9">
        <f t="shared" si="41"/>
        <v>120.26041666666664</v>
      </c>
      <c r="O31" s="11">
        <f t="shared" si="42"/>
        <v>0</v>
      </c>
      <c r="P31" s="12">
        <f t="shared" si="43"/>
        <v>-13.0729166666667</v>
      </c>
      <c r="Q31" s="273">
        <f t="shared" si="44"/>
        <v>0.9019531249999998</v>
      </c>
      <c r="R31" s="470"/>
      <c r="S31" s="24">
        <v>0.23055555555555557</v>
      </c>
      <c r="T31" s="24">
        <v>0.31944444444444448</v>
      </c>
      <c r="U31" s="272">
        <f>(S31-T30)*24*60</f>
        <v>27.999999999999979</v>
      </c>
      <c r="V31" s="276">
        <f t="shared" si="45"/>
        <v>128.00000000000003</v>
      </c>
      <c r="W31" s="14"/>
      <c r="X31" s="14"/>
      <c r="Y31" s="456"/>
      <c r="Z31" s="456"/>
      <c r="AA31" s="11">
        <f t="shared" si="2"/>
        <v>-235.31250000000045</v>
      </c>
      <c r="AB31" s="273">
        <f t="shared" ref="AB31:AB36" si="47">M31/J31</f>
        <v>0.9019531249999998</v>
      </c>
      <c r="AC31" s="470"/>
    </row>
    <row r="32" spans="1:29" ht="15.75" customHeight="1">
      <c r="A32" s="484" t="s">
        <v>8</v>
      </c>
      <c r="B32" s="26" t="s">
        <v>24</v>
      </c>
      <c r="C32" s="477" t="s">
        <v>513</v>
      </c>
      <c r="D32" s="477"/>
      <c r="E32" s="26">
        <v>31.29</v>
      </c>
      <c r="F32" s="277">
        <v>3500</v>
      </c>
      <c r="G32" s="272">
        <f t="shared" si="39"/>
        <v>109515</v>
      </c>
      <c r="H32" s="76">
        <v>2</v>
      </c>
      <c r="I32" s="275">
        <v>16</v>
      </c>
      <c r="J32" s="18">
        <v>2400</v>
      </c>
      <c r="K32" s="9">
        <f t="shared" si="46"/>
        <v>150</v>
      </c>
      <c r="L32" s="275">
        <v>16</v>
      </c>
      <c r="M32" s="10">
        <f t="shared" si="40"/>
        <v>2164.9484536082482</v>
      </c>
      <c r="N32" s="9">
        <f t="shared" si="41"/>
        <v>135.30927835051551</v>
      </c>
      <c r="O32" s="11">
        <f t="shared" si="42"/>
        <v>0</v>
      </c>
      <c r="P32" s="12">
        <f t="shared" si="43"/>
        <v>-14.690721649484487</v>
      </c>
      <c r="Q32" s="273">
        <f t="shared" si="44"/>
        <v>0.90206185567010344</v>
      </c>
      <c r="R32" s="470"/>
      <c r="S32" s="24">
        <v>0.32500000000000001</v>
      </c>
      <c r="T32" s="24">
        <v>0.3923611111111111</v>
      </c>
      <c r="U32" s="272">
        <f t="shared" ref="U32:U36" si="48">(S32-T31)*24*60</f>
        <v>7.9999999999999716</v>
      </c>
      <c r="V32" s="276">
        <f t="shared" si="45"/>
        <v>96.999999999999972</v>
      </c>
      <c r="W32" s="14"/>
      <c r="X32" s="14"/>
      <c r="Y32" s="456"/>
      <c r="Z32" s="456"/>
      <c r="AA32" s="11">
        <f t="shared" si="2"/>
        <v>-235.0515463917518</v>
      </c>
      <c r="AB32" s="273">
        <f t="shared" si="47"/>
        <v>0.90206185567010344</v>
      </c>
      <c r="AC32" s="470"/>
    </row>
    <row r="33" spans="1:29" ht="15.75" customHeight="1">
      <c r="A33" s="484" t="s">
        <v>8</v>
      </c>
      <c r="B33" s="26" t="s">
        <v>24</v>
      </c>
      <c r="C33" s="477" t="s">
        <v>84</v>
      </c>
      <c r="D33" s="477"/>
      <c r="E33" s="26">
        <v>24.25</v>
      </c>
      <c r="F33" s="277">
        <v>3300</v>
      </c>
      <c r="G33" s="272">
        <f t="shared" si="39"/>
        <v>80025</v>
      </c>
      <c r="H33" s="76">
        <v>2</v>
      </c>
      <c r="I33" s="275">
        <v>18</v>
      </c>
      <c r="J33" s="18">
        <v>2400</v>
      </c>
      <c r="K33" s="9">
        <f t="shared" si="46"/>
        <v>133.33333333333334</v>
      </c>
      <c r="L33" s="275">
        <v>18</v>
      </c>
      <c r="M33" s="10">
        <f t="shared" si="40"/>
        <v>2175.8241758241757</v>
      </c>
      <c r="N33" s="9">
        <f t="shared" si="41"/>
        <v>120.87912087912088</v>
      </c>
      <c r="O33" s="11">
        <f t="shared" si="42"/>
        <v>0</v>
      </c>
      <c r="P33" s="12">
        <f t="shared" si="43"/>
        <v>-12.454212454212467</v>
      </c>
      <c r="Q33" s="273">
        <f t="shared" si="44"/>
        <v>0.90659340659340648</v>
      </c>
      <c r="R33" s="470"/>
      <c r="S33" s="24">
        <v>0.39583333333333331</v>
      </c>
      <c r="T33" s="24">
        <v>0.45902777777777776</v>
      </c>
      <c r="U33" s="272">
        <f t="shared" si="48"/>
        <v>4.9999999999999822</v>
      </c>
      <c r="V33" s="276">
        <f t="shared" si="45"/>
        <v>91</v>
      </c>
      <c r="W33" s="14"/>
      <c r="X33" s="14"/>
      <c r="Y33" s="456"/>
      <c r="Z33" s="456"/>
      <c r="AA33" s="11">
        <f t="shared" si="2"/>
        <v>-224.17582417582435</v>
      </c>
      <c r="AB33" s="273">
        <f t="shared" si="47"/>
        <v>0.90659340659340648</v>
      </c>
      <c r="AC33" s="470"/>
    </row>
    <row r="34" spans="1:29" ht="15.75" customHeight="1">
      <c r="A34" s="484" t="s">
        <v>8</v>
      </c>
      <c r="B34" s="26" t="s">
        <v>24</v>
      </c>
      <c r="C34" s="477" t="s">
        <v>69</v>
      </c>
      <c r="D34" s="477"/>
      <c r="E34" s="26">
        <v>22.35</v>
      </c>
      <c r="F34" s="277">
        <v>3032</v>
      </c>
      <c r="G34" s="272">
        <f t="shared" si="39"/>
        <v>67765.2</v>
      </c>
      <c r="H34" s="76" t="s">
        <v>57</v>
      </c>
      <c r="I34" s="275">
        <v>16</v>
      </c>
      <c r="J34" s="18">
        <v>2400</v>
      </c>
      <c r="K34" s="9">
        <f t="shared" si="46"/>
        <v>150</v>
      </c>
      <c r="L34" s="275">
        <v>16</v>
      </c>
      <c r="M34" s="10">
        <f t="shared" si="40"/>
        <v>2165.7142857142871</v>
      </c>
      <c r="N34" s="9">
        <f t="shared" si="41"/>
        <v>135.35714285714295</v>
      </c>
      <c r="O34" s="11">
        <f t="shared" si="42"/>
        <v>0</v>
      </c>
      <c r="P34" s="12">
        <f t="shared" si="43"/>
        <v>-14.642857142857054</v>
      </c>
      <c r="Q34" s="273">
        <f t="shared" si="44"/>
        <v>0.90238095238095295</v>
      </c>
      <c r="R34" s="470"/>
      <c r="S34" s="24">
        <v>0.46319444444444441</v>
      </c>
      <c r="T34" s="24">
        <v>0.5215277777777777</v>
      </c>
      <c r="U34" s="272">
        <f t="shared" si="48"/>
        <v>5.9999999999999787</v>
      </c>
      <c r="V34" s="276">
        <f t="shared" si="45"/>
        <v>83.999999999999943</v>
      </c>
      <c r="W34" s="14"/>
      <c r="X34" s="14"/>
      <c r="Y34" s="456"/>
      <c r="Z34" s="456"/>
      <c r="AA34" s="11">
        <f t="shared" si="2"/>
        <v>-234.28571428571286</v>
      </c>
      <c r="AB34" s="273">
        <f t="shared" si="47"/>
        <v>0.90238095238095295</v>
      </c>
      <c r="AC34" s="470"/>
    </row>
    <row r="35" spans="1:29" ht="15.75" customHeight="1">
      <c r="A35" s="484" t="s">
        <v>8</v>
      </c>
      <c r="B35" s="26" t="s">
        <v>24</v>
      </c>
      <c r="C35" s="477" t="s">
        <v>513</v>
      </c>
      <c r="D35" s="477"/>
      <c r="E35" s="26">
        <v>31.29</v>
      </c>
      <c r="F35" s="277">
        <v>4603</v>
      </c>
      <c r="G35" s="272">
        <f t="shared" si="39"/>
        <v>144027.87</v>
      </c>
      <c r="H35" s="76" t="s">
        <v>57</v>
      </c>
      <c r="I35" s="275">
        <v>16</v>
      </c>
      <c r="J35" s="18">
        <v>2400</v>
      </c>
      <c r="K35" s="9">
        <f t="shared" si="46"/>
        <v>150</v>
      </c>
      <c r="L35" s="275">
        <v>16</v>
      </c>
      <c r="M35" s="10">
        <f t="shared" si="40"/>
        <v>2174.6456692913384</v>
      </c>
      <c r="N35" s="9">
        <f t="shared" si="41"/>
        <v>135.91535433070865</v>
      </c>
      <c r="O35" s="11">
        <f t="shared" si="42"/>
        <v>0</v>
      </c>
      <c r="P35" s="12">
        <f t="shared" si="43"/>
        <v>-14.084645669291348</v>
      </c>
      <c r="Q35" s="273">
        <f t="shared" si="44"/>
        <v>0.9061023622047244</v>
      </c>
      <c r="R35" s="470"/>
      <c r="S35" s="24">
        <v>0.56180555555555545</v>
      </c>
      <c r="T35" s="24">
        <v>0.64999999999999991</v>
      </c>
      <c r="U35" s="272">
        <f t="shared" si="48"/>
        <v>57.999999999999957</v>
      </c>
      <c r="V35" s="276">
        <f t="shared" si="45"/>
        <v>127.00000000000003</v>
      </c>
      <c r="W35" s="14"/>
      <c r="X35" s="14"/>
      <c r="Y35" s="456"/>
      <c r="Z35" s="456"/>
      <c r="AA35" s="11">
        <f t="shared" si="2"/>
        <v>-225.35433070866156</v>
      </c>
      <c r="AB35" s="273">
        <f t="shared" si="47"/>
        <v>0.9061023622047244</v>
      </c>
      <c r="AC35" s="470"/>
    </row>
    <row r="36" spans="1:29" ht="15.75" customHeight="1">
      <c r="A36" s="484" t="s">
        <v>8</v>
      </c>
      <c r="B36" s="26" t="s">
        <v>24</v>
      </c>
      <c r="C36" s="477" t="s">
        <v>84</v>
      </c>
      <c r="D36" s="477"/>
      <c r="E36" s="26">
        <v>24.25</v>
      </c>
      <c r="F36" s="277">
        <v>2396</v>
      </c>
      <c r="G36" s="272">
        <f t="shared" si="39"/>
        <v>58103</v>
      </c>
      <c r="H36" s="76" t="s">
        <v>57</v>
      </c>
      <c r="I36" s="275">
        <v>18</v>
      </c>
      <c r="J36" s="18">
        <v>2400</v>
      </c>
      <c r="K36" s="9">
        <f t="shared" si="46"/>
        <v>133.33333333333334</v>
      </c>
      <c r="L36" s="275">
        <v>18</v>
      </c>
      <c r="M36" s="10">
        <f t="shared" si="40"/>
        <v>2178.1818181818153</v>
      </c>
      <c r="N36" s="9">
        <f t="shared" si="41"/>
        <v>121.01010101010085</v>
      </c>
      <c r="O36" s="11">
        <f t="shared" si="42"/>
        <v>0</v>
      </c>
      <c r="P36" s="12">
        <f t="shared" si="43"/>
        <v>-12.323232323232489</v>
      </c>
      <c r="Q36" s="273">
        <f t="shared" si="44"/>
        <v>0.90757575757575637</v>
      </c>
      <c r="R36" s="470"/>
      <c r="S36" s="24">
        <v>0.65555555555555545</v>
      </c>
      <c r="T36" s="24">
        <v>0.70138888888888884</v>
      </c>
      <c r="U36" s="272">
        <f t="shared" si="48"/>
        <v>7.9999999999999716</v>
      </c>
      <c r="V36" s="276">
        <f t="shared" si="45"/>
        <v>66.000000000000085</v>
      </c>
      <c r="W36" s="14"/>
      <c r="X36" s="14"/>
      <c r="Y36" s="456"/>
      <c r="Z36" s="456"/>
      <c r="AA36" s="11">
        <f t="shared" si="2"/>
        <v>-221.81818181818471</v>
      </c>
      <c r="AB36" s="273">
        <f t="shared" si="47"/>
        <v>0.90757575757575637</v>
      </c>
      <c r="AC36" s="470"/>
    </row>
    <row r="37" spans="1:29" ht="15.75" customHeight="1">
      <c r="A37" s="484" t="s">
        <v>8</v>
      </c>
      <c r="B37" s="26" t="s">
        <v>1159</v>
      </c>
      <c r="C37" s="466"/>
      <c r="D37" s="466"/>
      <c r="E37" s="271"/>
      <c r="F37" s="277"/>
      <c r="G37" s="272"/>
      <c r="H37" s="277"/>
      <c r="I37" s="17">
        <v>17.428571428571427</v>
      </c>
      <c r="J37" s="18">
        <v>2400</v>
      </c>
      <c r="K37" s="9">
        <f t="shared" si="46"/>
        <v>137.70491803278691</v>
      </c>
      <c r="L37" s="17">
        <v>17.428571428571427</v>
      </c>
      <c r="M37" s="10">
        <f>AVERAGE(M30:M36)</f>
        <v>2170.6638662728838</v>
      </c>
      <c r="N37" s="9">
        <f>M37/L37</f>
        <v>124.5462874090999</v>
      </c>
      <c r="O37" s="11">
        <f>L37-I37</f>
        <v>0</v>
      </c>
      <c r="P37" s="12">
        <f>N37-K37</f>
        <v>-13.158630623687003</v>
      </c>
      <c r="Q37" s="273">
        <f>N37/K37</f>
        <v>0.90444327761370158</v>
      </c>
      <c r="R37" s="470"/>
      <c r="S37" s="24"/>
      <c r="T37" s="24"/>
      <c r="U37" s="272"/>
      <c r="V37" s="276"/>
      <c r="W37" s="272"/>
      <c r="X37" s="272"/>
      <c r="Y37" s="456"/>
      <c r="Z37" s="456"/>
      <c r="AA37" s="11">
        <f t="shared" si="2"/>
        <v>-229.33613372711625</v>
      </c>
      <c r="AB37" s="273">
        <f>M37/J37</f>
        <v>0.90444327761370158</v>
      </c>
      <c r="AC37" s="470"/>
    </row>
    <row r="38" spans="1:29" ht="15.75" customHeight="1">
      <c r="A38" s="485" t="s">
        <v>1164</v>
      </c>
      <c r="B38" s="26" t="s">
        <v>24</v>
      </c>
      <c r="C38" s="487" t="s">
        <v>29</v>
      </c>
      <c r="D38" s="487"/>
      <c r="E38" s="26">
        <v>26.2</v>
      </c>
      <c r="F38" s="277">
        <v>2500</v>
      </c>
      <c r="G38" s="272">
        <f t="shared" ref="G38:G45" si="49">E38*F38</f>
        <v>65500</v>
      </c>
      <c r="H38" s="76">
        <v>2</v>
      </c>
      <c r="I38" s="275">
        <v>18</v>
      </c>
      <c r="J38" s="18">
        <v>2400</v>
      </c>
      <c r="K38" s="9">
        <f>J38/I38</f>
        <v>133.33333333333334</v>
      </c>
      <c r="L38" s="275">
        <v>18</v>
      </c>
      <c r="M38" s="10">
        <f>F38/V38*60</f>
        <v>2173.9130434782619</v>
      </c>
      <c r="N38" s="9">
        <f>M38/L38</f>
        <v>120.77294685990344</v>
      </c>
      <c r="O38" s="11">
        <f t="shared" ref="O38:O45" si="50">L38-I38</f>
        <v>0</v>
      </c>
      <c r="P38" s="12">
        <f t="shared" ref="P38:P55" si="51">N38-K38</f>
        <v>-12.560386473429901</v>
      </c>
      <c r="Q38" s="273">
        <f t="shared" ref="Q38:Q50" si="52">N38/K38</f>
        <v>0.90579710144927572</v>
      </c>
      <c r="R38" s="470">
        <f>Q46</f>
        <v>0.90620123549238318</v>
      </c>
      <c r="S38" s="24">
        <v>8.3333333333333329E-2</v>
      </c>
      <c r="T38" s="24">
        <v>0.13124999999999998</v>
      </c>
      <c r="U38" s="272"/>
      <c r="V38" s="276">
        <f t="shared" ref="V38:V45" si="53">(T38-S38)*24*60</f>
        <v>68.999999999999972</v>
      </c>
      <c r="W38" s="15"/>
      <c r="X38" s="15"/>
      <c r="Y38" s="456"/>
      <c r="Z38" s="456"/>
      <c r="AA38" s="11">
        <f t="shared" si="2"/>
        <v>-226.0869565217381</v>
      </c>
      <c r="AB38" s="273">
        <f>M38/J38</f>
        <v>0.90579710144927583</v>
      </c>
      <c r="AC38" s="470">
        <f>AB46</f>
        <v>0.90620123549238318</v>
      </c>
    </row>
    <row r="39" spans="1:29" ht="15.75" customHeight="1">
      <c r="A39" s="485" t="s">
        <v>1164</v>
      </c>
      <c r="B39" s="26" t="s">
        <v>24</v>
      </c>
      <c r="C39" s="487" t="s">
        <v>31</v>
      </c>
      <c r="D39" s="487"/>
      <c r="E39" s="26">
        <v>24.45</v>
      </c>
      <c r="F39" s="277">
        <v>2499</v>
      </c>
      <c r="G39" s="272">
        <f t="shared" si="49"/>
        <v>61100.549999999996</v>
      </c>
      <c r="H39" s="76" t="s">
        <v>57</v>
      </c>
      <c r="I39" s="275">
        <v>20</v>
      </c>
      <c r="J39" s="18">
        <v>2400</v>
      </c>
      <c r="K39" s="9">
        <f t="shared" ref="K39:K54" si="54">J39/I39</f>
        <v>120</v>
      </c>
      <c r="L39" s="275">
        <v>20</v>
      </c>
      <c r="M39" s="10">
        <f t="shared" ref="M39:M45" si="55">F39/V39*60</f>
        <v>2173.0434782608695</v>
      </c>
      <c r="N39" s="9">
        <f t="shared" ref="N39:N45" si="56">M39/L39</f>
        <v>108.65217391304347</v>
      </c>
      <c r="O39" s="11">
        <f t="shared" si="50"/>
        <v>0</v>
      </c>
      <c r="P39" s="12">
        <f t="shared" si="51"/>
        <v>-11.34782608695653</v>
      </c>
      <c r="Q39" s="273">
        <f t="shared" si="52"/>
        <v>0.90543478260869559</v>
      </c>
      <c r="R39" s="470"/>
      <c r="S39" s="24">
        <v>0.15208333333333332</v>
      </c>
      <c r="T39" s="24">
        <v>0.19999999999999998</v>
      </c>
      <c r="U39" s="272">
        <f>(S39-T38)*24*60</f>
        <v>30.000000000000014</v>
      </c>
      <c r="V39" s="276">
        <f t="shared" si="53"/>
        <v>69</v>
      </c>
      <c r="W39" s="272"/>
      <c r="X39" s="272"/>
      <c r="Y39" s="456"/>
      <c r="Z39" s="456"/>
      <c r="AA39" s="11">
        <f t="shared" si="2"/>
        <v>-226.95652173913049</v>
      </c>
      <c r="AB39" s="273">
        <f t="shared" ref="AB39:AB66" si="57">M39/J39</f>
        <v>0.90543478260869559</v>
      </c>
      <c r="AC39" s="470"/>
    </row>
    <row r="40" spans="1:29">
      <c r="A40" s="486" t="s">
        <v>1164</v>
      </c>
      <c r="B40" s="26" t="s">
        <v>24</v>
      </c>
      <c r="C40" s="487" t="s">
        <v>32</v>
      </c>
      <c r="D40" s="487"/>
      <c r="E40" s="26">
        <v>26.2</v>
      </c>
      <c r="F40" s="277">
        <v>3195</v>
      </c>
      <c r="G40" s="272">
        <f t="shared" si="49"/>
        <v>83709</v>
      </c>
      <c r="H40" s="76" t="s">
        <v>57</v>
      </c>
      <c r="I40" s="275">
        <v>20</v>
      </c>
      <c r="J40" s="18">
        <v>2400</v>
      </c>
      <c r="K40" s="9">
        <f t="shared" si="54"/>
        <v>120</v>
      </c>
      <c r="L40" s="275">
        <v>20</v>
      </c>
      <c r="M40" s="10">
        <f t="shared" si="55"/>
        <v>2178.409090909091</v>
      </c>
      <c r="N40" s="9">
        <f t="shared" si="56"/>
        <v>108.92045454545455</v>
      </c>
      <c r="O40" s="11">
        <f t="shared" si="50"/>
        <v>0</v>
      </c>
      <c r="P40" s="12">
        <f t="shared" si="51"/>
        <v>-11.079545454545453</v>
      </c>
      <c r="Q40" s="273">
        <f t="shared" si="52"/>
        <v>0.90767045454545459</v>
      </c>
      <c r="R40" s="470"/>
      <c r="S40" s="24">
        <v>0.20555555555555555</v>
      </c>
      <c r="T40" s="24">
        <v>0.26666666666666666</v>
      </c>
      <c r="U40" s="272">
        <f t="shared" ref="U40:U45" si="58">(S40-T39)*24*60</f>
        <v>8.0000000000000107</v>
      </c>
      <c r="V40" s="276">
        <f t="shared" si="53"/>
        <v>88</v>
      </c>
      <c r="W40" s="272"/>
      <c r="X40" s="272"/>
      <c r="Y40" s="456"/>
      <c r="Z40" s="456"/>
      <c r="AA40" s="11">
        <f t="shared" si="2"/>
        <v>-221.59090909090901</v>
      </c>
      <c r="AB40" s="273">
        <f t="shared" si="57"/>
        <v>0.90767045454545459</v>
      </c>
      <c r="AC40" s="470"/>
    </row>
    <row r="41" spans="1:29">
      <c r="A41" s="486" t="s">
        <v>1164</v>
      </c>
      <c r="B41" s="26" t="s">
        <v>24</v>
      </c>
      <c r="C41" s="487" t="s">
        <v>30</v>
      </c>
      <c r="D41" s="487"/>
      <c r="E41" s="26">
        <v>26.39</v>
      </c>
      <c r="F41" s="277">
        <v>3300</v>
      </c>
      <c r="G41" s="272">
        <f t="shared" si="49"/>
        <v>87087</v>
      </c>
      <c r="H41" s="76">
        <v>2</v>
      </c>
      <c r="I41" s="275">
        <v>19</v>
      </c>
      <c r="J41" s="18">
        <v>2400</v>
      </c>
      <c r="K41" s="9">
        <f t="shared" si="54"/>
        <v>126.31578947368421</v>
      </c>
      <c r="L41" s="275">
        <v>19</v>
      </c>
      <c r="M41" s="10">
        <f t="shared" si="55"/>
        <v>2175.8241758241757</v>
      </c>
      <c r="N41" s="9">
        <f t="shared" si="56"/>
        <v>114.51706188548293</v>
      </c>
      <c r="O41" s="11">
        <f t="shared" si="50"/>
        <v>0</v>
      </c>
      <c r="P41" s="12">
        <f t="shared" si="51"/>
        <v>-11.798727588201274</v>
      </c>
      <c r="Q41" s="273">
        <f t="shared" si="52"/>
        <v>0.90659340659340659</v>
      </c>
      <c r="R41" s="470"/>
      <c r="S41" s="24">
        <v>0.27013888888888887</v>
      </c>
      <c r="T41" s="24">
        <v>0.33333333333333331</v>
      </c>
      <c r="U41" s="272">
        <f t="shared" si="58"/>
        <v>4.9999999999999822</v>
      </c>
      <c r="V41" s="276">
        <f t="shared" si="53"/>
        <v>91</v>
      </c>
      <c r="W41" s="14"/>
      <c r="X41" s="14"/>
      <c r="Y41" s="456"/>
      <c r="Z41" s="456"/>
      <c r="AA41" s="11">
        <f t="shared" si="2"/>
        <v>-224.17582417582435</v>
      </c>
      <c r="AB41" s="273">
        <f t="shared" si="57"/>
        <v>0.90659340659340648</v>
      </c>
      <c r="AC41" s="470"/>
    </row>
    <row r="42" spans="1:29">
      <c r="A42" s="486" t="s">
        <v>1164</v>
      </c>
      <c r="B42" s="26" t="s">
        <v>24</v>
      </c>
      <c r="C42" s="487" t="s">
        <v>27</v>
      </c>
      <c r="D42" s="487"/>
      <c r="E42" s="26">
        <v>20.52</v>
      </c>
      <c r="F42" s="277">
        <v>3333</v>
      </c>
      <c r="G42" s="272">
        <f t="shared" si="49"/>
        <v>68393.16</v>
      </c>
      <c r="H42" s="76" t="s">
        <v>57</v>
      </c>
      <c r="I42" s="275">
        <v>18</v>
      </c>
      <c r="J42" s="18">
        <v>2400</v>
      </c>
      <c r="K42" s="9">
        <f t="shared" si="54"/>
        <v>133.33333333333334</v>
      </c>
      <c r="L42" s="275">
        <v>18</v>
      </c>
      <c r="M42" s="10">
        <f t="shared" si="55"/>
        <v>2173.695652173913</v>
      </c>
      <c r="N42" s="9">
        <f t="shared" si="56"/>
        <v>120.76086956521739</v>
      </c>
      <c r="O42" s="11">
        <f t="shared" si="50"/>
        <v>0</v>
      </c>
      <c r="P42" s="12">
        <f t="shared" si="51"/>
        <v>-12.572463768115952</v>
      </c>
      <c r="Q42" s="273">
        <f t="shared" si="52"/>
        <v>0.90570652173913035</v>
      </c>
      <c r="R42" s="470"/>
      <c r="S42" s="24">
        <v>0.33749999999999997</v>
      </c>
      <c r="T42" s="24">
        <v>0.40138888888888885</v>
      </c>
      <c r="U42" s="272">
        <f t="shared" si="58"/>
        <v>5.9999999999999787</v>
      </c>
      <c r="V42" s="276">
        <f t="shared" si="53"/>
        <v>92</v>
      </c>
      <c r="W42" s="14"/>
      <c r="X42" s="14"/>
      <c r="Y42" s="456"/>
      <c r="Z42" s="456"/>
      <c r="AA42" s="11">
        <f t="shared" si="2"/>
        <v>-226.304347826087</v>
      </c>
      <c r="AB42" s="273">
        <f t="shared" si="57"/>
        <v>0.90570652173913047</v>
      </c>
      <c r="AC42" s="470"/>
    </row>
    <row r="43" spans="1:29">
      <c r="A43" s="486" t="s">
        <v>1164</v>
      </c>
      <c r="B43" s="26" t="s">
        <v>24</v>
      </c>
      <c r="C43" s="487" t="s">
        <v>55</v>
      </c>
      <c r="D43" s="487"/>
      <c r="E43" s="26">
        <v>26.2</v>
      </c>
      <c r="F43" s="277">
        <v>4285</v>
      </c>
      <c r="G43" s="272">
        <f t="shared" si="49"/>
        <v>112267</v>
      </c>
      <c r="H43" s="76" t="s">
        <v>57</v>
      </c>
      <c r="I43" s="275">
        <v>19</v>
      </c>
      <c r="J43" s="18">
        <v>2400</v>
      </c>
      <c r="K43" s="9">
        <f t="shared" si="54"/>
        <v>126.31578947368421</v>
      </c>
      <c r="L43" s="275">
        <v>19</v>
      </c>
      <c r="M43" s="10">
        <f t="shared" si="55"/>
        <v>2178.8135593220341</v>
      </c>
      <c r="N43" s="9">
        <f t="shared" si="56"/>
        <v>114.67439785905442</v>
      </c>
      <c r="O43" s="11">
        <f t="shared" si="50"/>
        <v>0</v>
      </c>
      <c r="P43" s="12">
        <f t="shared" si="51"/>
        <v>-11.641391614629782</v>
      </c>
      <c r="Q43" s="273">
        <f t="shared" si="52"/>
        <v>0.90783898305084754</v>
      </c>
      <c r="R43" s="470"/>
      <c r="S43" s="24">
        <v>0.40694444444444439</v>
      </c>
      <c r="T43" s="24">
        <v>0.48888888888888882</v>
      </c>
      <c r="U43" s="272">
        <f t="shared" si="58"/>
        <v>7.9999999999999716</v>
      </c>
      <c r="V43" s="276">
        <f t="shared" si="53"/>
        <v>117.99999999999999</v>
      </c>
      <c r="W43" s="14"/>
      <c r="X43" s="14"/>
      <c r="Y43" s="456"/>
      <c r="Z43" s="456"/>
      <c r="AA43" s="11">
        <f t="shared" si="2"/>
        <v>-221.18644067796595</v>
      </c>
      <c r="AB43" s="273">
        <f t="shared" si="57"/>
        <v>0.90783898305084754</v>
      </c>
      <c r="AC43" s="470"/>
    </row>
    <row r="44" spans="1:29">
      <c r="A44" s="486" t="s">
        <v>1164</v>
      </c>
      <c r="B44" s="26" t="s">
        <v>24</v>
      </c>
      <c r="C44" s="487" t="s">
        <v>29</v>
      </c>
      <c r="D44" s="487"/>
      <c r="E44" s="26">
        <v>26.2</v>
      </c>
      <c r="F44" s="277">
        <v>3779</v>
      </c>
      <c r="G44" s="272">
        <f t="shared" si="49"/>
        <v>99009.8</v>
      </c>
      <c r="H44" s="76" t="s">
        <v>57</v>
      </c>
      <c r="I44" s="275">
        <v>18</v>
      </c>
      <c r="J44" s="18">
        <v>2400</v>
      </c>
      <c r="K44" s="9">
        <f t="shared" si="54"/>
        <v>133.33333333333334</v>
      </c>
      <c r="L44" s="275">
        <v>18</v>
      </c>
      <c r="M44" s="10">
        <f t="shared" si="55"/>
        <v>2180.192307692309</v>
      </c>
      <c r="N44" s="9">
        <f t="shared" si="56"/>
        <v>121.12179487179495</v>
      </c>
      <c r="O44" s="11">
        <f t="shared" si="50"/>
        <v>0</v>
      </c>
      <c r="P44" s="12">
        <f t="shared" si="51"/>
        <v>-12.211538461538396</v>
      </c>
      <c r="Q44" s="273">
        <f t="shared" si="52"/>
        <v>0.90841346153846203</v>
      </c>
      <c r="R44" s="470"/>
      <c r="S44" s="24">
        <v>0.52708333333333324</v>
      </c>
      <c r="T44" s="24">
        <v>0.59930555555555542</v>
      </c>
      <c r="U44" s="272">
        <f t="shared" si="58"/>
        <v>54.999999999999964</v>
      </c>
      <c r="V44" s="276">
        <f t="shared" si="53"/>
        <v>103.99999999999994</v>
      </c>
      <c r="W44" s="14"/>
      <c r="X44" s="14"/>
      <c r="Y44" s="473"/>
      <c r="Z44" s="474"/>
      <c r="AA44" s="11">
        <f t="shared" si="2"/>
        <v>-219.80769230769101</v>
      </c>
      <c r="AB44" s="273">
        <f t="shared" si="57"/>
        <v>0.90841346153846203</v>
      </c>
      <c r="AC44" s="470"/>
    </row>
    <row r="45" spans="1:29">
      <c r="A45" s="486" t="s">
        <v>1164</v>
      </c>
      <c r="B45" s="26" t="s">
        <v>24</v>
      </c>
      <c r="C45" s="487" t="s">
        <v>30</v>
      </c>
      <c r="D45" s="487"/>
      <c r="E45" s="26">
        <v>26.39</v>
      </c>
      <c r="F45" s="277">
        <v>2093</v>
      </c>
      <c r="G45" s="272">
        <f t="shared" si="49"/>
        <v>55234.270000000004</v>
      </c>
      <c r="H45" s="76" t="s">
        <v>57</v>
      </c>
      <c r="I45" s="275">
        <v>19</v>
      </c>
      <c r="J45" s="18">
        <v>2400</v>
      </c>
      <c r="K45" s="9">
        <f t="shared" si="54"/>
        <v>126.31578947368421</v>
      </c>
      <c r="L45" s="275">
        <v>19</v>
      </c>
      <c r="M45" s="10">
        <f t="shared" si="55"/>
        <v>2165.1724137931051</v>
      </c>
      <c r="N45" s="9">
        <f t="shared" si="56"/>
        <v>113.95644283121605</v>
      </c>
      <c r="O45" s="11">
        <f t="shared" si="50"/>
        <v>0</v>
      </c>
      <c r="P45" s="12">
        <f t="shared" si="51"/>
        <v>-12.359346642468154</v>
      </c>
      <c r="Q45" s="273">
        <f t="shared" si="52"/>
        <v>0.90215517241379373</v>
      </c>
      <c r="R45" s="470"/>
      <c r="S45" s="24">
        <v>0.60347222222222208</v>
      </c>
      <c r="T45" s="24">
        <v>0.64374999999999982</v>
      </c>
      <c r="U45" s="272">
        <f t="shared" si="58"/>
        <v>5.9999999999999787</v>
      </c>
      <c r="V45" s="276">
        <f t="shared" si="53"/>
        <v>57.999999999999957</v>
      </c>
      <c r="W45" s="14"/>
      <c r="X45" s="14"/>
      <c r="Y45" s="473"/>
      <c r="Z45" s="474"/>
      <c r="AA45" s="11">
        <f t="shared" si="2"/>
        <v>-234.82758620689492</v>
      </c>
      <c r="AB45" s="273">
        <f t="shared" si="57"/>
        <v>0.90215517241379384</v>
      </c>
      <c r="AC45" s="470"/>
    </row>
    <row r="46" spans="1:29">
      <c r="A46" s="486" t="s">
        <v>1164</v>
      </c>
      <c r="B46" s="16" t="s">
        <v>1159</v>
      </c>
      <c r="C46" s="466"/>
      <c r="D46" s="466"/>
      <c r="E46" s="271"/>
      <c r="F46" s="16"/>
      <c r="G46" s="9"/>
      <c r="H46" s="277"/>
      <c r="I46" s="17">
        <v>18.875</v>
      </c>
      <c r="J46" s="18">
        <v>2400</v>
      </c>
      <c r="K46" s="9">
        <f t="shared" si="54"/>
        <v>127.1523178807947</v>
      </c>
      <c r="L46" s="17">
        <v>18.875</v>
      </c>
      <c r="M46" s="10">
        <f>AVERAGE(M38:M45)</f>
        <v>2174.8829651817196</v>
      </c>
      <c r="N46" s="9">
        <f>M46/L46</f>
        <v>115.2255875592964</v>
      </c>
      <c r="O46" s="11">
        <f>L46-I46</f>
        <v>0</v>
      </c>
      <c r="P46" s="12">
        <f t="shared" si="51"/>
        <v>-11.926730321498297</v>
      </c>
      <c r="Q46" s="273">
        <f t="shared" si="52"/>
        <v>0.90620123549238318</v>
      </c>
      <c r="R46" s="470"/>
      <c r="S46" s="24"/>
      <c r="T46" s="24"/>
      <c r="U46" s="9"/>
      <c r="V46" s="276"/>
      <c r="W46" s="9"/>
      <c r="X46" s="9"/>
      <c r="Y46" s="456"/>
      <c r="Z46" s="456"/>
      <c r="AA46" s="11">
        <f t="shared" si="2"/>
        <v>-225.11703481828044</v>
      </c>
      <c r="AB46" s="273">
        <f t="shared" si="57"/>
        <v>0.90620123549238318</v>
      </c>
      <c r="AC46" s="470"/>
    </row>
    <row r="47" spans="1:29" ht="15.75" customHeight="1">
      <c r="A47" s="488" t="s">
        <v>1165</v>
      </c>
      <c r="B47" s="26" t="s">
        <v>33</v>
      </c>
      <c r="C47" s="491" t="s">
        <v>34</v>
      </c>
      <c r="D47" s="492"/>
      <c r="E47" s="26">
        <v>27.17</v>
      </c>
      <c r="F47" s="277">
        <v>2500</v>
      </c>
      <c r="G47" s="272">
        <f t="shared" ref="G47:G54" si="59">E47*F47</f>
        <v>67925</v>
      </c>
      <c r="H47" s="76">
        <v>2</v>
      </c>
      <c r="I47" s="275">
        <v>10</v>
      </c>
      <c r="J47" s="18">
        <v>3000</v>
      </c>
      <c r="K47" s="9">
        <f t="shared" si="54"/>
        <v>300</v>
      </c>
      <c r="L47" s="275">
        <v>10</v>
      </c>
      <c r="M47" s="10">
        <f t="shared" ref="M47:M48" si="60">F47/V47*60</f>
        <v>2727.2727272727266</v>
      </c>
      <c r="N47" s="10">
        <f t="shared" ref="N47:N55" si="61">M47/L47</f>
        <v>272.72727272727263</v>
      </c>
      <c r="O47" s="11">
        <f t="shared" ref="O47:O55" si="62">L47-I47</f>
        <v>0</v>
      </c>
      <c r="P47" s="12">
        <f t="shared" si="51"/>
        <v>-27.272727272727366</v>
      </c>
      <c r="Q47" s="273">
        <f t="shared" si="52"/>
        <v>0.90909090909090873</v>
      </c>
      <c r="R47" s="493">
        <f>Q55</f>
        <v>0.91192428212947052</v>
      </c>
      <c r="S47" s="24">
        <v>0.20833333333333334</v>
      </c>
      <c r="T47" s="24">
        <v>0.24652777777777779</v>
      </c>
      <c r="U47" s="15"/>
      <c r="V47" s="276">
        <f t="shared" ref="V47:V54" si="63">(T47-S47)*24*60</f>
        <v>55.000000000000007</v>
      </c>
      <c r="W47" s="272"/>
      <c r="X47" s="272"/>
      <c r="Y47" s="473"/>
      <c r="Z47" s="474"/>
      <c r="AA47" s="11">
        <f t="shared" si="2"/>
        <v>-272.72727272727343</v>
      </c>
      <c r="AB47" s="273">
        <f t="shared" si="57"/>
        <v>0.90909090909090884</v>
      </c>
      <c r="AC47" s="493">
        <f>AB55</f>
        <v>0.91192428212947041</v>
      </c>
    </row>
    <row r="48" spans="1:29" ht="15.75" customHeight="1">
      <c r="A48" s="489" t="s">
        <v>9</v>
      </c>
      <c r="B48" s="26" t="s">
        <v>33</v>
      </c>
      <c r="C48" s="491" t="s">
        <v>35</v>
      </c>
      <c r="D48" s="492"/>
      <c r="E48" s="26">
        <v>21.13</v>
      </c>
      <c r="F48" s="277">
        <v>3000</v>
      </c>
      <c r="G48" s="272">
        <f t="shared" si="59"/>
        <v>63390</v>
      </c>
      <c r="H48" s="76">
        <v>2</v>
      </c>
      <c r="I48" s="275">
        <v>10</v>
      </c>
      <c r="J48" s="18">
        <v>3000</v>
      </c>
      <c r="K48" s="9">
        <f t="shared" si="54"/>
        <v>300</v>
      </c>
      <c r="L48" s="275">
        <v>10</v>
      </c>
      <c r="M48" s="10">
        <f t="shared" si="60"/>
        <v>2727.272727272727</v>
      </c>
      <c r="N48" s="10">
        <f t="shared" si="61"/>
        <v>272.72727272727269</v>
      </c>
      <c r="O48" s="11">
        <f t="shared" si="62"/>
        <v>0</v>
      </c>
      <c r="P48" s="12">
        <f t="shared" si="51"/>
        <v>-27.272727272727309</v>
      </c>
      <c r="Q48" s="273">
        <f t="shared" si="52"/>
        <v>0.90909090909090895</v>
      </c>
      <c r="R48" s="494"/>
      <c r="S48" s="24">
        <v>0.25</v>
      </c>
      <c r="T48" s="24">
        <v>0.29583333333333334</v>
      </c>
      <c r="U48" s="272">
        <f>(S48-T47)*24*60</f>
        <v>4.9999999999999822</v>
      </c>
      <c r="V48" s="276">
        <f t="shared" si="63"/>
        <v>66</v>
      </c>
      <c r="W48" s="14"/>
      <c r="X48" s="14"/>
      <c r="Y48" s="473"/>
      <c r="Z48" s="474"/>
      <c r="AA48" s="11">
        <f t="shared" si="2"/>
        <v>-272.72727272727298</v>
      </c>
      <c r="AB48" s="273">
        <f t="shared" si="57"/>
        <v>0.90909090909090906</v>
      </c>
      <c r="AC48" s="494"/>
    </row>
    <row r="49" spans="1:29" ht="15.75" customHeight="1">
      <c r="A49" s="489" t="s">
        <v>9</v>
      </c>
      <c r="B49" s="26" t="s">
        <v>33</v>
      </c>
      <c r="C49" s="491" t="s">
        <v>43</v>
      </c>
      <c r="D49" s="492"/>
      <c r="E49" s="26">
        <v>35.119999999999997</v>
      </c>
      <c r="F49" s="277">
        <v>4799</v>
      </c>
      <c r="G49" s="272">
        <f t="shared" si="59"/>
        <v>168540.87999999998</v>
      </c>
      <c r="H49" s="76" t="s">
        <v>57</v>
      </c>
      <c r="I49" s="275">
        <v>10</v>
      </c>
      <c r="J49" s="18">
        <v>3000</v>
      </c>
      <c r="K49" s="9">
        <f t="shared" si="54"/>
        <v>300</v>
      </c>
      <c r="L49" s="275">
        <v>10</v>
      </c>
      <c r="M49" s="10">
        <f>F49/V49*60</f>
        <v>2716.4150943396216</v>
      </c>
      <c r="N49" s="10">
        <f t="shared" si="61"/>
        <v>271.64150943396214</v>
      </c>
      <c r="O49" s="11">
        <f t="shared" si="62"/>
        <v>0</v>
      </c>
      <c r="P49" s="12">
        <f t="shared" si="51"/>
        <v>-28.358490566037858</v>
      </c>
      <c r="Q49" s="273">
        <f t="shared" si="52"/>
        <v>0.90547169811320716</v>
      </c>
      <c r="R49" s="494"/>
      <c r="S49" s="24">
        <v>0.3</v>
      </c>
      <c r="T49" s="24">
        <v>0.37361111111111112</v>
      </c>
      <c r="U49" s="272">
        <f t="shared" ref="U49:U54" si="64">(S49-T48)*24*60</f>
        <v>5.9999999999999787</v>
      </c>
      <c r="V49" s="276">
        <f t="shared" si="63"/>
        <v>106.00000000000003</v>
      </c>
      <c r="W49" s="14"/>
      <c r="X49" s="14"/>
      <c r="Y49" s="473"/>
      <c r="Z49" s="474"/>
      <c r="AA49" s="11">
        <f t="shared" si="2"/>
        <v>-283.58490566037835</v>
      </c>
      <c r="AB49" s="273">
        <f t="shared" si="57"/>
        <v>0.90547169811320727</v>
      </c>
      <c r="AC49" s="494"/>
    </row>
    <row r="50" spans="1:29" ht="15.75" customHeight="1">
      <c r="A50" s="489" t="s">
        <v>9</v>
      </c>
      <c r="B50" s="26" t="s">
        <v>33</v>
      </c>
      <c r="C50" s="491" t="s">
        <v>67</v>
      </c>
      <c r="D50" s="492"/>
      <c r="E50" s="26">
        <v>40.18</v>
      </c>
      <c r="F50" s="277">
        <v>2745</v>
      </c>
      <c r="G50" s="272">
        <f t="shared" si="59"/>
        <v>110294.1</v>
      </c>
      <c r="H50" s="76" t="s">
        <v>57</v>
      </c>
      <c r="I50" s="275">
        <v>10</v>
      </c>
      <c r="J50" s="18">
        <v>3000</v>
      </c>
      <c r="K50" s="9">
        <f t="shared" si="54"/>
        <v>300</v>
      </c>
      <c r="L50" s="275">
        <v>10</v>
      </c>
      <c r="M50" s="10">
        <f t="shared" ref="M50:M54" si="65">F50/V50*60</f>
        <v>2744.9999999999986</v>
      </c>
      <c r="N50" s="10">
        <f t="shared" si="61"/>
        <v>274.49999999999989</v>
      </c>
      <c r="O50" s="11">
        <f t="shared" si="62"/>
        <v>0</v>
      </c>
      <c r="P50" s="12">
        <f t="shared" si="51"/>
        <v>-25.500000000000114</v>
      </c>
      <c r="Q50" s="273">
        <f t="shared" si="52"/>
        <v>0.91499999999999959</v>
      </c>
      <c r="R50" s="494"/>
      <c r="S50" s="24">
        <v>0.37847222222222221</v>
      </c>
      <c r="T50" s="24">
        <v>0.4201388888888889</v>
      </c>
      <c r="U50" s="272">
        <f t="shared" si="64"/>
        <v>6.9999999999999751</v>
      </c>
      <c r="V50" s="276">
        <f t="shared" si="63"/>
        <v>60.000000000000028</v>
      </c>
      <c r="W50" s="14"/>
      <c r="X50" s="14"/>
      <c r="Y50" s="473"/>
      <c r="Z50" s="474"/>
      <c r="AA50" s="11">
        <f t="shared" si="2"/>
        <v>-255.00000000000136</v>
      </c>
      <c r="AB50" s="273">
        <f t="shared" si="57"/>
        <v>0.91499999999999959</v>
      </c>
      <c r="AC50" s="494"/>
    </row>
    <row r="51" spans="1:29" ht="15.75" customHeight="1">
      <c r="A51" s="489" t="s">
        <v>9</v>
      </c>
      <c r="B51" s="26" t="s">
        <v>33</v>
      </c>
      <c r="C51" s="491" t="s">
        <v>73</v>
      </c>
      <c r="D51" s="492"/>
      <c r="E51" s="26">
        <v>28.5</v>
      </c>
      <c r="F51" s="277">
        <v>1932</v>
      </c>
      <c r="G51" s="272">
        <f t="shared" si="59"/>
        <v>55062</v>
      </c>
      <c r="H51" s="76" t="s">
        <v>57</v>
      </c>
      <c r="I51" s="275">
        <v>10</v>
      </c>
      <c r="J51" s="18">
        <v>3000</v>
      </c>
      <c r="K51" s="9">
        <f t="shared" si="54"/>
        <v>300</v>
      </c>
      <c r="L51" s="275">
        <v>10</v>
      </c>
      <c r="M51" s="10">
        <f t="shared" si="65"/>
        <v>2759.9999999999991</v>
      </c>
      <c r="N51" s="10">
        <f t="shared" si="61"/>
        <v>275.99999999999989</v>
      </c>
      <c r="O51" s="11">
        <f t="shared" si="62"/>
        <v>0</v>
      </c>
      <c r="P51" s="12">
        <f t="shared" si="51"/>
        <v>-24.000000000000114</v>
      </c>
      <c r="Q51" s="273">
        <f>N51/K51</f>
        <v>0.9199999999999996</v>
      </c>
      <c r="R51" s="494"/>
      <c r="S51" s="24">
        <v>0.4236111111111111</v>
      </c>
      <c r="T51" s="24">
        <v>0.45277777777777778</v>
      </c>
      <c r="U51" s="272">
        <f t="shared" si="64"/>
        <v>4.9999999999999822</v>
      </c>
      <c r="V51" s="276">
        <f t="shared" si="63"/>
        <v>42.000000000000014</v>
      </c>
      <c r="W51" s="14"/>
      <c r="X51" s="14"/>
      <c r="Y51" s="473"/>
      <c r="Z51" s="474"/>
      <c r="AA51" s="11">
        <f t="shared" si="2"/>
        <v>-240.00000000000091</v>
      </c>
      <c r="AB51" s="273">
        <f t="shared" si="57"/>
        <v>0.91999999999999971</v>
      </c>
      <c r="AC51" s="494"/>
    </row>
    <row r="52" spans="1:29" ht="15.75" customHeight="1">
      <c r="A52" s="489" t="s">
        <v>9</v>
      </c>
      <c r="B52" s="26" t="s">
        <v>33</v>
      </c>
      <c r="C52" s="491" t="s">
        <v>511</v>
      </c>
      <c r="D52" s="492"/>
      <c r="E52" s="26">
        <v>35.869999999999997</v>
      </c>
      <c r="F52" s="277">
        <v>4073</v>
      </c>
      <c r="G52" s="272">
        <f t="shared" si="59"/>
        <v>146098.50999999998</v>
      </c>
      <c r="H52" s="76" t="s">
        <v>57</v>
      </c>
      <c r="I52" s="275">
        <v>10</v>
      </c>
      <c r="J52" s="18">
        <v>3000</v>
      </c>
      <c r="K52" s="9">
        <f t="shared" si="54"/>
        <v>300</v>
      </c>
      <c r="L52" s="275">
        <v>10</v>
      </c>
      <c r="M52" s="10">
        <f t="shared" si="65"/>
        <v>2715.3333333333308</v>
      </c>
      <c r="N52" s="10">
        <f t="shared" si="61"/>
        <v>271.53333333333308</v>
      </c>
      <c r="O52" s="11">
        <f t="shared" si="62"/>
        <v>0</v>
      </c>
      <c r="P52" s="12">
        <f t="shared" si="51"/>
        <v>-28.466666666666924</v>
      </c>
      <c r="Q52" s="273">
        <f t="shared" ref="Q52:Q55" si="66">N52/K52</f>
        <v>0.9051111111111102</v>
      </c>
      <c r="R52" s="494"/>
      <c r="S52" s="24">
        <v>0.45763888888888887</v>
      </c>
      <c r="T52" s="24">
        <v>0.52013888888888893</v>
      </c>
      <c r="U52" s="272">
        <f t="shared" si="64"/>
        <v>6.9999999999999751</v>
      </c>
      <c r="V52" s="276">
        <f t="shared" si="63"/>
        <v>90.000000000000085</v>
      </c>
      <c r="W52" s="14"/>
      <c r="X52" s="14"/>
      <c r="Y52" s="473"/>
      <c r="Z52" s="474"/>
      <c r="AA52" s="11">
        <f t="shared" si="2"/>
        <v>-284.66666666666924</v>
      </c>
      <c r="AB52" s="273">
        <f t="shared" si="57"/>
        <v>0.9051111111111102</v>
      </c>
      <c r="AC52" s="494"/>
    </row>
    <row r="53" spans="1:29" ht="15.75" customHeight="1">
      <c r="A53" s="489" t="s">
        <v>9</v>
      </c>
      <c r="B53" s="26" t="s">
        <v>33</v>
      </c>
      <c r="C53" s="491" t="s">
        <v>34</v>
      </c>
      <c r="D53" s="492"/>
      <c r="E53" s="26">
        <v>27.17</v>
      </c>
      <c r="F53" s="277">
        <v>3684</v>
      </c>
      <c r="G53" s="272">
        <f t="shared" si="59"/>
        <v>100094.28000000001</v>
      </c>
      <c r="H53" s="76" t="s">
        <v>57</v>
      </c>
      <c r="I53" s="275">
        <v>10</v>
      </c>
      <c r="J53" s="18">
        <v>3000</v>
      </c>
      <c r="K53" s="9">
        <f t="shared" si="54"/>
        <v>300</v>
      </c>
      <c r="L53" s="275">
        <v>10</v>
      </c>
      <c r="M53" s="10">
        <f t="shared" si="65"/>
        <v>2728.8888888888878</v>
      </c>
      <c r="N53" s="10">
        <f t="shared" si="61"/>
        <v>272.8888888888888</v>
      </c>
      <c r="O53" s="11">
        <f t="shared" si="62"/>
        <v>0</v>
      </c>
      <c r="P53" s="12">
        <f t="shared" si="51"/>
        <v>-27.1111111111112</v>
      </c>
      <c r="Q53" s="273">
        <f t="shared" si="66"/>
        <v>0.90962962962962934</v>
      </c>
      <c r="R53" s="494"/>
      <c r="S53" s="24">
        <v>0.56041666666666667</v>
      </c>
      <c r="T53" s="24">
        <v>0.6166666666666667</v>
      </c>
      <c r="U53" s="272">
        <f t="shared" si="64"/>
        <v>57.999999999999957</v>
      </c>
      <c r="V53" s="276">
        <f t="shared" si="63"/>
        <v>81.000000000000028</v>
      </c>
      <c r="W53" s="14"/>
      <c r="X53" s="14"/>
      <c r="Y53" s="473"/>
      <c r="Z53" s="474"/>
      <c r="AA53" s="11">
        <f t="shared" si="2"/>
        <v>-271.11111111111222</v>
      </c>
      <c r="AB53" s="273">
        <f t="shared" si="57"/>
        <v>0.90962962962962923</v>
      </c>
      <c r="AC53" s="494"/>
    </row>
    <row r="54" spans="1:29" ht="15.75" customHeight="1">
      <c r="A54" s="489" t="s">
        <v>9</v>
      </c>
      <c r="B54" s="26" t="s">
        <v>33</v>
      </c>
      <c r="C54" s="491" t="s">
        <v>35</v>
      </c>
      <c r="D54" s="492"/>
      <c r="E54" s="26">
        <v>21.13</v>
      </c>
      <c r="F54" s="277">
        <v>1844</v>
      </c>
      <c r="G54" s="272">
        <f t="shared" si="59"/>
        <v>38963.72</v>
      </c>
      <c r="H54" s="76" t="s">
        <v>57</v>
      </c>
      <c r="I54" s="275">
        <v>10</v>
      </c>
      <c r="J54" s="18">
        <v>3000</v>
      </c>
      <c r="K54" s="9">
        <f t="shared" si="54"/>
        <v>300</v>
      </c>
      <c r="L54" s="275">
        <v>10</v>
      </c>
      <c r="M54" s="10">
        <f t="shared" si="65"/>
        <v>2765.9999999999986</v>
      </c>
      <c r="N54" s="10">
        <f t="shared" si="61"/>
        <v>276.59999999999985</v>
      </c>
      <c r="O54" s="11">
        <f t="shared" si="62"/>
        <v>0</v>
      </c>
      <c r="P54" s="12">
        <f t="shared" si="51"/>
        <v>-23.400000000000148</v>
      </c>
      <c r="Q54" s="273">
        <f t="shared" si="66"/>
        <v>0.92199999999999949</v>
      </c>
      <c r="R54" s="494"/>
      <c r="S54" s="24">
        <v>0.62083333333333335</v>
      </c>
      <c r="T54" s="24">
        <v>0.64861111111111114</v>
      </c>
      <c r="U54" s="272">
        <f t="shared" si="64"/>
        <v>5.9999999999999787</v>
      </c>
      <c r="V54" s="276">
        <f t="shared" si="63"/>
        <v>40.000000000000014</v>
      </c>
      <c r="W54" s="14"/>
      <c r="X54" s="14"/>
      <c r="Y54" s="473"/>
      <c r="Z54" s="474"/>
      <c r="AA54" s="11">
        <f t="shared" si="2"/>
        <v>-234.00000000000136</v>
      </c>
      <c r="AB54" s="273">
        <f t="shared" si="57"/>
        <v>0.9219999999999996</v>
      </c>
      <c r="AC54" s="494"/>
    </row>
    <row r="55" spans="1:29" ht="15.75" customHeight="1">
      <c r="A55" s="490" t="s">
        <v>9</v>
      </c>
      <c r="B55" s="26" t="s">
        <v>1159</v>
      </c>
      <c r="C55" s="497"/>
      <c r="D55" s="498"/>
      <c r="E55" s="274"/>
      <c r="F55" s="277"/>
      <c r="G55" s="272"/>
      <c r="H55" s="277"/>
      <c r="I55" s="17">
        <v>10</v>
      </c>
      <c r="J55" s="18">
        <v>3000</v>
      </c>
      <c r="K55" s="9">
        <f>J55/I55</f>
        <v>300</v>
      </c>
      <c r="L55" s="17">
        <v>10</v>
      </c>
      <c r="M55" s="10">
        <f>AVERAGE(M47:M54)</f>
        <v>2735.7728463884114</v>
      </c>
      <c r="N55" s="9">
        <f t="shared" si="61"/>
        <v>273.57728463884115</v>
      </c>
      <c r="O55" s="11">
        <f t="shared" si="62"/>
        <v>0</v>
      </c>
      <c r="P55" s="12">
        <f t="shared" si="51"/>
        <v>-26.422715361158851</v>
      </c>
      <c r="Q55" s="273">
        <f t="shared" si="66"/>
        <v>0.91192428212947052</v>
      </c>
      <c r="R55" s="495"/>
      <c r="S55" s="24"/>
      <c r="T55" s="24"/>
      <c r="U55" s="272"/>
      <c r="V55" s="276"/>
      <c r="W55" s="14"/>
      <c r="X55" s="14"/>
      <c r="Y55" s="473"/>
      <c r="Z55" s="474"/>
      <c r="AA55" s="11">
        <f t="shared" si="2"/>
        <v>-264.22715361158862</v>
      </c>
      <c r="AB55" s="273">
        <f t="shared" si="57"/>
        <v>0.91192428212947041</v>
      </c>
      <c r="AC55" s="495"/>
    </row>
    <row r="56" spans="1:29" ht="15.75" customHeight="1">
      <c r="A56" s="461" t="s">
        <v>1166</v>
      </c>
      <c r="B56" s="26" t="s">
        <v>15</v>
      </c>
      <c r="C56" s="487" t="s">
        <v>20</v>
      </c>
      <c r="D56" s="487"/>
      <c r="E56" s="26">
        <v>46</v>
      </c>
      <c r="F56" s="27">
        <v>3183</v>
      </c>
      <c r="G56" s="272">
        <f t="shared" ref="G56:G59" si="67">E56*F56</f>
        <v>146418</v>
      </c>
      <c r="H56" s="76" t="s">
        <v>57</v>
      </c>
      <c r="I56" s="275">
        <v>17</v>
      </c>
      <c r="J56" s="18">
        <v>1500</v>
      </c>
      <c r="K56" s="9">
        <f t="shared" ref="K56:K59" si="68">J56/I56</f>
        <v>88.235294117647058</v>
      </c>
      <c r="L56" s="275">
        <v>17</v>
      </c>
      <c r="M56" s="10">
        <f t="shared" ref="M56:M59" si="69">F56/V56*60</f>
        <v>1354.4680851063833</v>
      </c>
      <c r="N56" s="10">
        <f>M56/L56</f>
        <v>79.67459324155196</v>
      </c>
      <c r="O56" s="11">
        <f>L56-I56</f>
        <v>0</v>
      </c>
      <c r="P56" s="12">
        <f>N56-K56</f>
        <v>-8.5607008760950976</v>
      </c>
      <c r="Q56" s="273">
        <f>N56/K56</f>
        <v>0.90297872340425556</v>
      </c>
      <c r="R56" s="470">
        <f>Q60</f>
        <v>0.90306693830191986</v>
      </c>
      <c r="S56" s="24">
        <v>0.29305555555555557</v>
      </c>
      <c r="T56" s="24">
        <v>0.39097222222222222</v>
      </c>
      <c r="U56" s="15"/>
      <c r="V56" s="276">
        <f t="shared" ref="V56:V59" si="70">(T56-S56)*24*60</f>
        <v>140.99999999999997</v>
      </c>
      <c r="W56" s="15"/>
      <c r="X56" s="15"/>
      <c r="Y56" s="456"/>
      <c r="Z56" s="456"/>
      <c r="AA56" s="11">
        <f t="shared" si="2"/>
        <v>-145.53191489361666</v>
      </c>
      <c r="AB56" s="273">
        <f t="shared" si="57"/>
        <v>0.90297872340425556</v>
      </c>
      <c r="AC56" s="470">
        <f>AB60</f>
        <v>0.90306693830191986</v>
      </c>
    </row>
    <row r="57" spans="1:29" ht="15.75" customHeight="1">
      <c r="A57" s="461" t="s">
        <v>10</v>
      </c>
      <c r="B57" s="26" t="s">
        <v>15</v>
      </c>
      <c r="C57" s="487" t="s">
        <v>75</v>
      </c>
      <c r="D57" s="487"/>
      <c r="E57" s="26">
        <v>46</v>
      </c>
      <c r="F57" s="27">
        <v>3740</v>
      </c>
      <c r="G57" s="272">
        <f t="shared" si="67"/>
        <v>172040</v>
      </c>
      <c r="H57" s="76" t="s">
        <v>57</v>
      </c>
      <c r="I57" s="275">
        <v>18</v>
      </c>
      <c r="J57" s="18">
        <v>1500</v>
      </c>
      <c r="K57" s="9">
        <f t="shared" si="68"/>
        <v>83.333333333333329</v>
      </c>
      <c r="L57" s="275">
        <v>18</v>
      </c>
      <c r="M57" s="10">
        <f t="shared" si="69"/>
        <v>1351.8072289156628</v>
      </c>
      <c r="N57" s="10">
        <f t="shared" ref="N57:N59" si="71">M57/L57</f>
        <v>75.100401606425706</v>
      </c>
      <c r="O57" s="11">
        <f t="shared" ref="O57:O59" si="72">L57-I57</f>
        <v>0</v>
      </c>
      <c r="P57" s="12">
        <f t="shared" ref="P57:P59" si="73">N57-K57</f>
        <v>-8.2329317269076228</v>
      </c>
      <c r="Q57" s="273">
        <f t="shared" ref="Q57:Q59" si="74">N57/K57</f>
        <v>0.90120481927710849</v>
      </c>
      <c r="R57" s="470"/>
      <c r="S57" s="24">
        <v>0.39652777777777776</v>
      </c>
      <c r="T57" s="24">
        <v>0.51180555555555551</v>
      </c>
      <c r="U57" s="272">
        <f t="shared" ref="U57:U59" si="75">(S57-T56)*24*60</f>
        <v>7.9999999999999716</v>
      </c>
      <c r="V57" s="276">
        <f t="shared" si="70"/>
        <v>165.99999999999997</v>
      </c>
      <c r="W57" s="14"/>
      <c r="X57" s="14"/>
      <c r="Y57" s="456"/>
      <c r="Z57" s="456"/>
      <c r="AA57" s="11">
        <f t="shared" si="2"/>
        <v>-148.19277108433721</v>
      </c>
      <c r="AB57" s="273">
        <f t="shared" si="57"/>
        <v>0.90120481927710849</v>
      </c>
      <c r="AC57" s="470"/>
    </row>
    <row r="58" spans="1:29" ht="15.75" customHeight="1">
      <c r="A58" s="461" t="s">
        <v>10</v>
      </c>
      <c r="B58" s="26" t="s">
        <v>13</v>
      </c>
      <c r="C58" s="491" t="s">
        <v>65</v>
      </c>
      <c r="D58" s="492"/>
      <c r="E58" s="26">
        <v>55.56</v>
      </c>
      <c r="F58" s="27">
        <v>2261</v>
      </c>
      <c r="G58" s="272">
        <f t="shared" si="67"/>
        <v>125621.16</v>
      </c>
      <c r="H58" s="76" t="s">
        <v>57</v>
      </c>
      <c r="I58" s="275">
        <v>17</v>
      </c>
      <c r="J58" s="18">
        <v>1500</v>
      </c>
      <c r="K58" s="9">
        <f t="shared" si="68"/>
        <v>88.235294117647058</v>
      </c>
      <c r="L58" s="275">
        <v>17</v>
      </c>
      <c r="M58" s="10">
        <f t="shared" si="69"/>
        <v>1356.6000000000004</v>
      </c>
      <c r="N58" s="10">
        <f t="shared" si="71"/>
        <v>79.800000000000026</v>
      </c>
      <c r="O58" s="11">
        <f t="shared" si="72"/>
        <v>0</v>
      </c>
      <c r="P58" s="12">
        <f t="shared" si="73"/>
        <v>-8.4352941176470324</v>
      </c>
      <c r="Q58" s="273">
        <f t="shared" si="74"/>
        <v>0.90440000000000031</v>
      </c>
      <c r="R58" s="470"/>
      <c r="S58" s="24">
        <v>0.70833333333333337</v>
      </c>
      <c r="T58" s="24">
        <v>0.77777777777777779</v>
      </c>
      <c r="U58" s="272">
        <f t="shared" si="75"/>
        <v>283.00000000000011</v>
      </c>
      <c r="V58" s="276">
        <f t="shared" si="70"/>
        <v>99.999999999999972</v>
      </c>
      <c r="W58" s="14"/>
      <c r="X58" s="14"/>
      <c r="Y58" s="269"/>
      <c r="Z58" s="270"/>
      <c r="AA58" s="11">
        <f t="shared" si="2"/>
        <v>-143.39999999999964</v>
      </c>
      <c r="AB58" s="273">
        <f t="shared" si="57"/>
        <v>0.9044000000000002</v>
      </c>
      <c r="AC58" s="470"/>
    </row>
    <row r="59" spans="1:29" ht="15.75" customHeight="1">
      <c r="A59" s="461" t="s">
        <v>10</v>
      </c>
      <c r="B59" s="26" t="s">
        <v>13</v>
      </c>
      <c r="C59" s="267" t="s">
        <v>64</v>
      </c>
      <c r="D59" s="268"/>
      <c r="E59" s="26">
        <v>55.32</v>
      </c>
      <c r="F59" s="27">
        <v>1717</v>
      </c>
      <c r="G59" s="272">
        <f t="shared" si="67"/>
        <v>94984.44</v>
      </c>
      <c r="H59" s="76" t="s">
        <v>57</v>
      </c>
      <c r="I59" s="275">
        <v>15</v>
      </c>
      <c r="J59" s="18">
        <v>1500</v>
      </c>
      <c r="K59" s="9">
        <f t="shared" si="68"/>
        <v>100</v>
      </c>
      <c r="L59" s="275">
        <v>15</v>
      </c>
      <c r="M59" s="10">
        <f t="shared" si="69"/>
        <v>1355.5263157894728</v>
      </c>
      <c r="N59" s="10">
        <f t="shared" si="71"/>
        <v>90.368421052631518</v>
      </c>
      <c r="O59" s="11">
        <f t="shared" si="72"/>
        <v>0</v>
      </c>
      <c r="P59" s="12">
        <f t="shared" si="73"/>
        <v>-9.6315789473684816</v>
      </c>
      <c r="Q59" s="273">
        <f t="shared" si="74"/>
        <v>0.9036842105263152</v>
      </c>
      <c r="R59" s="470"/>
      <c r="S59" s="24">
        <v>0.78263888888888888</v>
      </c>
      <c r="T59" s="24">
        <v>0.8354166666666667</v>
      </c>
      <c r="U59" s="272">
        <f t="shared" si="75"/>
        <v>6.9999999999999751</v>
      </c>
      <c r="V59" s="276">
        <f t="shared" si="70"/>
        <v>76.000000000000057</v>
      </c>
      <c r="W59" s="14"/>
      <c r="X59" s="14"/>
      <c r="Y59" s="269"/>
      <c r="Z59" s="270"/>
      <c r="AA59" s="11">
        <f t="shared" si="2"/>
        <v>-144.47368421052715</v>
      </c>
      <c r="AB59" s="273">
        <f t="shared" si="57"/>
        <v>0.9036842105263152</v>
      </c>
      <c r="AC59" s="470"/>
    </row>
    <row r="60" spans="1:29">
      <c r="A60" s="496" t="s">
        <v>10</v>
      </c>
      <c r="B60" s="26" t="s">
        <v>1159</v>
      </c>
      <c r="C60" s="466"/>
      <c r="D60" s="466"/>
      <c r="E60" s="271"/>
      <c r="F60" s="16"/>
      <c r="G60" s="9"/>
      <c r="H60" s="277"/>
      <c r="I60" s="17">
        <v>16.75</v>
      </c>
      <c r="J60" s="18">
        <v>1500</v>
      </c>
      <c r="K60" s="9">
        <f>J60/I60</f>
        <v>89.552238805970148</v>
      </c>
      <c r="L60" s="17">
        <v>16.75</v>
      </c>
      <c r="M60" s="10">
        <f>AVERAGE(M56:M59)</f>
        <v>1354.6004074528798</v>
      </c>
      <c r="N60" s="9">
        <f>M60/L60</f>
        <v>80.871666116589836</v>
      </c>
      <c r="O60" s="11">
        <f>L60-I60</f>
        <v>0</v>
      </c>
      <c r="P60" s="12">
        <f>N60-K60</f>
        <v>-8.6805726893803126</v>
      </c>
      <c r="Q60" s="273">
        <f>N60/K60</f>
        <v>0.90306693830191986</v>
      </c>
      <c r="R60" s="470"/>
      <c r="S60" s="25"/>
      <c r="T60" s="24"/>
      <c r="U60" s="9"/>
      <c r="V60" s="276"/>
      <c r="W60" s="9"/>
      <c r="X60" s="9"/>
      <c r="Y60" s="456"/>
      <c r="Z60" s="456"/>
      <c r="AA60" s="11">
        <f t="shared" si="2"/>
        <v>-145.39959254712016</v>
      </c>
      <c r="AB60" s="273">
        <f t="shared" si="57"/>
        <v>0.90306693830191986</v>
      </c>
      <c r="AC60" s="470"/>
    </row>
    <row r="61" spans="1:29" ht="15.75" customHeight="1">
      <c r="A61" s="499" t="s">
        <v>1167</v>
      </c>
      <c r="B61" s="277" t="s">
        <v>33</v>
      </c>
      <c r="C61" s="487" t="s">
        <v>36</v>
      </c>
      <c r="D61" s="487"/>
      <c r="E61" s="26">
        <v>26.78</v>
      </c>
      <c r="F61" s="27">
        <v>2701</v>
      </c>
      <c r="G61" s="272">
        <f t="shared" ref="G61:G65" si="76">E61*F61</f>
        <v>72332.78</v>
      </c>
      <c r="H61" s="76" t="s">
        <v>57</v>
      </c>
      <c r="I61" s="275">
        <v>10</v>
      </c>
      <c r="J61" s="18">
        <v>3000</v>
      </c>
      <c r="K61" s="9">
        <f t="shared" ref="K61:K65" si="77">J61/I61</f>
        <v>300</v>
      </c>
      <c r="L61" s="17">
        <v>10</v>
      </c>
      <c r="M61" s="10">
        <f t="shared" ref="M61:M65" si="78">F61/V61*60</f>
        <v>2746.7796610169476</v>
      </c>
      <c r="N61" s="9">
        <f>M61/L61</f>
        <v>274.67796610169478</v>
      </c>
      <c r="O61" s="11">
        <f t="shared" ref="O61:O65" si="79">L61-I61</f>
        <v>0</v>
      </c>
      <c r="P61" s="12">
        <f t="shared" ref="P61:P65" si="80">N61-K61</f>
        <v>-25.322033898305222</v>
      </c>
      <c r="Q61" s="273">
        <f>N61/K61</f>
        <v>0.91559322033898261</v>
      </c>
      <c r="R61" s="470">
        <f>Q66</f>
        <v>0.91140188124110522</v>
      </c>
      <c r="S61" s="24">
        <v>0.25069444444444444</v>
      </c>
      <c r="T61" s="24">
        <v>0.29166666666666669</v>
      </c>
      <c r="U61" s="272"/>
      <c r="V61" s="276">
        <f t="shared" ref="V61:V65" si="81">(T61-S61)*24*60</f>
        <v>59.000000000000028</v>
      </c>
      <c r="W61" s="15"/>
      <c r="X61" s="15"/>
      <c r="Y61" s="456"/>
      <c r="Z61" s="456"/>
      <c r="AA61" s="11">
        <f t="shared" si="2"/>
        <v>-253.22033898305244</v>
      </c>
      <c r="AB61" s="273">
        <f t="shared" si="57"/>
        <v>0.91559322033898249</v>
      </c>
      <c r="AC61" s="470">
        <f>AB66</f>
        <v>0.91140188124110522</v>
      </c>
    </row>
    <row r="62" spans="1:29" ht="15.75" customHeight="1">
      <c r="A62" s="499" t="s">
        <v>11</v>
      </c>
      <c r="B62" s="277" t="s">
        <v>33</v>
      </c>
      <c r="C62" s="487" t="s">
        <v>42</v>
      </c>
      <c r="D62" s="487"/>
      <c r="E62" s="26">
        <v>35.369999999999997</v>
      </c>
      <c r="F62" s="27">
        <v>1773</v>
      </c>
      <c r="G62" s="272">
        <f t="shared" si="76"/>
        <v>62711.009999999995</v>
      </c>
      <c r="H62" s="76" t="s">
        <v>57</v>
      </c>
      <c r="I62" s="275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2727.6923076923063</v>
      </c>
      <c r="N62" s="9">
        <f t="shared" ref="N62:N65" si="82">M62/L62</f>
        <v>272.7692307692306</v>
      </c>
      <c r="O62" s="11">
        <f t="shared" si="79"/>
        <v>0</v>
      </c>
      <c r="P62" s="12">
        <f t="shared" si="80"/>
        <v>-27.230769230769397</v>
      </c>
      <c r="Q62" s="273">
        <f t="shared" ref="Q62:Q65" si="83">N62/K62</f>
        <v>0.90923076923076873</v>
      </c>
      <c r="R62" s="470"/>
      <c r="S62" s="24">
        <v>0.2951388888888889</v>
      </c>
      <c r="T62" s="24">
        <v>0.32222222222222224</v>
      </c>
      <c r="U62" s="272">
        <f>(S62-T61)*24*60</f>
        <v>4.9999999999999822</v>
      </c>
      <c r="V62" s="276">
        <f t="shared" si="81"/>
        <v>39.000000000000021</v>
      </c>
      <c r="W62" s="272"/>
      <c r="X62" s="272"/>
      <c r="Y62" s="456"/>
      <c r="Z62" s="456"/>
      <c r="AA62" s="11">
        <f t="shared" si="2"/>
        <v>-272.30769230769374</v>
      </c>
      <c r="AB62" s="273">
        <f t="shared" si="57"/>
        <v>0.90923076923076873</v>
      </c>
      <c r="AC62" s="470"/>
    </row>
    <row r="63" spans="1:29" ht="15.75" customHeight="1">
      <c r="A63" s="499" t="s">
        <v>11</v>
      </c>
      <c r="B63" s="277" t="s">
        <v>33</v>
      </c>
      <c r="C63" s="487" t="s">
        <v>41</v>
      </c>
      <c r="D63" s="487"/>
      <c r="E63" s="26">
        <v>34.35</v>
      </c>
      <c r="F63" s="27">
        <v>1554</v>
      </c>
      <c r="G63" s="272">
        <f t="shared" si="76"/>
        <v>53379.9</v>
      </c>
      <c r="H63" s="76" t="s">
        <v>57</v>
      </c>
      <c r="I63" s="275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2742.3529411764739</v>
      </c>
      <c r="N63" s="9">
        <f t="shared" si="82"/>
        <v>274.23529411764741</v>
      </c>
      <c r="O63" s="11">
        <f t="shared" si="79"/>
        <v>0</v>
      </c>
      <c r="P63" s="12">
        <f t="shared" si="80"/>
        <v>-25.764705882352587</v>
      </c>
      <c r="Q63" s="273">
        <f t="shared" si="83"/>
        <v>0.9141176470588247</v>
      </c>
      <c r="R63" s="470"/>
      <c r="S63" s="24">
        <v>0.3263888888888889</v>
      </c>
      <c r="T63" s="24">
        <v>0.35</v>
      </c>
      <c r="U63" s="272">
        <f t="shared" ref="U63:U65" si="84">(S63-T62)*24*60</f>
        <v>5.9999999999999787</v>
      </c>
      <c r="V63" s="276">
        <f t="shared" si="81"/>
        <v>33.999999999999957</v>
      </c>
      <c r="W63" s="272"/>
      <c r="X63" s="272"/>
      <c r="Y63" s="456"/>
      <c r="Z63" s="456"/>
      <c r="AA63" s="11">
        <f t="shared" si="2"/>
        <v>-257.64705882352609</v>
      </c>
      <c r="AB63" s="273">
        <f t="shared" si="57"/>
        <v>0.91411764705882459</v>
      </c>
      <c r="AC63" s="470"/>
    </row>
    <row r="64" spans="1:29" ht="15.75" customHeight="1">
      <c r="A64" s="499" t="s">
        <v>11</v>
      </c>
      <c r="B64" s="277" t="s">
        <v>15</v>
      </c>
      <c r="C64" s="487" t="s">
        <v>39</v>
      </c>
      <c r="D64" s="487"/>
      <c r="E64" s="26">
        <v>26.97</v>
      </c>
      <c r="F64" s="27">
        <v>3332</v>
      </c>
      <c r="G64" s="272">
        <f t="shared" si="76"/>
        <v>89864.04</v>
      </c>
      <c r="H64" s="76" t="s">
        <v>57</v>
      </c>
      <c r="I64" s="275">
        <v>8</v>
      </c>
      <c r="J64" s="18">
        <v>1440</v>
      </c>
      <c r="K64" s="9">
        <f t="shared" si="77"/>
        <v>180</v>
      </c>
      <c r="L64" s="17">
        <v>8</v>
      </c>
      <c r="M64" s="10">
        <f t="shared" si="78"/>
        <v>1306.6666666666665</v>
      </c>
      <c r="N64" s="9">
        <f t="shared" si="82"/>
        <v>163.33333333333331</v>
      </c>
      <c r="O64" s="11">
        <f t="shared" si="79"/>
        <v>0</v>
      </c>
      <c r="P64" s="12">
        <f t="shared" si="80"/>
        <v>-16.666666666666686</v>
      </c>
      <c r="Q64" s="273">
        <f t="shared" si="83"/>
        <v>0.90740740740740733</v>
      </c>
      <c r="R64" s="470"/>
      <c r="S64" s="24">
        <v>0.35486111111111107</v>
      </c>
      <c r="T64" s="24">
        <v>0.46111111111111108</v>
      </c>
      <c r="U64" s="272">
        <f t="shared" si="84"/>
        <v>6.9999999999999751</v>
      </c>
      <c r="V64" s="276">
        <f t="shared" si="81"/>
        <v>153.00000000000003</v>
      </c>
      <c r="W64" s="272"/>
      <c r="X64" s="272"/>
      <c r="Y64" s="456"/>
      <c r="Z64" s="456"/>
      <c r="AA64" s="11">
        <f t="shared" si="2"/>
        <v>-133.33333333333348</v>
      </c>
      <c r="AB64" s="273">
        <f t="shared" si="57"/>
        <v>0.90740740740740733</v>
      </c>
      <c r="AC64" s="470"/>
    </row>
    <row r="65" spans="1:29">
      <c r="A65" s="500" t="s">
        <v>11</v>
      </c>
      <c r="B65" s="277" t="s">
        <v>33</v>
      </c>
      <c r="C65" s="487" t="s">
        <v>40</v>
      </c>
      <c r="D65" s="487"/>
      <c r="E65" s="26">
        <v>35.119999999999997</v>
      </c>
      <c r="F65" s="27">
        <v>1391</v>
      </c>
      <c r="G65" s="272">
        <f t="shared" si="76"/>
        <v>48851.92</v>
      </c>
      <c r="H65" s="76" t="s">
        <v>57</v>
      </c>
      <c r="I65" s="275">
        <v>13</v>
      </c>
      <c r="J65" s="18">
        <v>2000</v>
      </c>
      <c r="K65" s="9">
        <f t="shared" si="77"/>
        <v>153.84615384615384</v>
      </c>
      <c r="L65" s="17">
        <v>13</v>
      </c>
      <c r="M65" s="10">
        <f t="shared" si="78"/>
        <v>1814.3478260869565</v>
      </c>
      <c r="N65" s="9">
        <f t="shared" si="82"/>
        <v>139.56521739130434</v>
      </c>
      <c r="O65" s="11">
        <f t="shared" si="79"/>
        <v>0</v>
      </c>
      <c r="P65" s="12">
        <f t="shared" si="80"/>
        <v>-14.280936454849495</v>
      </c>
      <c r="Q65" s="273">
        <f t="shared" si="83"/>
        <v>0.90717391304347827</v>
      </c>
      <c r="R65" s="470"/>
      <c r="S65" s="24">
        <v>0.46597222222222218</v>
      </c>
      <c r="T65" s="24">
        <v>0.49791666666666662</v>
      </c>
      <c r="U65" s="272">
        <f t="shared" si="84"/>
        <v>6.9999999999999751</v>
      </c>
      <c r="V65" s="276">
        <f t="shared" si="81"/>
        <v>46</v>
      </c>
      <c r="W65" s="14"/>
      <c r="X65" s="14"/>
      <c r="Y65" s="456"/>
      <c r="Z65" s="456"/>
      <c r="AA65" s="11">
        <f t="shared" si="2"/>
        <v>-185.6521739130435</v>
      </c>
      <c r="AB65" s="273">
        <f t="shared" si="57"/>
        <v>0.90717391304347827</v>
      </c>
      <c r="AC65" s="470"/>
    </row>
    <row r="66" spans="1:29">
      <c r="A66" s="500" t="s">
        <v>11</v>
      </c>
      <c r="B66" s="26" t="s">
        <v>1159</v>
      </c>
      <c r="C66" s="466"/>
      <c r="D66" s="466"/>
      <c r="E66" s="271"/>
      <c r="F66" s="16"/>
      <c r="G66" s="9"/>
      <c r="H66" s="277"/>
      <c r="I66" s="17">
        <v>10.199999999999999</v>
      </c>
      <c r="J66" s="18">
        <v>2488</v>
      </c>
      <c r="K66" s="9">
        <f>J66/I66</f>
        <v>243.92156862745099</v>
      </c>
      <c r="L66" s="17">
        <v>10.199999999999999</v>
      </c>
      <c r="M66" s="10">
        <f>AVERAGE(M61:M65)</f>
        <v>2267.5678805278699</v>
      </c>
      <c r="N66" s="9">
        <f>M66/L66</f>
        <v>222.3105765223402</v>
      </c>
      <c r="O66" s="11">
        <f>L66-I66</f>
        <v>0</v>
      </c>
      <c r="P66" s="12">
        <f>N66-K66</f>
        <v>-21.610992105110796</v>
      </c>
      <c r="Q66" s="273">
        <f>N66/K66</f>
        <v>0.91140188124110522</v>
      </c>
      <c r="R66" s="470"/>
      <c r="S66" s="24"/>
      <c r="T66" s="24"/>
      <c r="U66" s="9"/>
      <c r="V66" s="276"/>
      <c r="W66" s="9"/>
      <c r="X66" s="9"/>
      <c r="Y66" s="456"/>
      <c r="Z66" s="456"/>
      <c r="AA66" s="11">
        <f t="shared" si="2"/>
        <v>-220.43211947213013</v>
      </c>
      <c r="AB66" s="273">
        <f t="shared" si="57"/>
        <v>0.91140188124110522</v>
      </c>
      <c r="AC66" s="470"/>
    </row>
    <row r="67" spans="1:29" ht="15.75" customHeight="1">
      <c r="A67" s="467" t="s">
        <v>1168</v>
      </c>
      <c r="B67" s="277" t="s">
        <v>24</v>
      </c>
      <c r="C67" s="487" t="s">
        <v>83</v>
      </c>
      <c r="D67" s="487"/>
      <c r="E67" s="26">
        <v>32.03</v>
      </c>
      <c r="F67" s="277">
        <v>1717</v>
      </c>
      <c r="G67" s="272">
        <f t="shared" ref="G67:G72" si="85">E67*F67</f>
        <v>54995.51</v>
      </c>
      <c r="H67" s="76" t="s">
        <v>57</v>
      </c>
      <c r="I67" s="275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2191.9148936170218</v>
      </c>
      <c r="N67" s="9">
        <f t="shared" ref="N67:N72" si="87">M67/L67</f>
        <v>115.36394176931694</v>
      </c>
      <c r="O67" s="11">
        <f t="shared" ref="O67:O72" si="88">L67-I67</f>
        <v>0</v>
      </c>
      <c r="P67" s="12">
        <f t="shared" ref="P67:P72" si="89">N67-K67</f>
        <v>-10.951847704367268</v>
      </c>
      <c r="Q67" s="273">
        <f>N67/K67</f>
        <v>0.91329787234042581</v>
      </c>
      <c r="R67" s="470">
        <f>Q73</f>
        <v>0.90507459070589824</v>
      </c>
      <c r="S67" s="24">
        <v>0.125</v>
      </c>
      <c r="T67" s="24">
        <v>0.15763888888888888</v>
      </c>
      <c r="U67" s="15"/>
      <c r="V67" s="276">
        <f t="shared" ref="V67:V72" si="90">(T67-S67)*24*60</f>
        <v>46.999999999999993</v>
      </c>
      <c r="W67" s="14"/>
      <c r="X67" s="14"/>
      <c r="Y67" s="456"/>
      <c r="Z67" s="456"/>
      <c r="AA67" s="11">
        <f t="shared" si="2"/>
        <v>-208.08510638297821</v>
      </c>
      <c r="AB67" s="273">
        <f>M67/J67</f>
        <v>0.9132978723404257</v>
      </c>
      <c r="AC67" s="470">
        <f>AB73</f>
        <v>0.90507459070589824</v>
      </c>
    </row>
    <row r="68" spans="1:29" ht="15.75" customHeight="1">
      <c r="A68" s="467" t="s">
        <v>12</v>
      </c>
      <c r="B68" s="277" t="s">
        <v>24</v>
      </c>
      <c r="C68" s="487" t="s">
        <v>56</v>
      </c>
      <c r="D68" s="487"/>
      <c r="E68" s="26">
        <v>20.2</v>
      </c>
      <c r="F68" s="277">
        <v>2688</v>
      </c>
      <c r="G68" s="272">
        <f t="shared" si="85"/>
        <v>54297.599999999999</v>
      </c>
      <c r="H68" s="76" t="s">
        <v>57</v>
      </c>
      <c r="I68" s="275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2" si="91">F68/V68*60</f>
        <v>2179.4594594594591</v>
      </c>
      <c r="N68" s="9">
        <f t="shared" si="87"/>
        <v>114.70839260312943</v>
      </c>
      <c r="O68" s="11">
        <f t="shared" si="88"/>
        <v>0</v>
      </c>
      <c r="P68" s="12">
        <f t="shared" si="89"/>
        <v>-11.60739687055478</v>
      </c>
      <c r="Q68" s="273">
        <f t="shared" ref="Q68:Q73" si="92">N68/K68</f>
        <v>0.90810810810810794</v>
      </c>
      <c r="R68" s="470"/>
      <c r="S68" s="24">
        <v>0.17777777777777778</v>
      </c>
      <c r="T68" s="24">
        <v>0.22916666666666669</v>
      </c>
      <c r="U68" s="272">
        <f>(S68-T67)*24*60</f>
        <v>29.000000000000018</v>
      </c>
      <c r="V68" s="276">
        <f t="shared" si="90"/>
        <v>74.000000000000014</v>
      </c>
      <c r="W68" s="14"/>
      <c r="X68" s="14"/>
      <c r="Y68" s="456"/>
      <c r="Z68" s="456"/>
      <c r="AA68" s="11">
        <f t="shared" si="2"/>
        <v>-220.54054054054086</v>
      </c>
      <c r="AB68" s="273">
        <f t="shared" ref="AB68:AB73" si="93">M68/J68</f>
        <v>0.90810810810810794</v>
      </c>
      <c r="AC68" s="470"/>
    </row>
    <row r="69" spans="1:29" ht="15.75" customHeight="1">
      <c r="A69" s="467" t="s">
        <v>12</v>
      </c>
      <c r="B69" s="277" t="s">
        <v>24</v>
      </c>
      <c r="C69" s="487" t="s">
        <v>45</v>
      </c>
      <c r="D69" s="487"/>
      <c r="E69" s="26">
        <v>19.02</v>
      </c>
      <c r="F69" s="277">
        <v>3500</v>
      </c>
      <c r="G69" s="272">
        <f t="shared" si="85"/>
        <v>66570</v>
      </c>
      <c r="H69" s="76">
        <v>2</v>
      </c>
      <c r="I69" s="275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2164.9484536082468</v>
      </c>
      <c r="N69" s="9">
        <f t="shared" si="87"/>
        <v>144.32989690721647</v>
      </c>
      <c r="O69" s="11">
        <f t="shared" si="88"/>
        <v>0</v>
      </c>
      <c r="P69" s="12">
        <f t="shared" si="89"/>
        <v>-15.670103092783535</v>
      </c>
      <c r="Q69" s="273">
        <f t="shared" si="92"/>
        <v>0.90206185567010289</v>
      </c>
      <c r="R69" s="470"/>
      <c r="S69" s="24">
        <v>0.23333333333333336</v>
      </c>
      <c r="T69" s="24">
        <v>0.30069444444444449</v>
      </c>
      <c r="U69" s="272">
        <f t="shared" ref="U69:U72" si="94">(S69-T68)*24*60</f>
        <v>6.0000000000000187</v>
      </c>
      <c r="V69" s="276">
        <f t="shared" si="90"/>
        <v>97.000000000000014</v>
      </c>
      <c r="W69" s="14"/>
      <c r="X69" s="14"/>
      <c r="Y69" s="456"/>
      <c r="Z69" s="456"/>
      <c r="AA69" s="11">
        <f t="shared" ref="AA69:AA73" si="95">M69-J69</f>
        <v>-235.05154639175316</v>
      </c>
      <c r="AB69" s="273">
        <f t="shared" si="93"/>
        <v>0.90206185567010289</v>
      </c>
      <c r="AC69" s="470"/>
    </row>
    <row r="70" spans="1:29" ht="15.75" customHeight="1">
      <c r="A70" s="467" t="s">
        <v>12</v>
      </c>
      <c r="B70" s="277" t="s">
        <v>24</v>
      </c>
      <c r="C70" s="487" t="s">
        <v>46</v>
      </c>
      <c r="D70" s="487"/>
      <c r="E70" s="26">
        <v>25</v>
      </c>
      <c r="F70" s="277">
        <v>4403</v>
      </c>
      <c r="G70" s="272">
        <f t="shared" si="85"/>
        <v>110075</v>
      </c>
      <c r="H70" s="76" t="s">
        <v>57</v>
      </c>
      <c r="I70" s="275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2165.4098360655744</v>
      </c>
      <c r="N70" s="9">
        <f t="shared" si="87"/>
        <v>144.36065573770495</v>
      </c>
      <c r="O70" s="11">
        <f t="shared" si="88"/>
        <v>0</v>
      </c>
      <c r="P70" s="12">
        <f t="shared" si="89"/>
        <v>-15.639344262295054</v>
      </c>
      <c r="Q70" s="273">
        <f t="shared" si="92"/>
        <v>0.90225409836065595</v>
      </c>
      <c r="R70" s="470"/>
      <c r="S70" s="24">
        <v>0.3041666666666667</v>
      </c>
      <c r="T70" s="24">
        <v>0.3888888888888889</v>
      </c>
      <c r="U70" s="272">
        <f t="shared" si="94"/>
        <v>4.9999999999999822</v>
      </c>
      <c r="V70" s="276">
        <f t="shared" si="90"/>
        <v>121.99999999999997</v>
      </c>
      <c r="W70" s="14"/>
      <c r="X70" s="14"/>
      <c r="Y70" s="456"/>
      <c r="Z70" s="456"/>
      <c r="AA70" s="11">
        <f t="shared" si="95"/>
        <v>-234.59016393442562</v>
      </c>
      <c r="AB70" s="273">
        <f t="shared" si="93"/>
        <v>0.90225409836065595</v>
      </c>
      <c r="AC70" s="470"/>
    </row>
    <row r="71" spans="1:29" ht="15.75" customHeight="1">
      <c r="A71" s="467" t="s">
        <v>12</v>
      </c>
      <c r="B71" s="277" t="s">
        <v>24</v>
      </c>
      <c r="C71" s="487" t="s">
        <v>510</v>
      </c>
      <c r="D71" s="487"/>
      <c r="E71" s="26">
        <v>28.51</v>
      </c>
      <c r="F71" s="277">
        <v>5916</v>
      </c>
      <c r="G71" s="272">
        <f t="shared" si="85"/>
        <v>168665.16</v>
      </c>
      <c r="H71" s="76" t="s">
        <v>57</v>
      </c>
      <c r="I71" s="275">
        <v>20</v>
      </c>
      <c r="J71" s="18">
        <v>2400</v>
      </c>
      <c r="K71" s="9">
        <f t="shared" ref="K71:K73" si="96">J71/I71</f>
        <v>120</v>
      </c>
      <c r="L71" s="17">
        <v>20</v>
      </c>
      <c r="M71" s="10">
        <f t="shared" si="91"/>
        <v>2164.3902439024391</v>
      </c>
      <c r="N71" s="9">
        <f t="shared" si="87"/>
        <v>108.21951219512195</v>
      </c>
      <c r="O71" s="11">
        <f t="shared" si="88"/>
        <v>0</v>
      </c>
      <c r="P71" s="12">
        <f t="shared" si="89"/>
        <v>-11.780487804878049</v>
      </c>
      <c r="Q71" s="273">
        <f t="shared" si="92"/>
        <v>0.90182926829268295</v>
      </c>
      <c r="R71" s="470"/>
      <c r="S71" s="24">
        <v>0.39305555555555555</v>
      </c>
      <c r="T71" s="24">
        <v>0.50694444444444442</v>
      </c>
      <c r="U71" s="272">
        <f t="shared" si="94"/>
        <v>5.9999999999999787</v>
      </c>
      <c r="V71" s="276">
        <f t="shared" si="90"/>
        <v>163.99999999999997</v>
      </c>
      <c r="W71" s="14"/>
      <c r="X71" s="14"/>
      <c r="Y71" s="456"/>
      <c r="Z71" s="456"/>
      <c r="AA71" s="11">
        <f t="shared" si="95"/>
        <v>-235.60975609756088</v>
      </c>
      <c r="AB71" s="273">
        <f t="shared" si="93"/>
        <v>0.90182926829268295</v>
      </c>
      <c r="AC71" s="470"/>
    </row>
    <row r="72" spans="1:29" ht="15.75" customHeight="1">
      <c r="A72" s="467" t="s">
        <v>12</v>
      </c>
      <c r="B72" s="277" t="s">
        <v>24</v>
      </c>
      <c r="C72" s="487" t="s">
        <v>45</v>
      </c>
      <c r="D72" s="487"/>
      <c r="E72" s="26">
        <v>19.02</v>
      </c>
      <c r="F72" s="277">
        <v>5923</v>
      </c>
      <c r="G72" s="272">
        <f t="shared" si="85"/>
        <v>112655.45999999999</v>
      </c>
      <c r="H72" s="76" t="s">
        <v>57</v>
      </c>
      <c r="I72" s="275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2166.9512195121943</v>
      </c>
      <c r="N72" s="9">
        <f t="shared" si="87"/>
        <v>144.46341463414629</v>
      </c>
      <c r="O72" s="11">
        <f t="shared" si="88"/>
        <v>0</v>
      </c>
      <c r="P72" s="12">
        <f t="shared" si="89"/>
        <v>-15.536585365853711</v>
      </c>
      <c r="Q72" s="273">
        <f t="shared" si="92"/>
        <v>0.90289634146341435</v>
      </c>
      <c r="R72" s="470"/>
      <c r="S72" s="24">
        <v>0.54930555555555549</v>
      </c>
      <c r="T72" s="24">
        <v>0.66319444444444442</v>
      </c>
      <c r="U72" s="272">
        <f t="shared" si="94"/>
        <v>60.999999999999943</v>
      </c>
      <c r="V72" s="276">
        <f t="shared" si="90"/>
        <v>164.00000000000006</v>
      </c>
      <c r="W72" s="14"/>
      <c r="X72" s="14"/>
      <c r="Y72" s="456"/>
      <c r="Z72" s="456"/>
      <c r="AA72" s="11">
        <f t="shared" si="95"/>
        <v>-233.04878048780574</v>
      </c>
      <c r="AB72" s="273">
        <f t="shared" si="93"/>
        <v>0.90289634146341424</v>
      </c>
      <c r="AC72" s="470"/>
    </row>
    <row r="73" spans="1:29" ht="16.5" customHeight="1">
      <c r="A73" s="501" t="s">
        <v>12</v>
      </c>
      <c r="B73" s="26" t="s">
        <v>1159</v>
      </c>
      <c r="C73" s="466"/>
      <c r="D73" s="466"/>
      <c r="E73" s="271"/>
      <c r="F73" s="16"/>
      <c r="G73" s="9"/>
      <c r="H73" s="277"/>
      <c r="I73" s="17">
        <v>17.166666666666668</v>
      </c>
      <c r="J73" s="18">
        <v>2400</v>
      </c>
      <c r="K73" s="9">
        <f t="shared" si="96"/>
        <v>139.80582524271844</v>
      </c>
      <c r="L73" s="17">
        <v>17.166666666666668</v>
      </c>
      <c r="M73" s="10">
        <f>AVERAGE(M67:M72)</f>
        <v>2172.1790176941558</v>
      </c>
      <c r="N73" s="9">
        <f>M73/L73</f>
        <v>126.53470005985373</v>
      </c>
      <c r="O73" s="11">
        <f>L73-I73</f>
        <v>0</v>
      </c>
      <c r="P73" s="12">
        <f>N73-K73</f>
        <v>-13.271125182864708</v>
      </c>
      <c r="Q73" s="273">
        <f t="shared" si="92"/>
        <v>0.90507459070589824</v>
      </c>
      <c r="R73" s="470"/>
      <c r="S73" s="24"/>
      <c r="T73" s="24"/>
      <c r="U73" s="9"/>
      <c r="V73" s="276"/>
      <c r="W73" s="9"/>
      <c r="X73" s="9"/>
      <c r="Y73" s="456"/>
      <c r="Z73" s="456"/>
      <c r="AA73" s="11">
        <f t="shared" si="95"/>
        <v>-227.82098230584415</v>
      </c>
      <c r="AB73" s="273">
        <f t="shared" si="93"/>
        <v>0.90507459070589824</v>
      </c>
      <c r="AC73" s="470"/>
    </row>
    <row r="74" spans="1:29">
      <c r="D74" s="19"/>
      <c r="E74" s="19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29"/>
    <mergeCell ref="C20:D20"/>
    <mergeCell ref="R20:R29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20:AC29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AC30:AC37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7:Z37"/>
    <mergeCell ref="A38:A46"/>
    <mergeCell ref="C38:D38"/>
    <mergeCell ref="R38:R46"/>
    <mergeCell ref="Y38:Z38"/>
    <mergeCell ref="C39:D39"/>
    <mergeCell ref="Y39:Z39"/>
    <mergeCell ref="C40:D40"/>
    <mergeCell ref="Y40:Z40"/>
    <mergeCell ref="A30:A37"/>
    <mergeCell ref="C30:D30"/>
    <mergeCell ref="R30:R37"/>
    <mergeCell ref="Y30:Z30"/>
    <mergeCell ref="Y35:Z35"/>
    <mergeCell ref="C36:D36"/>
    <mergeCell ref="Y36:Z36"/>
    <mergeCell ref="C37:D37"/>
    <mergeCell ref="AC47:AC55"/>
    <mergeCell ref="C48:D48"/>
    <mergeCell ref="Y48:Z48"/>
    <mergeCell ref="C49:D49"/>
    <mergeCell ref="Y49:Z49"/>
    <mergeCell ref="C50:D50"/>
    <mergeCell ref="C44:D44"/>
    <mergeCell ref="Y44:Z44"/>
    <mergeCell ref="C45:D45"/>
    <mergeCell ref="Y45:Z45"/>
    <mergeCell ref="C46:D46"/>
    <mergeCell ref="Y46:Z46"/>
    <mergeCell ref="AC38:AC46"/>
    <mergeCell ref="C54:D54"/>
    <mergeCell ref="Y54:Z54"/>
    <mergeCell ref="C55:D55"/>
    <mergeCell ref="Y55:Z55"/>
    <mergeCell ref="C41:D41"/>
    <mergeCell ref="Y41:Z41"/>
    <mergeCell ref="C42:D42"/>
    <mergeCell ref="Y42:Z42"/>
    <mergeCell ref="C43:D43"/>
    <mergeCell ref="Y43:Z43"/>
    <mergeCell ref="A56:A60"/>
    <mergeCell ref="C56:D56"/>
    <mergeCell ref="R56:R60"/>
    <mergeCell ref="Y56:Z56"/>
    <mergeCell ref="Y50:Z50"/>
    <mergeCell ref="C51:D51"/>
    <mergeCell ref="Y51:Z51"/>
    <mergeCell ref="C52:D52"/>
    <mergeCell ref="Y52:Z52"/>
    <mergeCell ref="C53:D53"/>
    <mergeCell ref="Y53:Z53"/>
    <mergeCell ref="A47:A55"/>
    <mergeCell ref="C47:D47"/>
    <mergeCell ref="R47:R55"/>
    <mergeCell ref="Y47:Z47"/>
    <mergeCell ref="AC61:AC66"/>
    <mergeCell ref="C62:D62"/>
    <mergeCell ref="Y62:Z62"/>
    <mergeCell ref="C63:D63"/>
    <mergeCell ref="Y63:Z63"/>
    <mergeCell ref="C64:D64"/>
    <mergeCell ref="AC56:AC60"/>
    <mergeCell ref="C57:D57"/>
    <mergeCell ref="Y57:Z57"/>
    <mergeCell ref="C58:D58"/>
    <mergeCell ref="C60:D60"/>
    <mergeCell ref="Y60:Z60"/>
    <mergeCell ref="Y64:Z64"/>
    <mergeCell ref="C65:D65"/>
    <mergeCell ref="Y65:Z65"/>
    <mergeCell ref="C66:D66"/>
    <mergeCell ref="Y66:Z66"/>
    <mergeCell ref="A67:A73"/>
    <mergeCell ref="C67:D67"/>
    <mergeCell ref="R67:R73"/>
    <mergeCell ref="Y67:Z67"/>
    <mergeCell ref="Y72:Z72"/>
    <mergeCell ref="A61:A66"/>
    <mergeCell ref="C61:D61"/>
    <mergeCell ref="R61:R66"/>
    <mergeCell ref="Y61:Z61"/>
    <mergeCell ref="C73:D73"/>
    <mergeCell ref="Y73:Z73"/>
    <mergeCell ref="AC67:AC73"/>
    <mergeCell ref="C68:D68"/>
    <mergeCell ref="Y68:Z68"/>
    <mergeCell ref="C69:D69"/>
    <mergeCell ref="Y69:Z69"/>
    <mergeCell ref="C70:D70"/>
    <mergeCell ref="Y70:Z70"/>
    <mergeCell ref="C71:D71"/>
    <mergeCell ref="Y71:Z71"/>
    <mergeCell ref="C72:D72"/>
  </mergeCells>
  <phoneticPr fontId="3" type="noConversion"/>
  <conditionalFormatting sqref="O64:O73 O5:O9 O13:O15 O55:O61 O19:O52">
    <cfRule type="cellIs" dxfId="1624" priority="52" operator="greaterThan">
      <formula>0</formula>
    </cfRule>
  </conditionalFormatting>
  <conditionalFormatting sqref="P5:P7 P64:P65 AA64:AA65 P67:P72 P30:P36 P61 P9 P13:P15 P20:P28 P56:P59 P38:P52 AA5:AA61 AA67:AA73">
    <cfRule type="cellIs" dxfId="1623" priority="56" operator="lessThan">
      <formula>0</formula>
    </cfRule>
  </conditionalFormatting>
  <conditionalFormatting sqref="AB64:AB65 Q64:Q73 Q5:Q9 Q13:Q15 Q55:Q61 Q19:Q52 AB5:AB61 AB67:AB73">
    <cfRule type="cellIs" dxfId="1622" priority="53" operator="greaterThan">
      <formula>1</formula>
    </cfRule>
    <cfRule type="cellIs" dxfId="1621" priority="54" operator="lessThan">
      <formula>0.8</formula>
    </cfRule>
  </conditionalFormatting>
  <conditionalFormatting sqref="AC14:AC15 R14:R15 AC64 R19:R25 AC19:AC25 R64:R73 AC5:AC9 R5:R9 R29:R52 AC29:AC52 AC55:AC61 R55:R61">
    <cfRule type="cellIs" dxfId="1620" priority="58" operator="lessThan">
      <formula>0.8</formula>
    </cfRule>
  </conditionalFormatting>
  <conditionalFormatting sqref="AC47">
    <cfRule type="cellIs" dxfId="1619" priority="60" operator="lessThan">
      <formula>0.8</formula>
    </cfRule>
  </conditionalFormatting>
  <conditionalFormatting sqref="AC20:AC25">
    <cfRule type="cellIs" dxfId="1618" priority="57" operator="lessThan">
      <formula>0.8</formula>
    </cfRule>
  </conditionalFormatting>
  <conditionalFormatting sqref="AC30">
    <cfRule type="cellIs" dxfId="1617" priority="59" operator="lessThan">
      <formula>0.8</formula>
    </cfRule>
  </conditionalFormatting>
  <conditionalFormatting sqref="AC38:AC45">
    <cfRule type="cellIs" dxfId="1616" priority="55" operator="lessThan">
      <formula>0.8</formula>
    </cfRule>
  </conditionalFormatting>
  <conditionalFormatting sqref="AA66">
    <cfRule type="cellIs" dxfId="1615" priority="51" operator="lessThan">
      <formula>0</formula>
    </cfRule>
  </conditionalFormatting>
  <conditionalFormatting sqref="AB66">
    <cfRule type="cellIs" dxfId="1614" priority="49" operator="greaterThan">
      <formula>1</formula>
    </cfRule>
    <cfRule type="cellIs" dxfId="1613" priority="50" operator="lessThan">
      <formula>0.8</formula>
    </cfRule>
  </conditionalFormatting>
  <conditionalFormatting sqref="O16:O17">
    <cfRule type="cellIs" dxfId="1612" priority="44" operator="greaterThan">
      <formula>0</formula>
    </cfRule>
  </conditionalFormatting>
  <conditionalFormatting sqref="P16:P17">
    <cfRule type="cellIs" dxfId="1611" priority="47" operator="lessThan">
      <formula>0</formula>
    </cfRule>
  </conditionalFormatting>
  <conditionalFormatting sqref="Q16:Q17">
    <cfRule type="cellIs" dxfId="1610" priority="45" operator="greaterThan">
      <formula>1</formula>
    </cfRule>
    <cfRule type="cellIs" dxfId="1609" priority="46" operator="lessThan">
      <formula>0.8</formula>
    </cfRule>
  </conditionalFormatting>
  <conditionalFormatting sqref="R16:R17 AC16:AC17">
    <cfRule type="cellIs" dxfId="1608" priority="48" operator="lessThan">
      <formula>0.8</formula>
    </cfRule>
  </conditionalFormatting>
  <conditionalFormatting sqref="O10:O12">
    <cfRule type="cellIs" dxfId="1607" priority="40" operator="greaterThan">
      <formula>0</formula>
    </cfRule>
  </conditionalFormatting>
  <conditionalFormatting sqref="P10:P12">
    <cfRule type="cellIs" dxfId="1606" priority="43" operator="lessThan">
      <formula>0</formula>
    </cfRule>
  </conditionalFormatting>
  <conditionalFormatting sqref="Q10:Q12">
    <cfRule type="cellIs" dxfId="1605" priority="41" operator="greaterThan">
      <formula>1</formula>
    </cfRule>
    <cfRule type="cellIs" dxfId="1604" priority="42" operator="lessThan">
      <formula>0.8</formula>
    </cfRule>
  </conditionalFormatting>
  <conditionalFormatting sqref="AC27 R27">
    <cfRule type="cellIs" dxfId="1603" priority="39" operator="lessThan">
      <formula>0.8</formula>
    </cfRule>
  </conditionalFormatting>
  <conditionalFormatting sqref="O63">
    <cfRule type="cellIs" dxfId="1602" priority="34" operator="greaterThan">
      <formula>0</formula>
    </cfRule>
  </conditionalFormatting>
  <conditionalFormatting sqref="P63 AA63">
    <cfRule type="cellIs" dxfId="1601" priority="37" operator="lessThan">
      <formula>0</formula>
    </cfRule>
  </conditionalFormatting>
  <conditionalFormatting sqref="Q63 AB63">
    <cfRule type="cellIs" dxfId="1600" priority="35" operator="greaterThan">
      <formula>1</formula>
    </cfRule>
    <cfRule type="cellIs" dxfId="1599" priority="36" operator="lessThan">
      <formula>0.8</formula>
    </cfRule>
  </conditionalFormatting>
  <conditionalFormatting sqref="R63 AC63">
    <cfRule type="cellIs" dxfId="1598" priority="38" operator="lessThan">
      <formula>0.8</formula>
    </cfRule>
  </conditionalFormatting>
  <conditionalFormatting sqref="O18">
    <cfRule type="cellIs" dxfId="1597" priority="29" operator="greaterThan">
      <formula>0</formula>
    </cfRule>
  </conditionalFormatting>
  <conditionalFormatting sqref="P18">
    <cfRule type="cellIs" dxfId="1596" priority="32" operator="lessThan">
      <formula>0</formula>
    </cfRule>
  </conditionalFormatting>
  <conditionalFormatting sqref="Q18">
    <cfRule type="cellIs" dxfId="1595" priority="30" operator="greaterThan">
      <formula>1</formula>
    </cfRule>
    <cfRule type="cellIs" dxfId="1594" priority="31" operator="lessThan">
      <formula>0.8</formula>
    </cfRule>
  </conditionalFormatting>
  <conditionalFormatting sqref="R18 AC18">
    <cfRule type="cellIs" dxfId="1593" priority="33" operator="lessThan">
      <formula>0.8</formula>
    </cfRule>
  </conditionalFormatting>
  <conditionalFormatting sqref="O53">
    <cfRule type="cellIs" dxfId="1592" priority="23" operator="greaterThan">
      <formula>0</formula>
    </cfRule>
  </conditionalFormatting>
  <conditionalFormatting sqref="P53">
    <cfRule type="cellIs" dxfId="1591" priority="27" operator="lessThan">
      <formula>0</formula>
    </cfRule>
  </conditionalFormatting>
  <conditionalFormatting sqref="Q53">
    <cfRule type="cellIs" dxfId="1590" priority="24" operator="greaterThan">
      <formula>1</formula>
    </cfRule>
    <cfRule type="cellIs" dxfId="1589" priority="25" operator="lessThan">
      <formula>0.8</formula>
    </cfRule>
  </conditionalFormatting>
  <conditionalFormatting sqref="R53 AC53">
    <cfRule type="cellIs" dxfId="1588" priority="28" operator="lessThan">
      <formula>0.8</formula>
    </cfRule>
  </conditionalFormatting>
  <conditionalFormatting sqref="AC53">
    <cfRule type="cellIs" dxfId="1587" priority="26" operator="lessThan">
      <formula>0.8</formula>
    </cfRule>
  </conditionalFormatting>
  <conditionalFormatting sqref="O54">
    <cfRule type="cellIs" dxfId="1586" priority="17" operator="greaterThan">
      <formula>0</formula>
    </cfRule>
  </conditionalFormatting>
  <conditionalFormatting sqref="P54">
    <cfRule type="cellIs" dxfId="1585" priority="21" operator="lessThan">
      <formula>0</formula>
    </cfRule>
  </conditionalFormatting>
  <conditionalFormatting sqref="Q54">
    <cfRule type="cellIs" dxfId="1584" priority="18" operator="greaterThan">
      <formula>1</formula>
    </cfRule>
    <cfRule type="cellIs" dxfId="1583" priority="19" operator="lessThan">
      <formula>0.8</formula>
    </cfRule>
  </conditionalFormatting>
  <conditionalFormatting sqref="R54 AC54">
    <cfRule type="cellIs" dxfId="1582" priority="22" operator="lessThan">
      <formula>0.8</formula>
    </cfRule>
  </conditionalFormatting>
  <conditionalFormatting sqref="AC54">
    <cfRule type="cellIs" dxfId="1581" priority="20" operator="lessThan">
      <formula>0.8</formula>
    </cfRule>
  </conditionalFormatting>
  <conditionalFormatting sqref="AC28 R28">
    <cfRule type="cellIs" dxfId="1580" priority="16" operator="lessThan">
      <formula>0.8</formula>
    </cfRule>
  </conditionalFormatting>
  <conditionalFormatting sqref="R26 AC26">
    <cfRule type="cellIs" dxfId="1579" priority="15" operator="lessThan">
      <formula>0.8</formula>
    </cfRule>
  </conditionalFormatting>
  <conditionalFormatting sqref="AC26">
    <cfRule type="cellIs" dxfId="1578" priority="14" operator="lessThan">
      <formula>0.8</formula>
    </cfRule>
  </conditionalFormatting>
  <conditionalFormatting sqref="O62">
    <cfRule type="cellIs" dxfId="1577" priority="9" operator="greaterThan">
      <formula>0</formula>
    </cfRule>
  </conditionalFormatting>
  <conditionalFormatting sqref="P62 AA62">
    <cfRule type="cellIs" dxfId="1576" priority="12" operator="lessThan">
      <formula>0</formula>
    </cfRule>
  </conditionalFormatting>
  <conditionalFormatting sqref="Q62 AB62">
    <cfRule type="cellIs" dxfId="1575" priority="10" operator="greaterThan">
      <formula>1</formula>
    </cfRule>
    <cfRule type="cellIs" dxfId="1574" priority="11" operator="lessThan">
      <formula>0.8</formula>
    </cfRule>
  </conditionalFormatting>
  <conditionalFormatting sqref="R62 AC62">
    <cfRule type="cellIs" dxfId="1573" priority="13" operator="lessThan">
      <formula>0.8</formula>
    </cfRule>
  </conditionalFormatting>
  <conditionalFormatting sqref="P8">
    <cfRule type="cellIs" dxfId="1572" priority="8" operator="lessThan">
      <formula>0</formula>
    </cfRule>
  </conditionalFormatting>
  <conditionalFormatting sqref="P19">
    <cfRule type="cellIs" dxfId="1571" priority="7" operator="lessThan">
      <formula>0</formula>
    </cfRule>
  </conditionalFormatting>
  <conditionalFormatting sqref="P29">
    <cfRule type="cellIs" dxfId="1570" priority="6" operator="lessThan">
      <formula>0</formula>
    </cfRule>
  </conditionalFormatting>
  <conditionalFormatting sqref="P37">
    <cfRule type="cellIs" dxfId="1569" priority="5" operator="lessThan">
      <formula>0</formula>
    </cfRule>
  </conditionalFormatting>
  <conditionalFormatting sqref="P55">
    <cfRule type="cellIs" dxfId="1568" priority="4" operator="lessThan">
      <formula>0</formula>
    </cfRule>
  </conditionalFormatting>
  <conditionalFormatting sqref="P60">
    <cfRule type="cellIs" dxfId="1567" priority="3" operator="lessThan">
      <formula>0</formula>
    </cfRule>
  </conditionalFormatting>
  <conditionalFormatting sqref="P66">
    <cfRule type="cellIs" dxfId="1566" priority="2" operator="lessThan">
      <formula>0</formula>
    </cfRule>
  </conditionalFormatting>
  <conditionalFormatting sqref="P73">
    <cfRule type="cellIs" dxfId="1565" priority="1" operator="lessThan">
      <formula>0</formula>
    </cfRule>
  </conditionalFormatting>
  <dataValidations count="1">
    <dataValidation type="list" allowBlank="1" showInputMessage="1" showErrorMessage="1" sqref="Z8 Z65 Y5:Z7 Y8:Y65 Z10:Z61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I3" sqref="I3:J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1064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52" t="s">
        <v>1065</v>
      </c>
      <c r="C3" s="421" t="str">
        <f>TEXT('0720 4度C'!A2,"yyyy.mm.ddaaaa")</f>
        <v>2025.07.20星期日</v>
      </c>
      <c r="D3" s="421"/>
      <c r="E3" s="252" t="s">
        <v>127</v>
      </c>
      <c r="F3" s="422">
        <f>'0720 4度C'!D1</f>
        <v>169162</v>
      </c>
      <c r="G3" s="422"/>
      <c r="H3" s="252" t="s">
        <v>90</v>
      </c>
      <c r="I3" s="423">
        <f>'0720 4度C'!F1</f>
        <v>5748071.0199999996</v>
      </c>
      <c r="J3" s="423"/>
      <c r="K3" s="31"/>
      <c r="L3" s="32"/>
      <c r="M3" s="33"/>
      <c r="N3" s="33"/>
    </row>
    <row r="4" spans="2:17" ht="28.5" customHeight="1">
      <c r="B4" s="424" t="s">
        <v>1066</v>
      </c>
      <c r="C4" s="424" t="s">
        <v>128</v>
      </c>
      <c r="D4" s="424"/>
      <c r="E4" s="425" t="s">
        <v>92</v>
      </c>
      <c r="F4" s="425"/>
      <c r="G4" s="425" t="s">
        <v>129</v>
      </c>
      <c r="H4" s="425"/>
      <c r="I4" s="425" t="s">
        <v>1067</v>
      </c>
      <c r="J4" s="425"/>
      <c r="L4" s="33"/>
      <c r="M4" s="33"/>
      <c r="N4" s="33"/>
    </row>
    <row r="5" spans="2:17" ht="28.5" customHeight="1">
      <c r="B5" s="424"/>
      <c r="C5" s="424" t="s">
        <v>173</v>
      </c>
      <c r="D5" s="424"/>
      <c r="E5" s="424" t="s">
        <v>130</v>
      </c>
      <c r="F5" s="424"/>
      <c r="G5" s="426" t="s">
        <v>94</v>
      </c>
      <c r="H5" s="426"/>
      <c r="I5" s="427" t="s">
        <v>1068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140.92507061336224</v>
      </c>
      <c r="F6" s="424">
        <f>AVERAGE(D27:O27,D13:J13)</f>
        <v>143.51252071104605</v>
      </c>
      <c r="G6" s="429">
        <f>AVERAGE(D13:J13)</f>
        <v>143.51252071104605</v>
      </c>
      <c r="H6" s="429"/>
      <c r="I6" s="429">
        <f>AVERAGE(K13:M13)</f>
        <v>134.88768705210001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128.07301154417249</v>
      </c>
      <c r="F7" s="434">
        <f>AVERAGE(D28:O28,D14:J14)</f>
        <v>130.61465125509443</v>
      </c>
      <c r="G7" s="435">
        <f>AVERAGE(D14:J14)</f>
        <v>130.61465125509443</v>
      </c>
      <c r="H7" s="435"/>
      <c r="I7" s="435">
        <f>AVERAGE(K14:M14)</f>
        <v>122.14251888535465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0.9076904496595285</v>
      </c>
      <c r="F8" s="432">
        <f>AVERAGE(D15:J15,D29:O29)</f>
        <v>0.90862409771391661</v>
      </c>
      <c r="G8" s="437">
        <f>AVERAGE(D15:J15)</f>
        <v>0.90862409771391661</v>
      </c>
      <c r="H8" s="437"/>
      <c r="I8" s="437">
        <f>AVERAGE(K15:M15)</f>
        <v>0.90551193753262282</v>
      </c>
      <c r="J8" s="437"/>
      <c r="K8" s="34" t="s">
        <v>1069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1070</v>
      </c>
      <c r="F12" s="42" t="s">
        <v>132</v>
      </c>
      <c r="G12" s="42" t="s">
        <v>1071</v>
      </c>
      <c r="H12" s="42" t="s">
        <v>1072</v>
      </c>
      <c r="I12" s="42" t="s">
        <v>1073</v>
      </c>
      <c r="J12" s="43" t="s">
        <v>1074</v>
      </c>
      <c r="K12" s="41" t="s">
        <v>1075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187</v>
      </c>
      <c r="D13" s="45">
        <f>SUMIFS('0720 4度C'!$K:$K,'0720 4度C'!$A:$A,"燴飯線",'0720 4度C'!$B:$B,"平均")</f>
        <v>105.88235294117646</v>
      </c>
      <c r="E13" s="46">
        <f>SUMIFS('0720 4度C'!$K:$K,'0720 4度C'!$A:$A,"沙拉線一線",'0720 4度C'!$B:$B,"平均")</f>
        <v>81.081081081081081</v>
      </c>
      <c r="F13" s="47">
        <f>SUMIFS('0720 4度C'!$K:$K,'0720 4度C'!$A:$A,"沙拉線二線",'0720 4度C'!$B:$B,"平均")</f>
        <v>80.702127659574472</v>
      </c>
      <c r="G13" s="47">
        <f>SUMIFS('0720 4度C'!$K:$K,'0720 4度C'!$A:$A,"沙拉線三線",'0720 4度C'!$B:$B,"平均")</f>
        <v>103.44827586206895</v>
      </c>
      <c r="H13" s="47">
        <f>SUMIFS('0720 4度C'!$K:$K,'0720 4度C'!$A:$A,"自動包裝線",'0720 4度C'!$B:$B,"平均")</f>
        <v>300</v>
      </c>
      <c r="I13" s="47">
        <f>SUMIFS('0720 4度C'!$K:$K,'0720 4度C'!$A:$A,"涼麵一線",'0720 4度C'!$B:$B,"平均")</f>
        <v>89.552238805970148</v>
      </c>
      <c r="J13" s="48">
        <f>SUMIFS('0720 4度C'!$K:$K,'0720 4度C'!$A:$A,"三明治四線",'0720 4度C'!$B:$B,"平均")</f>
        <v>243.92156862745099</v>
      </c>
      <c r="K13" s="49">
        <f>SUMIFS('0720 4度C'!$K:$K,'0720 4度C'!$A:$A,"三明治一線",'0720 4度C'!$B:$B,"平均")</f>
        <v>137.70491803278691</v>
      </c>
      <c r="L13" s="50">
        <f>SUMIFS('0720 4度C'!$K:$K,'0720 4度C'!$A:$A,"三明治二線",'0720 4度C'!$B:$B,"平均")</f>
        <v>127.1523178807947</v>
      </c>
      <c r="M13" s="48">
        <f>SUMIFS('0720 4度C'!$K:$K,'0720 4度C'!$A:$A,"自動包裝二線",'0720 4度C'!$B:$B,"平均")</f>
        <v>139.80582524271844</v>
      </c>
    </row>
    <row r="14" spans="2:17" ht="39.6" customHeight="1">
      <c r="B14" s="447"/>
      <c r="C14" s="51" t="s">
        <v>1076</v>
      </c>
      <c r="D14" s="52">
        <f>SUMIFS('0720 4度C'!$N:$N,'0720 4度C'!$A:$A,"燴飯線",'0720 4度C'!$B:$B,"平均")</f>
        <v>95.980537759658333</v>
      </c>
      <c r="E14" s="53">
        <f>SUMIFS('0720 4度C'!$N:$N,'0720 4度C'!$A:$A,"沙拉線一線",'0720 4度C'!$B:$B,"平均")</f>
        <v>73.252877444817258</v>
      </c>
      <c r="F14" s="53">
        <f>SUMIFS('0720 4度C'!$N:$N,'0720 4度C'!$A:$A,"沙拉線二線",'0720 4度C'!$B:$B,"平均")</f>
        <v>73.172154029516989</v>
      </c>
      <c r="G14" s="53">
        <f>SUMIFS('0720 4度C'!$N:$N,'0720 4度C'!$A:$A,"沙拉線三線",'0720 4度C'!$B:$B,"平均")</f>
        <v>94.176284164097808</v>
      </c>
      <c r="H14" s="53">
        <f>SUMIFS('0720 4度C'!$N:$N,'0720 4度C'!$A:$A,"自動包裝線",'0720 4度C'!$B:$B,"平均")</f>
        <v>273.14068401274892</v>
      </c>
      <c r="I14" s="53">
        <f>SUMIFS('0720 4度C'!$N:$N,'0720 4度C'!$A:$A,"涼麵一線",'0720 4度C'!$B:$B,"平均")</f>
        <v>81.253791997177828</v>
      </c>
      <c r="J14" s="54">
        <f>SUMIFS('0720 4度C'!$N:$N,'0720 4度C'!$A:$A,"三明治四線",'0720 4度C'!$B:$B,"平均")</f>
        <v>223.32622937764384</v>
      </c>
      <c r="K14" s="55">
        <f>SUMIFS('0720 4度C'!$N:$N,'0720 4度C'!$A:$A,"三明治一線",'0720 4度C'!$B:$B,"平均")</f>
        <v>124.48246851533173</v>
      </c>
      <c r="L14" s="56">
        <f>SUMIFS('0720 4度C'!$N:$N,'0720 4度C'!$A:$A,"三明治二線",'0720 4度C'!$B:$B,"平均")</f>
        <v>115.16703006514904</v>
      </c>
      <c r="M14" s="54">
        <f>SUMIFS('0720 4度C'!$N:$N,'0720 4度C'!$A:$A,"自動包裝二線",'0720 4度C'!$B:$B,"平均")</f>
        <v>126.77805807558315</v>
      </c>
    </row>
    <row r="15" spans="2:17" ht="40.15" customHeight="1">
      <c r="B15" s="447"/>
      <c r="C15" s="57" t="s">
        <v>1077</v>
      </c>
      <c r="D15" s="58">
        <f>D14/D13</f>
        <v>0.90648285661899541</v>
      </c>
      <c r="E15" s="59">
        <f t="shared" ref="E15:M15" si="0">E14/E13</f>
        <v>0.90345215515274624</v>
      </c>
      <c r="F15" s="59">
        <f t="shared" si="0"/>
        <v>0.90669423659037651</v>
      </c>
      <c r="G15" s="59">
        <f t="shared" si="0"/>
        <v>0.91037074691961228</v>
      </c>
      <c r="H15" s="59">
        <f>H14/H13</f>
        <v>0.91046894670916312</v>
      </c>
      <c r="I15" s="59">
        <f>I14/I13</f>
        <v>0.9073340106351524</v>
      </c>
      <c r="J15" s="60">
        <f>J14/J13</f>
        <v>0.91556573137136943</v>
      </c>
      <c r="K15" s="58">
        <f>K14/K13</f>
        <v>0.903979830885147</v>
      </c>
      <c r="L15" s="59">
        <f>L14/L13</f>
        <v>0.90574070519987004</v>
      </c>
      <c r="M15" s="60">
        <f t="shared" si="0"/>
        <v>0.90681527651285165</v>
      </c>
    </row>
    <row r="16" spans="2:17" ht="17.25" customHeight="1">
      <c r="B16" s="430" t="s">
        <v>1078</v>
      </c>
      <c r="C16" s="251" t="s">
        <v>103</v>
      </c>
      <c r="D16" s="61">
        <f>VLOOKUP("燴飯線",'0720 4度C'!$A:$T,19,0)</f>
        <v>0.70833333333333337</v>
      </c>
      <c r="E16" s="24">
        <f>VLOOKUP("沙拉線一線",'0720 4度C'!$A:$T,19,0)</f>
        <v>0.12847222222222221</v>
      </c>
      <c r="F16" s="24">
        <f>VLOOKUP("沙拉線二線",'0720 4度C'!$A:$T,19,0)</f>
        <v>0.25</v>
      </c>
      <c r="G16" s="24">
        <f>VLOOKUP("沙拉線三線",'0720 4度C'!$A:$T,19,0)</f>
        <v>0.16666666666666666</v>
      </c>
      <c r="H16" s="24">
        <f>VLOOKUP("自動包裝線",'0720 4度C'!$A:$T,19,0)</f>
        <v>0.20833333333333334</v>
      </c>
      <c r="I16" s="24">
        <f>VLOOKUP("涼麵一線",'0720 4度C'!$A:$T,19,0)</f>
        <v>0.29305555555555557</v>
      </c>
      <c r="J16" s="62">
        <f>VLOOKUP("三明治四線",'0720 4度C'!$A:$T,19,0)</f>
        <v>0.25069444444444444</v>
      </c>
      <c r="K16" s="63">
        <f>VLOOKUP("三明治一線",'0720 4度C'!$A:$T,19,0)</f>
        <v>0.125</v>
      </c>
      <c r="L16" s="64">
        <f>VLOOKUP("三明治二線",'0720 4度C'!$A:$T,19,0)</f>
        <v>8.3333333333333329E-2</v>
      </c>
      <c r="M16" s="65">
        <f>VLOOKUP("自動包裝二線",'0720 4度C'!$A:$T,19,0)</f>
        <v>0.125</v>
      </c>
    </row>
    <row r="17" spans="2:13" ht="17.25" customHeight="1">
      <c r="B17" s="431"/>
      <c r="C17" s="251" t="s">
        <v>137</v>
      </c>
      <c r="D17" s="63">
        <f>LOOKUP(2,1/(('0720 4度C'!$A:$A="燴飯線")*('0720 4度C'!$T:$T&lt;&gt;"")),'0720 4度C'!$T:$T)</f>
        <v>0.87638888888888888</v>
      </c>
      <c r="E17" s="24">
        <f>LOOKUP(2,1/(('0720 4度C'!$A:$A="沙拉線一線")*('0720 4度C'!$T:$T&lt;&gt;"")),'0720 4度C'!$T:$T)</f>
        <v>0.6680555555555554</v>
      </c>
      <c r="F17" s="24">
        <f>LOOKUP(2,1/(('0720 4度C'!$A:$A="沙拉線二線")*('0720 4度C'!$T:$T&lt;&gt;"")),'0720 4度C'!$T:$T)</f>
        <v>0.83888888888888891</v>
      </c>
      <c r="G17" s="24">
        <f>LOOKUP(2,1/(('0720 4度C'!$A:$A="沙拉線三線")*('0720 4度C'!$T:$T&lt;&gt;"")),'0720 4度C'!$T:$T)</f>
        <v>0.80763888888888891</v>
      </c>
      <c r="H17" s="24">
        <f>LOOKUP(2,1/(('0720 4度C'!$A:$A="自動包裝線")*('0720 4度C'!$T:$T&lt;&gt;"")),'0720 4度C'!$T:$T)</f>
        <v>0.64999999999999991</v>
      </c>
      <c r="I17" s="24">
        <f>LOOKUP(2,1/(('0720 4度C'!$A:$A="涼麵一線")*('0720 4度C'!$T:$T&lt;&gt;"")),'0720 4度C'!$T:$T)</f>
        <v>0.83611111111111114</v>
      </c>
      <c r="J17" s="62">
        <f>LOOKUP(2,1/(('0720 4度C'!$A:$A="三明治四線")*('0720 4度C'!$T:$T&lt;&gt;"")),'0720 4度C'!$T:$T)</f>
        <v>0.49722222222222218</v>
      </c>
      <c r="K17" s="61">
        <f>LOOKUP(2,1/(('0720 4度C'!$A:$A="三明治一線")*('0720 4度C'!$T:$T&lt;&gt;"")),'0720 4度C'!$T:$T)</f>
        <v>0.69444444444444431</v>
      </c>
      <c r="L17" s="24">
        <f>LOOKUP(2,1/(('0720 4度C'!$A:$A="三明治二線")*('0720 4度C'!$T:$T&lt;&gt;"")),'0720 4度C'!$T:$T)</f>
        <v>0.63819444444444429</v>
      </c>
      <c r="M17" s="62">
        <f>LOOKUP(2,1/(('0720 4度C'!$A:$A="自動包裝二線")*('0720 4度C'!$T:$T&lt;&gt;"")),'0720 4度C'!$T:$T)</f>
        <v>0.65347222222222212</v>
      </c>
    </row>
    <row r="18" spans="2:13" ht="17.25" customHeight="1">
      <c r="B18" s="431" t="s">
        <v>138</v>
      </c>
      <c r="C18" s="446"/>
      <c r="D18" s="66">
        <f>SUMIFS('0720 4度C'!$I:$I,'0720 4度C'!$A:$A,"燴飯線",'0720 4度C'!$B:$B,"平均")</f>
        <v>17</v>
      </c>
      <c r="E18" s="67">
        <f>SUMIFS('0720 4度C'!$I:$I,'0720 4度C'!$A:$A,"沙拉線一線",'0720 4度C'!$B:$B,"平均")</f>
        <v>18.5</v>
      </c>
      <c r="F18" s="67">
        <f>SUMIFS('0720 4度C'!$I:$I,'0720 4度C'!$A:$A,"沙拉線二線",'0720 4度C'!$B:$B,"平均")</f>
        <v>18.8</v>
      </c>
      <c r="G18" s="67">
        <f>SUMIFS('0720 4度C'!$I:$I,'0720 4度C'!$A:$A,"沙拉線三線",'0720 4度C'!$B:$B,"平均")</f>
        <v>16.571428571428573</v>
      </c>
      <c r="H18" s="67">
        <f>SUMIFS('0720 4度C'!$I:$I,'0720 4度C'!$A:$A,"自動包裝線",'0720 4度C'!$B:$B,"平均")</f>
        <v>10</v>
      </c>
      <c r="I18" s="67">
        <f>SUMIFS('0720 4度C'!$I:$I,'0720 4度C'!$A:$A,"涼麵一線",'0720 4度C'!$B:$B,"平均")</f>
        <v>16.75</v>
      </c>
      <c r="J18" s="68">
        <f>SUMIFS('0720 4度C'!$I:$I,'0720 4度C'!$A:$A,"三明治四線",'0720 4度C'!$B:$B,"平均")</f>
        <v>10.199999999999999</v>
      </c>
      <c r="K18" s="66">
        <f>SUMIFS('0720 4度C'!$I:$I,'0720 4度C'!$A:$A,"三明治一線",'0720 4度C'!$B:$B,"平均")</f>
        <v>17.428571428571427</v>
      </c>
      <c r="L18" s="67">
        <f>SUMIFS('0720 4度C'!$I:$I,'0720 4度C'!$A:$A,"三明治二線",'0720 4度C'!$B:$B,"平均")</f>
        <v>18.875</v>
      </c>
      <c r="M18" s="68">
        <f>SUMIFS('0720 4度C'!$I:$I,'0720 4度C'!$A:$A,"自動包裝二線",'0720 4度C'!$B:$B,"平均")</f>
        <v>17.166666666666668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258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1079</v>
      </c>
      <c r="M19" s="71" t="s">
        <v>1080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1081</v>
      </c>
      <c r="F21" s="452" t="s">
        <v>142</v>
      </c>
      <c r="G21" s="453"/>
      <c r="H21" s="73" t="s">
        <v>202</v>
      </c>
      <c r="I21" s="73" t="s">
        <v>1082</v>
      </c>
      <c r="J21" s="74" t="s">
        <v>1083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5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zoomScale="80" zoomScaleNormal="80" workbookViewId="0">
      <pane ySplit="4" topLeftCell="A5" activePane="bottomLeft" state="frozen"/>
      <selection activeCell="I3" sqref="I3:J3"/>
      <selection pane="bottomLeft" activeCell="I3" sqref="I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1084</v>
      </c>
      <c r="B1" s="1"/>
      <c r="C1" s="2" t="s">
        <v>1085</v>
      </c>
      <c r="D1" s="3">
        <f>SUM(F5:F71)</f>
        <v>169162</v>
      </c>
      <c r="E1" s="258" t="s">
        <v>1086</v>
      </c>
      <c r="F1" s="1">
        <f>SUM(G5:G71)</f>
        <v>5748071.0199999996</v>
      </c>
      <c r="G1" s="1" t="s">
        <v>1087</v>
      </c>
      <c r="H1" s="4">
        <f>L8+L13+L53+L58+L19+L64+L35+L44+L27+L71</f>
        <v>161.29166666666666</v>
      </c>
      <c r="I1" s="454" t="s">
        <v>1088</v>
      </c>
      <c r="J1" s="454"/>
      <c r="K1" s="454"/>
      <c r="L1" s="454" t="s">
        <v>1089</v>
      </c>
      <c r="M1" s="454"/>
      <c r="N1" s="454"/>
      <c r="O1" s="454" t="s">
        <v>1090</v>
      </c>
      <c r="P1" s="454"/>
      <c r="Q1" s="454"/>
      <c r="R1" s="454"/>
      <c r="S1" s="454" t="s">
        <v>1091</v>
      </c>
      <c r="T1" s="454"/>
      <c r="U1" s="454"/>
      <c r="V1" s="454"/>
      <c r="W1" s="454"/>
      <c r="X1" s="454"/>
      <c r="Y1" s="454" t="s">
        <v>1092</v>
      </c>
      <c r="Z1" s="454"/>
      <c r="AA1" s="454" t="s">
        <v>1093</v>
      </c>
      <c r="AB1" s="455"/>
      <c r="AC1" s="455"/>
    </row>
    <row r="2" spans="1:29" ht="26.25" customHeight="1">
      <c r="A2" s="22">
        <v>45858</v>
      </c>
      <c r="B2" s="23" t="s">
        <v>414</v>
      </c>
      <c r="C2" s="2" t="s">
        <v>1094</v>
      </c>
      <c r="D2" s="6">
        <f>AVERAGE(N8,N13,N53,N58,N19,N64,N27,N35,N44,N71)</f>
        <v>128.07301154417249</v>
      </c>
      <c r="E2" s="7" t="s">
        <v>0</v>
      </c>
      <c r="F2" s="8">
        <f>F1/D1</f>
        <v>33.979682316359465</v>
      </c>
      <c r="G2" s="1" t="s">
        <v>1095</v>
      </c>
      <c r="H2" s="264">
        <f>COUNT(H5:H71)</f>
        <v>8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1096</v>
      </c>
      <c r="B3" s="456" t="s">
        <v>1097</v>
      </c>
      <c r="C3" s="456" t="s">
        <v>1098</v>
      </c>
      <c r="D3" s="456"/>
      <c r="E3" s="457" t="s">
        <v>1099</v>
      </c>
      <c r="F3" s="456" t="s">
        <v>1100</v>
      </c>
      <c r="G3" s="457" t="s">
        <v>1101</v>
      </c>
      <c r="H3" s="463" t="s">
        <v>1102</v>
      </c>
      <c r="I3" s="464" t="s">
        <v>1103</v>
      </c>
      <c r="J3" s="465" t="s">
        <v>1104</v>
      </c>
      <c r="K3" s="459" t="s">
        <v>1094</v>
      </c>
      <c r="L3" s="464" t="s">
        <v>1103</v>
      </c>
      <c r="M3" s="465" t="s">
        <v>1104</v>
      </c>
      <c r="N3" s="459" t="s">
        <v>1094</v>
      </c>
      <c r="O3" s="464" t="s">
        <v>1103</v>
      </c>
      <c r="P3" s="459" t="s">
        <v>1094</v>
      </c>
      <c r="Q3" s="460" t="s">
        <v>1105</v>
      </c>
      <c r="R3" s="461" t="s">
        <v>1106</v>
      </c>
      <c r="S3" s="462" t="s">
        <v>1</v>
      </c>
      <c r="T3" s="462"/>
      <c r="U3" s="463" t="s">
        <v>2</v>
      </c>
      <c r="V3" s="463" t="s">
        <v>1107</v>
      </c>
      <c r="W3" s="456" t="s">
        <v>1108</v>
      </c>
      <c r="X3" s="456"/>
      <c r="Y3" s="475" t="s">
        <v>1109</v>
      </c>
      <c r="Z3" s="476"/>
      <c r="AA3" s="465" t="s">
        <v>1104</v>
      </c>
      <c r="AB3" s="460" t="s">
        <v>1110</v>
      </c>
      <c r="AC3" s="461" t="s">
        <v>1106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63" t="s">
        <v>3</v>
      </c>
      <c r="T4" s="263" t="s">
        <v>4</v>
      </c>
      <c r="U4" s="463"/>
      <c r="V4" s="463"/>
      <c r="W4" s="258" t="s">
        <v>1111</v>
      </c>
      <c r="X4" s="258" t="s">
        <v>1112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263">
        <v>1300</v>
      </c>
      <c r="G5" s="258">
        <f>E5*F5</f>
        <v>61009</v>
      </c>
      <c r="H5" s="76" t="s">
        <v>57</v>
      </c>
      <c r="I5" s="261">
        <v>17</v>
      </c>
      <c r="J5" s="18">
        <v>1800</v>
      </c>
      <c r="K5" s="9">
        <f>J5/I5</f>
        <v>105.88235294117646</v>
      </c>
      <c r="L5" s="261">
        <v>17</v>
      </c>
      <c r="M5" s="10">
        <f>F5/V5*60</f>
        <v>1625.0000000000005</v>
      </c>
      <c r="N5" s="9">
        <f>M5/L5</f>
        <v>95.58823529411768</v>
      </c>
      <c r="O5" s="11">
        <f t="shared" ref="O5:O7" si="0">L5-I5</f>
        <v>0</v>
      </c>
      <c r="P5" s="12">
        <f t="shared" ref="P5:P7" si="1">N5-K5</f>
        <v>-10.294117647058783</v>
      </c>
      <c r="Q5" s="259">
        <f>N5/K5</f>
        <v>0.90277777777777812</v>
      </c>
      <c r="R5" s="470">
        <f>Q8</f>
        <v>0.90648285661899541</v>
      </c>
      <c r="S5" s="24">
        <v>0.70833333333333337</v>
      </c>
      <c r="T5" s="24">
        <v>0.7416666666666667</v>
      </c>
      <c r="U5" s="258"/>
      <c r="V5" s="262">
        <f>(T5-S5)*24*60</f>
        <v>47.999999999999986</v>
      </c>
      <c r="W5" s="13"/>
      <c r="X5" s="13"/>
      <c r="Y5" s="456"/>
      <c r="Z5" s="456"/>
      <c r="AA5" s="11">
        <f t="shared" ref="AA5:AA68" si="2">M5-J5</f>
        <v>-174.99999999999955</v>
      </c>
      <c r="AB5" s="259">
        <f t="shared" ref="AB5:AB7" si="3">M5/J5</f>
        <v>0.90277777777777801</v>
      </c>
      <c r="AC5" s="470">
        <f>AB8</f>
        <v>0.9064828566189953</v>
      </c>
    </row>
    <row r="6" spans="1:29">
      <c r="A6" s="464" t="s">
        <v>152</v>
      </c>
      <c r="B6" s="26" t="s">
        <v>13</v>
      </c>
      <c r="C6" s="472" t="s">
        <v>60</v>
      </c>
      <c r="D6" s="472"/>
      <c r="E6" s="26">
        <v>50.49</v>
      </c>
      <c r="F6" s="263">
        <v>2181</v>
      </c>
      <c r="G6" s="258">
        <f t="shared" ref="G6:G7" si="4">E6*F6</f>
        <v>110118.69</v>
      </c>
      <c r="H6" s="76" t="s">
        <v>57</v>
      </c>
      <c r="I6" s="261">
        <v>16</v>
      </c>
      <c r="J6" s="18">
        <v>1800</v>
      </c>
      <c r="K6" s="9">
        <f t="shared" ref="K6:K7" si="5">J6/I6</f>
        <v>112.5</v>
      </c>
      <c r="L6" s="261">
        <v>16</v>
      </c>
      <c r="M6" s="10">
        <f>F6/V6*60</f>
        <v>1635.7499999999993</v>
      </c>
      <c r="N6" s="9">
        <f t="shared" ref="N6:N7" si="6">M6/L6</f>
        <v>102.23437499999996</v>
      </c>
      <c r="O6" s="11">
        <f t="shared" si="0"/>
        <v>0</v>
      </c>
      <c r="P6" s="12">
        <f t="shared" si="1"/>
        <v>-10.265625000000043</v>
      </c>
      <c r="Q6" s="259">
        <f t="shared" ref="Q6:Q7" si="7">N6/K6</f>
        <v>0.90874999999999961</v>
      </c>
      <c r="R6" s="470"/>
      <c r="S6" s="24">
        <v>0.74722222222222223</v>
      </c>
      <c r="T6" s="24">
        <v>0.80277777777777781</v>
      </c>
      <c r="U6" s="258">
        <f>(S6-T5)*24*60</f>
        <v>7.9999999999999716</v>
      </c>
      <c r="V6" s="262">
        <f>(T6-S6)*24*60</f>
        <v>80.000000000000028</v>
      </c>
      <c r="W6" s="14"/>
      <c r="X6" s="14"/>
      <c r="Y6" s="456"/>
      <c r="Z6" s="456"/>
      <c r="AA6" s="11">
        <f t="shared" si="2"/>
        <v>-164.25000000000068</v>
      </c>
      <c r="AB6" s="259">
        <f t="shared" si="3"/>
        <v>0.90874999999999961</v>
      </c>
      <c r="AC6" s="470"/>
    </row>
    <row r="7" spans="1:29">
      <c r="A7" s="464" t="s">
        <v>152</v>
      </c>
      <c r="B7" s="26" t="s">
        <v>13</v>
      </c>
      <c r="C7" s="468" t="s">
        <v>448</v>
      </c>
      <c r="D7" s="469"/>
      <c r="E7" s="26">
        <v>50.67</v>
      </c>
      <c r="F7" s="263">
        <v>2751</v>
      </c>
      <c r="G7" s="258">
        <f t="shared" si="4"/>
        <v>139393.17000000001</v>
      </c>
      <c r="H7" s="76" t="s">
        <v>57</v>
      </c>
      <c r="I7" s="261">
        <v>18</v>
      </c>
      <c r="J7" s="18">
        <v>1800</v>
      </c>
      <c r="K7" s="9">
        <f t="shared" si="5"/>
        <v>100</v>
      </c>
      <c r="L7" s="261">
        <v>18</v>
      </c>
      <c r="M7" s="10">
        <f t="shared" ref="M7" si="8">F7/V7*60</f>
        <v>1634.2574257425749</v>
      </c>
      <c r="N7" s="9">
        <f t="shared" si="6"/>
        <v>90.792079207920835</v>
      </c>
      <c r="O7" s="11">
        <f t="shared" si="0"/>
        <v>0</v>
      </c>
      <c r="P7" s="12">
        <f t="shared" si="1"/>
        <v>-9.2079207920791646</v>
      </c>
      <c r="Q7" s="259">
        <f t="shared" si="7"/>
        <v>0.90792079207920839</v>
      </c>
      <c r="R7" s="470"/>
      <c r="S7" s="24">
        <v>0.80625000000000002</v>
      </c>
      <c r="T7" s="24">
        <v>0.87638888888888888</v>
      </c>
      <c r="U7" s="258">
        <f t="shared" ref="U7" si="9">(S7-T6)*24*60</f>
        <v>4.9999999999999822</v>
      </c>
      <c r="V7" s="262">
        <f t="shared" ref="V7" si="10">(T7-S7)*24*60</f>
        <v>100.99999999999996</v>
      </c>
      <c r="W7" s="14"/>
      <c r="X7" s="14"/>
      <c r="Y7" s="473"/>
      <c r="Z7" s="474"/>
      <c r="AA7" s="11">
        <f t="shared" si="2"/>
        <v>-165.74257425742508</v>
      </c>
      <c r="AB7" s="259">
        <f t="shared" si="3"/>
        <v>0.90792079207920828</v>
      </c>
      <c r="AC7" s="470"/>
    </row>
    <row r="8" spans="1:29">
      <c r="A8" s="464" t="s">
        <v>152</v>
      </c>
      <c r="B8" s="26" t="s">
        <v>154</v>
      </c>
      <c r="C8" s="466"/>
      <c r="D8" s="466"/>
      <c r="E8" s="257"/>
      <c r="F8" s="16"/>
      <c r="G8" s="9"/>
      <c r="H8" s="26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1631.6691419141916</v>
      </c>
      <c r="N8" s="9">
        <f>M8/L8</f>
        <v>95.980537759658333</v>
      </c>
      <c r="O8" s="11">
        <f>L8-I8</f>
        <v>0</v>
      </c>
      <c r="P8" s="12">
        <f>N8-K8</f>
        <v>-9.9018151815181312</v>
      </c>
      <c r="Q8" s="259">
        <f>N8/K8</f>
        <v>0.90648285661899541</v>
      </c>
      <c r="R8" s="470"/>
      <c r="S8" s="24"/>
      <c r="T8" s="24"/>
      <c r="U8" s="258"/>
      <c r="V8" s="262"/>
      <c r="W8" s="9"/>
      <c r="X8" s="9"/>
      <c r="Y8" s="456"/>
      <c r="Z8" s="456"/>
      <c r="AA8" s="11">
        <f t="shared" si="2"/>
        <v>-168.33085808580836</v>
      </c>
      <c r="AB8" s="259">
        <f>M8/J8</f>
        <v>0.9064828566189953</v>
      </c>
      <c r="AC8" s="470"/>
    </row>
    <row r="9" spans="1:29" ht="15.75" customHeight="1">
      <c r="A9" s="467" t="s">
        <v>1113</v>
      </c>
      <c r="B9" s="26" t="s">
        <v>15</v>
      </c>
      <c r="C9" s="468" t="s">
        <v>16</v>
      </c>
      <c r="D9" s="469"/>
      <c r="E9" s="26">
        <v>39.619999999999997</v>
      </c>
      <c r="F9" s="263">
        <v>4555</v>
      </c>
      <c r="G9" s="258">
        <f t="shared" ref="G9:G12" si="11">E9*F9</f>
        <v>180469.09999999998</v>
      </c>
      <c r="H9" s="76" t="s">
        <v>57</v>
      </c>
      <c r="I9" s="261">
        <v>19</v>
      </c>
      <c r="J9" s="18">
        <v>1500</v>
      </c>
      <c r="K9" s="9">
        <f t="shared" ref="K9:K12" si="12">J9/I9</f>
        <v>78.94736842105263</v>
      </c>
      <c r="L9" s="261">
        <v>19</v>
      </c>
      <c r="M9" s="10">
        <f t="shared" ref="M9:M12" si="13">F9/V9*60</f>
        <v>1359.7014925373135</v>
      </c>
      <c r="N9" s="9">
        <f t="shared" ref="N9:N12" si="14">M9/L9</f>
        <v>71.563236449332294</v>
      </c>
      <c r="O9" s="11">
        <f t="shared" ref="O9:O12" si="15">L9-I9</f>
        <v>0</v>
      </c>
      <c r="P9" s="12">
        <f>N9-K9</f>
        <v>-7.3841319717203362</v>
      </c>
      <c r="Q9" s="259">
        <f>N9/K9</f>
        <v>0.90646766169154236</v>
      </c>
      <c r="R9" s="470">
        <f>Q13</f>
        <v>0.90345215515274624</v>
      </c>
      <c r="S9" s="24">
        <v>0.12847222222222221</v>
      </c>
      <c r="T9" s="24">
        <v>0.26805555555555555</v>
      </c>
      <c r="U9" s="258"/>
      <c r="V9" s="262">
        <f t="shared" ref="V9:V12" si="16">(T9-S9)*24*60</f>
        <v>201</v>
      </c>
      <c r="W9" s="9"/>
      <c r="X9" s="9"/>
      <c r="Y9" s="456"/>
      <c r="Z9" s="456"/>
      <c r="AA9" s="11">
        <f t="shared" si="2"/>
        <v>-140.29850746268653</v>
      </c>
      <c r="AB9" s="259">
        <f>M9/J9</f>
        <v>0.90646766169154236</v>
      </c>
      <c r="AC9" s="470">
        <f>AB13</f>
        <v>0.90345215515274624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63">
        <v>2500</v>
      </c>
      <c r="G10" s="258">
        <f t="shared" si="11"/>
        <v>99500</v>
      </c>
      <c r="H10" s="76">
        <v>2</v>
      </c>
      <c r="I10" s="261">
        <v>18</v>
      </c>
      <c r="J10" s="18">
        <v>1500</v>
      </c>
      <c r="K10" s="9">
        <f t="shared" si="12"/>
        <v>83.333333333333329</v>
      </c>
      <c r="L10" s="261">
        <v>18</v>
      </c>
      <c r="M10" s="10">
        <f t="shared" si="13"/>
        <v>1351.3513513513512</v>
      </c>
      <c r="N10" s="9">
        <f t="shared" si="14"/>
        <v>75.075075075075063</v>
      </c>
      <c r="O10" s="11">
        <f t="shared" si="15"/>
        <v>0</v>
      </c>
      <c r="P10" s="12">
        <f t="shared" ref="P10:P12" si="17">N10-K10</f>
        <v>-8.258258258258266</v>
      </c>
      <c r="Q10" s="259">
        <f t="shared" ref="Q10:Q12" si="18">N10/K10</f>
        <v>0.9009009009009008</v>
      </c>
      <c r="R10" s="470"/>
      <c r="S10" s="24">
        <v>0.29236111111111107</v>
      </c>
      <c r="T10" s="24">
        <v>0.36944444444444441</v>
      </c>
      <c r="U10" s="258">
        <f>(S10-T9)*24*60</f>
        <v>34.999999999999957</v>
      </c>
      <c r="V10" s="262">
        <f t="shared" si="16"/>
        <v>111</v>
      </c>
      <c r="W10" s="14"/>
      <c r="X10" s="14"/>
      <c r="Y10" s="456"/>
      <c r="Z10" s="456"/>
      <c r="AA10" s="11">
        <f t="shared" si="2"/>
        <v>-148.64864864864876</v>
      </c>
      <c r="AB10" s="259">
        <f t="shared" ref="AB10:AB27" si="19">M10/J10</f>
        <v>0.9009009009009008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63">
        <v>4546</v>
      </c>
      <c r="G11" s="258">
        <f t="shared" si="11"/>
        <v>178612.34</v>
      </c>
      <c r="H11" s="76" t="s">
        <v>57</v>
      </c>
      <c r="I11" s="261">
        <v>19</v>
      </c>
      <c r="J11" s="18">
        <v>1500</v>
      </c>
      <c r="K11" s="9">
        <f t="shared" si="12"/>
        <v>78.94736842105263</v>
      </c>
      <c r="L11" s="261">
        <v>19</v>
      </c>
      <c r="M11" s="10">
        <f t="shared" si="13"/>
        <v>1350.2970297029703</v>
      </c>
      <c r="N11" s="9">
        <f t="shared" si="14"/>
        <v>71.068264721208962</v>
      </c>
      <c r="O11" s="11">
        <f t="shared" si="15"/>
        <v>0</v>
      </c>
      <c r="P11" s="12">
        <f t="shared" si="17"/>
        <v>-7.8791036998436681</v>
      </c>
      <c r="Q11" s="259">
        <f t="shared" si="18"/>
        <v>0.90019801980198022</v>
      </c>
      <c r="R11" s="470"/>
      <c r="S11" s="24">
        <v>0.37847222222222215</v>
      </c>
      <c r="T11" s="24">
        <v>0.51874999999999993</v>
      </c>
      <c r="U11" s="258">
        <f t="shared" ref="U11:U12" si="20">(S11-T10)*24*60</f>
        <v>12.999999999999954</v>
      </c>
      <c r="V11" s="262">
        <f t="shared" si="16"/>
        <v>202</v>
      </c>
      <c r="W11" s="14"/>
      <c r="X11" s="14"/>
      <c r="Y11" s="456"/>
      <c r="Z11" s="456"/>
      <c r="AA11" s="11">
        <f t="shared" si="2"/>
        <v>-149.70297029702965</v>
      </c>
      <c r="AB11" s="259">
        <f t="shared" si="19"/>
        <v>0.90019801980198022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63">
        <v>3557</v>
      </c>
      <c r="G12" s="258">
        <f t="shared" si="11"/>
        <v>141568.59999999998</v>
      </c>
      <c r="H12" s="76" t="s">
        <v>57</v>
      </c>
      <c r="I12" s="261">
        <v>18</v>
      </c>
      <c r="J12" s="18">
        <v>1500</v>
      </c>
      <c r="K12" s="9">
        <f t="shared" si="12"/>
        <v>83.333333333333329</v>
      </c>
      <c r="L12" s="261">
        <v>18</v>
      </c>
      <c r="M12" s="10">
        <f t="shared" si="13"/>
        <v>1359.3630573248415</v>
      </c>
      <c r="N12" s="9">
        <f t="shared" si="14"/>
        <v>75.520169851380089</v>
      </c>
      <c r="O12" s="11">
        <f t="shared" si="15"/>
        <v>0</v>
      </c>
      <c r="P12" s="12">
        <f t="shared" si="17"/>
        <v>-7.8131634819532394</v>
      </c>
      <c r="Q12" s="259">
        <f t="shared" si="18"/>
        <v>0.90624203821656113</v>
      </c>
      <c r="R12" s="470"/>
      <c r="S12" s="24">
        <v>0.55902777777777768</v>
      </c>
      <c r="T12" s="24">
        <v>0.6680555555555554</v>
      </c>
      <c r="U12" s="258">
        <f t="shared" si="20"/>
        <v>57.999999999999957</v>
      </c>
      <c r="V12" s="262">
        <f t="shared" si="16"/>
        <v>156.99999999999991</v>
      </c>
      <c r="W12" s="14"/>
      <c r="X12" s="14"/>
      <c r="Y12" s="456"/>
      <c r="Z12" s="456"/>
      <c r="AA12" s="11">
        <f t="shared" si="2"/>
        <v>-140.63694267515848</v>
      </c>
      <c r="AB12" s="259">
        <f t="shared" si="19"/>
        <v>0.90624203821656102</v>
      </c>
      <c r="AC12" s="470"/>
    </row>
    <row r="13" spans="1:29" ht="16.5" customHeight="1">
      <c r="A13" s="467" t="s">
        <v>5</v>
      </c>
      <c r="B13" s="26" t="s">
        <v>1114</v>
      </c>
      <c r="C13" s="466"/>
      <c r="D13" s="466"/>
      <c r="E13" s="257"/>
      <c r="F13" s="18"/>
      <c r="G13" s="10"/>
      <c r="H13" s="263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1355.1782327291194</v>
      </c>
      <c r="N13" s="9">
        <f>M13/L13</f>
        <v>73.252877444817258</v>
      </c>
      <c r="O13" s="11">
        <f>L13-I13</f>
        <v>0</v>
      </c>
      <c r="P13" s="12">
        <f>N13-K13</f>
        <v>-7.8282036362638223</v>
      </c>
      <c r="Q13" s="259">
        <f>N13/K13</f>
        <v>0.90345215515274624</v>
      </c>
      <c r="R13" s="470"/>
      <c r="S13" s="24"/>
      <c r="T13" s="24"/>
      <c r="U13" s="9"/>
      <c r="V13" s="262"/>
      <c r="W13" s="9"/>
      <c r="X13" s="9"/>
      <c r="Y13" s="456"/>
      <c r="Z13" s="456"/>
      <c r="AA13" s="11">
        <f t="shared" si="2"/>
        <v>-144.82176727088063</v>
      </c>
      <c r="AB13" s="259">
        <f t="shared" si="19"/>
        <v>0.90345215515274624</v>
      </c>
      <c r="AC13" s="470"/>
    </row>
    <row r="14" spans="1:29" ht="16.5" customHeight="1">
      <c r="A14" s="480" t="s">
        <v>1115</v>
      </c>
      <c r="B14" s="263" t="s">
        <v>18</v>
      </c>
      <c r="C14" s="477" t="s">
        <v>19</v>
      </c>
      <c r="D14" s="477"/>
      <c r="E14" s="26">
        <v>41</v>
      </c>
      <c r="F14" s="263">
        <v>2011</v>
      </c>
      <c r="G14" s="258">
        <f t="shared" ref="G14:G18" si="21">E14*F14</f>
        <v>82451</v>
      </c>
      <c r="H14" s="76" t="s">
        <v>57</v>
      </c>
      <c r="I14" s="261">
        <v>26</v>
      </c>
      <c r="J14" s="18">
        <v>1286</v>
      </c>
      <c r="K14" s="9">
        <f>J14/I14</f>
        <v>49.46153846153846</v>
      </c>
      <c r="L14" s="261">
        <v>26</v>
      </c>
      <c r="M14" s="10">
        <f>F14/V14*60</f>
        <v>1160.1923076923074</v>
      </c>
      <c r="N14" s="9">
        <f t="shared" ref="N14:N26" si="22">M14/L14</f>
        <v>44.622781065088745</v>
      </c>
      <c r="O14" s="11">
        <f t="shared" ref="O14" si="23">L14-I14</f>
        <v>0</v>
      </c>
      <c r="P14" s="12">
        <f t="shared" ref="P14" si="24">N14-K14</f>
        <v>-4.838757396449715</v>
      </c>
      <c r="Q14" s="259">
        <f>N14/K14</f>
        <v>0.90217131235793735</v>
      </c>
      <c r="R14" s="470">
        <f>Q19</f>
        <v>0.90669423659037651</v>
      </c>
      <c r="S14" s="24">
        <v>0.25</v>
      </c>
      <c r="T14" s="24">
        <v>0.32222222222222224</v>
      </c>
      <c r="U14" s="258"/>
      <c r="V14" s="262">
        <f>(T14-S14)*24*60</f>
        <v>104.00000000000003</v>
      </c>
      <c r="W14" s="15"/>
      <c r="X14" s="15"/>
      <c r="Y14" s="456"/>
      <c r="Z14" s="456"/>
      <c r="AA14" s="11">
        <f t="shared" si="2"/>
        <v>-125.80769230769261</v>
      </c>
      <c r="AB14" s="259">
        <f t="shared" si="19"/>
        <v>0.90217131235793735</v>
      </c>
      <c r="AC14" s="470">
        <f>AB19</f>
        <v>0.90669423659037662</v>
      </c>
    </row>
    <row r="15" spans="1:29" ht="16.5" customHeight="1">
      <c r="A15" s="481" t="s">
        <v>6</v>
      </c>
      <c r="B15" s="263" t="s">
        <v>15</v>
      </c>
      <c r="C15" s="477" t="s">
        <v>68</v>
      </c>
      <c r="D15" s="477"/>
      <c r="E15" s="26">
        <v>39.29</v>
      </c>
      <c r="F15" s="263">
        <v>2202</v>
      </c>
      <c r="G15" s="258">
        <f t="shared" si="21"/>
        <v>86516.58</v>
      </c>
      <c r="H15" s="76" t="s">
        <v>57</v>
      </c>
      <c r="I15" s="261">
        <v>18</v>
      </c>
      <c r="J15" s="18">
        <v>1500</v>
      </c>
      <c r="K15" s="9">
        <f>J15/I15</f>
        <v>83.333333333333329</v>
      </c>
      <c r="L15" s="261">
        <v>18</v>
      </c>
      <c r="M15" s="10">
        <f>F15/V15*60</f>
        <v>1362.0618556701036</v>
      </c>
      <c r="N15" s="9">
        <f t="shared" si="22"/>
        <v>75.670103092783535</v>
      </c>
      <c r="O15" s="11">
        <f>L15-I15</f>
        <v>0</v>
      </c>
      <c r="P15" s="12">
        <f>N15-K15</f>
        <v>-7.6632302405497938</v>
      </c>
      <c r="Q15" s="259">
        <f>N15/K15</f>
        <v>0.90804123711340246</v>
      </c>
      <c r="R15" s="470"/>
      <c r="S15" s="24">
        <v>0.33124999999999999</v>
      </c>
      <c r="T15" s="24">
        <v>0.39861111111111108</v>
      </c>
      <c r="U15" s="258">
        <f>(S15-T14)*24*60</f>
        <v>12.999999999999954</v>
      </c>
      <c r="V15" s="262">
        <f>(T15-S15)*24*60</f>
        <v>96.999999999999972</v>
      </c>
      <c r="W15" s="14"/>
      <c r="X15" s="14"/>
      <c r="Y15" s="456"/>
      <c r="Z15" s="456"/>
      <c r="AA15" s="11">
        <f t="shared" si="2"/>
        <v>-137.93814432989643</v>
      </c>
      <c r="AB15" s="259">
        <f t="shared" si="19"/>
        <v>0.90804123711340234</v>
      </c>
      <c r="AC15" s="470"/>
    </row>
    <row r="16" spans="1:29" ht="16.5" customHeight="1">
      <c r="A16" s="481" t="s">
        <v>6</v>
      </c>
      <c r="B16" s="263" t="s">
        <v>15</v>
      </c>
      <c r="C16" s="477" t="s">
        <v>54</v>
      </c>
      <c r="D16" s="477"/>
      <c r="E16" s="26">
        <v>39.29</v>
      </c>
      <c r="F16" s="263">
        <v>3512</v>
      </c>
      <c r="G16" s="258">
        <f t="shared" si="21"/>
        <v>137986.48000000001</v>
      </c>
      <c r="H16" s="76" t="s">
        <v>57</v>
      </c>
      <c r="I16" s="261">
        <v>17</v>
      </c>
      <c r="J16" s="18">
        <v>1500</v>
      </c>
      <c r="K16" s="9">
        <f t="shared" ref="K16:K18" si="25">J16/I16</f>
        <v>88.235294117647058</v>
      </c>
      <c r="L16" s="261">
        <v>17</v>
      </c>
      <c r="M16" s="10">
        <f t="shared" ref="M16:M18" si="26">F16/V16*60</f>
        <v>1359.483870967742</v>
      </c>
      <c r="N16" s="9">
        <f t="shared" si="22"/>
        <v>79.969639468690701</v>
      </c>
      <c r="O16" s="11">
        <f t="shared" ref="O16:O18" si="27">L16-I16</f>
        <v>0</v>
      </c>
      <c r="P16" s="12">
        <f t="shared" ref="P16:P18" si="28">N16-K16</f>
        <v>-8.2656546489563567</v>
      </c>
      <c r="Q16" s="259">
        <f t="shared" ref="Q16:Q26" si="29">N16/K16</f>
        <v>0.90632258064516125</v>
      </c>
      <c r="R16" s="470"/>
      <c r="S16" s="24">
        <v>0.40763888888888883</v>
      </c>
      <c r="T16" s="24">
        <v>0.51527777777777772</v>
      </c>
      <c r="U16" s="258">
        <f t="shared" ref="U16:U18" si="30">(S16-T15)*24*60</f>
        <v>12.999999999999954</v>
      </c>
      <c r="V16" s="262">
        <f t="shared" ref="V16:V18" si="31">(T16-S16)*24*60</f>
        <v>155</v>
      </c>
      <c r="W16" s="14"/>
      <c r="X16" s="14"/>
      <c r="Y16" s="456"/>
      <c r="Z16" s="456"/>
      <c r="AA16" s="11">
        <f t="shared" si="2"/>
        <v>-140.51612903225805</v>
      </c>
      <c r="AB16" s="259">
        <f t="shared" si="19"/>
        <v>0.90632258064516125</v>
      </c>
      <c r="AC16" s="470"/>
    </row>
    <row r="17" spans="1:29" ht="16.5" customHeight="1">
      <c r="A17" s="481" t="s">
        <v>6</v>
      </c>
      <c r="B17" s="263" t="s">
        <v>13</v>
      </c>
      <c r="C17" s="477" t="s">
        <v>63</v>
      </c>
      <c r="D17" s="477"/>
      <c r="E17" s="26">
        <v>50.98</v>
      </c>
      <c r="F17" s="263">
        <v>2720</v>
      </c>
      <c r="G17" s="258">
        <f t="shared" si="21"/>
        <v>138665.60000000001</v>
      </c>
      <c r="H17" s="76" t="s">
        <v>57</v>
      </c>
      <c r="I17" s="261">
        <v>17</v>
      </c>
      <c r="J17" s="18">
        <v>1800</v>
      </c>
      <c r="K17" s="9">
        <f t="shared" si="25"/>
        <v>105.88235294117646</v>
      </c>
      <c r="L17" s="261">
        <v>17</v>
      </c>
      <c r="M17" s="10">
        <f t="shared" si="26"/>
        <v>1632.0000000000005</v>
      </c>
      <c r="N17" s="9">
        <f t="shared" si="22"/>
        <v>96.000000000000028</v>
      </c>
      <c r="O17" s="11">
        <f t="shared" si="27"/>
        <v>0</v>
      </c>
      <c r="P17" s="12">
        <f t="shared" si="28"/>
        <v>-9.8823529411764355</v>
      </c>
      <c r="Q17" s="259">
        <f t="shared" si="29"/>
        <v>0.90666666666666695</v>
      </c>
      <c r="R17" s="470"/>
      <c r="S17" s="24">
        <v>0.70833333333333337</v>
      </c>
      <c r="T17" s="24">
        <v>0.77777777777777779</v>
      </c>
      <c r="U17" s="258">
        <f t="shared" si="30"/>
        <v>278.00000000000011</v>
      </c>
      <c r="V17" s="262">
        <f t="shared" si="31"/>
        <v>99.999999999999972</v>
      </c>
      <c r="W17" s="14"/>
      <c r="X17" s="14"/>
      <c r="Y17" s="456"/>
      <c r="Z17" s="456"/>
      <c r="AA17" s="11">
        <f t="shared" si="2"/>
        <v>-167.99999999999955</v>
      </c>
      <c r="AB17" s="259">
        <f t="shared" si="19"/>
        <v>0.90666666666666695</v>
      </c>
      <c r="AC17" s="470"/>
    </row>
    <row r="18" spans="1:29" ht="16.5" customHeight="1">
      <c r="A18" s="481" t="s">
        <v>6</v>
      </c>
      <c r="B18" s="263" t="s">
        <v>13</v>
      </c>
      <c r="C18" s="477" t="s">
        <v>66</v>
      </c>
      <c r="D18" s="477"/>
      <c r="E18" s="26">
        <v>57.73</v>
      </c>
      <c r="F18" s="263">
        <v>1842</v>
      </c>
      <c r="G18" s="258">
        <f t="shared" si="21"/>
        <v>106338.65999999999</v>
      </c>
      <c r="H18" s="76" t="s">
        <v>57</v>
      </c>
      <c r="I18" s="261">
        <v>16</v>
      </c>
      <c r="J18" s="18">
        <v>1500</v>
      </c>
      <c r="K18" s="9">
        <f t="shared" si="25"/>
        <v>93.75</v>
      </c>
      <c r="L18" s="261">
        <v>16</v>
      </c>
      <c r="M18" s="10">
        <f t="shared" si="26"/>
        <v>1364.4444444444439</v>
      </c>
      <c r="N18" s="9">
        <f t="shared" si="22"/>
        <v>85.277777777777743</v>
      </c>
      <c r="O18" s="11">
        <f t="shared" si="27"/>
        <v>0</v>
      </c>
      <c r="P18" s="12">
        <f t="shared" si="28"/>
        <v>-8.472222222222257</v>
      </c>
      <c r="Q18" s="259">
        <f t="shared" si="29"/>
        <v>0.90962962962962923</v>
      </c>
      <c r="R18" s="470"/>
      <c r="S18" s="24">
        <v>0.78263888888888888</v>
      </c>
      <c r="T18" s="24">
        <v>0.83888888888888891</v>
      </c>
      <c r="U18" s="258">
        <f t="shared" si="30"/>
        <v>6.9999999999999751</v>
      </c>
      <c r="V18" s="262">
        <f t="shared" si="31"/>
        <v>81.000000000000028</v>
      </c>
      <c r="W18" s="14"/>
      <c r="X18" s="14"/>
      <c r="Y18" s="456"/>
      <c r="Z18" s="456"/>
      <c r="AA18" s="11">
        <f t="shared" si="2"/>
        <v>-135.55555555555611</v>
      </c>
      <c r="AB18" s="259">
        <f t="shared" si="19"/>
        <v>0.90962962962962923</v>
      </c>
      <c r="AC18" s="470"/>
    </row>
    <row r="19" spans="1:29" ht="16.5" customHeight="1">
      <c r="A19" s="481" t="s">
        <v>6</v>
      </c>
      <c r="B19" s="26" t="s">
        <v>154</v>
      </c>
      <c r="C19" s="466"/>
      <c r="D19" s="466"/>
      <c r="E19" s="257"/>
      <c r="F19" s="16"/>
      <c r="G19" s="9"/>
      <c r="H19" s="263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1375.6364957549195</v>
      </c>
      <c r="N19" s="9">
        <f t="shared" si="22"/>
        <v>73.172154029516989</v>
      </c>
      <c r="O19" s="11">
        <f>L19-I19</f>
        <v>0</v>
      </c>
      <c r="P19" s="12">
        <f>N19-K19</f>
        <v>-7.5299736300574835</v>
      </c>
      <c r="Q19" s="259">
        <f t="shared" si="29"/>
        <v>0.90669423659037651</v>
      </c>
      <c r="R19" s="470"/>
      <c r="S19" s="24"/>
      <c r="T19" s="24"/>
      <c r="U19" s="258"/>
      <c r="V19" s="262"/>
      <c r="W19" s="9"/>
      <c r="X19" s="9"/>
      <c r="Y19" s="456"/>
      <c r="Z19" s="456"/>
      <c r="AA19" s="11">
        <f t="shared" si="2"/>
        <v>-141.56350424508059</v>
      </c>
      <c r="AB19" s="259">
        <f t="shared" si="19"/>
        <v>0.90669423659037662</v>
      </c>
      <c r="AC19" s="470"/>
    </row>
    <row r="20" spans="1:29" ht="15.75" customHeight="1">
      <c r="A20" s="478" t="s">
        <v>1116</v>
      </c>
      <c r="B20" s="26" t="s">
        <v>21</v>
      </c>
      <c r="C20" s="477" t="s">
        <v>22</v>
      </c>
      <c r="D20" s="477"/>
      <c r="E20" s="26">
        <v>43.14</v>
      </c>
      <c r="F20" s="263">
        <v>1385</v>
      </c>
      <c r="G20" s="258">
        <f t="shared" ref="G20:G26" si="32">E20*F20</f>
        <v>59748.9</v>
      </c>
      <c r="H20" s="76" t="s">
        <v>57</v>
      </c>
      <c r="I20" s="261">
        <v>17</v>
      </c>
      <c r="J20" s="18">
        <v>1200</v>
      </c>
      <c r="K20" s="9">
        <f t="shared" ref="K20:K27" si="33">J20/I20</f>
        <v>70.588235294117652</v>
      </c>
      <c r="L20" s="261">
        <v>17</v>
      </c>
      <c r="M20" s="10">
        <f t="shared" ref="M20:M26" si="34">F20/V20*60</f>
        <v>1093.4210526315787</v>
      </c>
      <c r="N20" s="9">
        <f t="shared" si="22"/>
        <v>64.31888544891639</v>
      </c>
      <c r="O20" s="11">
        <f t="shared" ref="O20:O26" si="35">L20-I20</f>
        <v>0</v>
      </c>
      <c r="P20" s="12">
        <f t="shared" ref="P20:P26" si="36">N20-K20</f>
        <v>-6.2693498452012619</v>
      </c>
      <c r="Q20" s="259">
        <f t="shared" si="29"/>
        <v>0.91118421052631549</v>
      </c>
      <c r="R20" s="470">
        <f>Q27</f>
        <v>0.91037074691961228</v>
      </c>
      <c r="S20" s="24">
        <v>0.16666666666666666</v>
      </c>
      <c r="T20" s="24">
        <v>0.21944444444444444</v>
      </c>
      <c r="U20" s="258"/>
      <c r="V20" s="262">
        <f>(T20-S20)*24*60</f>
        <v>76.000000000000014</v>
      </c>
      <c r="W20" s="15"/>
      <c r="X20" s="15"/>
      <c r="Y20" s="456"/>
      <c r="Z20" s="456"/>
      <c r="AA20" s="11">
        <f t="shared" si="2"/>
        <v>-106.57894736842127</v>
      </c>
      <c r="AB20" s="259">
        <f t="shared" si="19"/>
        <v>0.9111842105263156</v>
      </c>
      <c r="AC20" s="470">
        <f>AB27</f>
        <v>0.91037074691961228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63">
        <v>2813</v>
      </c>
      <c r="G21" s="258">
        <f t="shared" si="32"/>
        <v>162394.49</v>
      </c>
      <c r="H21" s="76" t="s">
        <v>57</v>
      </c>
      <c r="I21" s="261">
        <v>16</v>
      </c>
      <c r="J21" s="18">
        <v>1800</v>
      </c>
      <c r="K21" s="9">
        <f t="shared" si="33"/>
        <v>112.5</v>
      </c>
      <c r="L21" s="261">
        <v>16</v>
      </c>
      <c r="M21" s="10">
        <f t="shared" si="34"/>
        <v>1622.884615384615</v>
      </c>
      <c r="N21" s="9">
        <f t="shared" si="22"/>
        <v>101.43028846153844</v>
      </c>
      <c r="O21" s="11">
        <f t="shared" si="35"/>
        <v>0</v>
      </c>
      <c r="P21" s="12">
        <f t="shared" si="36"/>
        <v>-11.069711538461561</v>
      </c>
      <c r="Q21" s="259">
        <f t="shared" si="29"/>
        <v>0.9016025641025639</v>
      </c>
      <c r="R21" s="470"/>
      <c r="S21" s="24">
        <v>0.23888888888888887</v>
      </c>
      <c r="T21" s="24">
        <v>0.31111111111111112</v>
      </c>
      <c r="U21" s="258">
        <f>(S21-T20)*24*60</f>
        <v>27.999999999999979</v>
      </c>
      <c r="V21" s="262">
        <f t="shared" ref="V21:V26" si="37">(T21-S21)*24*60</f>
        <v>104.00000000000003</v>
      </c>
      <c r="W21" s="14"/>
      <c r="X21" s="258"/>
      <c r="Y21" s="456"/>
      <c r="Z21" s="456"/>
      <c r="AA21" s="11">
        <f t="shared" si="2"/>
        <v>-177.11538461538498</v>
      </c>
      <c r="AB21" s="259">
        <f t="shared" si="19"/>
        <v>0.9016025641025639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63">
        <v>2048</v>
      </c>
      <c r="G22" s="258">
        <f t="shared" si="32"/>
        <v>109936.64</v>
      </c>
      <c r="H22" s="76" t="s">
        <v>57</v>
      </c>
      <c r="I22" s="261">
        <v>17</v>
      </c>
      <c r="J22" s="18">
        <v>1800</v>
      </c>
      <c r="K22" s="9">
        <f t="shared" si="33"/>
        <v>105.88235294117646</v>
      </c>
      <c r="L22" s="261">
        <v>17</v>
      </c>
      <c r="M22" s="10">
        <f t="shared" si="34"/>
        <v>1638.4000000000005</v>
      </c>
      <c r="N22" s="9">
        <f t="shared" si="22"/>
        <v>96.376470588235321</v>
      </c>
      <c r="O22" s="11">
        <f t="shared" si="35"/>
        <v>0</v>
      </c>
      <c r="P22" s="12">
        <f t="shared" si="36"/>
        <v>-9.5058823529411427</v>
      </c>
      <c r="Q22" s="259">
        <f t="shared" si="29"/>
        <v>0.91022222222222249</v>
      </c>
      <c r="R22" s="470"/>
      <c r="S22" s="24">
        <v>0.31527777777777777</v>
      </c>
      <c r="T22" s="24">
        <v>0.36736111111111108</v>
      </c>
      <c r="U22" s="258">
        <f t="shared" ref="U22:U26" si="38">(S22-T21)*24*60</f>
        <v>5.9999999999999787</v>
      </c>
      <c r="V22" s="262">
        <f t="shared" si="37"/>
        <v>74.999999999999972</v>
      </c>
      <c r="W22" s="14"/>
      <c r="X22" s="258"/>
      <c r="Y22" s="456"/>
      <c r="Z22" s="456"/>
      <c r="AA22" s="11">
        <f t="shared" si="2"/>
        <v>-161.59999999999945</v>
      </c>
      <c r="AB22" s="259">
        <f t="shared" si="19"/>
        <v>0.91022222222222249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63">
        <v>1360</v>
      </c>
      <c r="G23" s="258">
        <f t="shared" si="32"/>
        <v>68911.199999999997</v>
      </c>
      <c r="H23" s="76" t="s">
        <v>57</v>
      </c>
      <c r="I23" s="261">
        <v>16</v>
      </c>
      <c r="J23" s="18">
        <v>1800</v>
      </c>
      <c r="K23" s="9">
        <f t="shared" si="33"/>
        <v>112.5</v>
      </c>
      <c r="L23" s="261">
        <v>16</v>
      </c>
      <c r="M23" s="10">
        <f t="shared" si="34"/>
        <v>1632.0000000000005</v>
      </c>
      <c r="N23" s="9">
        <f t="shared" si="22"/>
        <v>102.00000000000003</v>
      </c>
      <c r="O23" s="11">
        <f t="shared" si="35"/>
        <v>0</v>
      </c>
      <c r="P23" s="12">
        <f t="shared" si="36"/>
        <v>-10.499999999999972</v>
      </c>
      <c r="Q23" s="259">
        <f t="shared" si="29"/>
        <v>0.90666666666666695</v>
      </c>
      <c r="R23" s="470"/>
      <c r="S23" s="24">
        <v>0.37152777777777773</v>
      </c>
      <c r="T23" s="24">
        <v>0.40624999999999994</v>
      </c>
      <c r="U23" s="258">
        <f t="shared" si="38"/>
        <v>5.9999999999999787</v>
      </c>
      <c r="V23" s="262">
        <f t="shared" si="37"/>
        <v>49.999999999999986</v>
      </c>
      <c r="W23" s="14"/>
      <c r="X23" s="258"/>
      <c r="Y23" s="456"/>
      <c r="Z23" s="456"/>
      <c r="AA23" s="11">
        <f t="shared" si="2"/>
        <v>-167.99999999999955</v>
      </c>
      <c r="AB23" s="259">
        <f t="shared" si="19"/>
        <v>0.90666666666666695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263">
        <v>3927</v>
      </c>
      <c r="G24" s="258">
        <f t="shared" si="32"/>
        <v>228433.59</v>
      </c>
      <c r="H24" s="76" t="s">
        <v>57</v>
      </c>
      <c r="I24" s="261">
        <v>19</v>
      </c>
      <c r="J24" s="18">
        <v>1800</v>
      </c>
      <c r="K24" s="9">
        <f t="shared" si="33"/>
        <v>94.736842105263165</v>
      </c>
      <c r="L24" s="261">
        <v>19</v>
      </c>
      <c r="M24" s="10">
        <f t="shared" si="34"/>
        <v>1624.9655172413786</v>
      </c>
      <c r="N24" s="9">
        <f t="shared" si="22"/>
        <v>85.524500907440981</v>
      </c>
      <c r="O24" s="11">
        <f t="shared" si="35"/>
        <v>0</v>
      </c>
      <c r="P24" s="12">
        <f t="shared" si="36"/>
        <v>-9.2123411978221839</v>
      </c>
      <c r="Q24" s="259">
        <f t="shared" si="29"/>
        <v>0.90275862068965473</v>
      </c>
      <c r="R24" s="470"/>
      <c r="S24" s="24">
        <v>0.40972222222222215</v>
      </c>
      <c r="T24" s="24">
        <v>0.51041666666666663</v>
      </c>
      <c r="U24" s="258">
        <f t="shared" si="38"/>
        <v>4.9999999999999822</v>
      </c>
      <c r="V24" s="262">
        <f t="shared" si="37"/>
        <v>145.00000000000006</v>
      </c>
      <c r="W24" s="14"/>
      <c r="X24" s="258"/>
      <c r="Y24" s="456"/>
      <c r="Z24" s="456"/>
      <c r="AA24" s="11">
        <f t="shared" si="2"/>
        <v>-175.03448275862138</v>
      </c>
      <c r="AB24" s="259">
        <f t="shared" si="19"/>
        <v>0.90275862068965473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263">
        <v>2947</v>
      </c>
      <c r="G25" s="258">
        <f t="shared" si="32"/>
        <v>150061.24</v>
      </c>
      <c r="H25" s="76" t="s">
        <v>57</v>
      </c>
      <c r="I25" s="261">
        <v>16</v>
      </c>
      <c r="J25" s="18">
        <v>1800</v>
      </c>
      <c r="K25" s="9">
        <f t="shared" si="33"/>
        <v>112.5</v>
      </c>
      <c r="L25" s="261">
        <v>16</v>
      </c>
      <c r="M25" s="10">
        <f t="shared" si="34"/>
        <v>1637.2222222222231</v>
      </c>
      <c r="N25" s="9">
        <f t="shared" si="22"/>
        <v>102.32638888888894</v>
      </c>
      <c r="O25" s="11">
        <f t="shared" si="35"/>
        <v>0</v>
      </c>
      <c r="P25" s="12">
        <f t="shared" si="36"/>
        <v>-10.173611111111057</v>
      </c>
      <c r="Q25" s="259">
        <f t="shared" si="29"/>
        <v>0.90956790123456843</v>
      </c>
      <c r="R25" s="470"/>
      <c r="S25" s="24">
        <v>0.70833333333333337</v>
      </c>
      <c r="T25" s="24">
        <v>0.78333333333333333</v>
      </c>
      <c r="U25" s="258">
        <f t="shared" si="38"/>
        <v>285.00000000000011</v>
      </c>
      <c r="V25" s="262">
        <f t="shared" si="37"/>
        <v>107.99999999999994</v>
      </c>
      <c r="W25" s="14"/>
      <c r="X25" s="15"/>
      <c r="Y25" s="456"/>
      <c r="Z25" s="456"/>
      <c r="AA25" s="11">
        <f t="shared" si="2"/>
        <v>-162.77777777777692</v>
      </c>
      <c r="AB25" s="259">
        <f t="shared" si="19"/>
        <v>0.90956790123456843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263">
        <v>754</v>
      </c>
      <c r="G26" s="258">
        <f t="shared" si="32"/>
        <v>40165.58</v>
      </c>
      <c r="H26" s="76" t="s">
        <v>57</v>
      </c>
      <c r="I26" s="261">
        <v>15</v>
      </c>
      <c r="J26" s="18">
        <v>1800</v>
      </c>
      <c r="K26" s="9">
        <f t="shared" si="33"/>
        <v>120</v>
      </c>
      <c r="L26" s="261">
        <v>15</v>
      </c>
      <c r="M26" s="10">
        <f t="shared" si="34"/>
        <v>1675.5555555555516</v>
      </c>
      <c r="N26" s="9">
        <f t="shared" si="22"/>
        <v>111.70370370370344</v>
      </c>
      <c r="O26" s="11">
        <f t="shared" si="35"/>
        <v>0</v>
      </c>
      <c r="P26" s="12">
        <f t="shared" si="36"/>
        <v>-8.2962962962965605</v>
      </c>
      <c r="Q26" s="259">
        <f t="shared" si="29"/>
        <v>0.93086419753086203</v>
      </c>
      <c r="R26" s="470"/>
      <c r="S26" s="24">
        <v>0.78888888888888886</v>
      </c>
      <c r="T26" s="24">
        <v>0.80763888888888891</v>
      </c>
      <c r="U26" s="258">
        <f t="shared" si="38"/>
        <v>7.9999999999999716</v>
      </c>
      <c r="V26" s="262">
        <f t="shared" si="37"/>
        <v>27.000000000000064</v>
      </c>
      <c r="W26" s="14"/>
      <c r="X26" s="15"/>
      <c r="Y26" s="473"/>
      <c r="Z26" s="474"/>
      <c r="AA26" s="11">
        <f t="shared" si="2"/>
        <v>-124.44444444444844</v>
      </c>
      <c r="AB26" s="259">
        <f t="shared" si="19"/>
        <v>0.93086419753086203</v>
      </c>
      <c r="AC26" s="470"/>
    </row>
    <row r="27" spans="1:29" ht="15.75" customHeight="1">
      <c r="A27" s="479" t="s">
        <v>7</v>
      </c>
      <c r="B27" s="26" t="s">
        <v>154</v>
      </c>
      <c r="C27" s="466"/>
      <c r="D27" s="466"/>
      <c r="E27" s="257"/>
      <c r="F27" s="263"/>
      <c r="G27" s="258"/>
      <c r="H27" s="263"/>
      <c r="I27" s="17">
        <v>16.571428571428573</v>
      </c>
      <c r="J27" s="18">
        <v>1714.2857142857142</v>
      </c>
      <c r="K27" s="9">
        <f t="shared" si="33"/>
        <v>103.44827586206895</v>
      </c>
      <c r="L27" s="17">
        <v>16.571428571428573</v>
      </c>
      <c r="M27" s="10">
        <f>AVERAGE(M20:M26)</f>
        <v>1560.6355661479067</v>
      </c>
      <c r="N27" s="9">
        <f>M27/L27</f>
        <v>94.176284164097808</v>
      </c>
      <c r="O27" s="11">
        <f>L27-I27</f>
        <v>0</v>
      </c>
      <c r="P27" s="12">
        <f>N27-K27</f>
        <v>-9.2719916979711456</v>
      </c>
      <c r="Q27" s="259">
        <f>N27/K27</f>
        <v>0.91037074691961228</v>
      </c>
      <c r="R27" s="470"/>
      <c r="S27" s="24"/>
      <c r="T27" s="24"/>
      <c r="U27" s="9"/>
      <c r="V27" s="262"/>
      <c r="W27" s="9"/>
      <c r="X27" s="9"/>
      <c r="Y27" s="456"/>
      <c r="Z27" s="456"/>
      <c r="AA27" s="11">
        <f t="shared" si="2"/>
        <v>-153.65014813780749</v>
      </c>
      <c r="AB27" s="259">
        <f t="shared" si="19"/>
        <v>0.91037074691961228</v>
      </c>
      <c r="AC27" s="470"/>
    </row>
    <row r="28" spans="1:29" ht="15.75" customHeight="1">
      <c r="A28" s="484" t="s">
        <v>157</v>
      </c>
      <c r="B28" s="26" t="s">
        <v>24</v>
      </c>
      <c r="C28" s="477" t="s">
        <v>26</v>
      </c>
      <c r="D28" s="477"/>
      <c r="E28" s="26">
        <v>26.2</v>
      </c>
      <c r="F28" s="263">
        <v>4519</v>
      </c>
      <c r="G28" s="258">
        <f t="shared" ref="G28:G34" si="39">E28*F28</f>
        <v>118397.8</v>
      </c>
      <c r="H28" s="76" t="s">
        <v>57</v>
      </c>
      <c r="I28" s="261">
        <v>20</v>
      </c>
      <c r="J28" s="18">
        <v>2400</v>
      </c>
      <c r="K28" s="9">
        <f>J28/I28</f>
        <v>120</v>
      </c>
      <c r="L28" s="261">
        <v>20</v>
      </c>
      <c r="M28" s="10">
        <f t="shared" ref="M28:M34" si="40">F28/V28*60</f>
        <v>2169.1199999999994</v>
      </c>
      <c r="N28" s="9">
        <f t="shared" ref="N28:N34" si="41">M28/L28</f>
        <v>108.45599999999997</v>
      </c>
      <c r="O28" s="11">
        <f t="shared" ref="O28:O34" si="42">L28-I28</f>
        <v>0</v>
      </c>
      <c r="P28" s="12">
        <f t="shared" ref="P28:P34" si="43">N28-K28</f>
        <v>-11.544000000000025</v>
      </c>
      <c r="Q28" s="259">
        <f t="shared" ref="Q28:Q34" si="44">N28/K28</f>
        <v>0.90379999999999983</v>
      </c>
      <c r="R28" s="470">
        <f>Q35</f>
        <v>0.903979830885147</v>
      </c>
      <c r="S28" s="24">
        <v>0.125</v>
      </c>
      <c r="T28" s="24">
        <v>0.21180555555555558</v>
      </c>
      <c r="U28" s="258"/>
      <c r="V28" s="262">
        <f t="shared" ref="V28:V34" si="45">(T28-S28)*24*60</f>
        <v>125.00000000000003</v>
      </c>
      <c r="W28" s="14"/>
      <c r="X28" s="14"/>
      <c r="Y28" s="456"/>
      <c r="Z28" s="456"/>
      <c r="AA28" s="11">
        <f t="shared" si="2"/>
        <v>-230.88000000000056</v>
      </c>
      <c r="AB28" s="259">
        <f>M28/J28</f>
        <v>0.90379999999999971</v>
      </c>
      <c r="AC28" s="470">
        <f>AB35</f>
        <v>0.90397983088514711</v>
      </c>
    </row>
    <row r="29" spans="1:29" ht="15.75" customHeight="1">
      <c r="A29" s="484" t="s">
        <v>8</v>
      </c>
      <c r="B29" s="26" t="s">
        <v>24</v>
      </c>
      <c r="C29" s="477" t="s">
        <v>25</v>
      </c>
      <c r="D29" s="477"/>
      <c r="E29" s="26">
        <v>20.52</v>
      </c>
      <c r="F29" s="263">
        <v>4544</v>
      </c>
      <c r="G29" s="258">
        <f t="shared" si="39"/>
        <v>93242.880000000005</v>
      </c>
      <c r="H29" s="76" t="s">
        <v>57</v>
      </c>
      <c r="I29" s="261">
        <v>18</v>
      </c>
      <c r="J29" s="18">
        <v>2400</v>
      </c>
      <c r="K29" s="9">
        <f t="shared" ref="K29:K35" si="46">J29/I29</f>
        <v>133.33333333333334</v>
      </c>
      <c r="L29" s="261">
        <v>18</v>
      </c>
      <c r="M29" s="10">
        <f t="shared" si="40"/>
        <v>2163.8095238095243</v>
      </c>
      <c r="N29" s="9">
        <f t="shared" si="41"/>
        <v>120.21164021164024</v>
      </c>
      <c r="O29" s="11">
        <f t="shared" si="42"/>
        <v>0</v>
      </c>
      <c r="P29" s="12">
        <f t="shared" si="43"/>
        <v>-13.121693121693099</v>
      </c>
      <c r="Q29" s="259">
        <f t="shared" si="44"/>
        <v>0.90158730158730171</v>
      </c>
      <c r="R29" s="470"/>
      <c r="S29" s="24">
        <v>0.23125000000000004</v>
      </c>
      <c r="T29" s="24">
        <v>0.31875000000000003</v>
      </c>
      <c r="U29" s="258">
        <f>(S29-T28)*24*60</f>
        <v>28.000000000000021</v>
      </c>
      <c r="V29" s="262">
        <f t="shared" si="45"/>
        <v>125.99999999999997</v>
      </c>
      <c r="W29" s="14"/>
      <c r="X29" s="14"/>
      <c r="Y29" s="456"/>
      <c r="Z29" s="456"/>
      <c r="AA29" s="11">
        <f t="shared" si="2"/>
        <v>-236.19047619047569</v>
      </c>
      <c r="AB29" s="259">
        <f t="shared" ref="AB29:AB34" si="47">M29/J29</f>
        <v>0.90158730158730183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263">
        <v>3500</v>
      </c>
      <c r="G30" s="258">
        <f t="shared" si="39"/>
        <v>109515</v>
      </c>
      <c r="H30" s="76">
        <v>2</v>
      </c>
      <c r="I30" s="261">
        <v>16</v>
      </c>
      <c r="J30" s="18">
        <v>2400</v>
      </c>
      <c r="K30" s="9">
        <f t="shared" si="46"/>
        <v>150</v>
      </c>
      <c r="L30" s="261">
        <v>16</v>
      </c>
      <c r="M30" s="10">
        <f t="shared" si="40"/>
        <v>2164.9484536082482</v>
      </c>
      <c r="N30" s="9">
        <f t="shared" si="41"/>
        <v>135.30927835051551</v>
      </c>
      <c r="O30" s="11">
        <f t="shared" si="42"/>
        <v>0</v>
      </c>
      <c r="P30" s="12">
        <f t="shared" si="43"/>
        <v>-14.690721649484487</v>
      </c>
      <c r="Q30" s="259">
        <f t="shared" si="44"/>
        <v>0.90206185567010344</v>
      </c>
      <c r="R30" s="470"/>
      <c r="S30" s="24">
        <v>0.32222222222222224</v>
      </c>
      <c r="T30" s="24">
        <v>0.38958333333333334</v>
      </c>
      <c r="U30" s="258">
        <f t="shared" ref="U30:U34" si="48">(S30-T29)*24*60</f>
        <v>4.9999999999999822</v>
      </c>
      <c r="V30" s="262">
        <f t="shared" si="45"/>
        <v>96.999999999999972</v>
      </c>
      <c r="W30" s="14"/>
      <c r="X30" s="14"/>
      <c r="Y30" s="456"/>
      <c r="Z30" s="456"/>
      <c r="AA30" s="11">
        <f t="shared" si="2"/>
        <v>-235.0515463917518</v>
      </c>
      <c r="AB30" s="259">
        <f t="shared" si="47"/>
        <v>0.90206185567010344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263">
        <v>3300</v>
      </c>
      <c r="G31" s="258">
        <f t="shared" si="39"/>
        <v>80025</v>
      </c>
      <c r="H31" s="76">
        <v>2</v>
      </c>
      <c r="I31" s="261">
        <v>18</v>
      </c>
      <c r="J31" s="18">
        <v>2400</v>
      </c>
      <c r="K31" s="9">
        <f t="shared" si="46"/>
        <v>133.33333333333334</v>
      </c>
      <c r="L31" s="261">
        <v>18</v>
      </c>
      <c r="M31" s="10">
        <f t="shared" si="40"/>
        <v>2175.8241758241757</v>
      </c>
      <c r="N31" s="9">
        <f t="shared" si="41"/>
        <v>120.87912087912088</v>
      </c>
      <c r="O31" s="11">
        <f t="shared" si="42"/>
        <v>0</v>
      </c>
      <c r="P31" s="12">
        <f t="shared" si="43"/>
        <v>-12.454212454212467</v>
      </c>
      <c r="Q31" s="259">
        <f t="shared" si="44"/>
        <v>0.90659340659340648</v>
      </c>
      <c r="R31" s="470"/>
      <c r="S31" s="24">
        <v>0.39444444444444443</v>
      </c>
      <c r="T31" s="24">
        <v>0.45763888888888887</v>
      </c>
      <c r="U31" s="258">
        <f t="shared" si="48"/>
        <v>6.9999999999999751</v>
      </c>
      <c r="V31" s="262">
        <f t="shared" si="45"/>
        <v>91</v>
      </c>
      <c r="W31" s="14"/>
      <c r="X31" s="14"/>
      <c r="Y31" s="456"/>
      <c r="Z31" s="456"/>
      <c r="AA31" s="11">
        <f t="shared" si="2"/>
        <v>-224.17582417582435</v>
      </c>
      <c r="AB31" s="259">
        <f t="shared" si="47"/>
        <v>0.90659340659340648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263">
        <v>2889</v>
      </c>
      <c r="G32" s="258">
        <f t="shared" si="39"/>
        <v>64569.15</v>
      </c>
      <c r="H32" s="76" t="s">
        <v>57</v>
      </c>
      <c r="I32" s="261">
        <v>16</v>
      </c>
      <c r="J32" s="18">
        <v>2400</v>
      </c>
      <c r="K32" s="9">
        <f t="shared" si="46"/>
        <v>150</v>
      </c>
      <c r="L32" s="261">
        <v>16</v>
      </c>
      <c r="M32" s="10">
        <f t="shared" si="40"/>
        <v>2166.7500000000009</v>
      </c>
      <c r="N32" s="9">
        <f t="shared" si="41"/>
        <v>135.42187500000006</v>
      </c>
      <c r="O32" s="11">
        <f t="shared" si="42"/>
        <v>0</v>
      </c>
      <c r="P32" s="12">
        <f t="shared" si="43"/>
        <v>-14.578124999999943</v>
      </c>
      <c r="Q32" s="259">
        <f t="shared" si="44"/>
        <v>0.90281250000000035</v>
      </c>
      <c r="R32" s="470"/>
      <c r="S32" s="24">
        <v>0.46180555555555552</v>
      </c>
      <c r="T32" s="24">
        <v>0.51736111111111105</v>
      </c>
      <c r="U32" s="258">
        <f t="shared" si="48"/>
        <v>5.9999999999999787</v>
      </c>
      <c r="V32" s="262">
        <f t="shared" si="45"/>
        <v>79.999999999999957</v>
      </c>
      <c r="W32" s="14"/>
      <c r="X32" s="14"/>
      <c r="Y32" s="456"/>
      <c r="Z32" s="456"/>
      <c r="AA32" s="11">
        <f t="shared" si="2"/>
        <v>-233.24999999999909</v>
      </c>
      <c r="AB32" s="259">
        <f t="shared" si="47"/>
        <v>0.90281250000000035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263">
        <v>4467</v>
      </c>
      <c r="G33" s="258">
        <f t="shared" si="39"/>
        <v>139772.43</v>
      </c>
      <c r="H33" s="76" t="s">
        <v>57</v>
      </c>
      <c r="I33" s="261">
        <v>16</v>
      </c>
      <c r="J33" s="18">
        <v>2400</v>
      </c>
      <c r="K33" s="9">
        <f t="shared" si="46"/>
        <v>150</v>
      </c>
      <c r="L33" s="261">
        <v>16</v>
      </c>
      <c r="M33" s="10">
        <f t="shared" si="40"/>
        <v>2179.024390243902</v>
      </c>
      <c r="N33" s="9">
        <f t="shared" si="41"/>
        <v>136.18902439024387</v>
      </c>
      <c r="O33" s="11">
        <f t="shared" si="42"/>
        <v>0</v>
      </c>
      <c r="P33" s="12">
        <f t="shared" si="43"/>
        <v>-13.810975609756127</v>
      </c>
      <c r="Q33" s="259">
        <f t="shared" si="44"/>
        <v>0.90792682926829249</v>
      </c>
      <c r="R33" s="470"/>
      <c r="S33" s="24">
        <v>0.55833333333333324</v>
      </c>
      <c r="T33" s="24">
        <v>0.64374999999999993</v>
      </c>
      <c r="U33" s="258">
        <f t="shared" si="48"/>
        <v>58.99999999999995</v>
      </c>
      <c r="V33" s="262">
        <f t="shared" si="45"/>
        <v>123.00000000000004</v>
      </c>
      <c r="W33" s="14"/>
      <c r="X33" s="14"/>
      <c r="Y33" s="456"/>
      <c r="Z33" s="456"/>
      <c r="AA33" s="11">
        <f t="shared" si="2"/>
        <v>-220.97560975609804</v>
      </c>
      <c r="AB33" s="259">
        <f t="shared" si="47"/>
        <v>0.90792682926829249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263">
        <v>2348</v>
      </c>
      <c r="G34" s="258">
        <f t="shared" si="39"/>
        <v>56939</v>
      </c>
      <c r="H34" s="76" t="s">
        <v>57</v>
      </c>
      <c r="I34" s="261">
        <v>18</v>
      </c>
      <c r="J34" s="18">
        <v>2400</v>
      </c>
      <c r="K34" s="9">
        <f t="shared" si="46"/>
        <v>133.33333333333334</v>
      </c>
      <c r="L34" s="261">
        <v>18</v>
      </c>
      <c r="M34" s="10">
        <f t="shared" si="40"/>
        <v>2167.384615384618</v>
      </c>
      <c r="N34" s="9">
        <f t="shared" si="41"/>
        <v>120.41025641025655</v>
      </c>
      <c r="O34" s="11">
        <f t="shared" si="42"/>
        <v>0</v>
      </c>
      <c r="P34" s="12">
        <f t="shared" si="43"/>
        <v>-12.923076923076792</v>
      </c>
      <c r="Q34" s="259">
        <f t="shared" si="44"/>
        <v>0.90307692307692411</v>
      </c>
      <c r="R34" s="470"/>
      <c r="S34" s="24">
        <v>0.64930555555555547</v>
      </c>
      <c r="T34" s="24">
        <v>0.69444444444444431</v>
      </c>
      <c r="U34" s="258">
        <f t="shared" si="48"/>
        <v>7.9999999999999716</v>
      </c>
      <c r="V34" s="262">
        <f t="shared" si="45"/>
        <v>64.999999999999929</v>
      </c>
      <c r="W34" s="14"/>
      <c r="X34" s="14"/>
      <c r="Y34" s="456"/>
      <c r="Z34" s="456"/>
      <c r="AA34" s="11">
        <f t="shared" si="2"/>
        <v>-232.61538461538203</v>
      </c>
      <c r="AB34" s="259">
        <f t="shared" si="47"/>
        <v>0.90307692307692411</v>
      </c>
      <c r="AC34" s="470"/>
    </row>
    <row r="35" spans="1:29" ht="15.75" customHeight="1">
      <c r="A35" s="484" t="s">
        <v>8</v>
      </c>
      <c r="B35" s="26" t="s">
        <v>154</v>
      </c>
      <c r="C35" s="466"/>
      <c r="D35" s="466"/>
      <c r="E35" s="257"/>
      <c r="F35" s="263"/>
      <c r="G35" s="258"/>
      <c r="H35" s="263"/>
      <c r="I35" s="17">
        <v>17.428571428571427</v>
      </c>
      <c r="J35" s="18">
        <v>2400</v>
      </c>
      <c r="K35" s="9">
        <f t="shared" si="46"/>
        <v>137.70491803278691</v>
      </c>
      <c r="L35" s="17">
        <v>17.428571428571427</v>
      </c>
      <c r="M35" s="10">
        <f>AVERAGE(M28:M34)</f>
        <v>2169.551594124353</v>
      </c>
      <c r="N35" s="9">
        <f>M35/L35</f>
        <v>124.48246851533173</v>
      </c>
      <c r="O35" s="11">
        <f>L35-I35</f>
        <v>0</v>
      </c>
      <c r="P35" s="12">
        <f>N35-K35</f>
        <v>-13.222449517455175</v>
      </c>
      <c r="Q35" s="259">
        <f>N35/K35</f>
        <v>0.903979830885147</v>
      </c>
      <c r="R35" s="470"/>
      <c r="S35" s="24"/>
      <c r="T35" s="24"/>
      <c r="U35" s="258"/>
      <c r="V35" s="262"/>
      <c r="W35" s="258"/>
      <c r="X35" s="258"/>
      <c r="Y35" s="456"/>
      <c r="Z35" s="456"/>
      <c r="AA35" s="11">
        <f t="shared" si="2"/>
        <v>-230.44840587564704</v>
      </c>
      <c r="AB35" s="259">
        <f>M35/J35</f>
        <v>0.90397983088514711</v>
      </c>
      <c r="AC35" s="470"/>
    </row>
    <row r="36" spans="1:29" ht="15.75" customHeight="1">
      <c r="A36" s="485" t="s">
        <v>158</v>
      </c>
      <c r="B36" s="26" t="s">
        <v>24</v>
      </c>
      <c r="C36" s="487" t="s">
        <v>29</v>
      </c>
      <c r="D36" s="487"/>
      <c r="E36" s="26">
        <v>26.2</v>
      </c>
      <c r="F36" s="263">
        <v>2500</v>
      </c>
      <c r="G36" s="258">
        <f t="shared" ref="G36:G43" si="49">E36*F36</f>
        <v>65500</v>
      </c>
      <c r="H36" s="76">
        <v>2</v>
      </c>
      <c r="I36" s="261">
        <v>18</v>
      </c>
      <c r="J36" s="18">
        <v>2400</v>
      </c>
      <c r="K36" s="9">
        <f>J36/I36</f>
        <v>133.33333333333334</v>
      </c>
      <c r="L36" s="261">
        <v>18</v>
      </c>
      <c r="M36" s="10">
        <f>F36/V36*60</f>
        <v>2173.9130434782619</v>
      </c>
      <c r="N36" s="9">
        <f>M36/L36</f>
        <v>120.77294685990344</v>
      </c>
      <c r="O36" s="11">
        <f t="shared" ref="O36:O43" si="50">L36-I36</f>
        <v>0</v>
      </c>
      <c r="P36" s="12">
        <f t="shared" ref="P36:P53" si="51">N36-K36</f>
        <v>-12.560386473429901</v>
      </c>
      <c r="Q36" s="259">
        <f t="shared" ref="Q36:Q48" si="52">N36/K36</f>
        <v>0.90579710144927572</v>
      </c>
      <c r="R36" s="470">
        <f>Q44</f>
        <v>0.90574070519987004</v>
      </c>
      <c r="S36" s="24">
        <v>8.3333333333333329E-2</v>
      </c>
      <c r="T36" s="24">
        <v>0.13124999999999998</v>
      </c>
      <c r="U36" s="258"/>
      <c r="V36" s="262">
        <f t="shared" ref="V36:V43" si="53">(T36-S36)*24*60</f>
        <v>68.999999999999972</v>
      </c>
      <c r="W36" s="15"/>
      <c r="X36" s="15"/>
      <c r="Y36" s="456"/>
      <c r="Z36" s="456"/>
      <c r="AA36" s="11">
        <f t="shared" si="2"/>
        <v>-226.0869565217381</v>
      </c>
      <c r="AB36" s="259">
        <f>M36/J36</f>
        <v>0.90579710144927583</v>
      </c>
      <c r="AC36" s="470">
        <f>AB44</f>
        <v>0.90574070519987004</v>
      </c>
    </row>
    <row r="37" spans="1:29" ht="15.75" customHeight="1">
      <c r="A37" s="485" t="s">
        <v>158</v>
      </c>
      <c r="B37" s="26" t="s">
        <v>24</v>
      </c>
      <c r="C37" s="487" t="s">
        <v>31</v>
      </c>
      <c r="D37" s="487"/>
      <c r="E37" s="26">
        <v>24.45</v>
      </c>
      <c r="F37" s="263">
        <v>2635</v>
      </c>
      <c r="G37" s="258">
        <f t="shared" si="49"/>
        <v>64425.75</v>
      </c>
      <c r="H37" s="76" t="s">
        <v>57</v>
      </c>
      <c r="I37" s="261">
        <v>20</v>
      </c>
      <c r="J37" s="18">
        <v>2400</v>
      </c>
      <c r="K37" s="9">
        <f t="shared" ref="K37:K52" si="54">J37/I37</f>
        <v>120</v>
      </c>
      <c r="L37" s="261">
        <v>20</v>
      </c>
      <c r="M37" s="10">
        <f t="shared" ref="M37:M43" si="55">F37/V37*60</f>
        <v>2165.7534246575347</v>
      </c>
      <c r="N37" s="9">
        <f t="shared" ref="N37:N43" si="56">M37/L37</f>
        <v>108.28767123287673</v>
      </c>
      <c r="O37" s="11">
        <f t="shared" si="50"/>
        <v>0</v>
      </c>
      <c r="P37" s="12">
        <f t="shared" si="51"/>
        <v>-11.712328767123267</v>
      </c>
      <c r="Q37" s="259">
        <f t="shared" si="52"/>
        <v>0.90239726027397282</v>
      </c>
      <c r="R37" s="470"/>
      <c r="S37" s="24">
        <v>0.15069444444444444</v>
      </c>
      <c r="T37" s="24">
        <v>0.20138888888888887</v>
      </c>
      <c r="U37" s="258">
        <f>(S37-T36)*24*60</f>
        <v>28.000000000000021</v>
      </c>
      <c r="V37" s="262">
        <f t="shared" si="53"/>
        <v>72.999999999999986</v>
      </c>
      <c r="W37" s="258"/>
      <c r="X37" s="258"/>
      <c r="Y37" s="456"/>
      <c r="Z37" s="456"/>
      <c r="AA37" s="11">
        <f t="shared" si="2"/>
        <v>-234.24657534246535</v>
      </c>
      <c r="AB37" s="259">
        <f t="shared" ref="AB37:AB64" si="57">M37/J37</f>
        <v>0.90239726027397282</v>
      </c>
      <c r="AC37" s="470"/>
    </row>
    <row r="38" spans="1:29">
      <c r="A38" s="486" t="s">
        <v>1117</v>
      </c>
      <c r="B38" s="26" t="s">
        <v>24</v>
      </c>
      <c r="C38" s="487" t="s">
        <v>32</v>
      </c>
      <c r="D38" s="487"/>
      <c r="E38" s="26">
        <v>26.2</v>
      </c>
      <c r="F38" s="263">
        <v>3076</v>
      </c>
      <c r="G38" s="258">
        <f t="shared" si="49"/>
        <v>80591.199999999997</v>
      </c>
      <c r="H38" s="76" t="s">
        <v>57</v>
      </c>
      <c r="I38" s="261">
        <v>20</v>
      </c>
      <c r="J38" s="18">
        <v>2400</v>
      </c>
      <c r="K38" s="9">
        <f t="shared" si="54"/>
        <v>120</v>
      </c>
      <c r="L38" s="261">
        <v>20</v>
      </c>
      <c r="M38" s="10">
        <f t="shared" si="55"/>
        <v>2171.2941176470586</v>
      </c>
      <c r="N38" s="9">
        <f t="shared" si="56"/>
        <v>108.56470588235292</v>
      </c>
      <c r="O38" s="11">
        <f t="shared" si="50"/>
        <v>0</v>
      </c>
      <c r="P38" s="12">
        <f t="shared" si="51"/>
        <v>-11.435294117647075</v>
      </c>
      <c r="Q38" s="259">
        <f t="shared" si="52"/>
        <v>0.90470588235294103</v>
      </c>
      <c r="R38" s="470"/>
      <c r="S38" s="24">
        <v>0.20624999999999999</v>
      </c>
      <c r="T38" s="24">
        <v>0.26527777777777778</v>
      </c>
      <c r="U38" s="258">
        <f t="shared" ref="U38:U43" si="58">(S38-T37)*24*60</f>
        <v>7.0000000000000151</v>
      </c>
      <c r="V38" s="262">
        <f t="shared" si="53"/>
        <v>85.000000000000014</v>
      </c>
      <c r="W38" s="258"/>
      <c r="X38" s="258"/>
      <c r="Y38" s="456"/>
      <c r="Z38" s="456"/>
      <c r="AA38" s="11">
        <f t="shared" si="2"/>
        <v>-228.70588235294144</v>
      </c>
      <c r="AB38" s="259">
        <f t="shared" si="57"/>
        <v>0.90470588235294103</v>
      </c>
      <c r="AC38" s="470"/>
    </row>
    <row r="39" spans="1:29">
      <c r="A39" s="486" t="s">
        <v>1118</v>
      </c>
      <c r="B39" s="26" t="s">
        <v>24</v>
      </c>
      <c r="C39" s="487" t="s">
        <v>30</v>
      </c>
      <c r="D39" s="487"/>
      <c r="E39" s="26">
        <v>26.39</v>
      </c>
      <c r="F39" s="263">
        <v>3000</v>
      </c>
      <c r="G39" s="258">
        <f t="shared" si="49"/>
        <v>79170</v>
      </c>
      <c r="H39" s="76">
        <v>2</v>
      </c>
      <c r="I39" s="261">
        <v>19</v>
      </c>
      <c r="J39" s="18">
        <v>2400</v>
      </c>
      <c r="K39" s="9">
        <f t="shared" si="54"/>
        <v>126.31578947368421</v>
      </c>
      <c r="L39" s="261">
        <v>19</v>
      </c>
      <c r="M39" s="10">
        <f t="shared" si="55"/>
        <v>2168.6746987951801</v>
      </c>
      <c r="N39" s="9">
        <f t="shared" si="56"/>
        <v>114.14077362079895</v>
      </c>
      <c r="O39" s="11">
        <f t="shared" si="50"/>
        <v>0</v>
      </c>
      <c r="P39" s="12">
        <f t="shared" si="51"/>
        <v>-12.175015852885252</v>
      </c>
      <c r="Q39" s="259">
        <f t="shared" si="52"/>
        <v>0.9036144578313251</v>
      </c>
      <c r="R39" s="470"/>
      <c r="S39" s="24">
        <v>0.27013888888888887</v>
      </c>
      <c r="T39" s="24">
        <v>0.32777777777777778</v>
      </c>
      <c r="U39" s="258">
        <f t="shared" si="58"/>
        <v>6.9999999999999751</v>
      </c>
      <c r="V39" s="262">
        <f t="shared" si="53"/>
        <v>83.000000000000028</v>
      </c>
      <c r="W39" s="14"/>
      <c r="X39" s="14"/>
      <c r="Y39" s="456"/>
      <c r="Z39" s="456"/>
      <c r="AA39" s="11">
        <f t="shared" si="2"/>
        <v>-231.32530120481988</v>
      </c>
      <c r="AB39" s="259">
        <f t="shared" si="57"/>
        <v>0.9036144578313251</v>
      </c>
      <c r="AC39" s="470"/>
    </row>
    <row r="40" spans="1:29">
      <c r="A40" s="486" t="s">
        <v>1119</v>
      </c>
      <c r="B40" s="26" t="s">
        <v>24</v>
      </c>
      <c r="C40" s="487" t="s">
        <v>27</v>
      </c>
      <c r="D40" s="487"/>
      <c r="E40" s="26">
        <v>20.52</v>
      </c>
      <c r="F40" s="263">
        <v>3329</v>
      </c>
      <c r="G40" s="258">
        <f t="shared" si="49"/>
        <v>68311.08</v>
      </c>
      <c r="H40" s="76" t="s">
        <v>57</v>
      </c>
      <c r="I40" s="261">
        <v>18</v>
      </c>
      <c r="J40" s="18">
        <v>2400</v>
      </c>
      <c r="K40" s="9">
        <f t="shared" si="54"/>
        <v>133.33333333333334</v>
      </c>
      <c r="L40" s="261">
        <v>18</v>
      </c>
      <c r="M40" s="10">
        <f t="shared" si="55"/>
        <v>2171.086956521739</v>
      </c>
      <c r="N40" s="9">
        <f t="shared" si="56"/>
        <v>120.6159420289855</v>
      </c>
      <c r="O40" s="11">
        <f t="shared" si="50"/>
        <v>0</v>
      </c>
      <c r="P40" s="12">
        <f t="shared" si="51"/>
        <v>-12.717391304347842</v>
      </c>
      <c r="Q40" s="259">
        <f t="shared" si="52"/>
        <v>0.90461956521739117</v>
      </c>
      <c r="R40" s="470"/>
      <c r="S40" s="24">
        <v>0.33263888888888887</v>
      </c>
      <c r="T40" s="24">
        <v>0.39652777777777776</v>
      </c>
      <c r="U40" s="258">
        <f t="shared" si="58"/>
        <v>6.9999999999999751</v>
      </c>
      <c r="V40" s="262">
        <f t="shared" si="53"/>
        <v>92</v>
      </c>
      <c r="W40" s="14"/>
      <c r="X40" s="14"/>
      <c r="Y40" s="456"/>
      <c r="Z40" s="456"/>
      <c r="AA40" s="11">
        <f t="shared" si="2"/>
        <v>-228.91304347826099</v>
      </c>
      <c r="AB40" s="259">
        <f t="shared" si="57"/>
        <v>0.90461956521739129</v>
      </c>
      <c r="AC40" s="470"/>
    </row>
    <row r="41" spans="1:29">
      <c r="A41" s="486" t="s">
        <v>1119</v>
      </c>
      <c r="B41" s="26" t="s">
        <v>24</v>
      </c>
      <c r="C41" s="487" t="s">
        <v>55</v>
      </c>
      <c r="D41" s="487"/>
      <c r="E41" s="26">
        <v>26.2</v>
      </c>
      <c r="F41" s="263">
        <v>4160</v>
      </c>
      <c r="G41" s="258">
        <f t="shared" si="49"/>
        <v>108992</v>
      </c>
      <c r="H41" s="76" t="s">
        <v>57</v>
      </c>
      <c r="I41" s="261">
        <v>19</v>
      </c>
      <c r="J41" s="18">
        <v>2400</v>
      </c>
      <c r="K41" s="9">
        <f t="shared" si="54"/>
        <v>126.31578947368421</v>
      </c>
      <c r="L41" s="261">
        <v>19</v>
      </c>
      <c r="M41" s="10">
        <f t="shared" si="55"/>
        <v>2170.434782608696</v>
      </c>
      <c r="N41" s="9">
        <f t="shared" si="56"/>
        <v>114.233409610984</v>
      </c>
      <c r="O41" s="11">
        <f t="shared" si="50"/>
        <v>0</v>
      </c>
      <c r="P41" s="12">
        <f t="shared" si="51"/>
        <v>-12.082379862700208</v>
      </c>
      <c r="Q41" s="259">
        <f t="shared" si="52"/>
        <v>0.90434782608695663</v>
      </c>
      <c r="R41" s="470"/>
      <c r="S41" s="24">
        <v>0.39999999999999997</v>
      </c>
      <c r="T41" s="24">
        <v>0.47986111111111107</v>
      </c>
      <c r="U41" s="258">
        <f t="shared" si="58"/>
        <v>4.9999999999999822</v>
      </c>
      <c r="V41" s="262">
        <f t="shared" si="53"/>
        <v>114.99999999999999</v>
      </c>
      <c r="W41" s="14"/>
      <c r="X41" s="14"/>
      <c r="Y41" s="456"/>
      <c r="Z41" s="456"/>
      <c r="AA41" s="11">
        <f t="shared" si="2"/>
        <v>-229.56521739130403</v>
      </c>
      <c r="AB41" s="259">
        <f t="shared" si="57"/>
        <v>0.90434782608695663</v>
      </c>
      <c r="AC41" s="470"/>
    </row>
    <row r="42" spans="1:29">
      <c r="A42" s="486" t="s">
        <v>1117</v>
      </c>
      <c r="B42" s="26" t="s">
        <v>24</v>
      </c>
      <c r="C42" s="487" t="s">
        <v>29</v>
      </c>
      <c r="D42" s="487"/>
      <c r="E42" s="26">
        <v>26.2</v>
      </c>
      <c r="F42" s="263">
        <v>3635</v>
      </c>
      <c r="G42" s="258">
        <f t="shared" si="49"/>
        <v>95237</v>
      </c>
      <c r="H42" s="76" t="s">
        <v>57</v>
      </c>
      <c r="I42" s="261">
        <v>18</v>
      </c>
      <c r="J42" s="18">
        <v>2400</v>
      </c>
      <c r="K42" s="9">
        <f t="shared" si="54"/>
        <v>133.33333333333334</v>
      </c>
      <c r="L42" s="261">
        <v>18</v>
      </c>
      <c r="M42" s="10">
        <f t="shared" si="55"/>
        <v>2181.0000000000005</v>
      </c>
      <c r="N42" s="9">
        <f t="shared" si="56"/>
        <v>121.16666666666669</v>
      </c>
      <c r="O42" s="11">
        <f t="shared" si="50"/>
        <v>0</v>
      </c>
      <c r="P42" s="12">
        <f t="shared" si="51"/>
        <v>-12.166666666666657</v>
      </c>
      <c r="Q42" s="259">
        <f t="shared" si="52"/>
        <v>0.90875000000000006</v>
      </c>
      <c r="R42" s="470"/>
      <c r="S42" s="24">
        <v>0.52013888888888882</v>
      </c>
      <c r="T42" s="24">
        <v>0.58958333333333324</v>
      </c>
      <c r="U42" s="258">
        <f t="shared" si="58"/>
        <v>57.999999999999957</v>
      </c>
      <c r="V42" s="262">
        <f t="shared" si="53"/>
        <v>99.999999999999972</v>
      </c>
      <c r="W42" s="14"/>
      <c r="X42" s="14"/>
      <c r="Y42" s="473"/>
      <c r="Z42" s="474"/>
      <c r="AA42" s="11">
        <f t="shared" si="2"/>
        <v>-218.99999999999955</v>
      </c>
      <c r="AB42" s="259">
        <f t="shared" si="57"/>
        <v>0.90875000000000017</v>
      </c>
      <c r="AC42" s="470"/>
    </row>
    <row r="43" spans="1:29">
      <c r="A43" s="486" t="s">
        <v>1120</v>
      </c>
      <c r="B43" s="26" t="s">
        <v>24</v>
      </c>
      <c r="C43" s="487" t="s">
        <v>30</v>
      </c>
      <c r="D43" s="487"/>
      <c r="E43" s="26">
        <v>26.39</v>
      </c>
      <c r="F43" s="263">
        <v>2261</v>
      </c>
      <c r="G43" s="258">
        <f t="shared" si="49"/>
        <v>59667.79</v>
      </c>
      <c r="H43" s="76" t="s">
        <v>57</v>
      </c>
      <c r="I43" s="261">
        <v>19</v>
      </c>
      <c r="J43" s="18">
        <v>2400</v>
      </c>
      <c r="K43" s="9">
        <f t="shared" si="54"/>
        <v>126.31578947368421</v>
      </c>
      <c r="L43" s="261">
        <v>19</v>
      </c>
      <c r="M43" s="10">
        <f t="shared" si="55"/>
        <v>2188.0645161290345</v>
      </c>
      <c r="N43" s="9">
        <f t="shared" si="56"/>
        <v>115.16129032258077</v>
      </c>
      <c r="O43" s="11">
        <f t="shared" si="50"/>
        <v>0</v>
      </c>
      <c r="P43" s="12">
        <f t="shared" si="51"/>
        <v>-11.154499151103437</v>
      </c>
      <c r="Q43" s="259">
        <f t="shared" si="52"/>
        <v>0.91169354838709782</v>
      </c>
      <c r="R43" s="470"/>
      <c r="S43" s="24">
        <v>0.59513888888888877</v>
      </c>
      <c r="T43" s="24">
        <v>0.63819444444444429</v>
      </c>
      <c r="U43" s="258">
        <f t="shared" si="58"/>
        <v>7.9999999999999716</v>
      </c>
      <c r="V43" s="262">
        <f t="shared" si="53"/>
        <v>61.999999999999943</v>
      </c>
      <c r="W43" s="14"/>
      <c r="X43" s="14"/>
      <c r="Y43" s="473"/>
      <c r="Z43" s="474"/>
      <c r="AA43" s="11">
        <f t="shared" si="2"/>
        <v>-211.93548387096553</v>
      </c>
      <c r="AB43" s="259">
        <f t="shared" si="57"/>
        <v>0.91169354838709771</v>
      </c>
      <c r="AC43" s="470"/>
    </row>
    <row r="44" spans="1:29">
      <c r="A44" s="486" t="s">
        <v>158</v>
      </c>
      <c r="B44" s="16" t="s">
        <v>154</v>
      </c>
      <c r="C44" s="466"/>
      <c r="D44" s="466"/>
      <c r="E44" s="257"/>
      <c r="F44" s="16"/>
      <c r="G44" s="9"/>
      <c r="H44" s="263"/>
      <c r="I44" s="17">
        <v>18.875</v>
      </c>
      <c r="J44" s="18">
        <v>2400</v>
      </c>
      <c r="K44" s="9">
        <f t="shared" si="54"/>
        <v>127.1523178807947</v>
      </c>
      <c r="L44" s="17">
        <v>18.875</v>
      </c>
      <c r="M44" s="10">
        <f>AVERAGE(M36:M43)</f>
        <v>2173.7776924796881</v>
      </c>
      <c r="N44" s="9">
        <f>M44/L44</f>
        <v>115.16703006514904</v>
      </c>
      <c r="O44" s="11">
        <f>L44-I44</f>
        <v>0</v>
      </c>
      <c r="P44" s="12">
        <f t="shared" si="51"/>
        <v>-11.985287815645663</v>
      </c>
      <c r="Q44" s="259">
        <f t="shared" si="52"/>
        <v>0.90574070519987004</v>
      </c>
      <c r="R44" s="470"/>
      <c r="S44" s="24"/>
      <c r="T44" s="24"/>
      <c r="U44" s="9"/>
      <c r="V44" s="262"/>
      <c r="W44" s="9"/>
      <c r="X44" s="9"/>
      <c r="Y44" s="456"/>
      <c r="Z44" s="456"/>
      <c r="AA44" s="11">
        <f t="shared" si="2"/>
        <v>-226.22230752031192</v>
      </c>
      <c r="AB44" s="259">
        <f t="shared" si="57"/>
        <v>0.90574070519987004</v>
      </c>
      <c r="AC44" s="470"/>
    </row>
    <row r="45" spans="1:29" ht="15.75" customHeight="1">
      <c r="A45" s="488" t="s">
        <v>1121</v>
      </c>
      <c r="B45" s="26" t="s">
        <v>33</v>
      </c>
      <c r="C45" s="491" t="s">
        <v>34</v>
      </c>
      <c r="D45" s="492"/>
      <c r="E45" s="26">
        <v>27.17</v>
      </c>
      <c r="F45" s="263">
        <v>2500</v>
      </c>
      <c r="G45" s="258">
        <f t="shared" ref="G45:G52" si="59">E45*F45</f>
        <v>67925</v>
      </c>
      <c r="H45" s="76">
        <v>2</v>
      </c>
      <c r="I45" s="261">
        <v>10</v>
      </c>
      <c r="J45" s="18">
        <v>3000</v>
      </c>
      <c r="K45" s="9">
        <f t="shared" si="54"/>
        <v>300</v>
      </c>
      <c r="L45" s="261">
        <v>10</v>
      </c>
      <c r="M45" s="10">
        <f t="shared" ref="M45:M46" si="60">F45/V45*60</f>
        <v>2727.2727272727266</v>
      </c>
      <c r="N45" s="10">
        <f t="shared" ref="N45:N53" si="61">M45/L45</f>
        <v>272.72727272727263</v>
      </c>
      <c r="O45" s="11">
        <f t="shared" ref="O45:O53" si="62">L45-I45</f>
        <v>0</v>
      </c>
      <c r="P45" s="12">
        <f t="shared" si="51"/>
        <v>-27.272727272727366</v>
      </c>
      <c r="Q45" s="259">
        <f t="shared" si="52"/>
        <v>0.90909090909090873</v>
      </c>
      <c r="R45" s="493">
        <f>Q53</f>
        <v>0.91046894670916312</v>
      </c>
      <c r="S45" s="24">
        <v>0.20833333333333334</v>
      </c>
      <c r="T45" s="24">
        <v>0.24652777777777779</v>
      </c>
      <c r="U45" s="15"/>
      <c r="V45" s="262">
        <f t="shared" ref="V45:V52" si="63">(T45-S45)*24*60</f>
        <v>55.000000000000007</v>
      </c>
      <c r="W45" s="258"/>
      <c r="X45" s="258"/>
      <c r="Y45" s="473"/>
      <c r="Z45" s="474"/>
      <c r="AA45" s="11">
        <f t="shared" si="2"/>
        <v>-272.72727272727343</v>
      </c>
      <c r="AB45" s="259">
        <f t="shared" si="57"/>
        <v>0.90909090909090884</v>
      </c>
      <c r="AC45" s="493">
        <f>AB53</f>
        <v>0.91046894670916312</v>
      </c>
    </row>
    <row r="46" spans="1:29" ht="15.75" customHeight="1">
      <c r="A46" s="489" t="s">
        <v>9</v>
      </c>
      <c r="B46" s="26" t="s">
        <v>33</v>
      </c>
      <c r="C46" s="491" t="s">
        <v>35</v>
      </c>
      <c r="D46" s="492"/>
      <c r="E46" s="26">
        <v>21.13</v>
      </c>
      <c r="F46" s="263">
        <v>3000</v>
      </c>
      <c r="G46" s="258">
        <f t="shared" si="59"/>
        <v>63390</v>
      </c>
      <c r="H46" s="76">
        <v>2</v>
      </c>
      <c r="I46" s="261">
        <v>10</v>
      </c>
      <c r="J46" s="18">
        <v>3000</v>
      </c>
      <c r="K46" s="9">
        <f t="shared" si="54"/>
        <v>300</v>
      </c>
      <c r="L46" s="261">
        <v>10</v>
      </c>
      <c r="M46" s="10">
        <f t="shared" si="60"/>
        <v>2727.272727272727</v>
      </c>
      <c r="N46" s="10">
        <f t="shared" si="61"/>
        <v>272.72727272727269</v>
      </c>
      <c r="O46" s="11">
        <f t="shared" si="62"/>
        <v>0</v>
      </c>
      <c r="P46" s="12">
        <f t="shared" si="51"/>
        <v>-27.272727272727309</v>
      </c>
      <c r="Q46" s="259">
        <f t="shared" si="52"/>
        <v>0.90909090909090895</v>
      </c>
      <c r="R46" s="494"/>
      <c r="S46" s="24">
        <v>0.25138888888888888</v>
      </c>
      <c r="T46" s="24">
        <v>0.29722222222222222</v>
      </c>
      <c r="U46" s="258">
        <f>(S46-T45)*24*60</f>
        <v>6.9999999999999751</v>
      </c>
      <c r="V46" s="262">
        <f t="shared" si="63"/>
        <v>66</v>
      </c>
      <c r="W46" s="14"/>
      <c r="X46" s="14"/>
      <c r="Y46" s="473"/>
      <c r="Z46" s="474"/>
      <c r="AA46" s="11">
        <f t="shared" si="2"/>
        <v>-272.72727272727298</v>
      </c>
      <c r="AB46" s="259">
        <f t="shared" si="57"/>
        <v>0.90909090909090906</v>
      </c>
      <c r="AC46" s="494"/>
    </row>
    <row r="47" spans="1:29" ht="15.75" customHeight="1">
      <c r="A47" s="489" t="s">
        <v>9</v>
      </c>
      <c r="B47" s="26" t="s">
        <v>33</v>
      </c>
      <c r="C47" s="491" t="s">
        <v>43</v>
      </c>
      <c r="D47" s="492"/>
      <c r="E47" s="26">
        <v>35.119999999999997</v>
      </c>
      <c r="F47" s="263">
        <v>4722</v>
      </c>
      <c r="G47" s="258">
        <f t="shared" si="59"/>
        <v>165836.63999999998</v>
      </c>
      <c r="H47" s="76" t="s">
        <v>57</v>
      </c>
      <c r="I47" s="261">
        <v>10</v>
      </c>
      <c r="J47" s="18">
        <v>3000</v>
      </c>
      <c r="K47" s="9">
        <f t="shared" si="54"/>
        <v>300</v>
      </c>
      <c r="L47" s="261">
        <v>10</v>
      </c>
      <c r="M47" s="10">
        <f>F47/V47*60</f>
        <v>2724.2307692307681</v>
      </c>
      <c r="N47" s="10">
        <f t="shared" si="61"/>
        <v>272.42307692307679</v>
      </c>
      <c r="O47" s="11">
        <f t="shared" si="62"/>
        <v>0</v>
      </c>
      <c r="P47" s="12">
        <f t="shared" si="51"/>
        <v>-27.576923076923208</v>
      </c>
      <c r="Q47" s="259">
        <f t="shared" si="52"/>
        <v>0.90807692307692267</v>
      </c>
      <c r="R47" s="494"/>
      <c r="S47" s="24">
        <v>0.30277777777777776</v>
      </c>
      <c r="T47" s="24">
        <v>0.375</v>
      </c>
      <c r="U47" s="258">
        <f t="shared" ref="U47:U52" si="64">(S47-T46)*24*60</f>
        <v>7.9999999999999716</v>
      </c>
      <c r="V47" s="262">
        <f t="shared" si="63"/>
        <v>104.00000000000003</v>
      </c>
      <c r="W47" s="14"/>
      <c r="X47" s="14"/>
      <c r="Y47" s="473"/>
      <c r="Z47" s="474"/>
      <c r="AA47" s="11">
        <f t="shared" si="2"/>
        <v>-275.76923076923185</v>
      </c>
      <c r="AB47" s="259">
        <f t="shared" si="57"/>
        <v>0.90807692307692267</v>
      </c>
      <c r="AC47" s="494"/>
    </row>
    <row r="48" spans="1:29" ht="15.75" customHeight="1">
      <c r="A48" s="489" t="s">
        <v>9</v>
      </c>
      <c r="B48" s="26" t="s">
        <v>33</v>
      </c>
      <c r="C48" s="491" t="s">
        <v>67</v>
      </c>
      <c r="D48" s="492"/>
      <c r="E48" s="26">
        <v>40.18</v>
      </c>
      <c r="F48" s="263">
        <v>2607</v>
      </c>
      <c r="G48" s="258">
        <f t="shared" si="59"/>
        <v>104749.26</v>
      </c>
      <c r="H48" s="76" t="s">
        <v>57</v>
      </c>
      <c r="I48" s="261">
        <v>10</v>
      </c>
      <c r="J48" s="18">
        <v>3000</v>
      </c>
      <c r="K48" s="9">
        <f t="shared" si="54"/>
        <v>300</v>
      </c>
      <c r="L48" s="261">
        <v>10</v>
      </c>
      <c r="M48" s="10">
        <f t="shared" ref="M48:M52" si="65">F48/V48*60</f>
        <v>2744.2105263157914</v>
      </c>
      <c r="N48" s="10">
        <f t="shared" si="61"/>
        <v>274.42105263157913</v>
      </c>
      <c r="O48" s="11">
        <f t="shared" si="62"/>
        <v>0</v>
      </c>
      <c r="P48" s="12">
        <f t="shared" si="51"/>
        <v>-25.57894736842087</v>
      </c>
      <c r="Q48" s="259">
        <f t="shared" si="52"/>
        <v>0.91473684210526374</v>
      </c>
      <c r="R48" s="494"/>
      <c r="S48" s="24">
        <v>0.37986111111111109</v>
      </c>
      <c r="T48" s="24">
        <v>0.4194444444444444</v>
      </c>
      <c r="U48" s="258">
        <f t="shared" si="64"/>
        <v>6.9999999999999751</v>
      </c>
      <c r="V48" s="262">
        <f t="shared" si="63"/>
        <v>56.999999999999957</v>
      </c>
      <c r="W48" s="14"/>
      <c r="X48" s="14"/>
      <c r="Y48" s="473"/>
      <c r="Z48" s="474"/>
      <c r="AA48" s="11">
        <f t="shared" si="2"/>
        <v>-255.78947368420859</v>
      </c>
      <c r="AB48" s="259">
        <f t="shared" si="57"/>
        <v>0.91473684210526385</v>
      </c>
      <c r="AC48" s="494"/>
    </row>
    <row r="49" spans="1:29" ht="15.75" customHeight="1">
      <c r="A49" s="489" t="s">
        <v>9</v>
      </c>
      <c r="B49" s="26" t="s">
        <v>33</v>
      </c>
      <c r="C49" s="491" t="s">
        <v>73</v>
      </c>
      <c r="D49" s="492"/>
      <c r="E49" s="26">
        <v>28.5</v>
      </c>
      <c r="F49" s="263">
        <v>2011</v>
      </c>
      <c r="G49" s="258">
        <f t="shared" si="59"/>
        <v>57313.5</v>
      </c>
      <c r="H49" s="76" t="s">
        <v>57</v>
      </c>
      <c r="I49" s="261">
        <v>10</v>
      </c>
      <c r="J49" s="18">
        <v>3000</v>
      </c>
      <c r="K49" s="9">
        <f t="shared" si="54"/>
        <v>300</v>
      </c>
      <c r="L49" s="261">
        <v>10</v>
      </c>
      <c r="M49" s="10">
        <f t="shared" si="65"/>
        <v>2742.272727272727</v>
      </c>
      <c r="N49" s="10">
        <f t="shared" si="61"/>
        <v>274.22727272727269</v>
      </c>
      <c r="O49" s="11">
        <f t="shared" si="62"/>
        <v>0</v>
      </c>
      <c r="P49" s="12">
        <f t="shared" si="51"/>
        <v>-25.772727272727309</v>
      </c>
      <c r="Q49" s="259">
        <f>N49/K49</f>
        <v>0.91409090909090895</v>
      </c>
      <c r="R49" s="494"/>
      <c r="S49" s="24">
        <v>0.42499999999999993</v>
      </c>
      <c r="T49" s="24">
        <v>0.45555555555555549</v>
      </c>
      <c r="U49" s="258">
        <f t="shared" si="64"/>
        <v>7.9999999999999716</v>
      </c>
      <c r="V49" s="262">
        <f t="shared" si="63"/>
        <v>44</v>
      </c>
      <c r="W49" s="14"/>
      <c r="X49" s="14"/>
      <c r="Y49" s="473"/>
      <c r="Z49" s="474"/>
      <c r="AA49" s="11">
        <f t="shared" si="2"/>
        <v>-257.72727272727298</v>
      </c>
      <c r="AB49" s="259">
        <f t="shared" si="57"/>
        <v>0.91409090909090895</v>
      </c>
      <c r="AC49" s="494"/>
    </row>
    <row r="50" spans="1:29" ht="15.75" customHeight="1">
      <c r="A50" s="489" t="s">
        <v>9</v>
      </c>
      <c r="B50" s="26" t="s">
        <v>33</v>
      </c>
      <c r="C50" s="491" t="s">
        <v>511</v>
      </c>
      <c r="D50" s="492"/>
      <c r="E50" s="26">
        <v>35.869999999999997</v>
      </c>
      <c r="F50" s="263">
        <v>4057</v>
      </c>
      <c r="G50" s="258">
        <f t="shared" si="59"/>
        <v>145524.59</v>
      </c>
      <c r="H50" s="76" t="s">
        <v>57</v>
      </c>
      <c r="I50" s="261">
        <v>10</v>
      </c>
      <c r="J50" s="18">
        <v>3000</v>
      </c>
      <c r="K50" s="9">
        <f t="shared" si="54"/>
        <v>300</v>
      </c>
      <c r="L50" s="261">
        <v>10</v>
      </c>
      <c r="M50" s="10">
        <f t="shared" si="65"/>
        <v>2735.0561797752812</v>
      </c>
      <c r="N50" s="10">
        <f t="shared" si="61"/>
        <v>273.50561797752812</v>
      </c>
      <c r="O50" s="11">
        <f t="shared" si="62"/>
        <v>0</v>
      </c>
      <c r="P50" s="12">
        <f t="shared" si="51"/>
        <v>-26.494382022471882</v>
      </c>
      <c r="Q50" s="259">
        <f t="shared" ref="Q50:Q53" si="66">N50/K50</f>
        <v>0.91168539325842701</v>
      </c>
      <c r="R50" s="494"/>
      <c r="S50" s="24">
        <v>0.4590277777777777</v>
      </c>
      <c r="T50" s="24">
        <v>0.52083333333333326</v>
      </c>
      <c r="U50" s="258">
        <f t="shared" si="64"/>
        <v>4.9999999999999822</v>
      </c>
      <c r="V50" s="262">
        <f t="shared" si="63"/>
        <v>89</v>
      </c>
      <c r="W50" s="14"/>
      <c r="X50" s="14"/>
      <c r="Y50" s="473"/>
      <c r="Z50" s="474"/>
      <c r="AA50" s="11">
        <f t="shared" si="2"/>
        <v>-264.94382022471882</v>
      </c>
      <c r="AB50" s="259">
        <f t="shared" si="57"/>
        <v>0.91168539325842701</v>
      </c>
      <c r="AC50" s="494"/>
    </row>
    <row r="51" spans="1:29" ht="15.75" customHeight="1">
      <c r="A51" s="489" t="s">
        <v>9</v>
      </c>
      <c r="B51" s="26" t="s">
        <v>33</v>
      </c>
      <c r="C51" s="491" t="s">
        <v>34</v>
      </c>
      <c r="D51" s="492"/>
      <c r="E51" s="26">
        <v>27.17</v>
      </c>
      <c r="F51" s="263">
        <v>3589</v>
      </c>
      <c r="G51" s="258">
        <f t="shared" si="59"/>
        <v>97513.13</v>
      </c>
      <c r="H51" s="76" t="s">
        <v>57</v>
      </c>
      <c r="I51" s="261">
        <v>10</v>
      </c>
      <c r="J51" s="18">
        <v>3000</v>
      </c>
      <c r="K51" s="9">
        <f t="shared" si="54"/>
        <v>300</v>
      </c>
      <c r="L51" s="261">
        <v>10</v>
      </c>
      <c r="M51" s="10">
        <f t="shared" si="65"/>
        <v>2725.8227848101251</v>
      </c>
      <c r="N51" s="10">
        <f t="shared" si="61"/>
        <v>272.58227848101251</v>
      </c>
      <c r="O51" s="11">
        <f t="shared" si="62"/>
        <v>0</v>
      </c>
      <c r="P51" s="12">
        <f t="shared" si="51"/>
        <v>-27.417721518987491</v>
      </c>
      <c r="Q51" s="259">
        <f t="shared" si="66"/>
        <v>0.9086075949367084</v>
      </c>
      <c r="R51" s="494"/>
      <c r="S51" s="24">
        <v>0.56111111111111101</v>
      </c>
      <c r="T51" s="24">
        <v>0.61597222222222214</v>
      </c>
      <c r="U51" s="258">
        <f t="shared" si="64"/>
        <v>57.999999999999957</v>
      </c>
      <c r="V51" s="262">
        <f t="shared" si="63"/>
        <v>79.000000000000043</v>
      </c>
      <c r="W51" s="14"/>
      <c r="X51" s="14"/>
      <c r="Y51" s="473"/>
      <c r="Z51" s="474"/>
      <c r="AA51" s="11">
        <f t="shared" si="2"/>
        <v>-274.17721518987491</v>
      </c>
      <c r="AB51" s="259">
        <f t="shared" si="57"/>
        <v>0.9086075949367084</v>
      </c>
      <c r="AC51" s="494"/>
    </row>
    <row r="52" spans="1:29" ht="15.75" customHeight="1">
      <c r="A52" s="489" t="s">
        <v>9</v>
      </c>
      <c r="B52" s="26" t="s">
        <v>33</v>
      </c>
      <c r="C52" s="491" t="s">
        <v>35</v>
      </c>
      <c r="D52" s="492"/>
      <c r="E52" s="26">
        <v>21.13</v>
      </c>
      <c r="F52" s="263">
        <v>1953</v>
      </c>
      <c r="G52" s="258">
        <f t="shared" si="59"/>
        <v>41266.89</v>
      </c>
      <c r="H52" s="76" t="s">
        <v>57</v>
      </c>
      <c r="I52" s="261">
        <v>10</v>
      </c>
      <c r="J52" s="18">
        <v>3000</v>
      </c>
      <c r="K52" s="9">
        <f t="shared" si="54"/>
        <v>300</v>
      </c>
      <c r="L52" s="261">
        <v>10</v>
      </c>
      <c r="M52" s="10">
        <f t="shared" si="65"/>
        <v>2725.1162790697667</v>
      </c>
      <c r="N52" s="10">
        <f t="shared" si="61"/>
        <v>272.51162790697668</v>
      </c>
      <c r="O52" s="11">
        <f t="shared" si="62"/>
        <v>0</v>
      </c>
      <c r="P52" s="12">
        <f t="shared" si="51"/>
        <v>-27.488372093023315</v>
      </c>
      <c r="Q52" s="259">
        <f t="shared" si="66"/>
        <v>0.90837209302325561</v>
      </c>
      <c r="R52" s="494"/>
      <c r="S52" s="24">
        <v>0.6201388888888888</v>
      </c>
      <c r="T52" s="24">
        <v>0.64999999999999991</v>
      </c>
      <c r="U52" s="258">
        <f t="shared" si="64"/>
        <v>5.9999999999999787</v>
      </c>
      <c r="V52" s="262">
        <f t="shared" si="63"/>
        <v>43.000000000000007</v>
      </c>
      <c r="W52" s="14"/>
      <c r="X52" s="14"/>
      <c r="Y52" s="473"/>
      <c r="Z52" s="474"/>
      <c r="AA52" s="11">
        <f t="shared" si="2"/>
        <v>-274.88372093023327</v>
      </c>
      <c r="AB52" s="259">
        <f t="shared" si="57"/>
        <v>0.90837209302325561</v>
      </c>
      <c r="AC52" s="494"/>
    </row>
    <row r="53" spans="1:29" ht="15.75" customHeight="1">
      <c r="A53" s="490" t="s">
        <v>9</v>
      </c>
      <c r="B53" s="26" t="s">
        <v>1122</v>
      </c>
      <c r="C53" s="497"/>
      <c r="D53" s="498"/>
      <c r="E53" s="260"/>
      <c r="F53" s="263"/>
      <c r="G53" s="258"/>
      <c r="H53" s="263"/>
      <c r="I53" s="17">
        <v>10</v>
      </c>
      <c r="J53" s="18">
        <v>3000</v>
      </c>
      <c r="K53" s="9">
        <f>J53/I53</f>
        <v>300</v>
      </c>
      <c r="L53" s="17">
        <v>10</v>
      </c>
      <c r="M53" s="10">
        <f>AVERAGE(M45:M52)</f>
        <v>2731.4068401274894</v>
      </c>
      <c r="N53" s="9">
        <f t="shared" si="61"/>
        <v>273.14068401274892</v>
      </c>
      <c r="O53" s="11">
        <f t="shared" si="62"/>
        <v>0</v>
      </c>
      <c r="P53" s="12">
        <f t="shared" si="51"/>
        <v>-26.85931598725108</v>
      </c>
      <c r="Q53" s="259">
        <f t="shared" si="66"/>
        <v>0.91046894670916312</v>
      </c>
      <c r="R53" s="495"/>
      <c r="S53" s="24"/>
      <c r="T53" s="24"/>
      <c r="U53" s="258"/>
      <c r="V53" s="262"/>
      <c r="W53" s="14"/>
      <c r="X53" s="14"/>
      <c r="Y53" s="473"/>
      <c r="Z53" s="474"/>
      <c r="AA53" s="11">
        <f t="shared" si="2"/>
        <v>-268.59315987251057</v>
      </c>
      <c r="AB53" s="259">
        <f t="shared" si="57"/>
        <v>0.91046894670916312</v>
      </c>
      <c r="AC53" s="495"/>
    </row>
    <row r="54" spans="1:29" ht="15.75" customHeight="1">
      <c r="A54" s="461" t="s">
        <v>1123</v>
      </c>
      <c r="B54" s="26" t="s">
        <v>15</v>
      </c>
      <c r="C54" s="487" t="s">
        <v>20</v>
      </c>
      <c r="D54" s="487"/>
      <c r="E54" s="26">
        <v>46</v>
      </c>
      <c r="F54" s="27">
        <v>3219</v>
      </c>
      <c r="G54" s="258">
        <f t="shared" ref="G54:G57" si="67">E54*F54</f>
        <v>148074</v>
      </c>
      <c r="H54" s="76" t="s">
        <v>57</v>
      </c>
      <c r="I54" s="261">
        <v>17</v>
      </c>
      <c r="J54" s="18">
        <v>1500</v>
      </c>
      <c r="K54" s="9">
        <f t="shared" ref="K54:K57" si="68">J54/I54</f>
        <v>88.235294117647058</v>
      </c>
      <c r="L54" s="261">
        <v>17</v>
      </c>
      <c r="M54" s="10">
        <f t="shared" ref="M54:M57" si="69">F54/V54*60</f>
        <v>1360.1408450704228</v>
      </c>
      <c r="N54" s="10">
        <f>M54/L54</f>
        <v>80.008285004142522</v>
      </c>
      <c r="O54" s="11">
        <f>L54-I54</f>
        <v>0</v>
      </c>
      <c r="P54" s="12">
        <f>N54-K54</f>
        <v>-8.2270091135045362</v>
      </c>
      <c r="Q54" s="259">
        <f>N54/K54</f>
        <v>0.90676056338028188</v>
      </c>
      <c r="R54" s="470">
        <f>Q58</f>
        <v>0.9073340106351524</v>
      </c>
      <c r="S54" s="24">
        <v>0.29305555555555557</v>
      </c>
      <c r="T54" s="24">
        <v>0.39166666666666666</v>
      </c>
      <c r="U54" s="15"/>
      <c r="V54" s="262">
        <f t="shared" ref="V54:V57" si="70">(T54-S54)*24*60</f>
        <v>141.99999999999997</v>
      </c>
      <c r="W54" s="15"/>
      <c r="X54" s="15"/>
      <c r="Y54" s="456"/>
      <c r="Z54" s="456"/>
      <c r="AA54" s="11">
        <f t="shared" si="2"/>
        <v>-139.85915492957724</v>
      </c>
      <c r="AB54" s="259">
        <f t="shared" si="57"/>
        <v>0.90676056338028188</v>
      </c>
      <c r="AC54" s="470">
        <f>AB58</f>
        <v>0.90733401063515251</v>
      </c>
    </row>
    <row r="55" spans="1:29" ht="15.75" customHeight="1">
      <c r="A55" s="461" t="s">
        <v>10</v>
      </c>
      <c r="B55" s="26" t="s">
        <v>15</v>
      </c>
      <c r="C55" s="487" t="s">
        <v>75</v>
      </c>
      <c r="D55" s="487"/>
      <c r="E55" s="26">
        <v>46</v>
      </c>
      <c r="F55" s="27">
        <v>3902</v>
      </c>
      <c r="G55" s="258">
        <f t="shared" si="67"/>
        <v>179492</v>
      </c>
      <c r="H55" s="76" t="s">
        <v>57</v>
      </c>
      <c r="I55" s="261">
        <v>18</v>
      </c>
      <c r="J55" s="18">
        <v>1500</v>
      </c>
      <c r="K55" s="9">
        <f t="shared" si="68"/>
        <v>83.333333333333329</v>
      </c>
      <c r="L55" s="261">
        <v>18</v>
      </c>
      <c r="M55" s="10">
        <f t="shared" si="69"/>
        <v>1353.2947976878618</v>
      </c>
      <c r="N55" s="10">
        <f t="shared" ref="N55:N57" si="71">M55/L55</f>
        <v>75.183044315992319</v>
      </c>
      <c r="O55" s="11">
        <f t="shared" ref="O55:O57" si="72">L55-I55</f>
        <v>0</v>
      </c>
      <c r="P55" s="12">
        <f t="shared" ref="P55:P57" si="73">N55-K55</f>
        <v>-8.1502890173410094</v>
      </c>
      <c r="Q55" s="259">
        <f t="shared" ref="Q55:Q57" si="74">N55/K55</f>
        <v>0.90219653179190784</v>
      </c>
      <c r="R55" s="470"/>
      <c r="S55" s="24">
        <v>0.39513888888888887</v>
      </c>
      <c r="T55" s="24">
        <v>0.51527777777777772</v>
      </c>
      <c r="U55" s="258">
        <f t="shared" ref="U55:U57" si="75">(S55-T54)*24*60</f>
        <v>4.9999999999999822</v>
      </c>
      <c r="V55" s="262">
        <f t="shared" si="70"/>
        <v>172.99999999999994</v>
      </c>
      <c r="W55" s="14"/>
      <c r="X55" s="14"/>
      <c r="Y55" s="456"/>
      <c r="Z55" s="456"/>
      <c r="AA55" s="11">
        <f t="shared" si="2"/>
        <v>-146.70520231213823</v>
      </c>
      <c r="AB55" s="259">
        <f t="shared" si="57"/>
        <v>0.90219653179190784</v>
      </c>
      <c r="AC55" s="470"/>
    </row>
    <row r="56" spans="1:29" ht="15.75" customHeight="1">
      <c r="A56" s="461" t="s">
        <v>10</v>
      </c>
      <c r="B56" s="26" t="s">
        <v>13</v>
      </c>
      <c r="C56" s="491" t="s">
        <v>65</v>
      </c>
      <c r="D56" s="492"/>
      <c r="E56" s="26">
        <v>55.56</v>
      </c>
      <c r="F56" s="27">
        <v>2272</v>
      </c>
      <c r="G56" s="258">
        <f t="shared" si="67"/>
        <v>126232.32000000001</v>
      </c>
      <c r="H56" s="76" t="s">
        <v>57</v>
      </c>
      <c r="I56" s="261">
        <v>17</v>
      </c>
      <c r="J56" s="18">
        <v>1500</v>
      </c>
      <c r="K56" s="9">
        <f t="shared" si="68"/>
        <v>88.235294117647058</v>
      </c>
      <c r="L56" s="261">
        <v>17</v>
      </c>
      <c r="M56" s="10">
        <f t="shared" si="69"/>
        <v>1363.2000000000003</v>
      </c>
      <c r="N56" s="10">
        <f t="shared" si="71"/>
        <v>80.188235294117661</v>
      </c>
      <c r="O56" s="11">
        <f t="shared" si="72"/>
        <v>0</v>
      </c>
      <c r="P56" s="12">
        <f t="shared" si="73"/>
        <v>-8.0470588235293974</v>
      </c>
      <c r="Q56" s="259">
        <f t="shared" si="74"/>
        <v>0.90880000000000016</v>
      </c>
      <c r="R56" s="470"/>
      <c r="S56" s="24">
        <v>0.70833333333333337</v>
      </c>
      <c r="T56" s="24">
        <v>0.77777777777777779</v>
      </c>
      <c r="U56" s="258">
        <f t="shared" si="75"/>
        <v>278.00000000000011</v>
      </c>
      <c r="V56" s="262">
        <f t="shared" si="70"/>
        <v>99.999999999999972</v>
      </c>
      <c r="W56" s="14"/>
      <c r="X56" s="14"/>
      <c r="Y56" s="255"/>
      <c r="Z56" s="256"/>
      <c r="AA56" s="11">
        <f t="shared" si="2"/>
        <v>-136.79999999999973</v>
      </c>
      <c r="AB56" s="259">
        <f t="shared" si="57"/>
        <v>0.90880000000000016</v>
      </c>
      <c r="AC56" s="470"/>
    </row>
    <row r="57" spans="1:29" ht="15.75" customHeight="1">
      <c r="A57" s="461" t="s">
        <v>10</v>
      </c>
      <c r="B57" s="26" t="s">
        <v>13</v>
      </c>
      <c r="C57" s="253" t="s">
        <v>64</v>
      </c>
      <c r="D57" s="254"/>
      <c r="E57" s="26">
        <v>55.32</v>
      </c>
      <c r="F57" s="27">
        <v>1732</v>
      </c>
      <c r="G57" s="258">
        <f t="shared" si="67"/>
        <v>95814.24</v>
      </c>
      <c r="H57" s="76" t="s">
        <v>57</v>
      </c>
      <c r="I57" s="261">
        <v>15</v>
      </c>
      <c r="J57" s="18">
        <v>1500</v>
      </c>
      <c r="K57" s="9">
        <f t="shared" si="68"/>
        <v>100</v>
      </c>
      <c r="L57" s="261">
        <v>15</v>
      </c>
      <c r="M57" s="10">
        <f t="shared" si="69"/>
        <v>1367.3684210526305</v>
      </c>
      <c r="N57" s="10">
        <f t="shared" si="71"/>
        <v>91.157894736842039</v>
      </c>
      <c r="O57" s="11">
        <f t="shared" si="72"/>
        <v>0</v>
      </c>
      <c r="P57" s="12">
        <f t="shared" si="73"/>
        <v>-8.8421052631579613</v>
      </c>
      <c r="Q57" s="259">
        <f t="shared" si="74"/>
        <v>0.91157894736842038</v>
      </c>
      <c r="R57" s="470"/>
      <c r="S57" s="24">
        <v>0.78333333333333333</v>
      </c>
      <c r="T57" s="24">
        <v>0.83611111111111114</v>
      </c>
      <c r="U57" s="258">
        <f t="shared" si="75"/>
        <v>7.9999999999999716</v>
      </c>
      <c r="V57" s="262">
        <f t="shared" si="70"/>
        <v>76.000000000000057</v>
      </c>
      <c r="W57" s="14"/>
      <c r="X57" s="14"/>
      <c r="Y57" s="255"/>
      <c r="Z57" s="256"/>
      <c r="AA57" s="11">
        <f t="shared" si="2"/>
        <v>-132.63157894736946</v>
      </c>
      <c r="AB57" s="259">
        <f t="shared" si="57"/>
        <v>0.91157894736842038</v>
      </c>
      <c r="AC57" s="470"/>
    </row>
    <row r="58" spans="1:29">
      <c r="A58" s="496" t="s">
        <v>10</v>
      </c>
      <c r="B58" s="26" t="s">
        <v>154</v>
      </c>
      <c r="C58" s="466"/>
      <c r="D58" s="466"/>
      <c r="E58" s="257"/>
      <c r="F58" s="16"/>
      <c r="G58" s="9"/>
      <c r="H58" s="263"/>
      <c r="I58" s="17">
        <v>16.75</v>
      </c>
      <c r="J58" s="18">
        <v>1500</v>
      </c>
      <c r="K58" s="9">
        <f>J58/I58</f>
        <v>89.552238805970148</v>
      </c>
      <c r="L58" s="17">
        <v>16.75</v>
      </c>
      <c r="M58" s="10">
        <f>AVERAGE(M54:M57)</f>
        <v>1361.0010159527287</v>
      </c>
      <c r="N58" s="9">
        <f>M58/L58</f>
        <v>81.253791997177828</v>
      </c>
      <c r="O58" s="11">
        <f>L58-I58</f>
        <v>0</v>
      </c>
      <c r="P58" s="12">
        <f>N58-K58</f>
        <v>-8.2984468087923204</v>
      </c>
      <c r="Q58" s="259">
        <f>N58/K58</f>
        <v>0.9073340106351524</v>
      </c>
      <c r="R58" s="470"/>
      <c r="S58" s="25"/>
      <c r="T58" s="24"/>
      <c r="U58" s="9"/>
      <c r="V58" s="262"/>
      <c r="W58" s="9"/>
      <c r="X58" s="9"/>
      <c r="Y58" s="456"/>
      <c r="Z58" s="456"/>
      <c r="AA58" s="11">
        <f t="shared" si="2"/>
        <v>-138.99898404727128</v>
      </c>
      <c r="AB58" s="259">
        <f t="shared" si="57"/>
        <v>0.90733401063515251</v>
      </c>
      <c r="AC58" s="470"/>
    </row>
    <row r="59" spans="1:29" ht="15.75" customHeight="1">
      <c r="A59" s="499" t="s">
        <v>1124</v>
      </c>
      <c r="B59" s="263" t="s">
        <v>33</v>
      </c>
      <c r="C59" s="487" t="s">
        <v>36</v>
      </c>
      <c r="D59" s="487"/>
      <c r="E59" s="26">
        <v>26.78</v>
      </c>
      <c r="F59" s="27">
        <v>2746</v>
      </c>
      <c r="G59" s="258">
        <f t="shared" ref="G59:G63" si="76">E59*F59</f>
        <v>73537.88</v>
      </c>
      <c r="H59" s="76" t="s">
        <v>57</v>
      </c>
      <c r="I59" s="261">
        <v>10</v>
      </c>
      <c r="J59" s="18">
        <v>3000</v>
      </c>
      <c r="K59" s="9">
        <f t="shared" ref="K59:K63" si="77">J59/I59</f>
        <v>300</v>
      </c>
      <c r="L59" s="17">
        <v>10</v>
      </c>
      <c r="M59" s="10">
        <f t="shared" ref="M59:M63" si="78">F59/V59*60</f>
        <v>2745.9999999999986</v>
      </c>
      <c r="N59" s="9">
        <f>M59/L59</f>
        <v>274.59999999999985</v>
      </c>
      <c r="O59" s="11">
        <f t="shared" ref="O59:O63" si="79">L59-I59</f>
        <v>0</v>
      </c>
      <c r="P59" s="12">
        <f t="shared" ref="P59:P63" si="80">N59-K59</f>
        <v>-25.400000000000148</v>
      </c>
      <c r="Q59" s="259">
        <f>N59/K59</f>
        <v>0.91533333333333289</v>
      </c>
      <c r="R59" s="470">
        <f>Q64</f>
        <v>0.91556573137136943</v>
      </c>
      <c r="S59" s="24">
        <v>0.25069444444444444</v>
      </c>
      <c r="T59" s="24">
        <v>0.29236111111111113</v>
      </c>
      <c r="U59" s="258"/>
      <c r="V59" s="262">
        <f t="shared" ref="V59:V63" si="81">(T59-S59)*24*60</f>
        <v>60.000000000000028</v>
      </c>
      <c r="W59" s="15"/>
      <c r="X59" s="15"/>
      <c r="Y59" s="456"/>
      <c r="Z59" s="456"/>
      <c r="AA59" s="11">
        <f t="shared" si="2"/>
        <v>-254.00000000000136</v>
      </c>
      <c r="AB59" s="259">
        <f t="shared" si="57"/>
        <v>0.91533333333333289</v>
      </c>
      <c r="AC59" s="470">
        <f>AB64</f>
        <v>0.91556573137136932</v>
      </c>
    </row>
    <row r="60" spans="1:29" ht="15.75" customHeight="1">
      <c r="A60" s="499" t="s">
        <v>11</v>
      </c>
      <c r="B60" s="263" t="s">
        <v>33</v>
      </c>
      <c r="C60" s="487" t="s">
        <v>42</v>
      </c>
      <c r="D60" s="487"/>
      <c r="E60" s="26">
        <v>35.369999999999997</v>
      </c>
      <c r="F60" s="27">
        <v>1882</v>
      </c>
      <c r="G60" s="258">
        <f t="shared" si="76"/>
        <v>66566.34</v>
      </c>
      <c r="H60" s="76" t="s">
        <v>57</v>
      </c>
      <c r="I60" s="261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2754.1463414634136</v>
      </c>
      <c r="N60" s="9">
        <f t="shared" ref="N60:N63" si="82">M60/L60</f>
        <v>275.41463414634137</v>
      </c>
      <c r="O60" s="11">
        <f t="shared" si="79"/>
        <v>0</v>
      </c>
      <c r="P60" s="12">
        <f t="shared" si="80"/>
        <v>-24.585365853658629</v>
      </c>
      <c r="Q60" s="259">
        <f t="shared" ref="Q60:Q63" si="83">N60/K60</f>
        <v>0.91804878048780458</v>
      </c>
      <c r="R60" s="470"/>
      <c r="S60" s="24">
        <v>0.29722222222222222</v>
      </c>
      <c r="T60" s="24">
        <v>0.32569444444444445</v>
      </c>
      <c r="U60" s="258">
        <f>(S60-T59)*24*60</f>
        <v>6.9999999999999751</v>
      </c>
      <c r="V60" s="262">
        <f t="shared" si="81"/>
        <v>41.000000000000014</v>
      </c>
      <c r="W60" s="258"/>
      <c r="X60" s="258"/>
      <c r="Y60" s="456"/>
      <c r="Z60" s="456"/>
      <c r="AA60" s="11">
        <f t="shared" si="2"/>
        <v>-245.85365853658641</v>
      </c>
      <c r="AB60" s="259">
        <f t="shared" si="57"/>
        <v>0.91804878048780458</v>
      </c>
      <c r="AC60" s="470"/>
    </row>
    <row r="61" spans="1:29" ht="15.75" customHeight="1">
      <c r="A61" s="499" t="s">
        <v>11</v>
      </c>
      <c r="B61" s="263" t="s">
        <v>33</v>
      </c>
      <c r="C61" s="487" t="s">
        <v>41</v>
      </c>
      <c r="D61" s="487"/>
      <c r="E61" s="26">
        <v>34.35</v>
      </c>
      <c r="F61" s="27">
        <v>1566</v>
      </c>
      <c r="G61" s="258">
        <f t="shared" si="76"/>
        <v>53792.100000000006</v>
      </c>
      <c r="H61" s="76" t="s">
        <v>57</v>
      </c>
      <c r="I61" s="261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2763.5294117647095</v>
      </c>
      <c r="N61" s="9">
        <f t="shared" si="82"/>
        <v>276.35294117647095</v>
      </c>
      <c r="O61" s="11">
        <f t="shared" si="79"/>
        <v>0</v>
      </c>
      <c r="P61" s="12">
        <f t="shared" si="80"/>
        <v>-23.647058823529051</v>
      </c>
      <c r="Q61" s="259">
        <f t="shared" si="83"/>
        <v>0.92117647058823648</v>
      </c>
      <c r="R61" s="470"/>
      <c r="S61" s="24">
        <v>0.3298611111111111</v>
      </c>
      <c r="T61" s="24">
        <v>0.35347222222222219</v>
      </c>
      <c r="U61" s="258">
        <f t="shared" ref="U61:U63" si="84">(S61-T60)*24*60</f>
        <v>5.9999999999999787</v>
      </c>
      <c r="V61" s="262">
        <f t="shared" si="81"/>
        <v>33.999999999999957</v>
      </c>
      <c r="W61" s="258"/>
      <c r="X61" s="258"/>
      <c r="Y61" s="456"/>
      <c r="Z61" s="456"/>
      <c r="AA61" s="11">
        <f t="shared" si="2"/>
        <v>-236.47058823529051</v>
      </c>
      <c r="AB61" s="259">
        <f t="shared" si="57"/>
        <v>0.92117647058823648</v>
      </c>
      <c r="AC61" s="470"/>
    </row>
    <row r="62" spans="1:29" ht="15.75" customHeight="1">
      <c r="A62" s="499" t="s">
        <v>11</v>
      </c>
      <c r="B62" s="263" t="s">
        <v>15</v>
      </c>
      <c r="C62" s="487" t="s">
        <v>39</v>
      </c>
      <c r="D62" s="487"/>
      <c r="E62" s="26">
        <v>26.97</v>
      </c>
      <c r="F62" s="27">
        <v>3346</v>
      </c>
      <c r="G62" s="258">
        <f t="shared" si="76"/>
        <v>90241.62</v>
      </c>
      <c r="H62" s="76" t="s">
        <v>57</v>
      </c>
      <c r="I62" s="261">
        <v>8</v>
      </c>
      <c r="J62" s="18">
        <v>1440</v>
      </c>
      <c r="K62" s="9">
        <f t="shared" si="77"/>
        <v>180</v>
      </c>
      <c r="L62" s="17">
        <v>8</v>
      </c>
      <c r="M62" s="10">
        <f t="shared" si="78"/>
        <v>1303.6363636363635</v>
      </c>
      <c r="N62" s="9">
        <f t="shared" si="82"/>
        <v>162.95454545454544</v>
      </c>
      <c r="O62" s="11">
        <f t="shared" si="79"/>
        <v>0</v>
      </c>
      <c r="P62" s="12">
        <f t="shared" si="80"/>
        <v>-17.045454545454561</v>
      </c>
      <c r="Q62" s="259">
        <f t="shared" si="83"/>
        <v>0.90530303030303017</v>
      </c>
      <c r="R62" s="470"/>
      <c r="S62" s="24">
        <v>0.3569444444444444</v>
      </c>
      <c r="T62" s="24">
        <v>0.46388888888888885</v>
      </c>
      <c r="U62" s="258">
        <f t="shared" si="84"/>
        <v>4.9999999999999822</v>
      </c>
      <c r="V62" s="262">
        <f t="shared" si="81"/>
        <v>154</v>
      </c>
      <c r="W62" s="258"/>
      <c r="X62" s="258"/>
      <c r="Y62" s="456"/>
      <c r="Z62" s="456"/>
      <c r="AA62" s="11">
        <f t="shared" si="2"/>
        <v>-136.36363636363649</v>
      </c>
      <c r="AB62" s="259">
        <f t="shared" si="57"/>
        <v>0.90530303030303017</v>
      </c>
      <c r="AC62" s="470"/>
    </row>
    <row r="63" spans="1:29">
      <c r="A63" s="500" t="s">
        <v>11</v>
      </c>
      <c r="B63" s="263" t="s">
        <v>33</v>
      </c>
      <c r="C63" s="487" t="s">
        <v>40</v>
      </c>
      <c r="D63" s="487"/>
      <c r="E63" s="26">
        <v>35.119999999999997</v>
      </c>
      <c r="F63" s="27">
        <v>1306</v>
      </c>
      <c r="G63" s="258">
        <f t="shared" si="76"/>
        <v>45866.719999999994</v>
      </c>
      <c r="H63" s="76" t="s">
        <v>57</v>
      </c>
      <c r="I63" s="261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1822.3255813953485</v>
      </c>
      <c r="N63" s="9">
        <f t="shared" si="82"/>
        <v>140.17889087656528</v>
      </c>
      <c r="O63" s="11">
        <f t="shared" si="79"/>
        <v>0</v>
      </c>
      <c r="P63" s="12">
        <f t="shared" si="80"/>
        <v>-13.667262969588563</v>
      </c>
      <c r="Q63" s="259">
        <f t="shared" si="83"/>
        <v>0.91116279069767436</v>
      </c>
      <c r="R63" s="470"/>
      <c r="S63" s="24">
        <v>0.46736111111111106</v>
      </c>
      <c r="T63" s="24">
        <v>0.49722222222222218</v>
      </c>
      <c r="U63" s="258">
        <f t="shared" si="84"/>
        <v>4.9999999999999822</v>
      </c>
      <c r="V63" s="262">
        <f t="shared" si="81"/>
        <v>43.000000000000007</v>
      </c>
      <c r="W63" s="14"/>
      <c r="X63" s="14"/>
      <c r="Y63" s="456"/>
      <c r="Z63" s="456"/>
      <c r="AA63" s="11">
        <f t="shared" si="2"/>
        <v>-177.67441860465146</v>
      </c>
      <c r="AB63" s="259">
        <f t="shared" si="57"/>
        <v>0.91116279069767425</v>
      </c>
      <c r="AC63" s="470"/>
    </row>
    <row r="64" spans="1:29">
      <c r="A64" s="500" t="s">
        <v>11</v>
      </c>
      <c r="B64" s="26" t="s">
        <v>1125</v>
      </c>
      <c r="C64" s="466"/>
      <c r="D64" s="466"/>
      <c r="E64" s="257"/>
      <c r="F64" s="16"/>
      <c r="G64" s="9"/>
      <c r="H64" s="263"/>
      <c r="I64" s="17">
        <v>10.199999999999999</v>
      </c>
      <c r="J64" s="18">
        <v>2488</v>
      </c>
      <c r="K64" s="9">
        <f>J64/I64</f>
        <v>243.92156862745099</v>
      </c>
      <c r="L64" s="17">
        <v>10.199999999999999</v>
      </c>
      <c r="M64" s="10">
        <f>AVERAGE(M59:M63)</f>
        <v>2277.927539651967</v>
      </c>
      <c r="N64" s="9">
        <f>M64/L64</f>
        <v>223.32622937764384</v>
      </c>
      <c r="O64" s="11">
        <f>L64-I64</f>
        <v>0</v>
      </c>
      <c r="P64" s="12">
        <f>N64-K64</f>
        <v>-20.595339249807154</v>
      </c>
      <c r="Q64" s="259">
        <f>N64/K64</f>
        <v>0.91556573137136943</v>
      </c>
      <c r="R64" s="470"/>
      <c r="S64" s="24"/>
      <c r="T64" s="24"/>
      <c r="U64" s="9"/>
      <c r="V64" s="262"/>
      <c r="W64" s="9"/>
      <c r="X64" s="9"/>
      <c r="Y64" s="456"/>
      <c r="Z64" s="456"/>
      <c r="AA64" s="11">
        <f t="shared" si="2"/>
        <v>-210.07246034803302</v>
      </c>
      <c r="AB64" s="259">
        <f t="shared" si="57"/>
        <v>0.91556573137136932</v>
      </c>
      <c r="AC64" s="470"/>
    </row>
    <row r="65" spans="1:29" ht="15.75" customHeight="1">
      <c r="A65" s="467" t="s">
        <v>1126</v>
      </c>
      <c r="B65" s="263" t="s">
        <v>24</v>
      </c>
      <c r="C65" s="487" t="s">
        <v>83</v>
      </c>
      <c r="D65" s="487"/>
      <c r="E65" s="26">
        <v>32.03</v>
      </c>
      <c r="F65" s="263">
        <v>1743</v>
      </c>
      <c r="G65" s="258">
        <f t="shared" ref="G65:G70" si="85">E65*F65</f>
        <v>55828.29</v>
      </c>
      <c r="H65" s="76" t="s">
        <v>57</v>
      </c>
      <c r="I65" s="261">
        <v>19</v>
      </c>
      <c r="J65" s="18">
        <v>2400</v>
      </c>
      <c r="K65" s="9">
        <f t="shared" ref="K65:K67" si="86">J65/I65</f>
        <v>126.31578947368421</v>
      </c>
      <c r="L65" s="17">
        <v>19</v>
      </c>
      <c r="M65" s="10">
        <f>F65/V65*60</f>
        <v>2178.7500000000009</v>
      </c>
      <c r="N65" s="9">
        <f t="shared" ref="N65:N70" si="87">M65/L65</f>
        <v>114.671052631579</v>
      </c>
      <c r="O65" s="11">
        <f t="shared" ref="O65:O70" si="88">L65-I65</f>
        <v>0</v>
      </c>
      <c r="P65" s="12">
        <f t="shared" ref="P65:P70" si="89">N65-K65</f>
        <v>-11.644736842105203</v>
      </c>
      <c r="Q65" s="259">
        <f>N65/K65</f>
        <v>0.90781250000000047</v>
      </c>
      <c r="R65" s="470">
        <f>Q71</f>
        <v>0.90681527651285165</v>
      </c>
      <c r="S65" s="24">
        <v>0.125</v>
      </c>
      <c r="T65" s="24">
        <v>0.15833333333333333</v>
      </c>
      <c r="U65" s="15"/>
      <c r="V65" s="262">
        <f t="shared" ref="V65:V70" si="90">(T65-S65)*24*60</f>
        <v>47.999999999999986</v>
      </c>
      <c r="W65" s="14"/>
      <c r="X65" s="14"/>
      <c r="Y65" s="456"/>
      <c r="Z65" s="456"/>
      <c r="AA65" s="11">
        <f t="shared" si="2"/>
        <v>-221.24999999999909</v>
      </c>
      <c r="AB65" s="259">
        <f>M65/J65</f>
        <v>0.90781250000000036</v>
      </c>
      <c r="AC65" s="470">
        <f>AB71</f>
        <v>0.90681527651285176</v>
      </c>
    </row>
    <row r="66" spans="1:29" ht="15.75" customHeight="1">
      <c r="A66" s="467" t="s">
        <v>12</v>
      </c>
      <c r="B66" s="263" t="s">
        <v>24</v>
      </c>
      <c r="C66" s="487" t="s">
        <v>56</v>
      </c>
      <c r="D66" s="487"/>
      <c r="E66" s="26">
        <v>20.2</v>
      </c>
      <c r="F66" s="263">
        <v>2720</v>
      </c>
      <c r="G66" s="258">
        <f t="shared" si="85"/>
        <v>54944</v>
      </c>
      <c r="H66" s="76" t="s">
        <v>57</v>
      </c>
      <c r="I66" s="261">
        <v>19</v>
      </c>
      <c r="J66" s="18">
        <v>2400</v>
      </c>
      <c r="K66" s="9">
        <f t="shared" si="86"/>
        <v>126.31578947368421</v>
      </c>
      <c r="L66" s="17">
        <v>19</v>
      </c>
      <c r="M66" s="10">
        <f t="shared" ref="M66:M70" si="91">F66/V66*60</f>
        <v>2175.9999999999995</v>
      </c>
      <c r="N66" s="9">
        <f t="shared" si="87"/>
        <v>114.52631578947366</v>
      </c>
      <c r="O66" s="11">
        <f t="shared" si="88"/>
        <v>0</v>
      </c>
      <c r="P66" s="12">
        <f t="shared" si="89"/>
        <v>-11.789473684210549</v>
      </c>
      <c r="Q66" s="259">
        <f t="shared" ref="Q66:Q71" si="92">N66/K66</f>
        <v>0.90666666666666651</v>
      </c>
      <c r="R66" s="470"/>
      <c r="S66" s="24">
        <v>0.17777777777777776</v>
      </c>
      <c r="T66" s="24">
        <v>0.2298611111111111</v>
      </c>
      <c r="U66" s="258">
        <f>(S66-T65)*24*60</f>
        <v>27.999999999999979</v>
      </c>
      <c r="V66" s="262">
        <f t="shared" si="90"/>
        <v>75.000000000000014</v>
      </c>
      <c r="W66" s="14"/>
      <c r="X66" s="14"/>
      <c r="Y66" s="456"/>
      <c r="Z66" s="456"/>
      <c r="AA66" s="11">
        <f t="shared" si="2"/>
        <v>-224.00000000000045</v>
      </c>
      <c r="AB66" s="259">
        <f t="shared" ref="AB66:AB71" si="93">M66/J66</f>
        <v>0.90666666666666651</v>
      </c>
      <c r="AC66" s="470"/>
    </row>
    <row r="67" spans="1:29" ht="15.75" customHeight="1">
      <c r="A67" s="467" t="s">
        <v>12</v>
      </c>
      <c r="B67" s="263" t="s">
        <v>24</v>
      </c>
      <c r="C67" s="487" t="s">
        <v>45</v>
      </c>
      <c r="D67" s="487"/>
      <c r="E67" s="26">
        <v>19.02</v>
      </c>
      <c r="F67" s="263">
        <v>3500</v>
      </c>
      <c r="G67" s="258">
        <f t="shared" si="85"/>
        <v>66570</v>
      </c>
      <c r="H67" s="76">
        <v>2</v>
      </c>
      <c r="I67" s="261">
        <v>15</v>
      </c>
      <c r="J67" s="18">
        <v>2400</v>
      </c>
      <c r="K67" s="9">
        <f t="shared" si="86"/>
        <v>160</v>
      </c>
      <c r="L67" s="17">
        <v>15</v>
      </c>
      <c r="M67" s="10">
        <f t="shared" si="91"/>
        <v>2187.5000000000005</v>
      </c>
      <c r="N67" s="9">
        <f t="shared" si="87"/>
        <v>145.83333333333337</v>
      </c>
      <c r="O67" s="11">
        <f t="shared" si="88"/>
        <v>0</v>
      </c>
      <c r="P67" s="12">
        <f t="shared" si="89"/>
        <v>-14.166666666666629</v>
      </c>
      <c r="Q67" s="259">
        <f t="shared" si="92"/>
        <v>0.91145833333333359</v>
      </c>
      <c r="R67" s="470"/>
      <c r="S67" s="24">
        <v>0.23541666666666666</v>
      </c>
      <c r="T67" s="24">
        <v>0.30208333333333331</v>
      </c>
      <c r="U67" s="258">
        <f t="shared" ref="U67:U70" si="94">(S67-T66)*24*60</f>
        <v>8.0000000000000107</v>
      </c>
      <c r="V67" s="262">
        <f t="shared" si="90"/>
        <v>95.999999999999972</v>
      </c>
      <c r="W67" s="14"/>
      <c r="X67" s="14"/>
      <c r="Y67" s="456"/>
      <c r="Z67" s="456"/>
      <c r="AA67" s="11">
        <f t="shared" si="2"/>
        <v>-212.49999999999955</v>
      </c>
      <c r="AB67" s="259">
        <f t="shared" si="93"/>
        <v>0.91145833333333348</v>
      </c>
      <c r="AC67" s="470"/>
    </row>
    <row r="68" spans="1:29" ht="15.75" customHeight="1">
      <c r="A68" s="467" t="s">
        <v>12</v>
      </c>
      <c r="B68" s="263" t="s">
        <v>24</v>
      </c>
      <c r="C68" s="487" t="s">
        <v>46</v>
      </c>
      <c r="D68" s="487"/>
      <c r="E68" s="26">
        <v>25</v>
      </c>
      <c r="F68" s="263">
        <v>4400</v>
      </c>
      <c r="G68" s="258">
        <f t="shared" si="85"/>
        <v>110000</v>
      </c>
      <c r="H68" s="76" t="s">
        <v>57</v>
      </c>
      <c r="I68" s="261">
        <v>15</v>
      </c>
      <c r="J68" s="18">
        <v>2400</v>
      </c>
      <c r="K68" s="9">
        <f>J68/I68</f>
        <v>160</v>
      </c>
      <c r="L68" s="17">
        <v>15</v>
      </c>
      <c r="M68" s="10">
        <f t="shared" si="91"/>
        <v>2163.9344262295085</v>
      </c>
      <c r="N68" s="9">
        <f t="shared" si="87"/>
        <v>144.26229508196724</v>
      </c>
      <c r="O68" s="11">
        <f t="shared" si="88"/>
        <v>0</v>
      </c>
      <c r="P68" s="12">
        <f t="shared" si="89"/>
        <v>-15.737704918032762</v>
      </c>
      <c r="Q68" s="259">
        <f t="shared" si="92"/>
        <v>0.90163934426229519</v>
      </c>
      <c r="R68" s="470"/>
      <c r="S68" s="24">
        <v>0.30763888888888885</v>
      </c>
      <c r="T68" s="24">
        <v>0.39236111111111105</v>
      </c>
      <c r="U68" s="258">
        <f t="shared" si="94"/>
        <v>7.9999999999999716</v>
      </c>
      <c r="V68" s="262">
        <f t="shared" si="90"/>
        <v>121.99999999999997</v>
      </c>
      <c r="W68" s="14"/>
      <c r="X68" s="14"/>
      <c r="Y68" s="456"/>
      <c r="Z68" s="456"/>
      <c r="AA68" s="11">
        <f t="shared" si="2"/>
        <v>-236.06557377049148</v>
      </c>
      <c r="AB68" s="259">
        <f t="shared" si="93"/>
        <v>0.90163934426229519</v>
      </c>
      <c r="AC68" s="470"/>
    </row>
    <row r="69" spans="1:29" ht="15.75" customHeight="1">
      <c r="A69" s="467" t="s">
        <v>12</v>
      </c>
      <c r="B69" s="263" t="s">
        <v>24</v>
      </c>
      <c r="C69" s="487" t="s">
        <v>510</v>
      </c>
      <c r="D69" s="487"/>
      <c r="E69" s="26">
        <v>28.51</v>
      </c>
      <c r="F69" s="263">
        <v>5874</v>
      </c>
      <c r="G69" s="258">
        <f t="shared" si="85"/>
        <v>167467.74000000002</v>
      </c>
      <c r="H69" s="76" t="s">
        <v>57</v>
      </c>
      <c r="I69" s="261">
        <v>20</v>
      </c>
      <c r="J69" s="18">
        <v>2400</v>
      </c>
      <c r="K69" s="9">
        <f t="shared" ref="K69:K71" si="95">J69/I69</f>
        <v>120</v>
      </c>
      <c r="L69" s="17">
        <v>20</v>
      </c>
      <c r="M69" s="10">
        <f t="shared" si="91"/>
        <v>2175.5555555555547</v>
      </c>
      <c r="N69" s="9">
        <f t="shared" si="87"/>
        <v>108.77777777777774</v>
      </c>
      <c r="O69" s="11">
        <f t="shared" si="88"/>
        <v>0</v>
      </c>
      <c r="P69" s="12">
        <f t="shared" si="89"/>
        <v>-11.222222222222257</v>
      </c>
      <c r="Q69" s="259">
        <f t="shared" si="92"/>
        <v>0.90648148148148122</v>
      </c>
      <c r="R69" s="470"/>
      <c r="S69" s="24">
        <v>0.3965277777777777</v>
      </c>
      <c r="T69" s="24">
        <v>0.50902777777777775</v>
      </c>
      <c r="U69" s="258">
        <f t="shared" si="94"/>
        <v>5.9999999999999787</v>
      </c>
      <c r="V69" s="262">
        <f t="shared" si="90"/>
        <v>162.00000000000006</v>
      </c>
      <c r="W69" s="14"/>
      <c r="X69" s="14"/>
      <c r="Y69" s="456"/>
      <c r="Z69" s="456"/>
      <c r="AA69" s="11">
        <f t="shared" ref="AA69:AA71" si="96">M69-J69</f>
        <v>-224.44444444444525</v>
      </c>
      <c r="AB69" s="259">
        <f t="shared" si="93"/>
        <v>0.90648148148148111</v>
      </c>
      <c r="AC69" s="470"/>
    </row>
    <row r="70" spans="1:29" ht="15.75" customHeight="1">
      <c r="A70" s="467" t="s">
        <v>12</v>
      </c>
      <c r="B70" s="263" t="s">
        <v>24</v>
      </c>
      <c r="C70" s="487" t="s">
        <v>45</v>
      </c>
      <c r="D70" s="487"/>
      <c r="E70" s="26">
        <v>19.02</v>
      </c>
      <c r="F70" s="263">
        <v>5441</v>
      </c>
      <c r="G70" s="258">
        <f t="shared" si="85"/>
        <v>103487.81999999999</v>
      </c>
      <c r="H70" s="76" t="s">
        <v>57</v>
      </c>
      <c r="I70" s="261">
        <v>15</v>
      </c>
      <c r="J70" s="18">
        <v>2400</v>
      </c>
      <c r="K70" s="9">
        <f t="shared" si="95"/>
        <v>160</v>
      </c>
      <c r="L70" s="17">
        <v>15</v>
      </c>
      <c r="M70" s="10">
        <f t="shared" si="91"/>
        <v>2176.400000000001</v>
      </c>
      <c r="N70" s="9">
        <f t="shared" si="87"/>
        <v>145.09333333333339</v>
      </c>
      <c r="O70" s="11">
        <f t="shared" si="88"/>
        <v>0</v>
      </c>
      <c r="P70" s="12">
        <f t="shared" si="89"/>
        <v>-14.906666666666609</v>
      </c>
      <c r="Q70" s="259">
        <f t="shared" si="92"/>
        <v>0.90683333333333371</v>
      </c>
      <c r="R70" s="470"/>
      <c r="S70" s="24">
        <v>0.54930555555555549</v>
      </c>
      <c r="T70" s="24">
        <v>0.65347222222222212</v>
      </c>
      <c r="U70" s="258">
        <f t="shared" si="94"/>
        <v>57.999999999999957</v>
      </c>
      <c r="V70" s="262">
        <f t="shared" si="90"/>
        <v>149.99999999999994</v>
      </c>
      <c r="W70" s="14"/>
      <c r="X70" s="14"/>
      <c r="Y70" s="456"/>
      <c r="Z70" s="456"/>
      <c r="AA70" s="11">
        <f t="shared" si="96"/>
        <v>-223.599999999999</v>
      </c>
      <c r="AB70" s="259">
        <f t="shared" si="93"/>
        <v>0.90683333333333371</v>
      </c>
      <c r="AC70" s="470"/>
    </row>
    <row r="71" spans="1:29" ht="16.5" customHeight="1">
      <c r="A71" s="501" t="s">
        <v>12</v>
      </c>
      <c r="B71" s="26" t="s">
        <v>1127</v>
      </c>
      <c r="C71" s="466"/>
      <c r="D71" s="466"/>
      <c r="E71" s="257"/>
      <c r="F71" s="16"/>
      <c r="G71" s="9"/>
      <c r="H71" s="263"/>
      <c r="I71" s="17">
        <v>17.166666666666668</v>
      </c>
      <c r="J71" s="18">
        <v>2400</v>
      </c>
      <c r="K71" s="9">
        <f t="shared" si="95"/>
        <v>139.80582524271844</v>
      </c>
      <c r="L71" s="17">
        <v>17.166666666666668</v>
      </c>
      <c r="M71" s="10">
        <f>AVERAGE(M65:M70)</f>
        <v>2176.3566636308442</v>
      </c>
      <c r="N71" s="9">
        <f>M71/L71</f>
        <v>126.77805807558315</v>
      </c>
      <c r="O71" s="11">
        <f>L71-I71</f>
        <v>0</v>
      </c>
      <c r="P71" s="12">
        <f>N71-K71</f>
        <v>-13.027767167135295</v>
      </c>
      <c r="Q71" s="259">
        <f t="shared" si="92"/>
        <v>0.90681527651285165</v>
      </c>
      <c r="R71" s="470"/>
      <c r="S71" s="24"/>
      <c r="T71" s="24"/>
      <c r="U71" s="9"/>
      <c r="V71" s="262"/>
      <c r="W71" s="9"/>
      <c r="X71" s="9"/>
      <c r="Y71" s="456"/>
      <c r="Z71" s="456"/>
      <c r="AA71" s="11">
        <f t="shared" si="96"/>
        <v>-223.6433363691558</v>
      </c>
      <c r="AB71" s="259">
        <f t="shared" si="93"/>
        <v>0.90681527651285176</v>
      </c>
      <c r="AC71" s="470"/>
    </row>
    <row r="72" spans="1:29">
      <c r="D72" s="19"/>
      <c r="E72" s="19"/>
    </row>
  </sheetData>
  <mergeCells count="192">
    <mergeCell ref="AC65:AC71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65:A71"/>
    <mergeCell ref="C65:D65"/>
    <mergeCell ref="R65:R71"/>
    <mergeCell ref="Y65:Z65"/>
    <mergeCell ref="Y70:Z70"/>
    <mergeCell ref="A59:A64"/>
    <mergeCell ref="C59:D59"/>
    <mergeCell ref="R59:R64"/>
    <mergeCell ref="Y59:Z59"/>
    <mergeCell ref="C71:D71"/>
    <mergeCell ref="Y71:Z71"/>
    <mergeCell ref="A54:A58"/>
    <mergeCell ref="C54:D54"/>
    <mergeCell ref="R54:R58"/>
    <mergeCell ref="Y54:Z54"/>
    <mergeCell ref="AC59:AC64"/>
    <mergeCell ref="C60:D60"/>
    <mergeCell ref="Y60:Z60"/>
    <mergeCell ref="C61:D61"/>
    <mergeCell ref="Y61:Z61"/>
    <mergeCell ref="C62:D62"/>
    <mergeCell ref="AC54:AC58"/>
    <mergeCell ref="C55:D55"/>
    <mergeCell ref="Y55:Z55"/>
    <mergeCell ref="C56:D56"/>
    <mergeCell ref="C58:D58"/>
    <mergeCell ref="Y58:Z58"/>
    <mergeCell ref="Y62:Z62"/>
    <mergeCell ref="C63:D63"/>
    <mergeCell ref="Y63:Z63"/>
    <mergeCell ref="C64:D64"/>
    <mergeCell ref="Y64:Z64"/>
    <mergeCell ref="A45:A53"/>
    <mergeCell ref="C45:D45"/>
    <mergeCell ref="R45:R53"/>
    <mergeCell ref="Y45:Z45"/>
    <mergeCell ref="Y50:Z50"/>
    <mergeCell ref="C51:D51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Y51:Z51"/>
    <mergeCell ref="C52:D52"/>
    <mergeCell ref="Y52:Z52"/>
    <mergeCell ref="C53:D53"/>
    <mergeCell ref="Y53:Z53"/>
    <mergeCell ref="A36:A44"/>
    <mergeCell ref="C36:D36"/>
    <mergeCell ref="R36:R44"/>
    <mergeCell ref="Y36:Z36"/>
    <mergeCell ref="Y41:Z41"/>
    <mergeCell ref="C42:D42"/>
    <mergeCell ref="Y42:Z42"/>
    <mergeCell ref="AC36:AC44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3:D43"/>
    <mergeCell ref="Y43:Z43"/>
    <mergeCell ref="C44:D44"/>
    <mergeCell ref="Y44:Z44"/>
    <mergeCell ref="A28:A35"/>
    <mergeCell ref="C28:D28"/>
    <mergeCell ref="R28:R35"/>
    <mergeCell ref="Y28:Z28"/>
    <mergeCell ref="Y33:Z33"/>
    <mergeCell ref="C34:D34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C35:D35"/>
    <mergeCell ref="Y35:Z35"/>
    <mergeCell ref="AC20:AC27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6:D26"/>
    <mergeCell ref="Y26:Z26"/>
    <mergeCell ref="C27:D27"/>
    <mergeCell ref="Y27:Z27"/>
    <mergeCell ref="A20:A27"/>
    <mergeCell ref="C20:D20"/>
    <mergeCell ref="R20:R27"/>
    <mergeCell ref="Y20:Z20"/>
    <mergeCell ref="Y25:Z25"/>
    <mergeCell ref="A14:A19"/>
    <mergeCell ref="C14:D14"/>
    <mergeCell ref="R14:R19"/>
    <mergeCell ref="Y14:Z1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71 O5:O9 O13:O15 O53:O59 O19:O50">
    <cfRule type="cellIs" dxfId="1563" priority="50" operator="greaterThan">
      <formula>0</formula>
    </cfRule>
  </conditionalFormatting>
  <conditionalFormatting sqref="P5:P7 P62:P63 AA62:AA63 P65:P70 P28:P34 P59 P9 P13:P15 P20:P26 P54:P57 P36:P50 AA5:AA59 AA65:AA71">
    <cfRule type="cellIs" dxfId="1562" priority="54" operator="lessThan">
      <formula>0</formula>
    </cfRule>
  </conditionalFormatting>
  <conditionalFormatting sqref="AB62:AB63 Q62:Q71 Q5:Q9 Q13:Q15 Q53:Q59 Q19:Q50 AB5:AB59 AB65:AB71">
    <cfRule type="cellIs" dxfId="1561" priority="51" operator="greaterThan">
      <formula>1</formula>
    </cfRule>
    <cfRule type="cellIs" dxfId="1560" priority="52" operator="lessThan">
      <formula>0.8</formula>
    </cfRule>
  </conditionalFormatting>
  <conditionalFormatting sqref="AC14:AC15 R14:R15 AC62 R19:R25 AC19:AC25 R62:R71 AC5:AC9 R5:R9 R27:R50 AC27:AC50 AC53:AC59 R53:R59">
    <cfRule type="cellIs" dxfId="1559" priority="56" operator="lessThan">
      <formula>0.8</formula>
    </cfRule>
  </conditionalFormatting>
  <conditionalFormatting sqref="AC45">
    <cfRule type="cellIs" dxfId="1558" priority="58" operator="lessThan">
      <formula>0.8</formula>
    </cfRule>
  </conditionalFormatting>
  <conditionalFormatting sqref="AC20:AC25">
    <cfRule type="cellIs" dxfId="1557" priority="55" operator="lessThan">
      <formula>0.8</formula>
    </cfRule>
  </conditionalFormatting>
  <conditionalFormatting sqref="AC28">
    <cfRule type="cellIs" dxfId="1556" priority="57" operator="lessThan">
      <formula>0.8</formula>
    </cfRule>
  </conditionalFormatting>
  <conditionalFormatting sqref="AC36:AC43">
    <cfRule type="cellIs" dxfId="1555" priority="53" operator="lessThan">
      <formula>0.8</formula>
    </cfRule>
  </conditionalFormatting>
  <conditionalFormatting sqref="AA64">
    <cfRule type="cellIs" dxfId="1554" priority="49" operator="lessThan">
      <formula>0</formula>
    </cfRule>
  </conditionalFormatting>
  <conditionalFormatting sqref="AB64">
    <cfRule type="cellIs" dxfId="1553" priority="47" operator="greaterThan">
      <formula>1</formula>
    </cfRule>
    <cfRule type="cellIs" dxfId="1552" priority="48" operator="lessThan">
      <formula>0.8</formula>
    </cfRule>
  </conditionalFormatting>
  <conditionalFormatting sqref="O16:O17">
    <cfRule type="cellIs" dxfId="1551" priority="42" operator="greaterThan">
      <formula>0</formula>
    </cfRule>
  </conditionalFormatting>
  <conditionalFormatting sqref="P16:P17">
    <cfRule type="cellIs" dxfId="1550" priority="45" operator="lessThan">
      <formula>0</formula>
    </cfRule>
  </conditionalFormatting>
  <conditionalFormatting sqref="Q16:Q17">
    <cfRule type="cellIs" dxfId="1549" priority="43" operator="greaterThan">
      <formula>1</formula>
    </cfRule>
    <cfRule type="cellIs" dxfId="1548" priority="44" operator="lessThan">
      <formula>0.8</formula>
    </cfRule>
  </conditionalFormatting>
  <conditionalFormatting sqref="R16:R17 AC16:AC17">
    <cfRule type="cellIs" dxfId="1547" priority="46" operator="lessThan">
      <formula>0.8</formula>
    </cfRule>
  </conditionalFormatting>
  <conditionalFormatting sqref="O10:O12">
    <cfRule type="cellIs" dxfId="1546" priority="38" operator="greaterThan">
      <formula>0</formula>
    </cfRule>
  </conditionalFormatting>
  <conditionalFormatting sqref="P10:P12">
    <cfRule type="cellIs" dxfId="1545" priority="41" operator="lessThan">
      <formula>0</formula>
    </cfRule>
  </conditionalFormatting>
  <conditionalFormatting sqref="Q10:Q12">
    <cfRule type="cellIs" dxfId="1544" priority="39" operator="greaterThan">
      <formula>1</formula>
    </cfRule>
    <cfRule type="cellIs" dxfId="1543" priority="40" operator="lessThan">
      <formula>0.8</formula>
    </cfRule>
  </conditionalFormatting>
  <conditionalFormatting sqref="O61">
    <cfRule type="cellIs" dxfId="1542" priority="33" operator="greaterThan">
      <formula>0</formula>
    </cfRule>
  </conditionalFormatting>
  <conditionalFormatting sqref="P61 AA61">
    <cfRule type="cellIs" dxfId="1541" priority="36" operator="lessThan">
      <formula>0</formula>
    </cfRule>
  </conditionalFormatting>
  <conditionalFormatting sqref="Q61 AB61">
    <cfRule type="cellIs" dxfId="1540" priority="34" operator="greaterThan">
      <formula>1</formula>
    </cfRule>
    <cfRule type="cellIs" dxfId="1539" priority="35" operator="lessThan">
      <formula>0.8</formula>
    </cfRule>
  </conditionalFormatting>
  <conditionalFormatting sqref="R61 AC61">
    <cfRule type="cellIs" dxfId="1538" priority="37" operator="lessThan">
      <formula>0.8</formula>
    </cfRule>
  </conditionalFormatting>
  <conditionalFormatting sqref="O18">
    <cfRule type="cellIs" dxfId="1537" priority="28" operator="greaterThan">
      <formula>0</formula>
    </cfRule>
  </conditionalFormatting>
  <conditionalFormatting sqref="P18">
    <cfRule type="cellIs" dxfId="1536" priority="31" operator="lessThan">
      <formula>0</formula>
    </cfRule>
  </conditionalFormatting>
  <conditionalFormatting sqref="Q18">
    <cfRule type="cellIs" dxfId="1535" priority="29" operator="greaterThan">
      <formula>1</formula>
    </cfRule>
    <cfRule type="cellIs" dxfId="1534" priority="30" operator="lessThan">
      <formula>0.8</formula>
    </cfRule>
  </conditionalFormatting>
  <conditionalFormatting sqref="R18 AC18">
    <cfRule type="cellIs" dxfId="1533" priority="32" operator="lessThan">
      <formula>0.8</formula>
    </cfRule>
  </conditionalFormatting>
  <conditionalFormatting sqref="O51">
    <cfRule type="cellIs" dxfId="1532" priority="22" operator="greaterThan">
      <formula>0</formula>
    </cfRule>
  </conditionalFormatting>
  <conditionalFormatting sqref="P51">
    <cfRule type="cellIs" dxfId="1531" priority="26" operator="lessThan">
      <formula>0</formula>
    </cfRule>
  </conditionalFormatting>
  <conditionalFormatting sqref="Q51">
    <cfRule type="cellIs" dxfId="1530" priority="23" operator="greaterThan">
      <formula>1</formula>
    </cfRule>
    <cfRule type="cellIs" dxfId="1529" priority="24" operator="lessThan">
      <formula>0.8</formula>
    </cfRule>
  </conditionalFormatting>
  <conditionalFormatting sqref="R51 AC51">
    <cfRule type="cellIs" dxfId="1528" priority="27" operator="lessThan">
      <formula>0.8</formula>
    </cfRule>
  </conditionalFormatting>
  <conditionalFormatting sqref="AC51">
    <cfRule type="cellIs" dxfId="1527" priority="25" operator="lessThan">
      <formula>0.8</formula>
    </cfRule>
  </conditionalFormatting>
  <conditionalFormatting sqref="O52">
    <cfRule type="cellIs" dxfId="1526" priority="16" operator="greaterThan">
      <formula>0</formula>
    </cfRule>
  </conditionalFormatting>
  <conditionalFormatting sqref="P52">
    <cfRule type="cellIs" dxfId="1525" priority="20" operator="lessThan">
      <formula>0</formula>
    </cfRule>
  </conditionalFormatting>
  <conditionalFormatting sqref="Q52">
    <cfRule type="cellIs" dxfId="1524" priority="17" operator="greaterThan">
      <formula>1</formula>
    </cfRule>
    <cfRule type="cellIs" dxfId="1523" priority="18" operator="lessThan">
      <formula>0.8</formula>
    </cfRule>
  </conditionalFormatting>
  <conditionalFormatting sqref="R52 AC52">
    <cfRule type="cellIs" dxfId="1522" priority="21" operator="lessThan">
      <formula>0.8</formula>
    </cfRule>
  </conditionalFormatting>
  <conditionalFormatting sqref="AC52">
    <cfRule type="cellIs" dxfId="1521" priority="19" operator="lessThan">
      <formula>0.8</formula>
    </cfRule>
  </conditionalFormatting>
  <conditionalFormatting sqref="R26 AC26">
    <cfRule type="cellIs" dxfId="1520" priority="15" operator="lessThan">
      <formula>0.8</formula>
    </cfRule>
  </conditionalFormatting>
  <conditionalFormatting sqref="AC26">
    <cfRule type="cellIs" dxfId="1519" priority="14" operator="lessThan">
      <formula>0.8</formula>
    </cfRule>
  </conditionalFormatting>
  <conditionalFormatting sqref="O60">
    <cfRule type="cellIs" dxfId="1518" priority="9" operator="greaterThan">
      <formula>0</formula>
    </cfRule>
  </conditionalFormatting>
  <conditionalFormatting sqref="P60 AA60">
    <cfRule type="cellIs" dxfId="1517" priority="12" operator="lessThan">
      <formula>0</formula>
    </cfRule>
  </conditionalFormatting>
  <conditionalFormatting sqref="Q60 AB60">
    <cfRule type="cellIs" dxfId="1516" priority="10" operator="greaterThan">
      <formula>1</formula>
    </cfRule>
    <cfRule type="cellIs" dxfId="1515" priority="11" operator="lessThan">
      <formula>0.8</formula>
    </cfRule>
  </conditionalFormatting>
  <conditionalFormatting sqref="R60 AC60">
    <cfRule type="cellIs" dxfId="1514" priority="13" operator="lessThan">
      <formula>0.8</formula>
    </cfRule>
  </conditionalFormatting>
  <conditionalFormatting sqref="P8">
    <cfRule type="cellIs" dxfId="1513" priority="8" operator="lessThan">
      <formula>0</formula>
    </cfRule>
  </conditionalFormatting>
  <conditionalFormatting sqref="P19">
    <cfRule type="cellIs" dxfId="1512" priority="7" operator="lessThan">
      <formula>0</formula>
    </cfRule>
  </conditionalFormatting>
  <conditionalFormatting sqref="P27">
    <cfRule type="cellIs" dxfId="1511" priority="6" operator="lessThan">
      <formula>0</formula>
    </cfRule>
  </conditionalFormatting>
  <conditionalFormatting sqref="P35">
    <cfRule type="cellIs" dxfId="1510" priority="5" operator="lessThan">
      <formula>0</formula>
    </cfRule>
  </conditionalFormatting>
  <conditionalFormatting sqref="P53">
    <cfRule type="cellIs" dxfId="1509" priority="4" operator="lessThan">
      <formula>0</formula>
    </cfRule>
  </conditionalFormatting>
  <conditionalFormatting sqref="P58">
    <cfRule type="cellIs" dxfId="1508" priority="3" operator="lessThan">
      <formula>0</formula>
    </cfRule>
  </conditionalFormatting>
  <conditionalFormatting sqref="P64">
    <cfRule type="cellIs" dxfId="1507" priority="2" operator="lessThan">
      <formula>0</formula>
    </cfRule>
  </conditionalFormatting>
  <conditionalFormatting sqref="P71">
    <cfRule type="cellIs" dxfId="1506" priority="1" operator="lessThan">
      <formula>0</formula>
    </cfRule>
  </conditionalFormatting>
  <dataValidations count="1">
    <dataValidation type="list" allowBlank="1" showInputMessage="1" showErrorMessage="1" sqref="Z8 Z63 Y5:Z7 Y8:Y63 Z10:Z59 Y64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52" t="s">
        <v>166</v>
      </c>
      <c r="C3" s="421" t="str">
        <f>TEXT('0719 4度C'!A2,"yyyy.mm.ddaaaa")</f>
        <v>2025.07.19星期六</v>
      </c>
      <c r="D3" s="421"/>
      <c r="E3" s="252" t="s">
        <v>127</v>
      </c>
      <c r="F3" s="422">
        <f>'0719 4度C'!D1</f>
        <v>140130</v>
      </c>
      <c r="G3" s="422"/>
      <c r="H3" s="252" t="s">
        <v>983</v>
      </c>
      <c r="I3" s="423">
        <f>'0719 4度C'!F1</f>
        <v>4867556.2700000014</v>
      </c>
      <c r="J3" s="423"/>
      <c r="K3" s="31"/>
      <c r="L3" s="32"/>
      <c r="M3" s="33"/>
      <c r="N3" s="33"/>
    </row>
    <row r="4" spans="2:17" ht="28.5" customHeight="1">
      <c r="B4" s="424" t="s">
        <v>984</v>
      </c>
      <c r="C4" s="424" t="s">
        <v>985</v>
      </c>
      <c r="D4" s="424"/>
      <c r="E4" s="425" t="s">
        <v>986</v>
      </c>
      <c r="F4" s="425"/>
      <c r="G4" s="425" t="s">
        <v>987</v>
      </c>
      <c r="H4" s="425"/>
      <c r="I4" s="425" t="s">
        <v>988</v>
      </c>
      <c r="J4" s="425"/>
      <c r="L4" s="33"/>
      <c r="M4" s="33"/>
      <c r="N4" s="33"/>
    </row>
    <row r="5" spans="2:17" ht="28.5" customHeight="1">
      <c r="B5" s="424"/>
      <c r="C5" s="424" t="s">
        <v>989</v>
      </c>
      <c r="D5" s="424"/>
      <c r="E5" s="424" t="s">
        <v>990</v>
      </c>
      <c r="F5" s="424"/>
      <c r="G5" s="426" t="s">
        <v>991</v>
      </c>
      <c r="H5" s="426"/>
      <c r="I5" s="427" t="s">
        <v>992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140.57286092761814</v>
      </c>
      <c r="F6" s="424">
        <f>AVERAGE(D27:O27,D13:J13)</f>
        <v>143.51252071104605</v>
      </c>
      <c r="G6" s="429">
        <f>AVERAGE(D13:J13)</f>
        <v>143.51252071104605</v>
      </c>
      <c r="H6" s="429"/>
      <c r="I6" s="429">
        <f>AVERAGE(K13:M13)</f>
        <v>133.71365476628634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127.66504725855626</v>
      </c>
      <c r="F7" s="434">
        <f>AVERAGE(D28:O28,D14:J14)</f>
        <v>130.35516354003701</v>
      </c>
      <c r="G7" s="435">
        <f>AVERAGE(D14:J14)</f>
        <v>130.35516354003701</v>
      </c>
      <c r="H7" s="435"/>
      <c r="I7" s="435">
        <f>AVERAGE(K14:M14)</f>
        <v>121.38810926843449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0.90767991367633627</v>
      </c>
      <c r="F8" s="432">
        <f>AVERAGE(D15:J15,D29:O29)</f>
        <v>0.90762949433295759</v>
      </c>
      <c r="G8" s="437">
        <f>AVERAGE(D15:J15)</f>
        <v>0.90762949433295759</v>
      </c>
      <c r="H8" s="437"/>
      <c r="I8" s="437">
        <f>AVERAGE(K15:M15)</f>
        <v>0.90779755881088675</v>
      </c>
      <c r="J8" s="437"/>
      <c r="K8" s="34" t="s">
        <v>993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994</v>
      </c>
      <c r="C10" s="439"/>
      <c r="D10" s="440" t="s">
        <v>995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996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997</v>
      </c>
      <c r="E12" s="42" t="s">
        <v>86</v>
      </c>
      <c r="F12" s="42" t="s">
        <v>998</v>
      </c>
      <c r="G12" s="42" t="s">
        <v>999</v>
      </c>
      <c r="H12" s="42" t="s">
        <v>183</v>
      </c>
      <c r="I12" s="42" t="s">
        <v>1000</v>
      </c>
      <c r="J12" s="43" t="s">
        <v>1001</v>
      </c>
      <c r="K12" s="41" t="s">
        <v>1002</v>
      </c>
      <c r="L12" s="42" t="s">
        <v>77</v>
      </c>
      <c r="M12" s="43" t="s">
        <v>1003</v>
      </c>
    </row>
    <row r="13" spans="2:17" ht="40.15" customHeight="1">
      <c r="B13" s="447" t="s">
        <v>1004</v>
      </c>
      <c r="C13" s="44" t="s">
        <v>187</v>
      </c>
      <c r="D13" s="45">
        <f>SUMIFS('0719 4度C'!$K:$K,'0719 4度C'!$A:$A,"燴飯線",'0719 4度C'!$B:$B,"平均")</f>
        <v>105.88235294117646</v>
      </c>
      <c r="E13" s="46">
        <f>SUMIFS('0719 4度C'!$K:$K,'0719 4度C'!$A:$A,"沙拉線一線",'0719 4度C'!$B:$B,"平均")</f>
        <v>81.081081081081081</v>
      </c>
      <c r="F13" s="47">
        <f>SUMIFS('0719 4度C'!$K:$K,'0719 4度C'!$A:$A,"沙拉線二線",'0719 4度C'!$B:$B,"平均")</f>
        <v>80.702127659574472</v>
      </c>
      <c r="G13" s="47">
        <f>SUMIFS('0719 4度C'!$K:$K,'0719 4度C'!$A:$A,"沙拉線三線",'0719 4度C'!$B:$B,"平均")</f>
        <v>103.44827586206895</v>
      </c>
      <c r="H13" s="47">
        <f>SUMIFS('0719 4度C'!$K:$K,'0719 4度C'!$A:$A,"自動包裝線",'0719 4度C'!$B:$B,"平均")</f>
        <v>300</v>
      </c>
      <c r="I13" s="47">
        <f>SUMIFS('0719 4度C'!$K:$K,'0719 4度C'!$A:$A,"涼麵一線",'0719 4度C'!$B:$B,"平均")</f>
        <v>89.552238805970148</v>
      </c>
      <c r="J13" s="48">
        <f>SUMIFS('0719 4度C'!$K:$K,'0719 4度C'!$A:$A,"三明治四線",'0719 4度C'!$B:$B,"平均")</f>
        <v>243.92156862745099</v>
      </c>
      <c r="K13" s="49">
        <f>SUMIFS('0719 4度C'!$K:$K,'0719 4度C'!$A:$A,"三明治一線",'0719 4度C'!$B:$B,"平均")</f>
        <v>138.46153846153848</v>
      </c>
      <c r="L13" s="50">
        <f>SUMIFS('0719 4度C'!$K:$K,'0719 4度C'!$A:$A,"三明治二線",'0719 4度C'!$B:$B,"平均")</f>
        <v>126.31578947368421</v>
      </c>
      <c r="M13" s="48">
        <f>SUMIFS('0719 4度C'!$K:$K,'0719 4度C'!$A:$A,"自動包裝二線",'0719 4度C'!$B:$B,"平均")</f>
        <v>136.36363636363635</v>
      </c>
    </row>
    <row r="14" spans="2:17" ht="39.6" customHeight="1">
      <c r="B14" s="447"/>
      <c r="C14" s="51" t="s">
        <v>1005</v>
      </c>
      <c r="D14" s="52">
        <f>SUMIFS('0719 4度C'!$N:$N,'0719 4度C'!$A:$A,"燴飯線",'0719 4度C'!$B:$B,"平均")</f>
        <v>96.254221726870597</v>
      </c>
      <c r="E14" s="53">
        <f>SUMIFS('0719 4度C'!$N:$N,'0719 4度C'!$A:$A,"沙拉線一線",'0719 4度C'!$B:$B,"平均")</f>
        <v>73.294552038932167</v>
      </c>
      <c r="F14" s="53">
        <f>SUMIFS('0719 4度C'!$N:$N,'0719 4度C'!$A:$A,"沙拉線二線",'0719 4度C'!$B:$B,"平均")</f>
        <v>73.166568363025789</v>
      </c>
      <c r="G14" s="53">
        <f>SUMIFS('0719 4度C'!$N:$N,'0719 4度C'!$A:$A,"沙拉線三線",'0719 4度C'!$B:$B,"平均")</f>
        <v>93.912495165076692</v>
      </c>
      <c r="H14" s="53">
        <f>SUMIFS('0719 4度C'!$N:$N,'0719 4度C'!$A:$A,"自動包裝線",'0719 4度C'!$B:$B,"平均")</f>
        <v>271.66926264780636</v>
      </c>
      <c r="I14" s="53">
        <f>SUMIFS('0719 4度C'!$N:$N,'0719 4度C'!$A:$A,"涼麵一線",'0719 4度C'!$B:$B,"平均")</f>
        <v>81.121597962008551</v>
      </c>
      <c r="J14" s="54">
        <f>SUMIFS('0719 4度C'!$N:$N,'0719 4度C'!$A:$A,"三明治四線",'0719 4度C'!$B:$B,"平均")</f>
        <v>223.0674468765389</v>
      </c>
      <c r="K14" s="55">
        <f>SUMIFS('0719 4度C'!$N:$N,'0719 4度C'!$A:$A,"三明治一線",'0719 4度C'!$B:$B,"平均")</f>
        <v>125.69862086369302</v>
      </c>
      <c r="L14" s="56">
        <f>SUMIFS('0719 4度C'!$N:$N,'0719 4度C'!$A:$A,"三明治二線",'0719 4度C'!$B:$B,"平均")</f>
        <v>114.54991878240121</v>
      </c>
      <c r="M14" s="54">
        <f>SUMIFS('0719 4度C'!$N:$N,'0719 4度C'!$A:$A,"自動包裝二線",'0719 4度C'!$B:$B,"平均")</f>
        <v>123.91578815920921</v>
      </c>
    </row>
    <row r="15" spans="2:17" ht="40.15" customHeight="1">
      <c r="B15" s="447"/>
      <c r="C15" s="57" t="s">
        <v>1006</v>
      </c>
      <c r="D15" s="58">
        <f>D14/D13</f>
        <v>0.90906764964266684</v>
      </c>
      <c r="E15" s="59">
        <f t="shared" ref="E15:M15" si="0">E14/E13</f>
        <v>0.90396614181349677</v>
      </c>
      <c r="F15" s="59">
        <f t="shared" si="0"/>
        <v>0.90662502321703453</v>
      </c>
      <c r="G15" s="59">
        <f t="shared" si="0"/>
        <v>0.9078207865957415</v>
      </c>
      <c r="H15" s="59">
        <f>H14/H13</f>
        <v>0.90556420882602118</v>
      </c>
      <c r="I15" s="59">
        <f>I14/I13</f>
        <v>0.90585784390909552</v>
      </c>
      <c r="J15" s="60">
        <f>J14/J13</f>
        <v>0.91450480632664655</v>
      </c>
      <c r="K15" s="58">
        <f>K14/K13</f>
        <v>0.90782337290444948</v>
      </c>
      <c r="L15" s="59">
        <f>L14/L13</f>
        <v>0.90685352369400962</v>
      </c>
      <c r="M15" s="60">
        <f t="shared" si="0"/>
        <v>0.90871577983420104</v>
      </c>
    </row>
    <row r="16" spans="2:17" ht="17.25" customHeight="1">
      <c r="B16" s="430" t="s">
        <v>1007</v>
      </c>
      <c r="C16" s="251" t="s">
        <v>103</v>
      </c>
      <c r="D16" s="61">
        <f>VLOOKUP("燴飯線",'0719 4度C'!$A:$T,19,0)</f>
        <v>0.70833333333333337</v>
      </c>
      <c r="E16" s="24">
        <f>VLOOKUP("沙拉線一線",'0719 4度C'!$A:$T,19,0)</f>
        <v>0.13055555555555556</v>
      </c>
      <c r="F16" s="24">
        <f>VLOOKUP("沙拉線二線",'0719 4度C'!$A:$T,19,0)</f>
        <v>0.25</v>
      </c>
      <c r="G16" s="24">
        <f>VLOOKUP("沙拉線三線",'0719 4度C'!$A:$T,19,0)</f>
        <v>0.20833333333333334</v>
      </c>
      <c r="H16" s="24">
        <f>VLOOKUP("自動包裝線",'0719 4度C'!$A:$T,19,0)</f>
        <v>0.20833333333333334</v>
      </c>
      <c r="I16" s="24">
        <f>VLOOKUP("涼麵一線",'0719 4度C'!$A:$T,19,0)</f>
        <v>0.29305555555555557</v>
      </c>
      <c r="J16" s="62">
        <f>VLOOKUP("三明治四線",'0719 4度C'!$A:$T,19,0)</f>
        <v>0.25069444444444444</v>
      </c>
      <c r="K16" s="63">
        <f>VLOOKUP("三明治一線",'0719 4度C'!$A:$T,19,0)</f>
        <v>0.125</v>
      </c>
      <c r="L16" s="64">
        <f>VLOOKUP("三明治二線",'0719 4度C'!$A:$T,19,0)</f>
        <v>8.3333333333333329E-2</v>
      </c>
      <c r="M16" s="65">
        <f>VLOOKUP("自動包裝二線",'0719 4度C'!$A:$T,19,0)</f>
        <v>0.125</v>
      </c>
    </row>
    <row r="17" spans="2:13" ht="17.25" customHeight="1">
      <c r="B17" s="431"/>
      <c r="C17" s="251" t="s">
        <v>137</v>
      </c>
      <c r="D17" s="63">
        <f>LOOKUP(2,1/(('0719 4度C'!$A:$A="燴飯線")*('0719 4度C'!$T:$T&lt;&gt;"")),'0719 4度C'!$T:$T)</f>
        <v>0.87222222222222223</v>
      </c>
      <c r="E17" s="24">
        <f>LOOKUP(2,1/(('0719 4度C'!$A:$A="沙拉線一線")*('0719 4度C'!$T:$T&lt;&gt;"")),'0719 4度C'!$T:$T)</f>
        <v>0.59375</v>
      </c>
      <c r="F17" s="24">
        <f>LOOKUP(2,1/(('0719 4度C'!$A:$A="沙拉線二線")*('0719 4度C'!$T:$T&lt;&gt;"")),'0719 4度C'!$T:$T)</f>
        <v>0.83750000000000002</v>
      </c>
      <c r="G17" s="24">
        <f>LOOKUP(2,1/(('0719 4度C'!$A:$A="沙拉線三線")*('0719 4度C'!$T:$T&lt;&gt;"")),'0719 4度C'!$T:$T)</f>
        <v>0.80277777777777781</v>
      </c>
      <c r="H17" s="24">
        <f>LOOKUP(2,1/(('0719 4度C'!$A:$A="自動包裝線")*('0719 4度C'!$T:$T&lt;&gt;"")),'0719 4度C'!$T:$T)</f>
        <v>0.59166666666666656</v>
      </c>
      <c r="I17" s="24">
        <f>LOOKUP(2,1/(('0719 4度C'!$A:$A="涼麵一線")*('0719 4度C'!$T:$T&lt;&gt;"")),'0719 4度C'!$T:$T)</f>
        <v>0.82708333333333339</v>
      </c>
      <c r="J17" s="62">
        <f>LOOKUP(2,1/(('0719 4度C'!$A:$A="三明治四線")*('0719 4度C'!$T:$T&lt;&gt;"")),'0719 4度C'!$T:$T)</f>
        <v>0.46874999999999994</v>
      </c>
      <c r="K17" s="61">
        <f>LOOKUP(2,1/(('0719 4度C'!$A:$A="三明治一線")*('0719 4度C'!$T:$T&lt;&gt;"")),'0719 4度C'!$T:$T)</f>
        <v>0.57291666666666652</v>
      </c>
      <c r="L17" s="24">
        <f>LOOKUP(2,1/(('0719 4度C'!$A:$A="三明治二線")*('0719 4度C'!$T:$T&lt;&gt;"")),'0719 4度C'!$T:$T)</f>
        <v>0.48055555555555551</v>
      </c>
      <c r="M17" s="62">
        <f>LOOKUP(2,1/(('0719 4度C'!$A:$A="自動包裝二線")*('0719 4度C'!$T:$T&lt;&gt;"")),'0719 4度C'!$T:$T)</f>
        <v>0.50138888888888888</v>
      </c>
    </row>
    <row r="18" spans="2:13" ht="17.25" customHeight="1">
      <c r="B18" s="431" t="s">
        <v>1008</v>
      </c>
      <c r="C18" s="446"/>
      <c r="D18" s="66">
        <f>SUMIFS('0719 4度C'!$I:$I,'0719 4度C'!$A:$A,"燴飯線",'0719 4度C'!$B:$B,"平均")</f>
        <v>17</v>
      </c>
      <c r="E18" s="67">
        <f>SUMIFS('0719 4度C'!$I:$I,'0719 4度C'!$A:$A,"沙拉線一線",'0719 4度C'!$B:$B,"平均")</f>
        <v>18.5</v>
      </c>
      <c r="F18" s="67">
        <f>SUMIFS('0719 4度C'!$I:$I,'0719 4度C'!$A:$A,"沙拉線二線",'0719 4度C'!$B:$B,"平均")</f>
        <v>18.8</v>
      </c>
      <c r="G18" s="67">
        <f>SUMIFS('0719 4度C'!$I:$I,'0719 4度C'!$A:$A,"沙拉線三線",'0719 4度C'!$B:$B,"平均")</f>
        <v>16.571428571428573</v>
      </c>
      <c r="H18" s="67">
        <f>SUMIFS('0719 4度C'!$I:$I,'0719 4度C'!$A:$A,"自動包裝線",'0719 4度C'!$B:$B,"平均")</f>
        <v>10</v>
      </c>
      <c r="I18" s="67">
        <f>SUMIFS('0719 4度C'!$I:$I,'0719 4度C'!$A:$A,"涼麵一線",'0719 4度C'!$B:$B,"平均")</f>
        <v>16.75</v>
      </c>
      <c r="J18" s="68">
        <f>SUMIFS('0719 4度C'!$I:$I,'0719 4度C'!$A:$A,"三明治四線",'0719 4度C'!$B:$B,"平均")</f>
        <v>10.199999999999999</v>
      </c>
      <c r="K18" s="66">
        <f>SUMIFS('0719 4度C'!$I:$I,'0719 4度C'!$A:$A,"三明治一線",'0719 4度C'!$B:$B,"平均")</f>
        <v>17.333333333333332</v>
      </c>
      <c r="L18" s="67">
        <f>SUMIFS('0719 4度C'!$I:$I,'0719 4度C'!$A:$A,"三明治二線",'0719 4度C'!$B:$B,"平均")</f>
        <v>19</v>
      </c>
      <c r="M18" s="68">
        <f>SUMIFS('0719 4度C'!$I:$I,'0719 4度C'!$A:$A,"自動包裝二線",'0719 4度C'!$B:$B,"平均")</f>
        <v>17.600000000000001</v>
      </c>
    </row>
    <row r="19" spans="2:13" ht="17.25" customHeight="1">
      <c r="B19" s="448" t="s">
        <v>1009</v>
      </c>
      <c r="C19" s="449"/>
      <c r="D19" s="69" t="s">
        <v>50</v>
      </c>
      <c r="E19" s="70" t="s">
        <v>51</v>
      </c>
      <c r="F19" s="70" t="s">
        <v>1010</v>
      </c>
      <c r="G19" s="70" t="s">
        <v>1011</v>
      </c>
      <c r="H19" s="70" t="s">
        <v>52</v>
      </c>
      <c r="I19" s="70" t="s">
        <v>50</v>
      </c>
      <c r="J19" s="71" t="s">
        <v>52</v>
      </c>
      <c r="K19" s="69" t="s">
        <v>1012</v>
      </c>
      <c r="L19" s="70" t="s">
        <v>1012</v>
      </c>
      <c r="M19" s="71" t="s">
        <v>1013</v>
      </c>
    </row>
    <row r="20" spans="2:13" ht="17.25" customHeight="1">
      <c r="B20" s="448" t="s">
        <v>1014</v>
      </c>
      <c r="C20" s="449"/>
      <c r="D20" s="69"/>
      <c r="E20" s="70"/>
      <c r="F20" s="70" t="s">
        <v>1015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1016</v>
      </c>
      <c r="C21" s="451"/>
      <c r="D21" s="72"/>
      <c r="E21" s="73" t="s">
        <v>141</v>
      </c>
      <c r="F21" s="452" t="s">
        <v>1017</v>
      </c>
      <c r="G21" s="453"/>
      <c r="H21" s="73" t="s">
        <v>1018</v>
      </c>
      <c r="I21" s="73" t="s">
        <v>1019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50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1020</v>
      </c>
      <c r="B1" s="1"/>
      <c r="C1" s="2" t="s">
        <v>1021</v>
      </c>
      <c r="D1" s="3">
        <f>SUM(F5:F66)</f>
        <v>140130</v>
      </c>
      <c r="E1" s="258" t="s">
        <v>1022</v>
      </c>
      <c r="F1" s="1">
        <f>SUM(G5:G66)</f>
        <v>4867556.2700000014</v>
      </c>
      <c r="G1" s="1" t="s">
        <v>1023</v>
      </c>
      <c r="H1" s="4">
        <f>L8+L13+L49+L54+L19+L60+L34+L41+L27+L66</f>
        <v>161.75476190476189</v>
      </c>
      <c r="I1" s="454" t="s">
        <v>1024</v>
      </c>
      <c r="J1" s="454"/>
      <c r="K1" s="454"/>
      <c r="L1" s="454" t="s">
        <v>1025</v>
      </c>
      <c r="M1" s="454"/>
      <c r="N1" s="454"/>
      <c r="O1" s="454" t="s">
        <v>1026</v>
      </c>
      <c r="P1" s="454"/>
      <c r="Q1" s="454"/>
      <c r="R1" s="454"/>
      <c r="S1" s="454" t="s">
        <v>1027</v>
      </c>
      <c r="T1" s="454"/>
      <c r="U1" s="454"/>
      <c r="V1" s="454"/>
      <c r="W1" s="454"/>
      <c r="X1" s="454"/>
      <c r="Y1" s="454" t="s">
        <v>1028</v>
      </c>
      <c r="Z1" s="454"/>
      <c r="AA1" s="454" t="s">
        <v>1029</v>
      </c>
      <c r="AB1" s="455"/>
      <c r="AC1" s="455"/>
    </row>
    <row r="2" spans="1:29" ht="26.25" customHeight="1">
      <c r="A2" s="22">
        <v>45857</v>
      </c>
      <c r="B2" s="23" t="s">
        <v>355</v>
      </c>
      <c r="C2" s="2" t="s">
        <v>1030</v>
      </c>
      <c r="D2" s="6">
        <f>AVERAGE(N8,N13,N49,N54,N19,N60,N27,N34,N41,N66)</f>
        <v>127.66504725855626</v>
      </c>
      <c r="E2" s="7" t="s">
        <v>0</v>
      </c>
      <c r="F2" s="8">
        <f>F1/D1</f>
        <v>34.736004210376088</v>
      </c>
      <c r="G2" s="1" t="s">
        <v>1031</v>
      </c>
      <c r="H2" s="264">
        <f>COUNT(H5:H66)</f>
        <v>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1032</v>
      </c>
      <c r="B3" s="456" t="s">
        <v>1033</v>
      </c>
      <c r="C3" s="456" t="s">
        <v>1034</v>
      </c>
      <c r="D3" s="456"/>
      <c r="E3" s="457" t="s">
        <v>1035</v>
      </c>
      <c r="F3" s="456" t="s">
        <v>1036</v>
      </c>
      <c r="G3" s="457" t="s">
        <v>1037</v>
      </c>
      <c r="H3" s="463" t="s">
        <v>1038</v>
      </c>
      <c r="I3" s="464" t="s">
        <v>1039</v>
      </c>
      <c r="J3" s="465" t="s">
        <v>1040</v>
      </c>
      <c r="K3" s="459" t="s">
        <v>1041</v>
      </c>
      <c r="L3" s="464" t="s">
        <v>1039</v>
      </c>
      <c r="M3" s="465" t="s">
        <v>1040</v>
      </c>
      <c r="N3" s="459" t="s">
        <v>1041</v>
      </c>
      <c r="O3" s="464" t="s">
        <v>1042</v>
      </c>
      <c r="P3" s="459" t="s">
        <v>1030</v>
      </c>
      <c r="Q3" s="460" t="s">
        <v>1043</v>
      </c>
      <c r="R3" s="461" t="s">
        <v>1044</v>
      </c>
      <c r="S3" s="462" t="s">
        <v>1</v>
      </c>
      <c r="T3" s="462"/>
      <c r="U3" s="463" t="s">
        <v>2</v>
      </c>
      <c r="V3" s="463" t="s">
        <v>1045</v>
      </c>
      <c r="W3" s="456" t="s">
        <v>1046</v>
      </c>
      <c r="X3" s="456"/>
      <c r="Y3" s="475" t="s">
        <v>1047</v>
      </c>
      <c r="Z3" s="476"/>
      <c r="AA3" s="465" t="s">
        <v>1048</v>
      </c>
      <c r="AB3" s="460" t="s">
        <v>1043</v>
      </c>
      <c r="AC3" s="461" t="s">
        <v>1044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63" t="s">
        <v>3</v>
      </c>
      <c r="T4" s="263" t="s">
        <v>4</v>
      </c>
      <c r="U4" s="463"/>
      <c r="V4" s="463"/>
      <c r="W4" s="258" t="s">
        <v>1049</v>
      </c>
      <c r="X4" s="258" t="s">
        <v>1050</v>
      </c>
      <c r="Y4" s="476"/>
      <c r="Z4" s="476"/>
      <c r="AA4" s="465"/>
      <c r="AB4" s="460"/>
      <c r="AC4" s="461"/>
    </row>
    <row r="5" spans="1:29">
      <c r="A5" s="471" t="s">
        <v>1051</v>
      </c>
      <c r="B5" s="26" t="s">
        <v>13</v>
      </c>
      <c r="C5" s="472" t="s">
        <v>58</v>
      </c>
      <c r="D5" s="472"/>
      <c r="E5" s="26">
        <v>46.93</v>
      </c>
      <c r="F5" s="263">
        <v>1190</v>
      </c>
      <c r="G5" s="258">
        <f>E5*F5</f>
        <v>55846.7</v>
      </c>
      <c r="H5" s="76" t="s">
        <v>57</v>
      </c>
      <c r="I5" s="261">
        <v>17</v>
      </c>
      <c r="J5" s="18">
        <v>1800</v>
      </c>
      <c r="K5" s="9">
        <f>J5/I5</f>
        <v>105.88235294117646</v>
      </c>
      <c r="L5" s="261">
        <v>17</v>
      </c>
      <c r="M5" s="10">
        <f>F5/V5*60</f>
        <v>1660.4651162790694</v>
      </c>
      <c r="N5" s="9">
        <f>M5/L5</f>
        <v>97.674418604651137</v>
      </c>
      <c r="O5" s="11">
        <f t="shared" ref="O5:O7" si="0">L5-I5</f>
        <v>0</v>
      </c>
      <c r="P5" s="12">
        <f t="shared" ref="P5:P7" si="1">N5-K5</f>
        <v>-8.2079343365253266</v>
      </c>
      <c r="Q5" s="259">
        <f>N5/K5</f>
        <v>0.92248062015503862</v>
      </c>
      <c r="R5" s="470">
        <f>Q8</f>
        <v>0.90906764964266684</v>
      </c>
      <c r="S5" s="24">
        <v>0.70833333333333337</v>
      </c>
      <c r="T5" s="24">
        <v>0.73819444444444449</v>
      </c>
      <c r="U5" s="258"/>
      <c r="V5" s="262">
        <f>(T5-S5)*24*60</f>
        <v>43.000000000000007</v>
      </c>
      <c r="W5" s="13"/>
      <c r="X5" s="13"/>
      <c r="Y5" s="456"/>
      <c r="Z5" s="456"/>
      <c r="AA5" s="11">
        <f t="shared" ref="AA5:AA66" si="2">M5-J5</f>
        <v>-139.53488372093057</v>
      </c>
      <c r="AB5" s="259">
        <f t="shared" ref="AB5:AB7" si="3">M5/J5</f>
        <v>0.92248062015503862</v>
      </c>
      <c r="AC5" s="470">
        <f>AB8</f>
        <v>0.90906764964266673</v>
      </c>
    </row>
    <row r="6" spans="1:29">
      <c r="A6" s="464" t="s">
        <v>1051</v>
      </c>
      <c r="B6" s="26" t="s">
        <v>13</v>
      </c>
      <c r="C6" s="472" t="s">
        <v>60</v>
      </c>
      <c r="D6" s="472"/>
      <c r="E6" s="26">
        <v>50.49</v>
      </c>
      <c r="F6" s="263">
        <v>2141</v>
      </c>
      <c r="G6" s="258">
        <f t="shared" ref="G6:G7" si="4">E6*F6</f>
        <v>108099.09000000001</v>
      </c>
      <c r="H6" s="76" t="s">
        <v>57</v>
      </c>
      <c r="I6" s="261">
        <v>16</v>
      </c>
      <c r="J6" s="18">
        <v>1800</v>
      </c>
      <c r="K6" s="9">
        <f t="shared" ref="K6:K7" si="5">J6/I6</f>
        <v>112.5</v>
      </c>
      <c r="L6" s="261">
        <v>16</v>
      </c>
      <c r="M6" s="10">
        <f>F6/V6*60</f>
        <v>1626.0759493670878</v>
      </c>
      <c r="N6" s="9">
        <f t="shared" ref="N6:N7" si="6">M6/L6</f>
        <v>101.62974683544299</v>
      </c>
      <c r="O6" s="11">
        <f t="shared" si="0"/>
        <v>0</v>
      </c>
      <c r="P6" s="12">
        <f t="shared" si="1"/>
        <v>-10.870253164557013</v>
      </c>
      <c r="Q6" s="259">
        <f t="shared" ref="Q6:Q7" si="7">N6/K6</f>
        <v>0.9033755274261599</v>
      </c>
      <c r="R6" s="470"/>
      <c r="S6" s="24">
        <v>0.74375000000000002</v>
      </c>
      <c r="T6" s="24">
        <v>0.79861111111111116</v>
      </c>
      <c r="U6" s="258">
        <f>(S6-T5)*24*60</f>
        <v>7.9999999999999716</v>
      </c>
      <c r="V6" s="262">
        <f>(T6-S6)*24*60</f>
        <v>79.000000000000043</v>
      </c>
      <c r="W6" s="14"/>
      <c r="X6" s="14"/>
      <c r="Y6" s="456"/>
      <c r="Z6" s="456"/>
      <c r="AA6" s="11">
        <f t="shared" si="2"/>
        <v>-173.92405063291221</v>
      </c>
      <c r="AB6" s="259">
        <f t="shared" si="3"/>
        <v>0.9033755274261599</v>
      </c>
      <c r="AC6" s="470"/>
    </row>
    <row r="7" spans="1:29">
      <c r="A7" s="464" t="s">
        <v>1051</v>
      </c>
      <c r="B7" s="26" t="s">
        <v>13</v>
      </c>
      <c r="C7" s="468" t="s">
        <v>448</v>
      </c>
      <c r="D7" s="469"/>
      <c r="E7" s="26">
        <v>50.67</v>
      </c>
      <c r="F7" s="263">
        <v>2677</v>
      </c>
      <c r="G7" s="258">
        <f t="shared" si="4"/>
        <v>135643.59</v>
      </c>
      <c r="H7" s="76" t="s">
        <v>57</v>
      </c>
      <c r="I7" s="261">
        <v>18</v>
      </c>
      <c r="J7" s="18">
        <v>1800</v>
      </c>
      <c r="K7" s="9">
        <f t="shared" si="5"/>
        <v>100</v>
      </c>
      <c r="L7" s="261">
        <v>18</v>
      </c>
      <c r="M7" s="10">
        <f t="shared" ref="M7" si="8">F7/V7*60</f>
        <v>1622.4242424242429</v>
      </c>
      <c r="N7" s="9">
        <f t="shared" si="6"/>
        <v>90.134680134680167</v>
      </c>
      <c r="O7" s="11">
        <f t="shared" si="0"/>
        <v>0</v>
      </c>
      <c r="P7" s="12">
        <f t="shared" si="1"/>
        <v>-9.8653198653198331</v>
      </c>
      <c r="Q7" s="259">
        <f t="shared" si="7"/>
        <v>0.90134680134680167</v>
      </c>
      <c r="R7" s="470"/>
      <c r="S7" s="24">
        <v>0.80347222222222225</v>
      </c>
      <c r="T7" s="24">
        <v>0.87222222222222223</v>
      </c>
      <c r="U7" s="258">
        <f t="shared" ref="U7" si="9">(S7-T6)*24*60</f>
        <v>6.9999999999999751</v>
      </c>
      <c r="V7" s="262">
        <f t="shared" ref="V7" si="10">(T7-S7)*24*60</f>
        <v>98.999999999999972</v>
      </c>
      <c r="W7" s="14"/>
      <c r="X7" s="14"/>
      <c r="Y7" s="473"/>
      <c r="Z7" s="474"/>
      <c r="AA7" s="11">
        <f t="shared" si="2"/>
        <v>-177.57575757575705</v>
      </c>
      <c r="AB7" s="259">
        <f t="shared" si="3"/>
        <v>0.90134680134680167</v>
      </c>
      <c r="AC7" s="470"/>
    </row>
    <row r="8" spans="1:29">
      <c r="A8" s="464" t="s">
        <v>1051</v>
      </c>
      <c r="B8" s="26" t="s">
        <v>1052</v>
      </c>
      <c r="C8" s="466"/>
      <c r="D8" s="466"/>
      <c r="E8" s="257"/>
      <c r="F8" s="16"/>
      <c r="G8" s="9"/>
      <c r="H8" s="26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1636.3217693568001</v>
      </c>
      <c r="N8" s="9">
        <f>M8/L8</f>
        <v>96.254221726870597</v>
      </c>
      <c r="O8" s="11">
        <f>L8-I8</f>
        <v>0</v>
      </c>
      <c r="P8" s="12">
        <f>N8-K8</f>
        <v>-9.628131214305867</v>
      </c>
      <c r="Q8" s="259">
        <f>N8/K8</f>
        <v>0.90906764964266684</v>
      </c>
      <c r="R8" s="470"/>
      <c r="S8" s="24"/>
      <c r="T8" s="24"/>
      <c r="U8" s="258"/>
      <c r="V8" s="262"/>
      <c r="W8" s="9"/>
      <c r="X8" s="9"/>
      <c r="Y8" s="456"/>
      <c r="Z8" s="456"/>
      <c r="AA8" s="11">
        <f t="shared" si="2"/>
        <v>-163.67823064319987</v>
      </c>
      <c r="AB8" s="259">
        <f>M8/J8</f>
        <v>0.90906764964266673</v>
      </c>
      <c r="AC8" s="470"/>
    </row>
    <row r="9" spans="1:29" ht="15.75" customHeight="1">
      <c r="A9" s="467" t="s">
        <v>1053</v>
      </c>
      <c r="B9" s="26" t="s">
        <v>15</v>
      </c>
      <c r="C9" s="468" t="s">
        <v>16</v>
      </c>
      <c r="D9" s="469"/>
      <c r="E9" s="26">
        <v>39.619999999999997</v>
      </c>
      <c r="F9" s="263">
        <v>3738</v>
      </c>
      <c r="G9" s="258">
        <f t="shared" ref="G9:G12" si="11">E9*F9</f>
        <v>148099.56</v>
      </c>
      <c r="H9" s="76" t="s">
        <v>57</v>
      </c>
      <c r="I9" s="261">
        <v>19</v>
      </c>
      <c r="J9" s="18">
        <v>1500</v>
      </c>
      <c r="K9" s="9">
        <f t="shared" ref="K9:K12" si="12">J9/I9</f>
        <v>78.94736842105263</v>
      </c>
      <c r="L9" s="261">
        <v>19</v>
      </c>
      <c r="M9" s="10">
        <f t="shared" ref="M9:M12" si="13">F9/V9*60</f>
        <v>1359.2727272727275</v>
      </c>
      <c r="N9" s="9">
        <f t="shared" ref="N9:N12" si="14">M9/L9</f>
        <v>71.540669856459346</v>
      </c>
      <c r="O9" s="11">
        <f t="shared" ref="O9:O12" si="15">L9-I9</f>
        <v>0</v>
      </c>
      <c r="P9" s="12">
        <f>N9-K9</f>
        <v>-7.4066985645932846</v>
      </c>
      <c r="Q9" s="259">
        <f>N9/K9</f>
        <v>0.90618181818181842</v>
      </c>
      <c r="R9" s="470">
        <f>Q13</f>
        <v>0.90396614181349677</v>
      </c>
      <c r="S9" s="24">
        <v>0.13055555555555556</v>
      </c>
      <c r="T9" s="24">
        <v>0.24513888888888891</v>
      </c>
      <c r="U9" s="258"/>
      <c r="V9" s="262">
        <f t="shared" ref="V9:V12" si="16">(T9-S9)*24*60</f>
        <v>165</v>
      </c>
      <c r="W9" s="9"/>
      <c r="X9" s="9"/>
      <c r="Y9" s="456"/>
      <c r="Z9" s="456"/>
      <c r="AA9" s="11">
        <f t="shared" si="2"/>
        <v>-140.72727272727252</v>
      </c>
      <c r="AB9" s="259">
        <f>M9/J9</f>
        <v>0.90618181818181831</v>
      </c>
      <c r="AC9" s="470">
        <f>AB13</f>
        <v>0.90396614181349677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63">
        <v>3000</v>
      </c>
      <c r="G10" s="258">
        <f t="shared" si="11"/>
        <v>119399.99999999999</v>
      </c>
      <c r="H10" s="76">
        <v>2</v>
      </c>
      <c r="I10" s="261">
        <v>18</v>
      </c>
      <c r="J10" s="18">
        <v>1500</v>
      </c>
      <c r="K10" s="9">
        <f t="shared" si="12"/>
        <v>83.333333333333329</v>
      </c>
      <c r="L10" s="261">
        <v>18</v>
      </c>
      <c r="M10" s="10">
        <f t="shared" si="13"/>
        <v>1353.3834586466166</v>
      </c>
      <c r="N10" s="9">
        <f t="shared" si="14"/>
        <v>75.187969924812037</v>
      </c>
      <c r="O10" s="11">
        <f t="shared" si="15"/>
        <v>0</v>
      </c>
      <c r="P10" s="12">
        <f t="shared" ref="P10:P12" si="17">N10-K10</f>
        <v>-8.1453634085212911</v>
      </c>
      <c r="Q10" s="259">
        <f t="shared" ref="Q10:Q12" si="18">N10/K10</f>
        <v>0.90225563909774453</v>
      </c>
      <c r="R10" s="470"/>
      <c r="S10" s="24">
        <v>0.26874999999999999</v>
      </c>
      <c r="T10" s="24">
        <v>0.3611111111111111</v>
      </c>
      <c r="U10" s="258">
        <f>(S10-T9)*24*60</f>
        <v>33.999999999999957</v>
      </c>
      <c r="V10" s="262">
        <f t="shared" si="16"/>
        <v>133</v>
      </c>
      <c r="W10" s="14"/>
      <c r="X10" s="14"/>
      <c r="Y10" s="456"/>
      <c r="Z10" s="456"/>
      <c r="AA10" s="11">
        <f t="shared" si="2"/>
        <v>-146.61654135338335</v>
      </c>
      <c r="AB10" s="259">
        <f t="shared" ref="AB10:AB27" si="19">M10/J10</f>
        <v>0.90225563909774442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63">
        <v>3827</v>
      </c>
      <c r="G11" s="258">
        <f t="shared" si="11"/>
        <v>150362.82999999999</v>
      </c>
      <c r="H11" s="76" t="s">
        <v>57</v>
      </c>
      <c r="I11" s="261">
        <v>19</v>
      </c>
      <c r="J11" s="18">
        <v>1500</v>
      </c>
      <c r="K11" s="9">
        <f t="shared" si="12"/>
        <v>78.94736842105263</v>
      </c>
      <c r="L11" s="261">
        <v>19</v>
      </c>
      <c r="M11" s="10">
        <f t="shared" si="13"/>
        <v>1350.705882352941</v>
      </c>
      <c r="N11" s="9">
        <f t="shared" si="14"/>
        <v>71.08978328173373</v>
      </c>
      <c r="O11" s="11">
        <f t="shared" si="15"/>
        <v>0</v>
      </c>
      <c r="P11" s="12">
        <f t="shared" si="17"/>
        <v>-7.8575851393188998</v>
      </c>
      <c r="Q11" s="259">
        <f t="shared" si="18"/>
        <v>0.90047058823529391</v>
      </c>
      <c r="R11" s="470"/>
      <c r="S11" s="24">
        <v>0.37152777777777773</v>
      </c>
      <c r="T11" s="24">
        <v>0.48958333333333331</v>
      </c>
      <c r="U11" s="258">
        <f t="shared" ref="U11:U12" si="20">(S11-T10)*24*60</f>
        <v>14.999999999999947</v>
      </c>
      <c r="V11" s="262">
        <f t="shared" si="16"/>
        <v>170.00000000000003</v>
      </c>
      <c r="W11" s="14"/>
      <c r="X11" s="14"/>
      <c r="Y11" s="456"/>
      <c r="Z11" s="456"/>
      <c r="AA11" s="11">
        <f t="shared" si="2"/>
        <v>-149.29411764705901</v>
      </c>
      <c r="AB11" s="259">
        <f t="shared" si="19"/>
        <v>0.90047058823529402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63">
        <v>2086</v>
      </c>
      <c r="G12" s="258">
        <f t="shared" si="11"/>
        <v>83022.799999999988</v>
      </c>
      <c r="H12" s="76" t="s">
        <v>57</v>
      </c>
      <c r="I12" s="261">
        <v>18</v>
      </c>
      <c r="J12" s="18">
        <v>1500</v>
      </c>
      <c r="K12" s="9">
        <f t="shared" si="12"/>
        <v>83.333333333333329</v>
      </c>
      <c r="L12" s="261">
        <v>18</v>
      </c>
      <c r="M12" s="10">
        <f t="shared" si="13"/>
        <v>1360.4347826086957</v>
      </c>
      <c r="N12" s="9">
        <f t="shared" si="14"/>
        <v>75.579710144927546</v>
      </c>
      <c r="O12" s="11">
        <f t="shared" si="15"/>
        <v>0</v>
      </c>
      <c r="P12" s="12">
        <f t="shared" si="17"/>
        <v>-7.7536231884057827</v>
      </c>
      <c r="Q12" s="259">
        <f t="shared" si="18"/>
        <v>0.90695652173913055</v>
      </c>
      <c r="R12" s="470"/>
      <c r="S12" s="24">
        <v>0.52986111111111112</v>
      </c>
      <c r="T12" s="24">
        <v>0.59375</v>
      </c>
      <c r="U12" s="258">
        <f t="shared" si="20"/>
        <v>58.000000000000036</v>
      </c>
      <c r="V12" s="262">
        <f t="shared" si="16"/>
        <v>92</v>
      </c>
      <c r="W12" s="14"/>
      <c r="X12" s="14"/>
      <c r="Y12" s="456"/>
      <c r="Z12" s="456"/>
      <c r="AA12" s="11">
        <f t="shared" si="2"/>
        <v>-139.56521739130426</v>
      </c>
      <c r="AB12" s="259">
        <f t="shared" si="19"/>
        <v>0.90695652173913044</v>
      </c>
      <c r="AC12" s="470"/>
    </row>
    <row r="13" spans="1:29" ht="16.5" customHeight="1">
      <c r="A13" s="467" t="s">
        <v>5</v>
      </c>
      <c r="B13" s="26" t="s">
        <v>1054</v>
      </c>
      <c r="C13" s="466"/>
      <c r="D13" s="466"/>
      <c r="E13" s="257"/>
      <c r="F13" s="18"/>
      <c r="G13" s="10"/>
      <c r="H13" s="263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1355.9492127202452</v>
      </c>
      <c r="N13" s="9">
        <f>M13/L13</f>
        <v>73.294552038932167</v>
      </c>
      <c r="O13" s="11">
        <f>L13-I13</f>
        <v>0</v>
      </c>
      <c r="P13" s="12">
        <f>N13-K13</f>
        <v>-7.7865290421489135</v>
      </c>
      <c r="Q13" s="259">
        <f>N13/K13</f>
        <v>0.90396614181349677</v>
      </c>
      <c r="R13" s="470"/>
      <c r="S13" s="24"/>
      <c r="T13" s="24"/>
      <c r="U13" s="9"/>
      <c r="V13" s="262"/>
      <c r="W13" s="9"/>
      <c r="X13" s="9"/>
      <c r="Y13" s="456"/>
      <c r="Z13" s="456"/>
      <c r="AA13" s="11">
        <f t="shared" si="2"/>
        <v>-144.05078727975479</v>
      </c>
      <c r="AB13" s="259">
        <f t="shared" si="19"/>
        <v>0.90396614181349677</v>
      </c>
      <c r="AC13" s="470"/>
    </row>
    <row r="14" spans="1:29" ht="16.5" customHeight="1">
      <c r="A14" s="480" t="s">
        <v>1055</v>
      </c>
      <c r="B14" s="263" t="s">
        <v>18</v>
      </c>
      <c r="C14" s="477" t="s">
        <v>19</v>
      </c>
      <c r="D14" s="477"/>
      <c r="E14" s="26">
        <v>41</v>
      </c>
      <c r="F14" s="263">
        <v>1627</v>
      </c>
      <c r="G14" s="258">
        <f t="shared" ref="G14:G18" si="21">E14*F14</f>
        <v>66707</v>
      </c>
      <c r="H14" s="76" t="s">
        <v>57</v>
      </c>
      <c r="I14" s="261">
        <v>26</v>
      </c>
      <c r="J14" s="18">
        <v>1286</v>
      </c>
      <c r="K14" s="9">
        <f>J14/I14</f>
        <v>49.46153846153846</v>
      </c>
      <c r="L14" s="261">
        <v>26</v>
      </c>
      <c r="M14" s="10">
        <f>F14/V14*60</f>
        <v>1162.1428571428569</v>
      </c>
      <c r="N14" s="9">
        <f t="shared" ref="N14:N26" si="22">M14/L14</f>
        <v>44.69780219780219</v>
      </c>
      <c r="O14" s="11">
        <f t="shared" ref="O14" si="23">L14-I14</f>
        <v>0</v>
      </c>
      <c r="P14" s="12">
        <f t="shared" ref="P14" si="24">N14-K14</f>
        <v>-4.7637362637362699</v>
      </c>
      <c r="Q14" s="259">
        <f>N14/K14</f>
        <v>0.90368806931792922</v>
      </c>
      <c r="R14" s="470">
        <f>Q19</f>
        <v>0.90662502321703453</v>
      </c>
      <c r="S14" s="24">
        <v>0.25</v>
      </c>
      <c r="T14" s="24">
        <v>0.30833333333333335</v>
      </c>
      <c r="U14" s="258"/>
      <c r="V14" s="262">
        <f>(T14-S14)*24*60</f>
        <v>84.000000000000028</v>
      </c>
      <c r="W14" s="15"/>
      <c r="X14" s="15"/>
      <c r="Y14" s="456"/>
      <c r="Z14" s="456"/>
      <c r="AA14" s="11">
        <f t="shared" si="2"/>
        <v>-123.85714285714312</v>
      </c>
      <c r="AB14" s="259">
        <f t="shared" si="19"/>
        <v>0.90368806931792911</v>
      </c>
      <c r="AC14" s="470">
        <f>AB19</f>
        <v>0.90662502321703453</v>
      </c>
    </row>
    <row r="15" spans="1:29" ht="16.5" customHeight="1">
      <c r="A15" s="481" t="s">
        <v>6</v>
      </c>
      <c r="B15" s="263" t="s">
        <v>15</v>
      </c>
      <c r="C15" s="477" t="s">
        <v>68</v>
      </c>
      <c r="D15" s="477"/>
      <c r="E15" s="26">
        <v>39.29</v>
      </c>
      <c r="F15" s="263">
        <v>1904</v>
      </c>
      <c r="G15" s="258">
        <f t="shared" si="21"/>
        <v>74808.160000000003</v>
      </c>
      <c r="H15" s="76" t="s">
        <v>57</v>
      </c>
      <c r="I15" s="261">
        <v>18</v>
      </c>
      <c r="J15" s="18">
        <v>1500</v>
      </c>
      <c r="K15" s="9">
        <f>J15/I15</f>
        <v>83.333333333333329</v>
      </c>
      <c r="L15" s="261">
        <v>18</v>
      </c>
      <c r="M15" s="10">
        <f>F15/V15*60</f>
        <v>1359.9999999999995</v>
      </c>
      <c r="N15" s="9">
        <f t="shared" si="22"/>
        <v>75.555555555555529</v>
      </c>
      <c r="O15" s="11">
        <f>L15-I15</f>
        <v>0</v>
      </c>
      <c r="P15" s="12">
        <f>N15-K15</f>
        <v>-7.7777777777777999</v>
      </c>
      <c r="Q15" s="259">
        <f>N15/K15</f>
        <v>0.9066666666666664</v>
      </c>
      <c r="R15" s="470"/>
      <c r="S15" s="24">
        <v>0.31666666666666665</v>
      </c>
      <c r="T15" s="24">
        <v>0.375</v>
      </c>
      <c r="U15" s="258">
        <f>(S15-T14)*24*60</f>
        <v>11.999999999999957</v>
      </c>
      <c r="V15" s="262">
        <f>(T15-S15)*24*60</f>
        <v>84.000000000000028</v>
      </c>
      <c r="W15" s="14"/>
      <c r="X15" s="14"/>
      <c r="Y15" s="456"/>
      <c r="Z15" s="456"/>
      <c r="AA15" s="11">
        <f t="shared" si="2"/>
        <v>-140.00000000000045</v>
      </c>
      <c r="AB15" s="259">
        <f t="shared" si="19"/>
        <v>0.9066666666666664</v>
      </c>
      <c r="AC15" s="470"/>
    </row>
    <row r="16" spans="1:29" ht="16.5" customHeight="1">
      <c r="A16" s="481" t="s">
        <v>6</v>
      </c>
      <c r="B16" s="263" t="s">
        <v>15</v>
      </c>
      <c r="C16" s="477" t="s">
        <v>54</v>
      </c>
      <c r="D16" s="477"/>
      <c r="E16" s="26">
        <v>39.29</v>
      </c>
      <c r="F16" s="263">
        <v>2964</v>
      </c>
      <c r="G16" s="258">
        <f t="shared" si="21"/>
        <v>116455.56</v>
      </c>
      <c r="H16" s="76" t="s">
        <v>57</v>
      </c>
      <c r="I16" s="261">
        <v>17</v>
      </c>
      <c r="J16" s="18">
        <v>1500</v>
      </c>
      <c r="K16" s="9">
        <f t="shared" ref="K16:K18" si="25">J16/I16</f>
        <v>88.235294117647058</v>
      </c>
      <c r="L16" s="261">
        <v>17</v>
      </c>
      <c r="M16" s="10">
        <f t="shared" ref="M16:M18" si="26">F16/V16*60</f>
        <v>1357.5572519083971</v>
      </c>
      <c r="N16" s="9">
        <f t="shared" si="22"/>
        <v>79.856308935788064</v>
      </c>
      <c r="O16" s="11">
        <f t="shared" ref="O16:O18" si="27">L16-I16</f>
        <v>0</v>
      </c>
      <c r="P16" s="12">
        <f t="shared" ref="P16:P18" si="28">N16-K16</f>
        <v>-8.3789851818589938</v>
      </c>
      <c r="Q16" s="259">
        <f t="shared" ref="Q16:Q26" si="29">N16/K16</f>
        <v>0.90503816793893144</v>
      </c>
      <c r="R16" s="470"/>
      <c r="S16" s="24">
        <v>0.38263888888888886</v>
      </c>
      <c r="T16" s="24">
        <v>0.47361111111111109</v>
      </c>
      <c r="U16" s="258">
        <f t="shared" ref="U16:U18" si="30">(S16-T15)*24*60</f>
        <v>10.999999999999961</v>
      </c>
      <c r="V16" s="262">
        <f t="shared" ref="V16:V18" si="31">(T16-S16)*24*60</f>
        <v>131</v>
      </c>
      <c r="W16" s="14"/>
      <c r="X16" s="14"/>
      <c r="Y16" s="456"/>
      <c r="Z16" s="456"/>
      <c r="AA16" s="11">
        <f t="shared" si="2"/>
        <v>-142.44274809160288</v>
      </c>
      <c r="AB16" s="259">
        <f t="shared" si="19"/>
        <v>0.90503816793893144</v>
      </c>
      <c r="AC16" s="470"/>
    </row>
    <row r="17" spans="1:29" ht="16.5" customHeight="1">
      <c r="A17" s="481" t="s">
        <v>6</v>
      </c>
      <c r="B17" s="263" t="s">
        <v>13</v>
      </c>
      <c r="C17" s="477" t="s">
        <v>63</v>
      </c>
      <c r="D17" s="477"/>
      <c r="E17" s="26">
        <v>50.98</v>
      </c>
      <c r="F17" s="263">
        <v>2618</v>
      </c>
      <c r="G17" s="258">
        <f t="shared" si="21"/>
        <v>133465.63999999998</v>
      </c>
      <c r="H17" s="76" t="s">
        <v>57</v>
      </c>
      <c r="I17" s="261">
        <v>17</v>
      </c>
      <c r="J17" s="18">
        <v>1800</v>
      </c>
      <c r="K17" s="9">
        <f t="shared" si="25"/>
        <v>105.88235294117646</v>
      </c>
      <c r="L17" s="261">
        <v>17</v>
      </c>
      <c r="M17" s="10">
        <f t="shared" si="26"/>
        <v>1636.2500000000005</v>
      </c>
      <c r="N17" s="9">
        <f t="shared" si="22"/>
        <v>96.250000000000028</v>
      </c>
      <c r="O17" s="11">
        <f t="shared" si="27"/>
        <v>0</v>
      </c>
      <c r="P17" s="12">
        <f t="shared" si="28"/>
        <v>-9.6323529411764355</v>
      </c>
      <c r="Q17" s="259">
        <f t="shared" si="29"/>
        <v>0.9090277777777781</v>
      </c>
      <c r="R17" s="470"/>
      <c r="S17" s="24">
        <v>0.70833333333333337</v>
      </c>
      <c r="T17" s="24">
        <v>0.77500000000000002</v>
      </c>
      <c r="U17" s="258">
        <f t="shared" si="30"/>
        <v>338.00000000000006</v>
      </c>
      <c r="V17" s="262">
        <f t="shared" si="31"/>
        <v>95.999999999999972</v>
      </c>
      <c r="W17" s="14"/>
      <c r="X17" s="14"/>
      <c r="Y17" s="456"/>
      <c r="Z17" s="456"/>
      <c r="AA17" s="11">
        <f t="shared" si="2"/>
        <v>-163.74999999999955</v>
      </c>
      <c r="AB17" s="259">
        <f t="shared" si="19"/>
        <v>0.90902777777777799</v>
      </c>
      <c r="AC17" s="470"/>
    </row>
    <row r="18" spans="1:29" ht="16.5" customHeight="1">
      <c r="A18" s="481" t="s">
        <v>6</v>
      </c>
      <c r="B18" s="263" t="s">
        <v>13</v>
      </c>
      <c r="C18" s="477" t="s">
        <v>66</v>
      </c>
      <c r="D18" s="477"/>
      <c r="E18" s="26">
        <v>57.73</v>
      </c>
      <c r="F18" s="263">
        <v>1861</v>
      </c>
      <c r="G18" s="258">
        <f t="shared" si="21"/>
        <v>107435.53</v>
      </c>
      <c r="H18" s="76" t="s">
        <v>57</v>
      </c>
      <c r="I18" s="261">
        <v>16</v>
      </c>
      <c r="J18" s="18">
        <v>1500</v>
      </c>
      <c r="K18" s="9">
        <f t="shared" si="25"/>
        <v>93.75</v>
      </c>
      <c r="L18" s="261">
        <v>16</v>
      </c>
      <c r="M18" s="10">
        <f t="shared" si="26"/>
        <v>1361.7073170731703</v>
      </c>
      <c r="N18" s="9">
        <f t="shared" si="22"/>
        <v>85.106707317073145</v>
      </c>
      <c r="O18" s="11">
        <f t="shared" si="27"/>
        <v>0</v>
      </c>
      <c r="P18" s="12">
        <f t="shared" si="28"/>
        <v>-8.6432926829268553</v>
      </c>
      <c r="Q18" s="259">
        <f t="shared" si="29"/>
        <v>0.90780487804878018</v>
      </c>
      <c r="R18" s="470"/>
      <c r="S18" s="24">
        <v>0.78055555555555556</v>
      </c>
      <c r="T18" s="24">
        <v>0.83750000000000002</v>
      </c>
      <c r="U18" s="258">
        <f t="shared" si="30"/>
        <v>7.9999999999999716</v>
      </c>
      <c r="V18" s="262">
        <f t="shared" si="31"/>
        <v>82.000000000000028</v>
      </c>
      <c r="W18" s="14"/>
      <c r="X18" s="14"/>
      <c r="Y18" s="456"/>
      <c r="Z18" s="456"/>
      <c r="AA18" s="11">
        <f t="shared" si="2"/>
        <v>-138.29268292682968</v>
      </c>
      <c r="AB18" s="259">
        <f t="shared" si="19"/>
        <v>0.90780487804878018</v>
      </c>
      <c r="AC18" s="470"/>
    </row>
    <row r="19" spans="1:29" ht="16.5" customHeight="1">
      <c r="A19" s="481" t="s">
        <v>6</v>
      </c>
      <c r="B19" s="26" t="s">
        <v>1054</v>
      </c>
      <c r="C19" s="466"/>
      <c r="D19" s="466"/>
      <c r="E19" s="257"/>
      <c r="F19" s="16"/>
      <c r="G19" s="9"/>
      <c r="H19" s="263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1375.5314852248848</v>
      </c>
      <c r="N19" s="9">
        <f t="shared" si="22"/>
        <v>73.166568363025789</v>
      </c>
      <c r="O19" s="11">
        <f>L19-I19</f>
        <v>0</v>
      </c>
      <c r="P19" s="12">
        <f>N19-K19</f>
        <v>-7.5355592965486835</v>
      </c>
      <c r="Q19" s="259">
        <f t="shared" si="29"/>
        <v>0.90662502321703453</v>
      </c>
      <c r="R19" s="470"/>
      <c r="S19" s="24"/>
      <c r="T19" s="24"/>
      <c r="U19" s="258"/>
      <c r="V19" s="262"/>
      <c r="W19" s="9"/>
      <c r="X19" s="9"/>
      <c r="Y19" s="456"/>
      <c r="Z19" s="456"/>
      <c r="AA19" s="11">
        <f t="shared" si="2"/>
        <v>-141.66851477511523</v>
      </c>
      <c r="AB19" s="259">
        <f t="shared" si="19"/>
        <v>0.90662502321703453</v>
      </c>
      <c r="AC19" s="470"/>
    </row>
    <row r="20" spans="1:29" ht="15.75" customHeight="1">
      <c r="A20" s="478" t="s">
        <v>1056</v>
      </c>
      <c r="B20" s="26" t="s">
        <v>21</v>
      </c>
      <c r="C20" s="477" t="s">
        <v>22</v>
      </c>
      <c r="D20" s="477"/>
      <c r="E20" s="26">
        <v>43.14</v>
      </c>
      <c r="F20" s="263">
        <v>1090</v>
      </c>
      <c r="G20" s="258">
        <f t="shared" ref="G20:G26" si="32">E20*F20</f>
        <v>47022.6</v>
      </c>
      <c r="H20" s="76" t="s">
        <v>57</v>
      </c>
      <c r="I20" s="261">
        <v>17</v>
      </c>
      <c r="J20" s="18">
        <v>1200</v>
      </c>
      <c r="K20" s="9">
        <f t="shared" ref="K20:K27" si="33">J20/I20</f>
        <v>70.588235294117652</v>
      </c>
      <c r="L20" s="261">
        <v>17</v>
      </c>
      <c r="M20" s="10">
        <f t="shared" ref="M20:M26" si="34">F20/V20*60</f>
        <v>1090.0000000000002</v>
      </c>
      <c r="N20" s="9">
        <f t="shared" si="22"/>
        <v>64.117647058823536</v>
      </c>
      <c r="O20" s="11">
        <f t="shared" ref="O20:O26" si="35">L20-I20</f>
        <v>0</v>
      </c>
      <c r="P20" s="12">
        <f t="shared" ref="P20:P26" si="36">N20-K20</f>
        <v>-6.470588235294116</v>
      </c>
      <c r="Q20" s="259">
        <f t="shared" si="29"/>
        <v>0.90833333333333333</v>
      </c>
      <c r="R20" s="470">
        <f>Q27</f>
        <v>0.9078207865957415</v>
      </c>
      <c r="S20" s="24">
        <v>0.20833333333333334</v>
      </c>
      <c r="T20" s="24">
        <v>0.25</v>
      </c>
      <c r="U20" s="258"/>
      <c r="V20" s="262">
        <f>(T20-S20)*24*60</f>
        <v>59.999999999999986</v>
      </c>
      <c r="W20" s="15"/>
      <c r="X20" s="15"/>
      <c r="Y20" s="456"/>
      <c r="Z20" s="456"/>
      <c r="AA20" s="11">
        <f t="shared" si="2"/>
        <v>-109.99999999999977</v>
      </c>
      <c r="AB20" s="259">
        <f t="shared" si="19"/>
        <v>0.90833333333333355</v>
      </c>
      <c r="AC20" s="470">
        <f>AB27</f>
        <v>0.9078207865957415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63">
        <v>2258</v>
      </c>
      <c r="G21" s="258">
        <f t="shared" si="32"/>
        <v>130354.34</v>
      </c>
      <c r="H21" s="76" t="s">
        <v>57</v>
      </c>
      <c r="I21" s="261">
        <v>16</v>
      </c>
      <c r="J21" s="18">
        <v>1800</v>
      </c>
      <c r="K21" s="9">
        <f t="shared" si="33"/>
        <v>112.5</v>
      </c>
      <c r="L21" s="261">
        <v>16</v>
      </c>
      <c r="M21" s="10">
        <f t="shared" si="34"/>
        <v>1632.2891566265055</v>
      </c>
      <c r="N21" s="9">
        <f t="shared" si="22"/>
        <v>102.01807228915659</v>
      </c>
      <c r="O21" s="11">
        <f t="shared" si="35"/>
        <v>0</v>
      </c>
      <c r="P21" s="12">
        <f t="shared" si="36"/>
        <v>-10.481927710843408</v>
      </c>
      <c r="Q21" s="259">
        <f t="shared" si="29"/>
        <v>0.90682730923694743</v>
      </c>
      <c r="R21" s="470"/>
      <c r="S21" s="24">
        <v>0.25416666666666665</v>
      </c>
      <c r="T21" s="24">
        <v>0.31180555555555556</v>
      </c>
      <c r="U21" s="258">
        <f>(S21-T20)*24*60</f>
        <v>5.9999999999999787</v>
      </c>
      <c r="V21" s="262">
        <f t="shared" ref="V21:V26" si="37">(T21-S21)*24*60</f>
        <v>83.000000000000028</v>
      </c>
      <c r="W21" s="14"/>
      <c r="X21" s="258"/>
      <c r="Y21" s="456"/>
      <c r="Z21" s="456"/>
      <c r="AA21" s="11">
        <f t="shared" si="2"/>
        <v>-167.71084337349453</v>
      </c>
      <c r="AB21" s="259">
        <f t="shared" si="19"/>
        <v>0.90682730923694743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63">
        <v>1604</v>
      </c>
      <c r="G22" s="258">
        <f t="shared" si="32"/>
        <v>86102.720000000001</v>
      </c>
      <c r="H22" s="76" t="s">
        <v>57</v>
      </c>
      <c r="I22" s="261">
        <v>17</v>
      </c>
      <c r="J22" s="18">
        <v>1800</v>
      </c>
      <c r="K22" s="9">
        <f t="shared" si="33"/>
        <v>105.88235294117646</v>
      </c>
      <c r="L22" s="261">
        <v>17</v>
      </c>
      <c r="M22" s="10">
        <f t="shared" si="34"/>
        <v>1631.1864406779655</v>
      </c>
      <c r="N22" s="9">
        <f t="shared" si="22"/>
        <v>95.95214356929209</v>
      </c>
      <c r="O22" s="11">
        <f t="shared" si="35"/>
        <v>0</v>
      </c>
      <c r="P22" s="12">
        <f t="shared" si="36"/>
        <v>-9.9302093718843736</v>
      </c>
      <c r="Q22" s="259">
        <f t="shared" si="29"/>
        <v>0.9062146892655365</v>
      </c>
      <c r="R22" s="470"/>
      <c r="S22" s="24">
        <v>0.31597222222222221</v>
      </c>
      <c r="T22" s="24">
        <v>0.35694444444444445</v>
      </c>
      <c r="U22" s="258">
        <f t="shared" ref="U22:U26" si="38">(S22-T21)*24*60</f>
        <v>5.9999999999999787</v>
      </c>
      <c r="V22" s="262">
        <f t="shared" si="37"/>
        <v>59.000000000000028</v>
      </c>
      <c r="W22" s="14"/>
      <c r="X22" s="258"/>
      <c r="Y22" s="456"/>
      <c r="Z22" s="456"/>
      <c r="AA22" s="11">
        <f t="shared" si="2"/>
        <v>-168.81355932203451</v>
      </c>
      <c r="AB22" s="259">
        <f t="shared" si="19"/>
        <v>0.90621468926553639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63">
        <v>1161</v>
      </c>
      <c r="G23" s="258">
        <f t="shared" si="32"/>
        <v>58827.87</v>
      </c>
      <c r="H23" s="76" t="s">
        <v>57</v>
      </c>
      <c r="I23" s="261">
        <v>16</v>
      </c>
      <c r="J23" s="18">
        <v>1800</v>
      </c>
      <c r="K23" s="9">
        <f t="shared" si="33"/>
        <v>112.5</v>
      </c>
      <c r="L23" s="261">
        <v>16</v>
      </c>
      <c r="M23" s="10">
        <f t="shared" si="34"/>
        <v>1658.5714285714282</v>
      </c>
      <c r="N23" s="9">
        <f t="shared" si="22"/>
        <v>103.66071428571426</v>
      </c>
      <c r="O23" s="11">
        <f t="shared" si="35"/>
        <v>0</v>
      </c>
      <c r="P23" s="12">
        <f t="shared" si="36"/>
        <v>-8.8392857142857366</v>
      </c>
      <c r="Q23" s="259">
        <f t="shared" si="29"/>
        <v>0.92142857142857126</v>
      </c>
      <c r="R23" s="470"/>
      <c r="S23" s="24">
        <v>0.3611111111111111</v>
      </c>
      <c r="T23" s="24">
        <v>0.39027777777777778</v>
      </c>
      <c r="U23" s="258">
        <f t="shared" si="38"/>
        <v>5.9999999999999787</v>
      </c>
      <c r="V23" s="262">
        <f t="shared" si="37"/>
        <v>42.000000000000014</v>
      </c>
      <c r="W23" s="14"/>
      <c r="X23" s="258"/>
      <c r="Y23" s="456"/>
      <c r="Z23" s="456"/>
      <c r="AA23" s="11">
        <f t="shared" si="2"/>
        <v>-141.42857142857179</v>
      </c>
      <c r="AB23" s="259">
        <f t="shared" si="19"/>
        <v>0.92142857142857126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263">
        <v>4149</v>
      </c>
      <c r="G24" s="258">
        <f t="shared" si="32"/>
        <v>241347.33000000002</v>
      </c>
      <c r="H24" s="76" t="s">
        <v>57</v>
      </c>
      <c r="I24" s="261">
        <v>19</v>
      </c>
      <c r="J24" s="18">
        <v>1800</v>
      </c>
      <c r="K24" s="9">
        <f t="shared" si="33"/>
        <v>94.736842105263165</v>
      </c>
      <c r="L24" s="261">
        <v>19</v>
      </c>
      <c r="M24" s="10">
        <f t="shared" si="34"/>
        <v>1627.0588235294115</v>
      </c>
      <c r="N24" s="9">
        <f t="shared" si="22"/>
        <v>85.63467492260061</v>
      </c>
      <c r="O24" s="11">
        <f t="shared" si="35"/>
        <v>0</v>
      </c>
      <c r="P24" s="12">
        <f t="shared" si="36"/>
        <v>-9.102167182662555</v>
      </c>
      <c r="Q24" s="259">
        <f t="shared" si="29"/>
        <v>0.90392156862745077</v>
      </c>
      <c r="R24" s="470"/>
      <c r="S24" s="24">
        <v>0.39444444444444443</v>
      </c>
      <c r="T24" s="24">
        <v>0.50069444444444444</v>
      </c>
      <c r="U24" s="258">
        <f t="shared" si="38"/>
        <v>5.9999999999999787</v>
      </c>
      <c r="V24" s="262">
        <f t="shared" si="37"/>
        <v>153.00000000000003</v>
      </c>
      <c r="W24" s="14"/>
      <c r="X24" s="258"/>
      <c r="Y24" s="456"/>
      <c r="Z24" s="456"/>
      <c r="AA24" s="11">
        <f t="shared" si="2"/>
        <v>-172.94117647058852</v>
      </c>
      <c r="AB24" s="259">
        <f t="shared" si="19"/>
        <v>0.90392156862745088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263">
        <v>2822</v>
      </c>
      <c r="G25" s="258">
        <f t="shared" si="32"/>
        <v>143696.24</v>
      </c>
      <c r="H25" s="76" t="s">
        <v>57</v>
      </c>
      <c r="I25" s="261">
        <v>16</v>
      </c>
      <c r="J25" s="18">
        <v>1800</v>
      </c>
      <c r="K25" s="9">
        <f t="shared" si="33"/>
        <v>112.5</v>
      </c>
      <c r="L25" s="261">
        <v>16</v>
      </c>
      <c r="M25" s="10">
        <f t="shared" si="34"/>
        <v>1628.076923076924</v>
      </c>
      <c r="N25" s="9">
        <f t="shared" si="22"/>
        <v>101.75480769230775</v>
      </c>
      <c r="O25" s="11">
        <f t="shared" si="35"/>
        <v>0</v>
      </c>
      <c r="P25" s="12">
        <f t="shared" si="36"/>
        <v>-10.74519230769225</v>
      </c>
      <c r="Q25" s="259">
        <f t="shared" si="29"/>
        <v>0.90448717948718005</v>
      </c>
      <c r="R25" s="470"/>
      <c r="S25" s="24">
        <v>0.70833333333333337</v>
      </c>
      <c r="T25" s="24">
        <v>0.78055555555555556</v>
      </c>
      <c r="U25" s="258">
        <f t="shared" si="38"/>
        <v>299.00000000000006</v>
      </c>
      <c r="V25" s="262">
        <f t="shared" si="37"/>
        <v>103.99999999999994</v>
      </c>
      <c r="W25" s="14"/>
      <c r="X25" s="15"/>
      <c r="Y25" s="456"/>
      <c r="Z25" s="456"/>
      <c r="AA25" s="11">
        <f t="shared" si="2"/>
        <v>-171.923076923076</v>
      </c>
      <c r="AB25" s="259">
        <f t="shared" si="19"/>
        <v>0.90448717948718005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263">
        <v>732</v>
      </c>
      <c r="G26" s="258">
        <f t="shared" si="32"/>
        <v>38993.64</v>
      </c>
      <c r="H26" s="76" t="s">
        <v>57</v>
      </c>
      <c r="I26" s="261">
        <v>15</v>
      </c>
      <c r="J26" s="18">
        <v>1800</v>
      </c>
      <c r="K26" s="9">
        <f t="shared" si="33"/>
        <v>120</v>
      </c>
      <c r="L26" s="261">
        <v>15</v>
      </c>
      <c r="M26" s="10">
        <f t="shared" si="34"/>
        <v>1626.6666666666629</v>
      </c>
      <c r="N26" s="9">
        <f t="shared" si="22"/>
        <v>108.44444444444419</v>
      </c>
      <c r="O26" s="11">
        <f t="shared" si="35"/>
        <v>0</v>
      </c>
      <c r="P26" s="12">
        <f t="shared" si="36"/>
        <v>-11.555555555555813</v>
      </c>
      <c r="Q26" s="259">
        <f t="shared" si="29"/>
        <v>0.90370370370370157</v>
      </c>
      <c r="R26" s="470"/>
      <c r="S26" s="24">
        <v>0.78402777777777777</v>
      </c>
      <c r="T26" s="24">
        <v>0.80277777777777781</v>
      </c>
      <c r="U26" s="258">
        <f t="shared" si="38"/>
        <v>4.9999999999999822</v>
      </c>
      <c r="V26" s="262">
        <f t="shared" si="37"/>
        <v>27.000000000000064</v>
      </c>
      <c r="W26" s="14"/>
      <c r="X26" s="15"/>
      <c r="Y26" s="473"/>
      <c r="Z26" s="474"/>
      <c r="AA26" s="11">
        <f t="shared" si="2"/>
        <v>-173.33333333333712</v>
      </c>
      <c r="AB26" s="259">
        <f t="shared" si="19"/>
        <v>0.90370370370370157</v>
      </c>
      <c r="AC26" s="470"/>
    </row>
    <row r="27" spans="1:29" ht="15.75" customHeight="1">
      <c r="A27" s="479" t="s">
        <v>7</v>
      </c>
      <c r="B27" s="26" t="s">
        <v>1054</v>
      </c>
      <c r="C27" s="466"/>
      <c r="D27" s="466"/>
      <c r="E27" s="257"/>
      <c r="F27" s="263"/>
      <c r="G27" s="258"/>
      <c r="H27" s="263"/>
      <c r="I27" s="17">
        <v>16.571428571428573</v>
      </c>
      <c r="J27" s="18">
        <v>1714.2857142857142</v>
      </c>
      <c r="K27" s="9">
        <f t="shared" si="33"/>
        <v>103.44827586206895</v>
      </c>
      <c r="L27" s="17">
        <v>16.571428571428573</v>
      </c>
      <c r="M27" s="10">
        <f>AVERAGE(M20:M26)</f>
        <v>1556.2642055926997</v>
      </c>
      <c r="N27" s="9">
        <f>M27/L27</f>
        <v>93.912495165076692</v>
      </c>
      <c r="O27" s="11">
        <f>L27-I27</f>
        <v>0</v>
      </c>
      <c r="P27" s="12">
        <f>N27-K27</f>
        <v>-9.5357806969922621</v>
      </c>
      <c r="Q27" s="259">
        <f>N27/K27</f>
        <v>0.9078207865957415</v>
      </c>
      <c r="R27" s="470"/>
      <c r="S27" s="24"/>
      <c r="T27" s="24"/>
      <c r="U27" s="9"/>
      <c r="V27" s="262"/>
      <c r="W27" s="9"/>
      <c r="X27" s="9"/>
      <c r="Y27" s="456"/>
      <c r="Z27" s="456"/>
      <c r="AA27" s="11">
        <f t="shared" si="2"/>
        <v>-158.02150869301454</v>
      </c>
      <c r="AB27" s="259">
        <f t="shared" si="19"/>
        <v>0.9078207865957415</v>
      </c>
      <c r="AC27" s="470"/>
    </row>
    <row r="28" spans="1:29" ht="15.75" customHeight="1">
      <c r="A28" s="484" t="s">
        <v>1057</v>
      </c>
      <c r="B28" s="26" t="s">
        <v>24</v>
      </c>
      <c r="C28" s="477" t="s">
        <v>26</v>
      </c>
      <c r="D28" s="477"/>
      <c r="E28" s="26">
        <v>26.2</v>
      </c>
      <c r="F28" s="263">
        <v>3443</v>
      </c>
      <c r="G28" s="258">
        <f t="shared" ref="G28:G33" si="39">E28*F28</f>
        <v>90206.599999999991</v>
      </c>
      <c r="H28" s="76" t="s">
        <v>57</v>
      </c>
      <c r="I28" s="261">
        <v>20</v>
      </c>
      <c r="J28" s="18">
        <v>2400</v>
      </c>
      <c r="K28" s="9">
        <f>J28/I28</f>
        <v>120</v>
      </c>
      <c r="L28" s="261">
        <v>20</v>
      </c>
      <c r="M28" s="10">
        <f t="shared" ref="M28:M33" si="40">F28/V28*60</f>
        <v>2174.5263157894742</v>
      </c>
      <c r="N28" s="9">
        <f t="shared" ref="N28:N33" si="41">M28/L28</f>
        <v>108.72631578947372</v>
      </c>
      <c r="O28" s="11">
        <f t="shared" ref="O28:O33" si="42">L28-I28</f>
        <v>0</v>
      </c>
      <c r="P28" s="12">
        <f t="shared" ref="P28:P33" si="43">N28-K28</f>
        <v>-11.273684210526284</v>
      </c>
      <c r="Q28" s="259">
        <f t="shared" ref="Q28:Q33" si="44">N28/K28</f>
        <v>0.90605263157894766</v>
      </c>
      <c r="R28" s="470">
        <f>Q34</f>
        <v>0.90782337290444948</v>
      </c>
      <c r="S28" s="24">
        <v>0.125</v>
      </c>
      <c r="T28" s="24">
        <v>0.19097222222222221</v>
      </c>
      <c r="U28" s="258"/>
      <c r="V28" s="262">
        <f t="shared" ref="V28:V33" si="45">(T28-S28)*24*60</f>
        <v>94.999999999999986</v>
      </c>
      <c r="W28" s="14"/>
      <c r="X28" s="14"/>
      <c r="Y28" s="456"/>
      <c r="Z28" s="456"/>
      <c r="AA28" s="11">
        <f t="shared" si="2"/>
        <v>-225.47368421052579</v>
      </c>
      <c r="AB28" s="259">
        <f>M28/J28</f>
        <v>0.90605263157894755</v>
      </c>
      <c r="AC28" s="470">
        <f>AB34</f>
        <v>0.90782337290444959</v>
      </c>
    </row>
    <row r="29" spans="1:29" ht="15.75" customHeight="1">
      <c r="A29" s="484" t="s">
        <v>8</v>
      </c>
      <c r="B29" s="26" t="s">
        <v>24</v>
      </c>
      <c r="C29" s="477" t="s">
        <v>25</v>
      </c>
      <c r="D29" s="477"/>
      <c r="E29" s="26">
        <v>20.52</v>
      </c>
      <c r="F29" s="263">
        <v>3326</v>
      </c>
      <c r="G29" s="258">
        <f t="shared" si="39"/>
        <v>68249.52</v>
      </c>
      <c r="H29" s="76" t="s">
        <v>57</v>
      </c>
      <c r="I29" s="261">
        <v>18</v>
      </c>
      <c r="J29" s="18">
        <v>2400</v>
      </c>
      <c r="K29" s="9">
        <f t="shared" ref="K29:K34" si="46">J29/I29</f>
        <v>133.33333333333334</v>
      </c>
      <c r="L29" s="261">
        <v>18</v>
      </c>
      <c r="M29" s="10">
        <f t="shared" si="40"/>
        <v>2169.1304347826081</v>
      </c>
      <c r="N29" s="9">
        <f t="shared" si="41"/>
        <v>120.50724637681157</v>
      </c>
      <c r="O29" s="11">
        <f t="shared" si="42"/>
        <v>0</v>
      </c>
      <c r="P29" s="12">
        <f t="shared" si="43"/>
        <v>-12.826086956521777</v>
      </c>
      <c r="Q29" s="259">
        <f t="shared" si="44"/>
        <v>0.90380434782608665</v>
      </c>
      <c r="R29" s="470"/>
      <c r="S29" s="24">
        <v>0.20833333333333329</v>
      </c>
      <c r="T29" s="24">
        <v>0.2722222222222222</v>
      </c>
      <c r="U29" s="258">
        <f>(S29-T28)*24*60</f>
        <v>24.99999999999995</v>
      </c>
      <c r="V29" s="262">
        <f t="shared" si="45"/>
        <v>92.000000000000028</v>
      </c>
      <c r="W29" s="14"/>
      <c r="X29" s="14"/>
      <c r="Y29" s="456"/>
      <c r="Z29" s="456"/>
      <c r="AA29" s="11">
        <f t="shared" si="2"/>
        <v>-230.86956521739194</v>
      </c>
      <c r="AB29" s="259">
        <f t="shared" ref="AB29:AB33" si="47">M29/J29</f>
        <v>0.90380434782608665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263">
        <v>4000</v>
      </c>
      <c r="G30" s="258">
        <f t="shared" si="39"/>
        <v>125160</v>
      </c>
      <c r="H30" s="76">
        <v>2</v>
      </c>
      <c r="I30" s="261">
        <v>16</v>
      </c>
      <c r="J30" s="18">
        <v>2400</v>
      </c>
      <c r="K30" s="9">
        <f t="shared" si="46"/>
        <v>150</v>
      </c>
      <c r="L30" s="261">
        <v>16</v>
      </c>
      <c r="M30" s="10">
        <f t="shared" si="40"/>
        <v>2181.8181818181815</v>
      </c>
      <c r="N30" s="9">
        <f t="shared" si="41"/>
        <v>136.36363636363635</v>
      </c>
      <c r="O30" s="11">
        <f t="shared" si="42"/>
        <v>0</v>
      </c>
      <c r="P30" s="12">
        <f t="shared" si="43"/>
        <v>-13.636363636363654</v>
      </c>
      <c r="Q30" s="259">
        <f t="shared" si="44"/>
        <v>0.90909090909090895</v>
      </c>
      <c r="R30" s="470"/>
      <c r="S30" s="24">
        <v>0.27569444444444441</v>
      </c>
      <c r="T30" s="24">
        <v>0.3520833333333333</v>
      </c>
      <c r="U30" s="258">
        <f t="shared" ref="U30:U33" si="48">(S30-T29)*24*60</f>
        <v>4.9999999999999822</v>
      </c>
      <c r="V30" s="262">
        <f t="shared" si="45"/>
        <v>110.00000000000001</v>
      </c>
      <c r="W30" s="14"/>
      <c r="X30" s="14"/>
      <c r="Y30" s="456"/>
      <c r="Z30" s="456"/>
      <c r="AA30" s="11">
        <f t="shared" si="2"/>
        <v>-218.18181818181847</v>
      </c>
      <c r="AB30" s="259">
        <f t="shared" si="47"/>
        <v>0.90909090909090895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263">
        <v>4464</v>
      </c>
      <c r="G31" s="258">
        <f t="shared" si="39"/>
        <v>108252</v>
      </c>
      <c r="H31" s="76" t="s">
        <v>57</v>
      </c>
      <c r="I31" s="261">
        <v>18</v>
      </c>
      <c r="J31" s="18">
        <v>2400</v>
      </c>
      <c r="K31" s="9">
        <f t="shared" si="46"/>
        <v>133.33333333333334</v>
      </c>
      <c r="L31" s="261">
        <v>18</v>
      </c>
      <c r="M31" s="10">
        <f t="shared" si="40"/>
        <v>2177.560975609757</v>
      </c>
      <c r="N31" s="9">
        <f t="shared" si="41"/>
        <v>120.97560975609761</v>
      </c>
      <c r="O31" s="11">
        <f t="shared" si="42"/>
        <v>0</v>
      </c>
      <c r="P31" s="12">
        <f t="shared" si="43"/>
        <v>-12.357723577235731</v>
      </c>
      <c r="Q31" s="259">
        <f t="shared" si="44"/>
        <v>0.90731707317073207</v>
      </c>
      <c r="R31" s="470"/>
      <c r="S31" s="24">
        <v>0.35763888888888884</v>
      </c>
      <c r="T31" s="24">
        <v>0.44305555555555548</v>
      </c>
      <c r="U31" s="258">
        <f t="shared" si="48"/>
        <v>7.9999999999999716</v>
      </c>
      <c r="V31" s="262">
        <f t="shared" si="45"/>
        <v>122.99999999999996</v>
      </c>
      <c r="W31" s="14"/>
      <c r="X31" s="14"/>
      <c r="Y31" s="456"/>
      <c r="Z31" s="456"/>
      <c r="AA31" s="11">
        <f t="shared" si="2"/>
        <v>-222.43902439024305</v>
      </c>
      <c r="AB31" s="259">
        <f t="shared" si="47"/>
        <v>0.90731707317073207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263">
        <v>2155</v>
      </c>
      <c r="G32" s="258">
        <f t="shared" si="39"/>
        <v>48164.25</v>
      </c>
      <c r="H32" s="76" t="s">
        <v>57</v>
      </c>
      <c r="I32" s="261">
        <v>16</v>
      </c>
      <c r="J32" s="18">
        <v>2400</v>
      </c>
      <c r="K32" s="9">
        <f t="shared" si="46"/>
        <v>150</v>
      </c>
      <c r="L32" s="261">
        <v>16</v>
      </c>
      <c r="M32" s="10">
        <f t="shared" si="40"/>
        <v>2191.5254237288127</v>
      </c>
      <c r="N32" s="9">
        <f t="shared" si="41"/>
        <v>136.97033898305079</v>
      </c>
      <c r="O32" s="11">
        <f t="shared" si="42"/>
        <v>0</v>
      </c>
      <c r="P32" s="12">
        <f t="shared" si="43"/>
        <v>-13.029661016949206</v>
      </c>
      <c r="Q32" s="259">
        <f t="shared" si="44"/>
        <v>0.91313559322033866</v>
      </c>
      <c r="R32" s="470"/>
      <c r="S32" s="24">
        <v>0.44791666666666657</v>
      </c>
      <c r="T32" s="24">
        <v>0.48888888888888882</v>
      </c>
      <c r="U32" s="258">
        <f t="shared" si="48"/>
        <v>6.9999999999999751</v>
      </c>
      <c r="V32" s="262">
        <f t="shared" si="45"/>
        <v>59.000000000000028</v>
      </c>
      <c r="W32" s="14"/>
      <c r="X32" s="14"/>
      <c r="Y32" s="456"/>
      <c r="Z32" s="456"/>
      <c r="AA32" s="11">
        <f t="shared" si="2"/>
        <v>-208.47457627118729</v>
      </c>
      <c r="AB32" s="259">
        <f t="shared" si="47"/>
        <v>0.91313559322033866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263">
        <v>2287</v>
      </c>
      <c r="G33" s="258">
        <f t="shared" si="39"/>
        <v>71560.23</v>
      </c>
      <c r="H33" s="76" t="s">
        <v>57</v>
      </c>
      <c r="I33" s="261">
        <v>16</v>
      </c>
      <c r="J33" s="18">
        <v>2400</v>
      </c>
      <c r="K33" s="9">
        <f t="shared" si="46"/>
        <v>150</v>
      </c>
      <c r="L33" s="261">
        <v>16</v>
      </c>
      <c r="M33" s="10">
        <f t="shared" si="40"/>
        <v>2178.0952380952403</v>
      </c>
      <c r="N33" s="9">
        <f t="shared" si="41"/>
        <v>136.13095238095252</v>
      </c>
      <c r="O33" s="11">
        <f t="shared" si="42"/>
        <v>0</v>
      </c>
      <c r="P33" s="12">
        <f t="shared" si="43"/>
        <v>-13.869047619047478</v>
      </c>
      <c r="Q33" s="259">
        <f t="shared" si="44"/>
        <v>0.90753968253968342</v>
      </c>
      <c r="R33" s="470"/>
      <c r="S33" s="24">
        <v>0.52916666666666656</v>
      </c>
      <c r="T33" s="24">
        <v>0.57291666666666652</v>
      </c>
      <c r="U33" s="258">
        <f t="shared" si="48"/>
        <v>57.999999999999957</v>
      </c>
      <c r="V33" s="262">
        <f t="shared" si="45"/>
        <v>62.999999999999936</v>
      </c>
      <c r="W33" s="14"/>
      <c r="X33" s="14"/>
      <c r="Y33" s="456"/>
      <c r="Z33" s="456"/>
      <c r="AA33" s="11">
        <f t="shared" si="2"/>
        <v>-221.90476190475965</v>
      </c>
      <c r="AB33" s="259">
        <f t="shared" si="47"/>
        <v>0.90753968253968342</v>
      </c>
      <c r="AC33" s="470"/>
    </row>
    <row r="34" spans="1:29" ht="15.75" customHeight="1">
      <c r="A34" s="484" t="s">
        <v>8</v>
      </c>
      <c r="B34" s="26" t="s">
        <v>1054</v>
      </c>
      <c r="C34" s="466"/>
      <c r="D34" s="466"/>
      <c r="E34" s="257"/>
      <c r="F34" s="263"/>
      <c r="G34" s="258"/>
      <c r="H34" s="263"/>
      <c r="I34" s="17">
        <v>17.333333333333332</v>
      </c>
      <c r="J34" s="18">
        <v>2400</v>
      </c>
      <c r="K34" s="9">
        <f t="shared" si="46"/>
        <v>138.46153846153848</v>
      </c>
      <c r="L34" s="17">
        <v>17.333333333333332</v>
      </c>
      <c r="M34" s="10">
        <f>AVERAGE(M28:M33)</f>
        <v>2178.776094970679</v>
      </c>
      <c r="N34" s="9">
        <f>M34/L34</f>
        <v>125.69862086369302</v>
      </c>
      <c r="O34" s="11">
        <f>L34-I34</f>
        <v>0</v>
      </c>
      <c r="P34" s="12">
        <f>N34-K34</f>
        <v>-12.762917597845458</v>
      </c>
      <c r="Q34" s="259">
        <f>N34/K34</f>
        <v>0.90782337290444948</v>
      </c>
      <c r="R34" s="470"/>
      <c r="S34" s="24"/>
      <c r="T34" s="24"/>
      <c r="U34" s="258"/>
      <c r="V34" s="262"/>
      <c r="W34" s="258"/>
      <c r="X34" s="258"/>
      <c r="Y34" s="456"/>
      <c r="Z34" s="456"/>
      <c r="AA34" s="11">
        <f t="shared" si="2"/>
        <v>-221.22390502932103</v>
      </c>
      <c r="AB34" s="259">
        <f>M34/J34</f>
        <v>0.90782337290444959</v>
      </c>
      <c r="AC34" s="470"/>
    </row>
    <row r="35" spans="1:29" ht="15.75" customHeight="1">
      <c r="A35" s="485" t="s">
        <v>1058</v>
      </c>
      <c r="B35" s="26" t="s">
        <v>24</v>
      </c>
      <c r="C35" s="487" t="s">
        <v>29</v>
      </c>
      <c r="D35" s="487"/>
      <c r="E35" s="26">
        <v>26.2</v>
      </c>
      <c r="F35" s="263">
        <v>4635</v>
      </c>
      <c r="G35" s="258">
        <f t="shared" ref="G35:G40" si="49">E35*F35</f>
        <v>121437</v>
      </c>
      <c r="H35" s="76" t="s">
        <v>57</v>
      </c>
      <c r="I35" s="261">
        <v>18</v>
      </c>
      <c r="J35" s="18">
        <v>2400</v>
      </c>
      <c r="K35" s="9">
        <f>J35/I35</f>
        <v>133.33333333333334</v>
      </c>
      <c r="L35" s="261">
        <v>18</v>
      </c>
      <c r="M35" s="10">
        <f>F35/V35*60</f>
        <v>2172.65625</v>
      </c>
      <c r="N35" s="9">
        <f>M35/L35</f>
        <v>120.703125</v>
      </c>
      <c r="O35" s="11">
        <f t="shared" ref="O35:O40" si="50">L35-I35</f>
        <v>0</v>
      </c>
      <c r="P35" s="12">
        <f t="shared" ref="P35:P49" si="51">N35-K35</f>
        <v>-12.630208333333343</v>
      </c>
      <c r="Q35" s="259">
        <f t="shared" ref="Q35:Q45" si="52">N35/K35</f>
        <v>0.90527343749999989</v>
      </c>
      <c r="R35" s="470">
        <f>Q41</f>
        <v>0.90685352369400962</v>
      </c>
      <c r="S35" s="24">
        <v>8.3333333333333329E-2</v>
      </c>
      <c r="T35" s="24">
        <v>0.17222222222222222</v>
      </c>
      <c r="U35" s="258"/>
      <c r="V35" s="262">
        <f t="shared" ref="V35:V40" si="53">(T35-S35)*24*60</f>
        <v>128</v>
      </c>
      <c r="W35" s="15"/>
      <c r="X35" s="15"/>
      <c r="Y35" s="456"/>
      <c r="Z35" s="456"/>
      <c r="AA35" s="11">
        <f t="shared" si="2"/>
        <v>-227.34375</v>
      </c>
      <c r="AB35" s="259">
        <f>M35/J35</f>
        <v>0.9052734375</v>
      </c>
      <c r="AC35" s="470">
        <f>AB41</f>
        <v>0.90685352369400962</v>
      </c>
    </row>
    <row r="36" spans="1:29" ht="15.75" customHeight="1">
      <c r="A36" s="485" t="s">
        <v>1059</v>
      </c>
      <c r="B36" s="26" t="s">
        <v>24</v>
      </c>
      <c r="C36" s="487" t="s">
        <v>31</v>
      </c>
      <c r="D36" s="487"/>
      <c r="E36" s="26">
        <v>24.45</v>
      </c>
      <c r="F36" s="263">
        <v>1898</v>
      </c>
      <c r="G36" s="258">
        <f t="shared" si="49"/>
        <v>46406.1</v>
      </c>
      <c r="H36" s="76" t="s">
        <v>57</v>
      </c>
      <c r="I36" s="261">
        <v>20</v>
      </c>
      <c r="J36" s="18">
        <v>2400</v>
      </c>
      <c r="K36" s="9">
        <f t="shared" ref="K36:K48" si="54">J36/I36</f>
        <v>120</v>
      </c>
      <c r="L36" s="261">
        <v>20</v>
      </c>
      <c r="M36" s="10">
        <f t="shared" ref="M36:M40" si="55">F36/V36*60</f>
        <v>2189.9999999999995</v>
      </c>
      <c r="N36" s="9">
        <f t="shared" ref="N36:N40" si="56">M36/L36</f>
        <v>109.49999999999997</v>
      </c>
      <c r="O36" s="11">
        <f t="shared" si="50"/>
        <v>0</v>
      </c>
      <c r="P36" s="12">
        <f t="shared" si="51"/>
        <v>-10.500000000000028</v>
      </c>
      <c r="Q36" s="259">
        <f t="shared" si="52"/>
        <v>0.91249999999999976</v>
      </c>
      <c r="R36" s="470"/>
      <c r="S36" s="24">
        <v>0.19166666666666668</v>
      </c>
      <c r="T36" s="24">
        <v>0.2277777777777778</v>
      </c>
      <c r="U36" s="258">
        <f>(S36-T35)*24*60</f>
        <v>28.000000000000021</v>
      </c>
      <c r="V36" s="262">
        <f t="shared" si="53"/>
        <v>52.000000000000014</v>
      </c>
      <c r="W36" s="258"/>
      <c r="X36" s="258"/>
      <c r="Y36" s="456"/>
      <c r="Z36" s="456"/>
      <c r="AA36" s="11">
        <f t="shared" si="2"/>
        <v>-210.00000000000045</v>
      </c>
      <c r="AB36" s="259">
        <f t="shared" ref="AB36:AB60" si="57">M36/J36</f>
        <v>0.91249999999999976</v>
      </c>
      <c r="AC36" s="470"/>
    </row>
    <row r="37" spans="1:29">
      <c r="A37" s="486" t="s">
        <v>1058</v>
      </c>
      <c r="B37" s="26" t="s">
        <v>24</v>
      </c>
      <c r="C37" s="487" t="s">
        <v>32</v>
      </c>
      <c r="D37" s="487"/>
      <c r="E37" s="26">
        <v>26.2</v>
      </c>
      <c r="F37" s="263">
        <v>2306</v>
      </c>
      <c r="G37" s="258">
        <f t="shared" si="49"/>
        <v>60417.2</v>
      </c>
      <c r="H37" s="76" t="s">
        <v>57</v>
      </c>
      <c r="I37" s="261">
        <v>20</v>
      </c>
      <c r="J37" s="18">
        <v>2400</v>
      </c>
      <c r="K37" s="9">
        <f t="shared" si="54"/>
        <v>120</v>
      </c>
      <c r="L37" s="261">
        <v>20</v>
      </c>
      <c r="M37" s="10">
        <f t="shared" si="55"/>
        <v>2161.8750000000009</v>
      </c>
      <c r="N37" s="9">
        <f t="shared" si="56"/>
        <v>108.09375000000004</v>
      </c>
      <c r="O37" s="11">
        <f t="shared" si="50"/>
        <v>0</v>
      </c>
      <c r="P37" s="12">
        <f t="shared" si="51"/>
        <v>-11.906249999999957</v>
      </c>
      <c r="Q37" s="259">
        <f t="shared" si="52"/>
        <v>0.90078125000000031</v>
      </c>
      <c r="R37" s="470"/>
      <c r="S37" s="24">
        <v>0.23194444444444448</v>
      </c>
      <c r="T37" s="24">
        <v>0.27638888888888891</v>
      </c>
      <c r="U37" s="258">
        <f t="shared" ref="U37:U40" si="58">(S37-T36)*24*60</f>
        <v>6.0000000000000187</v>
      </c>
      <c r="V37" s="262">
        <f t="shared" si="53"/>
        <v>63.999999999999972</v>
      </c>
      <c r="W37" s="258"/>
      <c r="X37" s="258"/>
      <c r="Y37" s="456"/>
      <c r="Z37" s="456"/>
      <c r="AA37" s="11">
        <f t="shared" si="2"/>
        <v>-238.12499999999909</v>
      </c>
      <c r="AB37" s="259">
        <f t="shared" si="57"/>
        <v>0.90078125000000042</v>
      </c>
      <c r="AC37" s="470"/>
    </row>
    <row r="38" spans="1:29">
      <c r="A38" s="486" t="s">
        <v>1058</v>
      </c>
      <c r="B38" s="26" t="s">
        <v>24</v>
      </c>
      <c r="C38" s="487" t="s">
        <v>30</v>
      </c>
      <c r="D38" s="487"/>
      <c r="E38" s="26">
        <v>26.39</v>
      </c>
      <c r="F38" s="263">
        <v>4066</v>
      </c>
      <c r="G38" s="258">
        <f t="shared" si="49"/>
        <v>107301.74</v>
      </c>
      <c r="H38" s="76" t="s">
        <v>57</v>
      </c>
      <c r="I38" s="261">
        <v>19</v>
      </c>
      <c r="J38" s="18">
        <v>2400</v>
      </c>
      <c r="K38" s="9">
        <f t="shared" si="54"/>
        <v>126.31578947368421</v>
      </c>
      <c r="L38" s="261">
        <v>19</v>
      </c>
      <c r="M38" s="10">
        <f t="shared" si="55"/>
        <v>2178.2142857142858</v>
      </c>
      <c r="N38" s="9">
        <f t="shared" si="56"/>
        <v>114.64285714285715</v>
      </c>
      <c r="O38" s="11">
        <f t="shared" si="50"/>
        <v>0</v>
      </c>
      <c r="P38" s="12">
        <f t="shared" si="51"/>
        <v>-11.672932330827052</v>
      </c>
      <c r="Q38" s="259">
        <f t="shared" si="52"/>
        <v>0.90758928571428588</v>
      </c>
      <c r="R38" s="470"/>
      <c r="S38" s="24">
        <v>0.27986111111111112</v>
      </c>
      <c r="T38" s="24">
        <v>0.3576388888888889</v>
      </c>
      <c r="U38" s="258">
        <f t="shared" si="58"/>
        <v>4.9999999999999822</v>
      </c>
      <c r="V38" s="262">
        <f t="shared" si="53"/>
        <v>112</v>
      </c>
      <c r="W38" s="14"/>
      <c r="X38" s="14"/>
      <c r="Y38" s="456"/>
      <c r="Z38" s="456"/>
      <c r="AA38" s="11">
        <f t="shared" si="2"/>
        <v>-221.78571428571422</v>
      </c>
      <c r="AB38" s="259">
        <f t="shared" si="57"/>
        <v>0.90758928571428577</v>
      </c>
      <c r="AC38" s="470"/>
    </row>
    <row r="39" spans="1:29">
      <c r="A39" s="486" t="s">
        <v>1059</v>
      </c>
      <c r="B39" s="26" t="s">
        <v>24</v>
      </c>
      <c r="C39" s="487" t="s">
        <v>27</v>
      </c>
      <c r="D39" s="487"/>
      <c r="E39" s="26">
        <v>20.52</v>
      </c>
      <c r="F39" s="263">
        <v>2662</v>
      </c>
      <c r="G39" s="258">
        <f t="shared" si="49"/>
        <v>54624.24</v>
      </c>
      <c r="H39" s="76" t="s">
        <v>57</v>
      </c>
      <c r="I39" s="261">
        <v>18</v>
      </c>
      <c r="J39" s="18">
        <v>2400</v>
      </c>
      <c r="K39" s="9">
        <f t="shared" si="54"/>
        <v>133.33333333333334</v>
      </c>
      <c r="L39" s="261">
        <v>18</v>
      </c>
      <c r="M39" s="10">
        <f t="shared" si="55"/>
        <v>2187.9452054794524</v>
      </c>
      <c r="N39" s="9">
        <f t="shared" si="56"/>
        <v>121.55251141552513</v>
      </c>
      <c r="O39" s="11">
        <f t="shared" si="50"/>
        <v>0</v>
      </c>
      <c r="P39" s="12">
        <f t="shared" si="51"/>
        <v>-11.780821917808211</v>
      </c>
      <c r="Q39" s="259">
        <f t="shared" si="52"/>
        <v>0.91164383561643847</v>
      </c>
      <c r="R39" s="470"/>
      <c r="S39" s="24">
        <v>0.36319444444444443</v>
      </c>
      <c r="T39" s="24">
        <v>0.41388888888888886</v>
      </c>
      <c r="U39" s="258">
        <f t="shared" si="58"/>
        <v>7.9999999999999716</v>
      </c>
      <c r="V39" s="262">
        <f t="shared" si="53"/>
        <v>72.999999999999986</v>
      </c>
      <c r="W39" s="14"/>
      <c r="X39" s="14"/>
      <c r="Y39" s="456"/>
      <c r="Z39" s="456"/>
      <c r="AA39" s="11">
        <f t="shared" si="2"/>
        <v>-212.0547945205476</v>
      </c>
      <c r="AB39" s="259">
        <f t="shared" si="57"/>
        <v>0.91164383561643847</v>
      </c>
      <c r="AC39" s="470"/>
    </row>
    <row r="40" spans="1:29">
      <c r="A40" s="486" t="s">
        <v>1059</v>
      </c>
      <c r="B40" s="26" t="s">
        <v>24</v>
      </c>
      <c r="C40" s="487" t="s">
        <v>55</v>
      </c>
      <c r="D40" s="487"/>
      <c r="E40" s="26">
        <v>26.2</v>
      </c>
      <c r="F40" s="263">
        <v>3252</v>
      </c>
      <c r="G40" s="258">
        <f t="shared" si="49"/>
        <v>85202.4</v>
      </c>
      <c r="H40" s="76" t="s">
        <v>57</v>
      </c>
      <c r="I40" s="261">
        <v>19</v>
      </c>
      <c r="J40" s="18">
        <v>2400</v>
      </c>
      <c r="K40" s="9">
        <f t="shared" si="54"/>
        <v>126.31578947368421</v>
      </c>
      <c r="L40" s="261">
        <v>19</v>
      </c>
      <c r="M40" s="10">
        <f t="shared" si="55"/>
        <v>2168</v>
      </c>
      <c r="N40" s="9">
        <f t="shared" si="56"/>
        <v>114.10526315789474</v>
      </c>
      <c r="O40" s="11">
        <f t="shared" si="50"/>
        <v>0</v>
      </c>
      <c r="P40" s="12">
        <f t="shared" si="51"/>
        <v>-12.210526315789465</v>
      </c>
      <c r="Q40" s="259">
        <f t="shared" si="52"/>
        <v>0.90333333333333343</v>
      </c>
      <c r="R40" s="470"/>
      <c r="S40" s="24">
        <v>0.41805555555555551</v>
      </c>
      <c r="T40" s="24">
        <v>0.48055555555555551</v>
      </c>
      <c r="U40" s="258">
        <f t="shared" si="58"/>
        <v>5.9999999999999787</v>
      </c>
      <c r="V40" s="262">
        <f t="shared" si="53"/>
        <v>90</v>
      </c>
      <c r="W40" s="14"/>
      <c r="X40" s="14"/>
      <c r="Y40" s="456"/>
      <c r="Z40" s="456"/>
      <c r="AA40" s="11">
        <f t="shared" si="2"/>
        <v>-232</v>
      </c>
      <c r="AB40" s="259">
        <f t="shared" si="57"/>
        <v>0.90333333333333332</v>
      </c>
      <c r="AC40" s="470"/>
    </row>
    <row r="41" spans="1:29">
      <c r="A41" s="486" t="s">
        <v>1059</v>
      </c>
      <c r="B41" s="16" t="s">
        <v>1052</v>
      </c>
      <c r="C41" s="466"/>
      <c r="D41" s="466"/>
      <c r="E41" s="257"/>
      <c r="F41" s="16"/>
      <c r="G41" s="9"/>
      <c r="H41" s="263"/>
      <c r="I41" s="17">
        <v>19</v>
      </c>
      <c r="J41" s="18">
        <v>2400</v>
      </c>
      <c r="K41" s="9">
        <f t="shared" si="54"/>
        <v>126.31578947368421</v>
      </c>
      <c r="L41" s="17">
        <v>19</v>
      </c>
      <c r="M41" s="10">
        <f>AVERAGE(M35:M40)</f>
        <v>2176.448456865623</v>
      </c>
      <c r="N41" s="9">
        <f>M41/L41</f>
        <v>114.54991878240121</v>
      </c>
      <c r="O41" s="11">
        <f>L41-I41</f>
        <v>0</v>
      </c>
      <c r="P41" s="12">
        <f t="shared" si="51"/>
        <v>-11.765870691282998</v>
      </c>
      <c r="Q41" s="259">
        <f t="shared" si="52"/>
        <v>0.90685352369400962</v>
      </c>
      <c r="R41" s="470"/>
      <c r="S41" s="24"/>
      <c r="T41" s="24"/>
      <c r="U41" s="9"/>
      <c r="V41" s="262"/>
      <c r="W41" s="9"/>
      <c r="X41" s="9"/>
      <c r="Y41" s="456"/>
      <c r="Z41" s="456"/>
      <c r="AA41" s="11">
        <f t="shared" si="2"/>
        <v>-223.55154313437697</v>
      </c>
      <c r="AB41" s="259">
        <f t="shared" si="57"/>
        <v>0.90685352369400962</v>
      </c>
      <c r="AC41" s="470"/>
    </row>
    <row r="42" spans="1:29" ht="15.75" customHeight="1">
      <c r="A42" s="488" t="s">
        <v>1060</v>
      </c>
      <c r="B42" s="26" t="s">
        <v>33</v>
      </c>
      <c r="C42" s="491" t="s">
        <v>34</v>
      </c>
      <c r="D42" s="492"/>
      <c r="E42" s="26">
        <v>27.17</v>
      </c>
      <c r="F42" s="263">
        <v>2400</v>
      </c>
      <c r="G42" s="258">
        <f t="shared" ref="G42:G48" si="59">E42*F42</f>
        <v>65208.000000000007</v>
      </c>
      <c r="H42" s="76">
        <v>2</v>
      </c>
      <c r="I42" s="261">
        <v>10</v>
      </c>
      <c r="J42" s="18">
        <v>3000</v>
      </c>
      <c r="K42" s="9">
        <f t="shared" si="54"/>
        <v>300</v>
      </c>
      <c r="L42" s="261">
        <v>10</v>
      </c>
      <c r="M42" s="10">
        <f t="shared" ref="M42:M43" si="60">F42/V42*60</f>
        <v>2716.9811320754711</v>
      </c>
      <c r="N42" s="10">
        <f t="shared" ref="N42:N49" si="61">M42/L42</f>
        <v>271.69811320754712</v>
      </c>
      <c r="O42" s="11">
        <f t="shared" ref="O42:O49" si="62">L42-I42</f>
        <v>0</v>
      </c>
      <c r="P42" s="12">
        <f t="shared" si="51"/>
        <v>-28.301886792452876</v>
      </c>
      <c r="Q42" s="259">
        <f t="shared" si="52"/>
        <v>0.90566037735849036</v>
      </c>
      <c r="R42" s="493">
        <f>Q49</f>
        <v>0.90556420882602118</v>
      </c>
      <c r="S42" s="24">
        <v>0.20833333333333334</v>
      </c>
      <c r="T42" s="24">
        <v>0.24513888888888891</v>
      </c>
      <c r="U42" s="15"/>
      <c r="V42" s="262">
        <f t="shared" ref="V42:V48" si="63">(T42-S42)*24*60</f>
        <v>53.000000000000014</v>
      </c>
      <c r="W42" s="258"/>
      <c r="X42" s="258"/>
      <c r="Y42" s="473"/>
      <c r="Z42" s="474"/>
      <c r="AA42" s="11">
        <f t="shared" si="2"/>
        <v>-283.01886792452888</v>
      </c>
      <c r="AB42" s="259">
        <f t="shared" si="57"/>
        <v>0.90566037735849036</v>
      </c>
      <c r="AC42" s="493">
        <f>AB49</f>
        <v>0.90556420882602118</v>
      </c>
    </row>
    <row r="43" spans="1:29" ht="15.75" customHeight="1">
      <c r="A43" s="489" t="s">
        <v>9</v>
      </c>
      <c r="B43" s="26" t="s">
        <v>33</v>
      </c>
      <c r="C43" s="491" t="s">
        <v>35</v>
      </c>
      <c r="D43" s="492"/>
      <c r="E43" s="26">
        <v>21.13</v>
      </c>
      <c r="F43" s="263">
        <v>4218</v>
      </c>
      <c r="G43" s="258">
        <f t="shared" si="59"/>
        <v>89126.34</v>
      </c>
      <c r="H43" s="76" t="s">
        <v>57</v>
      </c>
      <c r="I43" s="261">
        <v>10</v>
      </c>
      <c r="J43" s="18">
        <v>3000</v>
      </c>
      <c r="K43" s="9">
        <f t="shared" si="54"/>
        <v>300</v>
      </c>
      <c r="L43" s="261">
        <v>10</v>
      </c>
      <c r="M43" s="10">
        <f t="shared" si="60"/>
        <v>2721.2903225806454</v>
      </c>
      <c r="N43" s="10">
        <f t="shared" si="61"/>
        <v>272.12903225806451</v>
      </c>
      <c r="O43" s="11">
        <f t="shared" si="62"/>
        <v>0</v>
      </c>
      <c r="P43" s="12">
        <f t="shared" si="51"/>
        <v>-27.870967741935488</v>
      </c>
      <c r="Q43" s="259">
        <f t="shared" si="52"/>
        <v>0.90709677419354839</v>
      </c>
      <c r="R43" s="494"/>
      <c r="S43" s="24">
        <v>0.24861111111111112</v>
      </c>
      <c r="T43" s="24">
        <v>0.31319444444444444</v>
      </c>
      <c r="U43" s="258">
        <f>(S43-T42)*24*60</f>
        <v>4.9999999999999822</v>
      </c>
      <c r="V43" s="262">
        <f t="shared" si="63"/>
        <v>92.999999999999986</v>
      </c>
      <c r="W43" s="14"/>
      <c r="X43" s="14"/>
      <c r="Y43" s="473"/>
      <c r="Z43" s="474"/>
      <c r="AA43" s="11">
        <f t="shared" si="2"/>
        <v>-278.70967741935465</v>
      </c>
      <c r="AB43" s="259">
        <f t="shared" si="57"/>
        <v>0.90709677419354851</v>
      </c>
      <c r="AC43" s="494"/>
    </row>
    <row r="44" spans="1:29" ht="15.75" customHeight="1">
      <c r="A44" s="489" t="s">
        <v>9</v>
      </c>
      <c r="B44" s="26" t="s">
        <v>33</v>
      </c>
      <c r="C44" s="491" t="s">
        <v>43</v>
      </c>
      <c r="D44" s="492"/>
      <c r="E44" s="26">
        <v>35.119999999999997</v>
      </c>
      <c r="F44" s="263">
        <v>4049</v>
      </c>
      <c r="G44" s="258">
        <f t="shared" si="59"/>
        <v>142200.87999999998</v>
      </c>
      <c r="H44" s="76" t="s">
        <v>57</v>
      </c>
      <c r="I44" s="261">
        <v>10</v>
      </c>
      <c r="J44" s="18">
        <v>3000</v>
      </c>
      <c r="K44" s="9">
        <f t="shared" si="54"/>
        <v>300</v>
      </c>
      <c r="L44" s="261">
        <v>10</v>
      </c>
      <c r="M44" s="10">
        <f>F44/V44*60</f>
        <v>2729.6629213483147</v>
      </c>
      <c r="N44" s="10">
        <f t="shared" si="61"/>
        <v>272.96629213483146</v>
      </c>
      <c r="O44" s="11">
        <f t="shared" si="62"/>
        <v>0</v>
      </c>
      <c r="P44" s="12">
        <f t="shared" si="51"/>
        <v>-27.033707865168537</v>
      </c>
      <c r="Q44" s="259">
        <f t="shared" si="52"/>
        <v>0.90988764044943826</v>
      </c>
      <c r="R44" s="494"/>
      <c r="S44" s="24">
        <v>0.31736111111111109</v>
      </c>
      <c r="T44" s="24">
        <v>0.37916666666666665</v>
      </c>
      <c r="U44" s="258">
        <f t="shared" ref="U44:U48" si="64">(S44-T43)*24*60</f>
        <v>5.9999999999999787</v>
      </c>
      <c r="V44" s="262">
        <f t="shared" si="63"/>
        <v>89</v>
      </c>
      <c r="W44" s="14"/>
      <c r="X44" s="14"/>
      <c r="Y44" s="473"/>
      <c r="Z44" s="474"/>
      <c r="AA44" s="11">
        <f t="shared" si="2"/>
        <v>-270.33707865168526</v>
      </c>
      <c r="AB44" s="259">
        <f t="shared" si="57"/>
        <v>0.90988764044943826</v>
      </c>
      <c r="AC44" s="494"/>
    </row>
    <row r="45" spans="1:29" ht="15.75" customHeight="1">
      <c r="A45" s="489" t="s">
        <v>9</v>
      </c>
      <c r="B45" s="26" t="s">
        <v>33</v>
      </c>
      <c r="C45" s="491" t="s">
        <v>67</v>
      </c>
      <c r="D45" s="492"/>
      <c r="E45" s="26">
        <v>40.18</v>
      </c>
      <c r="F45" s="263">
        <v>2414</v>
      </c>
      <c r="G45" s="258">
        <f t="shared" si="59"/>
        <v>96994.52</v>
      </c>
      <c r="H45" s="76" t="s">
        <v>57</v>
      </c>
      <c r="I45" s="261">
        <v>10</v>
      </c>
      <c r="J45" s="18">
        <v>3000</v>
      </c>
      <c r="K45" s="9">
        <f t="shared" si="54"/>
        <v>300</v>
      </c>
      <c r="L45" s="261">
        <v>10</v>
      </c>
      <c r="M45" s="10">
        <f t="shared" ref="M45:M48" si="65">F45/V45*60</f>
        <v>2732.8301886792465</v>
      </c>
      <c r="N45" s="10">
        <f t="shared" si="61"/>
        <v>273.28301886792462</v>
      </c>
      <c r="O45" s="11">
        <f t="shared" si="62"/>
        <v>0</v>
      </c>
      <c r="P45" s="12">
        <f t="shared" si="51"/>
        <v>-26.716981132075375</v>
      </c>
      <c r="Q45" s="259">
        <f t="shared" si="52"/>
        <v>0.9109433962264154</v>
      </c>
      <c r="R45" s="494"/>
      <c r="S45" s="24">
        <v>0.38263888888888886</v>
      </c>
      <c r="T45" s="24">
        <v>0.4194444444444444</v>
      </c>
      <c r="U45" s="258">
        <f t="shared" si="64"/>
        <v>4.9999999999999822</v>
      </c>
      <c r="V45" s="262">
        <f t="shared" si="63"/>
        <v>52.999999999999972</v>
      </c>
      <c r="W45" s="14"/>
      <c r="X45" s="14"/>
      <c r="Y45" s="473"/>
      <c r="Z45" s="474"/>
      <c r="AA45" s="11">
        <f t="shared" si="2"/>
        <v>-267.16981132075352</v>
      </c>
      <c r="AB45" s="259">
        <f t="shared" si="57"/>
        <v>0.91094339622641551</v>
      </c>
      <c r="AC45" s="494"/>
    </row>
    <row r="46" spans="1:29" ht="15.75" customHeight="1">
      <c r="A46" s="489" t="s">
        <v>9</v>
      </c>
      <c r="B46" s="26" t="s">
        <v>33</v>
      </c>
      <c r="C46" s="491" t="s">
        <v>73</v>
      </c>
      <c r="D46" s="492"/>
      <c r="E46" s="26">
        <v>28.5</v>
      </c>
      <c r="F46" s="263">
        <v>1712</v>
      </c>
      <c r="G46" s="258">
        <f t="shared" si="59"/>
        <v>48792</v>
      </c>
      <c r="H46" s="76" t="s">
        <v>57</v>
      </c>
      <c r="I46" s="261">
        <v>10</v>
      </c>
      <c r="J46" s="18">
        <v>3000</v>
      </c>
      <c r="K46" s="9">
        <f t="shared" si="54"/>
        <v>300</v>
      </c>
      <c r="L46" s="261">
        <v>10</v>
      </c>
      <c r="M46" s="10">
        <f t="shared" si="65"/>
        <v>2703.1578947368403</v>
      </c>
      <c r="N46" s="10">
        <f t="shared" si="61"/>
        <v>270.31578947368405</v>
      </c>
      <c r="O46" s="11">
        <f t="shared" si="62"/>
        <v>0</v>
      </c>
      <c r="P46" s="12">
        <f t="shared" si="51"/>
        <v>-29.684210526315951</v>
      </c>
      <c r="Q46" s="259">
        <f>N46/K46</f>
        <v>0.90105263157894688</v>
      </c>
      <c r="R46" s="494"/>
      <c r="S46" s="24">
        <v>0.42430555555555549</v>
      </c>
      <c r="T46" s="24">
        <v>0.4506944444444444</v>
      </c>
      <c r="U46" s="258">
        <f t="shared" si="64"/>
        <v>6.9999999999999751</v>
      </c>
      <c r="V46" s="262">
        <f t="shared" si="63"/>
        <v>38.000000000000028</v>
      </c>
      <c r="W46" s="14"/>
      <c r="X46" s="14"/>
      <c r="Y46" s="473"/>
      <c r="Z46" s="474"/>
      <c r="AA46" s="11">
        <f t="shared" si="2"/>
        <v>-296.84210526315974</v>
      </c>
      <c r="AB46" s="259">
        <f t="shared" si="57"/>
        <v>0.90105263157894677</v>
      </c>
      <c r="AC46" s="494"/>
    </row>
    <row r="47" spans="1:29" ht="15.75" customHeight="1">
      <c r="A47" s="489" t="s">
        <v>9</v>
      </c>
      <c r="B47" s="26" t="s">
        <v>33</v>
      </c>
      <c r="C47" s="491" t="s">
        <v>511</v>
      </c>
      <c r="D47" s="492"/>
      <c r="E47" s="26">
        <v>35.869999999999997</v>
      </c>
      <c r="F47" s="263">
        <v>3653</v>
      </c>
      <c r="G47" s="258">
        <f t="shared" si="59"/>
        <v>131033.10999999999</v>
      </c>
      <c r="H47" s="76" t="s">
        <v>57</v>
      </c>
      <c r="I47" s="261">
        <v>10</v>
      </c>
      <c r="J47" s="18">
        <v>3000</v>
      </c>
      <c r="K47" s="9">
        <f t="shared" si="54"/>
        <v>300</v>
      </c>
      <c r="L47" s="261">
        <v>10</v>
      </c>
      <c r="M47" s="10">
        <f t="shared" si="65"/>
        <v>2705.9259259259252</v>
      </c>
      <c r="N47" s="10">
        <f t="shared" si="61"/>
        <v>270.5925925925925</v>
      </c>
      <c r="O47" s="11">
        <f t="shared" si="62"/>
        <v>0</v>
      </c>
      <c r="P47" s="12">
        <f t="shared" si="51"/>
        <v>-29.407407407407504</v>
      </c>
      <c r="Q47" s="259">
        <f t="shared" ref="Q47:Q49" si="66">N47/K47</f>
        <v>0.90197530864197495</v>
      </c>
      <c r="R47" s="494"/>
      <c r="S47" s="24">
        <v>0.45416666666666661</v>
      </c>
      <c r="T47" s="24">
        <v>0.51041666666666663</v>
      </c>
      <c r="U47" s="258">
        <f t="shared" si="64"/>
        <v>4.9999999999999822</v>
      </c>
      <c r="V47" s="262">
        <f t="shared" si="63"/>
        <v>81.000000000000028</v>
      </c>
      <c r="W47" s="14"/>
      <c r="X47" s="14"/>
      <c r="Y47" s="473"/>
      <c r="Z47" s="474"/>
      <c r="AA47" s="11">
        <f t="shared" si="2"/>
        <v>-294.07407407407482</v>
      </c>
      <c r="AB47" s="259">
        <f t="shared" si="57"/>
        <v>0.90197530864197506</v>
      </c>
      <c r="AC47" s="494"/>
    </row>
    <row r="48" spans="1:29" ht="15.75" customHeight="1">
      <c r="A48" s="489" t="s">
        <v>9</v>
      </c>
      <c r="B48" s="26" t="s">
        <v>33</v>
      </c>
      <c r="C48" s="491" t="s">
        <v>34</v>
      </c>
      <c r="D48" s="492"/>
      <c r="E48" s="26">
        <v>27.17</v>
      </c>
      <c r="F48" s="263">
        <v>2707</v>
      </c>
      <c r="G48" s="258">
        <f t="shared" si="59"/>
        <v>73549.19</v>
      </c>
      <c r="H48" s="76" t="s">
        <v>57</v>
      </c>
      <c r="I48" s="261">
        <v>10</v>
      </c>
      <c r="J48" s="18">
        <v>3000</v>
      </c>
      <c r="K48" s="9">
        <f t="shared" si="54"/>
        <v>300</v>
      </c>
      <c r="L48" s="261">
        <v>10</v>
      </c>
      <c r="M48" s="10">
        <f t="shared" si="65"/>
        <v>2707.0000000000027</v>
      </c>
      <c r="N48" s="10">
        <f t="shared" si="61"/>
        <v>270.70000000000027</v>
      </c>
      <c r="O48" s="11">
        <f t="shared" si="62"/>
        <v>0</v>
      </c>
      <c r="P48" s="12">
        <f t="shared" si="51"/>
        <v>-29.299999999999727</v>
      </c>
      <c r="Q48" s="259">
        <f t="shared" si="66"/>
        <v>0.90233333333333421</v>
      </c>
      <c r="R48" s="494"/>
      <c r="S48" s="24">
        <v>0.54999999999999993</v>
      </c>
      <c r="T48" s="24">
        <v>0.59166666666666656</v>
      </c>
      <c r="U48" s="258">
        <f t="shared" si="64"/>
        <v>56.999999999999957</v>
      </c>
      <c r="V48" s="262">
        <f t="shared" si="63"/>
        <v>59.999999999999943</v>
      </c>
      <c r="W48" s="14"/>
      <c r="X48" s="14"/>
      <c r="Y48" s="473"/>
      <c r="Z48" s="474"/>
      <c r="AA48" s="11">
        <f t="shared" si="2"/>
        <v>-292.99999999999727</v>
      </c>
      <c r="AB48" s="259">
        <f t="shared" si="57"/>
        <v>0.90233333333333421</v>
      </c>
      <c r="AC48" s="494"/>
    </row>
    <row r="49" spans="1:29" ht="15.75" customHeight="1">
      <c r="A49" s="490" t="s">
        <v>9</v>
      </c>
      <c r="B49" s="26" t="s">
        <v>1052</v>
      </c>
      <c r="C49" s="497"/>
      <c r="D49" s="498"/>
      <c r="E49" s="260"/>
      <c r="F49" s="263"/>
      <c r="G49" s="258"/>
      <c r="H49" s="263"/>
      <c r="I49" s="17">
        <v>10</v>
      </c>
      <c r="J49" s="18">
        <v>3000</v>
      </c>
      <c r="K49" s="9">
        <f>J49/I49</f>
        <v>300</v>
      </c>
      <c r="L49" s="17">
        <v>10</v>
      </c>
      <c r="M49" s="10">
        <f>AVERAGE(M42:M48)</f>
        <v>2716.6926264780636</v>
      </c>
      <c r="N49" s="9">
        <f t="shared" si="61"/>
        <v>271.66926264780636</v>
      </c>
      <c r="O49" s="11">
        <f t="shared" si="62"/>
        <v>0</v>
      </c>
      <c r="P49" s="12">
        <f t="shared" si="51"/>
        <v>-28.330737352193637</v>
      </c>
      <c r="Q49" s="259">
        <f t="shared" si="66"/>
        <v>0.90556420882602118</v>
      </c>
      <c r="R49" s="495"/>
      <c r="S49" s="24"/>
      <c r="T49" s="24"/>
      <c r="U49" s="258"/>
      <c r="V49" s="262"/>
      <c r="W49" s="14"/>
      <c r="X49" s="14"/>
      <c r="Y49" s="473"/>
      <c r="Z49" s="474"/>
      <c r="AA49" s="11">
        <f t="shared" si="2"/>
        <v>-283.30737352193637</v>
      </c>
      <c r="AB49" s="259">
        <f t="shared" si="57"/>
        <v>0.90556420882602118</v>
      </c>
      <c r="AC49" s="495"/>
    </row>
    <row r="50" spans="1:29" ht="15.75" customHeight="1">
      <c r="A50" s="461" t="s">
        <v>1061</v>
      </c>
      <c r="B50" s="26" t="s">
        <v>15</v>
      </c>
      <c r="C50" s="487" t="s">
        <v>20</v>
      </c>
      <c r="D50" s="487"/>
      <c r="E50" s="26">
        <v>46</v>
      </c>
      <c r="F50" s="27">
        <v>2629</v>
      </c>
      <c r="G50" s="258">
        <f t="shared" ref="G50:G53" si="67">E50*F50</f>
        <v>120934</v>
      </c>
      <c r="H50" s="76" t="s">
        <v>57</v>
      </c>
      <c r="I50" s="261">
        <v>17</v>
      </c>
      <c r="J50" s="18">
        <v>1500</v>
      </c>
      <c r="K50" s="9">
        <f t="shared" ref="K50:K53" si="68">J50/I50</f>
        <v>88.235294117647058</v>
      </c>
      <c r="L50" s="261">
        <v>17</v>
      </c>
      <c r="M50" s="10">
        <f t="shared" ref="M50:M53" si="69">F50/V50*60</f>
        <v>1359.8275862068967</v>
      </c>
      <c r="N50" s="10">
        <f>M50/L50</f>
        <v>79.989858012170401</v>
      </c>
      <c r="O50" s="11">
        <f>L50-I50</f>
        <v>0</v>
      </c>
      <c r="P50" s="12">
        <f>N50-K50</f>
        <v>-8.2454361054766565</v>
      </c>
      <c r="Q50" s="259">
        <f>N50/K50</f>
        <v>0.90655172413793128</v>
      </c>
      <c r="R50" s="470">
        <f>Q54</f>
        <v>0.90585784390909552</v>
      </c>
      <c r="S50" s="24">
        <v>0.29305555555555557</v>
      </c>
      <c r="T50" s="24">
        <v>0.37361111111111112</v>
      </c>
      <c r="U50" s="15"/>
      <c r="V50" s="262">
        <f t="shared" ref="V50:V53" si="70">(T50-S50)*24*60</f>
        <v>115.99999999999999</v>
      </c>
      <c r="W50" s="15"/>
      <c r="X50" s="15"/>
      <c r="Y50" s="456"/>
      <c r="Z50" s="456"/>
      <c r="AA50" s="11">
        <f t="shared" si="2"/>
        <v>-140.17241379310326</v>
      </c>
      <c r="AB50" s="259">
        <f t="shared" si="57"/>
        <v>0.90655172413793117</v>
      </c>
      <c r="AC50" s="470">
        <f>AB54</f>
        <v>0.90585784390909552</v>
      </c>
    </row>
    <row r="51" spans="1:29" ht="15.75" customHeight="1">
      <c r="A51" s="461" t="s">
        <v>10</v>
      </c>
      <c r="B51" s="26" t="s">
        <v>15</v>
      </c>
      <c r="C51" s="487" t="s">
        <v>75</v>
      </c>
      <c r="D51" s="487"/>
      <c r="E51" s="26">
        <v>46</v>
      </c>
      <c r="F51" s="27">
        <v>3285</v>
      </c>
      <c r="G51" s="258">
        <f t="shared" si="67"/>
        <v>151110</v>
      </c>
      <c r="H51" s="76" t="s">
        <v>57</v>
      </c>
      <c r="I51" s="261">
        <v>18</v>
      </c>
      <c r="J51" s="18">
        <v>1500</v>
      </c>
      <c r="K51" s="9">
        <f t="shared" si="68"/>
        <v>83.333333333333329</v>
      </c>
      <c r="L51" s="261">
        <v>18</v>
      </c>
      <c r="M51" s="10">
        <f t="shared" si="69"/>
        <v>1359.3103448275865</v>
      </c>
      <c r="N51" s="10">
        <f t="shared" ref="N51:N53" si="71">M51/L51</f>
        <v>75.517241379310363</v>
      </c>
      <c r="O51" s="11">
        <f t="shared" ref="O51:O53" si="72">L51-I51</f>
        <v>0</v>
      </c>
      <c r="P51" s="12">
        <f t="shared" ref="P51:P53" si="73">N51-K51</f>
        <v>-7.8160919540229656</v>
      </c>
      <c r="Q51" s="259">
        <f t="shared" ref="Q51:Q53" si="74">N51/K51</f>
        <v>0.90620689655172437</v>
      </c>
      <c r="R51" s="470"/>
      <c r="S51" s="24">
        <v>0.37916666666666665</v>
      </c>
      <c r="T51" s="24">
        <v>0.47986111111111107</v>
      </c>
      <c r="U51" s="258">
        <f t="shared" ref="U51:U53" si="75">(S51-T50)*24*60</f>
        <v>7.9999999999999716</v>
      </c>
      <c r="V51" s="262">
        <f t="shared" si="70"/>
        <v>144.99999999999997</v>
      </c>
      <c r="W51" s="14"/>
      <c r="X51" s="14"/>
      <c r="Y51" s="456"/>
      <c r="Z51" s="456"/>
      <c r="AA51" s="11">
        <f t="shared" si="2"/>
        <v>-140.6896551724135</v>
      </c>
      <c r="AB51" s="259">
        <f t="shared" si="57"/>
        <v>0.90620689655172437</v>
      </c>
      <c r="AC51" s="470"/>
    </row>
    <row r="52" spans="1:29" ht="15.75" customHeight="1">
      <c r="A52" s="461" t="s">
        <v>10</v>
      </c>
      <c r="B52" s="26" t="s">
        <v>13</v>
      </c>
      <c r="C52" s="491" t="s">
        <v>65</v>
      </c>
      <c r="D52" s="492"/>
      <c r="E52" s="26">
        <v>55.56</v>
      </c>
      <c r="F52" s="27">
        <v>2041</v>
      </c>
      <c r="G52" s="258">
        <f t="shared" si="67"/>
        <v>113397.96</v>
      </c>
      <c r="H52" s="76" t="s">
        <v>57</v>
      </c>
      <c r="I52" s="261">
        <v>17</v>
      </c>
      <c r="J52" s="18">
        <v>1500</v>
      </c>
      <c r="K52" s="9">
        <f t="shared" si="68"/>
        <v>88.235294117647058</v>
      </c>
      <c r="L52" s="261">
        <v>17</v>
      </c>
      <c r="M52" s="10">
        <f t="shared" si="69"/>
        <v>1360.6666666666665</v>
      </c>
      <c r="N52" s="10">
        <f t="shared" si="71"/>
        <v>80.039215686274503</v>
      </c>
      <c r="O52" s="11">
        <f t="shared" si="72"/>
        <v>0</v>
      </c>
      <c r="P52" s="12">
        <f t="shared" si="73"/>
        <v>-8.1960784313725554</v>
      </c>
      <c r="Q52" s="259">
        <f t="shared" si="74"/>
        <v>0.90711111111111109</v>
      </c>
      <c r="R52" s="470"/>
      <c r="S52" s="24">
        <v>0.70833333333333337</v>
      </c>
      <c r="T52" s="24">
        <v>0.77083333333333337</v>
      </c>
      <c r="U52" s="258">
        <f t="shared" si="75"/>
        <v>329.00000000000011</v>
      </c>
      <c r="V52" s="262">
        <f t="shared" si="70"/>
        <v>90</v>
      </c>
      <c r="W52" s="14"/>
      <c r="X52" s="14"/>
      <c r="Y52" s="255"/>
      <c r="Z52" s="256"/>
      <c r="AA52" s="11">
        <f t="shared" si="2"/>
        <v>-139.33333333333348</v>
      </c>
      <c r="AB52" s="259">
        <f t="shared" si="57"/>
        <v>0.90711111111111098</v>
      </c>
      <c r="AC52" s="470"/>
    </row>
    <row r="53" spans="1:29" ht="15.75" customHeight="1">
      <c r="A53" s="461" t="s">
        <v>10</v>
      </c>
      <c r="B53" s="26" t="s">
        <v>13</v>
      </c>
      <c r="C53" s="253" t="s">
        <v>64</v>
      </c>
      <c r="D53" s="254"/>
      <c r="E53" s="26">
        <v>55.32</v>
      </c>
      <c r="F53" s="27">
        <v>1649</v>
      </c>
      <c r="G53" s="258">
        <f t="shared" si="67"/>
        <v>91222.680000000008</v>
      </c>
      <c r="H53" s="76" t="s">
        <v>57</v>
      </c>
      <c r="I53" s="261">
        <v>15</v>
      </c>
      <c r="J53" s="18">
        <v>1500</v>
      </c>
      <c r="K53" s="9">
        <f t="shared" si="68"/>
        <v>100</v>
      </c>
      <c r="L53" s="261">
        <v>15</v>
      </c>
      <c r="M53" s="10">
        <f t="shared" si="69"/>
        <v>1355.3424657534238</v>
      </c>
      <c r="N53" s="10">
        <f t="shared" si="71"/>
        <v>90.356164383561591</v>
      </c>
      <c r="O53" s="11">
        <f t="shared" si="72"/>
        <v>0</v>
      </c>
      <c r="P53" s="12">
        <f t="shared" si="73"/>
        <v>-9.6438356164384089</v>
      </c>
      <c r="Q53" s="259">
        <f t="shared" si="74"/>
        <v>0.90356164383561588</v>
      </c>
      <c r="R53" s="470"/>
      <c r="S53" s="24">
        <v>0.77638888888888891</v>
      </c>
      <c r="T53" s="24">
        <v>0.82708333333333339</v>
      </c>
      <c r="U53" s="258">
        <f t="shared" si="75"/>
        <v>7.9999999999999716</v>
      </c>
      <c r="V53" s="262">
        <f t="shared" si="70"/>
        <v>73.000000000000057</v>
      </c>
      <c r="W53" s="14"/>
      <c r="X53" s="14"/>
      <c r="Y53" s="255"/>
      <c r="Z53" s="256"/>
      <c r="AA53" s="11">
        <f t="shared" si="2"/>
        <v>-144.65753424657623</v>
      </c>
      <c r="AB53" s="259">
        <f t="shared" si="57"/>
        <v>0.90356164383561588</v>
      </c>
      <c r="AC53" s="470"/>
    </row>
    <row r="54" spans="1:29">
      <c r="A54" s="496" t="s">
        <v>10</v>
      </c>
      <c r="B54" s="26" t="s">
        <v>1054</v>
      </c>
      <c r="C54" s="466"/>
      <c r="D54" s="466"/>
      <c r="E54" s="257"/>
      <c r="F54" s="16"/>
      <c r="G54" s="9"/>
      <c r="H54" s="263"/>
      <c r="I54" s="17">
        <v>16.75</v>
      </c>
      <c r="J54" s="18">
        <v>1500</v>
      </c>
      <c r="K54" s="9">
        <f>J54/I54</f>
        <v>89.552238805970148</v>
      </c>
      <c r="L54" s="17">
        <v>16.75</v>
      </c>
      <c r="M54" s="10">
        <f>AVERAGE(M50:M53)</f>
        <v>1358.7867658636433</v>
      </c>
      <c r="N54" s="9">
        <f>M54/L54</f>
        <v>81.121597962008551</v>
      </c>
      <c r="O54" s="11">
        <f>L54-I54</f>
        <v>0</v>
      </c>
      <c r="P54" s="12">
        <f>N54-K54</f>
        <v>-8.4306408439615979</v>
      </c>
      <c r="Q54" s="259">
        <f>N54/K54</f>
        <v>0.90585784390909552</v>
      </c>
      <c r="R54" s="470"/>
      <c r="S54" s="25"/>
      <c r="T54" s="24"/>
      <c r="U54" s="9"/>
      <c r="V54" s="262"/>
      <c r="W54" s="9"/>
      <c r="X54" s="9"/>
      <c r="Y54" s="456"/>
      <c r="Z54" s="456"/>
      <c r="AA54" s="11">
        <f t="shared" si="2"/>
        <v>-141.21323413635673</v>
      </c>
      <c r="AB54" s="259">
        <f t="shared" si="57"/>
        <v>0.90585784390909552</v>
      </c>
      <c r="AC54" s="470"/>
    </row>
    <row r="55" spans="1:29" ht="15.75" customHeight="1">
      <c r="A55" s="499" t="s">
        <v>1062</v>
      </c>
      <c r="B55" s="263" t="s">
        <v>33</v>
      </c>
      <c r="C55" s="487" t="s">
        <v>36</v>
      </c>
      <c r="D55" s="487"/>
      <c r="E55" s="26">
        <v>26.78</v>
      </c>
      <c r="F55" s="27">
        <v>2318</v>
      </c>
      <c r="G55" s="258">
        <f t="shared" ref="G55:G59" si="76">E55*F55</f>
        <v>62076.04</v>
      </c>
      <c r="H55" s="76" t="s">
        <v>57</v>
      </c>
      <c r="I55" s="261">
        <v>10</v>
      </c>
      <c r="J55" s="18">
        <v>3000</v>
      </c>
      <c r="K55" s="9">
        <f t="shared" ref="K55:K59" si="77">J55/I55</f>
        <v>300</v>
      </c>
      <c r="L55" s="17">
        <v>10</v>
      </c>
      <c r="M55" s="10">
        <f t="shared" ref="M55:M59" si="78">F55/V55*60</f>
        <v>2727.0588235294126</v>
      </c>
      <c r="N55" s="9">
        <f>M55/L55</f>
        <v>272.70588235294127</v>
      </c>
      <c r="O55" s="11">
        <f t="shared" ref="O55:O59" si="79">L55-I55</f>
        <v>0</v>
      </c>
      <c r="P55" s="12">
        <f t="shared" ref="P55:P59" si="80">N55-K55</f>
        <v>-27.294117647058727</v>
      </c>
      <c r="Q55" s="259">
        <f>N55/K55</f>
        <v>0.90901960784313762</v>
      </c>
      <c r="R55" s="470">
        <f>Q60</f>
        <v>0.91450480632664655</v>
      </c>
      <c r="S55" s="24">
        <v>0.25069444444444444</v>
      </c>
      <c r="T55" s="24">
        <v>0.28611111111111109</v>
      </c>
      <c r="U55" s="258"/>
      <c r="V55" s="262">
        <f t="shared" ref="V55:V59" si="81">(T55-S55)*24*60</f>
        <v>50.999999999999979</v>
      </c>
      <c r="W55" s="15"/>
      <c r="X55" s="15"/>
      <c r="Y55" s="456"/>
      <c r="Z55" s="456"/>
      <c r="AA55" s="11">
        <f t="shared" si="2"/>
        <v>-272.94117647058738</v>
      </c>
      <c r="AB55" s="259">
        <f t="shared" si="57"/>
        <v>0.90901960784313751</v>
      </c>
      <c r="AC55" s="470">
        <f>AB60</f>
        <v>0.91450480632664644</v>
      </c>
    </row>
    <row r="56" spans="1:29" ht="15.75" customHeight="1">
      <c r="A56" s="499" t="s">
        <v>11</v>
      </c>
      <c r="B56" s="263" t="s">
        <v>33</v>
      </c>
      <c r="C56" s="487" t="s">
        <v>42</v>
      </c>
      <c r="D56" s="487"/>
      <c r="E56" s="26">
        <v>35.369999999999997</v>
      </c>
      <c r="F56" s="27">
        <v>1660</v>
      </c>
      <c r="G56" s="258">
        <f t="shared" si="76"/>
        <v>58714.2</v>
      </c>
      <c r="H56" s="76" t="s">
        <v>57</v>
      </c>
      <c r="I56" s="261">
        <v>10</v>
      </c>
      <c r="J56" s="18">
        <v>3000</v>
      </c>
      <c r="K56" s="9">
        <f t="shared" si="77"/>
        <v>300</v>
      </c>
      <c r="L56" s="17">
        <v>10</v>
      </c>
      <c r="M56" s="10">
        <f t="shared" si="78"/>
        <v>2766.6666666666642</v>
      </c>
      <c r="N56" s="9">
        <f t="shared" ref="N56:N59" si="82">M56/L56</f>
        <v>276.6666666666664</v>
      </c>
      <c r="O56" s="11">
        <f t="shared" si="79"/>
        <v>0</v>
      </c>
      <c r="P56" s="12">
        <f t="shared" si="80"/>
        <v>-23.333333333333599</v>
      </c>
      <c r="Q56" s="259">
        <f t="shared" ref="Q56:Q59" si="83">N56/K56</f>
        <v>0.92222222222222139</v>
      </c>
      <c r="R56" s="470"/>
      <c r="S56" s="24">
        <v>0.29166666666666663</v>
      </c>
      <c r="T56" s="24">
        <v>0.31666666666666665</v>
      </c>
      <c r="U56" s="258">
        <f>(S56-T55)*24*60</f>
        <v>7.9999999999999716</v>
      </c>
      <c r="V56" s="262">
        <f t="shared" si="81"/>
        <v>36.000000000000028</v>
      </c>
      <c r="W56" s="258"/>
      <c r="X56" s="258"/>
      <c r="Y56" s="456"/>
      <c r="Z56" s="456"/>
      <c r="AA56" s="11">
        <f t="shared" si="2"/>
        <v>-233.33333333333576</v>
      </c>
      <c r="AB56" s="259">
        <f t="shared" si="57"/>
        <v>0.92222222222222139</v>
      </c>
      <c r="AC56" s="470"/>
    </row>
    <row r="57" spans="1:29" ht="15.75" customHeight="1">
      <c r="A57" s="499" t="s">
        <v>11</v>
      </c>
      <c r="B57" s="263" t="s">
        <v>33</v>
      </c>
      <c r="C57" s="487" t="s">
        <v>41</v>
      </c>
      <c r="D57" s="487"/>
      <c r="E57" s="26">
        <v>34.35</v>
      </c>
      <c r="F57" s="27">
        <v>1338</v>
      </c>
      <c r="G57" s="258">
        <f t="shared" si="76"/>
        <v>45960.3</v>
      </c>
      <c r="H57" s="76" t="s">
        <v>57</v>
      </c>
      <c r="I57" s="261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2768.2758620689674</v>
      </c>
      <c r="N57" s="9">
        <f t="shared" si="82"/>
        <v>276.82758620689674</v>
      </c>
      <c r="O57" s="11">
        <f t="shared" si="79"/>
        <v>0</v>
      </c>
      <c r="P57" s="12">
        <f t="shared" si="80"/>
        <v>-23.17241379310326</v>
      </c>
      <c r="Q57" s="259">
        <f t="shared" si="83"/>
        <v>0.92275862068965575</v>
      </c>
      <c r="R57" s="470"/>
      <c r="S57" s="24">
        <v>0.3208333333333333</v>
      </c>
      <c r="T57" s="24">
        <v>0.34097222222222218</v>
      </c>
      <c r="U57" s="258">
        <f t="shared" ref="U57:U59" si="84">(S57-T56)*24*60</f>
        <v>5.9999999999999787</v>
      </c>
      <c r="V57" s="262">
        <f t="shared" si="81"/>
        <v>28.999999999999979</v>
      </c>
      <c r="W57" s="258"/>
      <c r="X57" s="258"/>
      <c r="Y57" s="456"/>
      <c r="Z57" s="456"/>
      <c r="AA57" s="11">
        <f t="shared" si="2"/>
        <v>-231.7241379310326</v>
      </c>
      <c r="AB57" s="259">
        <f t="shared" si="57"/>
        <v>0.92275862068965575</v>
      </c>
      <c r="AC57" s="470"/>
    </row>
    <row r="58" spans="1:29" ht="15.75" customHeight="1">
      <c r="A58" s="499" t="s">
        <v>11</v>
      </c>
      <c r="B58" s="263" t="s">
        <v>15</v>
      </c>
      <c r="C58" s="487" t="s">
        <v>39</v>
      </c>
      <c r="D58" s="487"/>
      <c r="E58" s="26">
        <v>26.97</v>
      </c>
      <c r="F58" s="27">
        <v>2921</v>
      </c>
      <c r="G58" s="258">
        <f t="shared" si="76"/>
        <v>78779.37</v>
      </c>
      <c r="H58" s="76" t="s">
        <v>57</v>
      </c>
      <c r="I58" s="261">
        <v>8</v>
      </c>
      <c r="J58" s="18">
        <v>1440</v>
      </c>
      <c r="K58" s="9">
        <f t="shared" si="77"/>
        <v>180</v>
      </c>
      <c r="L58" s="17">
        <v>8</v>
      </c>
      <c r="M58" s="10">
        <f t="shared" si="78"/>
        <v>1298.2222222222222</v>
      </c>
      <c r="N58" s="9">
        <f t="shared" si="82"/>
        <v>162.27777777777777</v>
      </c>
      <c r="O58" s="11">
        <f t="shared" si="79"/>
        <v>0</v>
      </c>
      <c r="P58" s="12">
        <f t="shared" si="80"/>
        <v>-17.722222222222229</v>
      </c>
      <c r="Q58" s="259">
        <f t="shared" si="83"/>
        <v>0.90154320987654313</v>
      </c>
      <c r="R58" s="470"/>
      <c r="S58" s="24">
        <v>0.34444444444444439</v>
      </c>
      <c r="T58" s="24">
        <v>0.43819444444444439</v>
      </c>
      <c r="U58" s="258">
        <f t="shared" si="84"/>
        <v>4.9999999999999822</v>
      </c>
      <c r="V58" s="262">
        <f t="shared" si="81"/>
        <v>135</v>
      </c>
      <c r="W58" s="258"/>
      <c r="X58" s="258"/>
      <c r="Y58" s="456"/>
      <c r="Z58" s="456"/>
      <c r="AA58" s="11">
        <f t="shared" si="2"/>
        <v>-141.77777777777783</v>
      </c>
      <c r="AB58" s="259">
        <f t="shared" si="57"/>
        <v>0.90154320987654313</v>
      </c>
      <c r="AC58" s="470"/>
    </row>
    <row r="59" spans="1:29">
      <c r="A59" s="500" t="s">
        <v>11</v>
      </c>
      <c r="B59" s="263" t="s">
        <v>33</v>
      </c>
      <c r="C59" s="487" t="s">
        <v>40</v>
      </c>
      <c r="D59" s="487"/>
      <c r="E59" s="26">
        <v>35.119999999999997</v>
      </c>
      <c r="F59" s="27">
        <v>1120</v>
      </c>
      <c r="G59" s="258">
        <f t="shared" si="76"/>
        <v>39334.399999999994</v>
      </c>
      <c r="H59" s="76" t="s">
        <v>57</v>
      </c>
      <c r="I59" s="261">
        <v>13</v>
      </c>
      <c r="J59" s="18">
        <v>2000</v>
      </c>
      <c r="K59" s="9">
        <f t="shared" si="77"/>
        <v>153.84615384615384</v>
      </c>
      <c r="L59" s="17">
        <v>13</v>
      </c>
      <c r="M59" s="10">
        <f t="shared" si="78"/>
        <v>1816.2162162162147</v>
      </c>
      <c r="N59" s="9">
        <f t="shared" si="82"/>
        <v>139.7089397089396</v>
      </c>
      <c r="O59" s="11">
        <f t="shared" si="79"/>
        <v>0</v>
      </c>
      <c r="P59" s="12">
        <f t="shared" si="80"/>
        <v>-14.137214137214244</v>
      </c>
      <c r="Q59" s="259">
        <f t="shared" si="83"/>
        <v>0.90810810810810738</v>
      </c>
      <c r="R59" s="470"/>
      <c r="S59" s="24">
        <v>0.44305555555555548</v>
      </c>
      <c r="T59" s="24">
        <v>0.46874999999999994</v>
      </c>
      <c r="U59" s="258">
        <f t="shared" si="84"/>
        <v>6.9999999999999751</v>
      </c>
      <c r="V59" s="262">
        <f t="shared" si="81"/>
        <v>37.000000000000028</v>
      </c>
      <c r="W59" s="14"/>
      <c r="X59" s="14"/>
      <c r="Y59" s="456"/>
      <c r="Z59" s="456"/>
      <c r="AA59" s="11">
        <f t="shared" si="2"/>
        <v>-183.78378378378534</v>
      </c>
      <c r="AB59" s="259">
        <f t="shared" si="57"/>
        <v>0.90810810810810738</v>
      </c>
      <c r="AC59" s="470"/>
    </row>
    <row r="60" spans="1:29">
      <c r="A60" s="500" t="s">
        <v>11</v>
      </c>
      <c r="B60" s="26" t="s">
        <v>1054</v>
      </c>
      <c r="C60" s="466"/>
      <c r="D60" s="466"/>
      <c r="E60" s="257"/>
      <c r="F60" s="16"/>
      <c r="G60" s="9"/>
      <c r="H60" s="263"/>
      <c r="I60" s="17">
        <v>10.199999999999999</v>
      </c>
      <c r="J60" s="18">
        <v>2488</v>
      </c>
      <c r="K60" s="9">
        <f>J60/I60</f>
        <v>243.92156862745099</v>
      </c>
      <c r="L60" s="17">
        <v>10.199999999999999</v>
      </c>
      <c r="M60" s="10">
        <f>AVERAGE(M55:M59)</f>
        <v>2275.2879581406964</v>
      </c>
      <c r="N60" s="9">
        <f>M60/L60</f>
        <v>223.0674468765389</v>
      </c>
      <c r="O60" s="11">
        <f>L60-I60</f>
        <v>0</v>
      </c>
      <c r="P60" s="12">
        <f>N60-K60</f>
        <v>-20.8541217509121</v>
      </c>
      <c r="Q60" s="259">
        <f>N60/K60</f>
        <v>0.91450480632664655</v>
      </c>
      <c r="R60" s="470"/>
      <c r="S60" s="24"/>
      <c r="T60" s="24"/>
      <c r="U60" s="9"/>
      <c r="V60" s="262"/>
      <c r="W60" s="9"/>
      <c r="X60" s="9"/>
      <c r="Y60" s="456"/>
      <c r="Z60" s="456"/>
      <c r="AA60" s="11">
        <f t="shared" si="2"/>
        <v>-212.71204185930355</v>
      </c>
      <c r="AB60" s="259">
        <f t="shared" si="57"/>
        <v>0.91450480632664644</v>
      </c>
      <c r="AC60" s="470"/>
    </row>
    <row r="61" spans="1:29" ht="15.75" customHeight="1">
      <c r="A61" s="467" t="s">
        <v>1063</v>
      </c>
      <c r="B61" s="263" t="s">
        <v>24</v>
      </c>
      <c r="C61" s="487" t="s">
        <v>83</v>
      </c>
      <c r="D61" s="487"/>
      <c r="E61" s="26">
        <v>32.03</v>
      </c>
      <c r="F61" s="263">
        <v>1268</v>
      </c>
      <c r="G61" s="258">
        <f t="shared" ref="G61:G65" si="85">E61*F61</f>
        <v>40614.04</v>
      </c>
      <c r="H61" s="76" t="s">
        <v>57</v>
      </c>
      <c r="I61" s="261">
        <v>19</v>
      </c>
      <c r="J61" s="18">
        <v>2400</v>
      </c>
      <c r="K61" s="9">
        <f t="shared" ref="K61:K63" si="86">J61/I61</f>
        <v>126.31578947368421</v>
      </c>
      <c r="L61" s="17">
        <v>19</v>
      </c>
      <c r="M61" s="10">
        <f>F61/V61*60</f>
        <v>2173.7142857142862</v>
      </c>
      <c r="N61" s="9">
        <f t="shared" ref="N61:N65" si="87">M61/L61</f>
        <v>114.40601503759402</v>
      </c>
      <c r="O61" s="11">
        <f t="shared" ref="O61:O65" si="88">L61-I61</f>
        <v>0</v>
      </c>
      <c r="P61" s="12">
        <f t="shared" ref="P61:P65" si="89">N61-K61</f>
        <v>-11.909774436090188</v>
      </c>
      <c r="Q61" s="259">
        <f>N61/K61</f>
        <v>0.90571428571428603</v>
      </c>
      <c r="R61" s="470">
        <f>Q66</f>
        <v>0.90871577983420104</v>
      </c>
      <c r="S61" s="24">
        <v>0.125</v>
      </c>
      <c r="T61" s="24">
        <v>0.14930555555555555</v>
      </c>
      <c r="U61" s="15"/>
      <c r="V61" s="262">
        <f t="shared" ref="V61:V65" si="90">(T61-S61)*24*60</f>
        <v>34.999999999999993</v>
      </c>
      <c r="W61" s="14"/>
      <c r="X61" s="14"/>
      <c r="Y61" s="456"/>
      <c r="Z61" s="456"/>
      <c r="AA61" s="11">
        <f t="shared" si="2"/>
        <v>-226.28571428571377</v>
      </c>
      <c r="AB61" s="259">
        <f>M61/J61</f>
        <v>0.90571428571428592</v>
      </c>
      <c r="AC61" s="470">
        <f>AB66</f>
        <v>0.90871577983420104</v>
      </c>
    </row>
    <row r="62" spans="1:29" ht="15.75" customHeight="1">
      <c r="A62" s="467" t="s">
        <v>12</v>
      </c>
      <c r="B62" s="263" t="s">
        <v>24</v>
      </c>
      <c r="C62" s="487" t="s">
        <v>56</v>
      </c>
      <c r="D62" s="487"/>
      <c r="E62" s="26">
        <v>20.2</v>
      </c>
      <c r="F62" s="263">
        <v>1980</v>
      </c>
      <c r="G62" s="258">
        <f t="shared" si="85"/>
        <v>39996</v>
      </c>
      <c r="H62" s="76" t="s">
        <v>57</v>
      </c>
      <c r="I62" s="261">
        <v>19</v>
      </c>
      <c r="J62" s="18">
        <v>2400</v>
      </c>
      <c r="K62" s="9">
        <f t="shared" si="86"/>
        <v>126.31578947368421</v>
      </c>
      <c r="L62" s="17">
        <v>19</v>
      </c>
      <c r="M62" s="10">
        <f t="shared" ref="M62:M65" si="91">F62/V62*60</f>
        <v>2200</v>
      </c>
      <c r="N62" s="9">
        <f t="shared" si="87"/>
        <v>115.78947368421052</v>
      </c>
      <c r="O62" s="11">
        <f t="shared" si="88"/>
        <v>0</v>
      </c>
      <c r="P62" s="12">
        <f t="shared" si="89"/>
        <v>-10.526315789473685</v>
      </c>
      <c r="Q62" s="259">
        <f t="shared" ref="Q62:Q66" si="92">N62/K62</f>
        <v>0.91666666666666663</v>
      </c>
      <c r="R62" s="470"/>
      <c r="S62" s="24">
        <v>0.1673611111111111</v>
      </c>
      <c r="T62" s="24">
        <v>0.2048611111111111</v>
      </c>
      <c r="U62" s="258">
        <f>(S62-T61)*24*60</f>
        <v>25.999999999999986</v>
      </c>
      <c r="V62" s="262">
        <f t="shared" si="90"/>
        <v>54.000000000000007</v>
      </c>
      <c r="W62" s="14"/>
      <c r="X62" s="14"/>
      <c r="Y62" s="456"/>
      <c r="Z62" s="456"/>
      <c r="AA62" s="11">
        <f t="shared" si="2"/>
        <v>-200</v>
      </c>
      <c r="AB62" s="259">
        <f t="shared" ref="AB62:AB66" si="93">M62/J62</f>
        <v>0.91666666666666663</v>
      </c>
      <c r="AC62" s="470"/>
    </row>
    <row r="63" spans="1:29" ht="15.75" customHeight="1">
      <c r="A63" s="467" t="s">
        <v>12</v>
      </c>
      <c r="B63" s="263" t="s">
        <v>24</v>
      </c>
      <c r="C63" s="487" t="s">
        <v>45</v>
      </c>
      <c r="D63" s="487"/>
      <c r="E63" s="26">
        <v>19.02</v>
      </c>
      <c r="F63" s="263">
        <v>6868</v>
      </c>
      <c r="G63" s="258">
        <f t="shared" si="85"/>
        <v>130629.36</v>
      </c>
      <c r="H63" s="76" t="s">
        <v>57</v>
      </c>
      <c r="I63" s="261">
        <v>15</v>
      </c>
      <c r="J63" s="18">
        <v>2400</v>
      </c>
      <c r="K63" s="9">
        <f t="shared" si="86"/>
        <v>160</v>
      </c>
      <c r="L63" s="17">
        <v>15</v>
      </c>
      <c r="M63" s="10">
        <f t="shared" si="91"/>
        <v>2168.8421052631575</v>
      </c>
      <c r="N63" s="9">
        <f t="shared" si="87"/>
        <v>144.5894736842105</v>
      </c>
      <c r="O63" s="11">
        <f t="shared" si="88"/>
        <v>0</v>
      </c>
      <c r="P63" s="12">
        <f t="shared" si="89"/>
        <v>-15.410526315789497</v>
      </c>
      <c r="Q63" s="259">
        <f t="shared" si="92"/>
        <v>0.90368421052631565</v>
      </c>
      <c r="R63" s="470"/>
      <c r="S63" s="24">
        <v>0.20902777777777778</v>
      </c>
      <c r="T63" s="24">
        <v>0.34097222222222223</v>
      </c>
      <c r="U63" s="258">
        <f t="shared" ref="U63:U65" si="94">(S63-T62)*24*60</f>
        <v>6.0000000000000187</v>
      </c>
      <c r="V63" s="262">
        <f t="shared" si="90"/>
        <v>190.00000000000003</v>
      </c>
      <c r="W63" s="14"/>
      <c r="X63" s="14"/>
      <c r="Y63" s="456"/>
      <c r="Z63" s="456"/>
      <c r="AA63" s="11">
        <f t="shared" si="2"/>
        <v>-231.15789473684254</v>
      </c>
      <c r="AB63" s="259">
        <f t="shared" si="93"/>
        <v>0.90368421052631565</v>
      </c>
      <c r="AC63" s="470"/>
    </row>
    <row r="64" spans="1:29" ht="15.75" customHeight="1">
      <c r="A64" s="467" t="s">
        <v>12</v>
      </c>
      <c r="B64" s="263" t="s">
        <v>24</v>
      </c>
      <c r="C64" s="487" t="s">
        <v>46</v>
      </c>
      <c r="D64" s="487"/>
      <c r="E64" s="26">
        <v>25</v>
      </c>
      <c r="F64" s="263">
        <v>3317</v>
      </c>
      <c r="G64" s="258">
        <f t="shared" si="85"/>
        <v>82925</v>
      </c>
      <c r="H64" s="76" t="s">
        <v>57</v>
      </c>
      <c r="I64" s="261">
        <v>15</v>
      </c>
      <c r="J64" s="18">
        <v>2400</v>
      </c>
      <c r="K64" s="9">
        <f>J64/I64</f>
        <v>160</v>
      </c>
      <c r="L64" s="17">
        <v>15</v>
      </c>
      <c r="M64" s="10">
        <f t="shared" si="91"/>
        <v>2187.032967032967</v>
      </c>
      <c r="N64" s="9">
        <f t="shared" si="87"/>
        <v>145.80219780219781</v>
      </c>
      <c r="O64" s="11">
        <f t="shared" si="88"/>
        <v>0</v>
      </c>
      <c r="P64" s="12">
        <f t="shared" si="89"/>
        <v>-14.19780219780219</v>
      </c>
      <c r="Q64" s="259">
        <f t="shared" si="92"/>
        <v>0.91126373626373636</v>
      </c>
      <c r="R64" s="470"/>
      <c r="S64" s="24">
        <v>0.34583333333333333</v>
      </c>
      <c r="T64" s="24">
        <v>0.40902777777777777</v>
      </c>
      <c r="U64" s="258">
        <f t="shared" si="94"/>
        <v>6.9999999999999751</v>
      </c>
      <c r="V64" s="262">
        <f t="shared" si="90"/>
        <v>91</v>
      </c>
      <c r="W64" s="14"/>
      <c r="X64" s="14"/>
      <c r="Y64" s="456"/>
      <c r="Z64" s="456"/>
      <c r="AA64" s="11">
        <f t="shared" si="2"/>
        <v>-212.96703296703299</v>
      </c>
      <c r="AB64" s="259">
        <f t="shared" si="93"/>
        <v>0.91126373626373625</v>
      </c>
      <c r="AC64" s="470"/>
    </row>
    <row r="65" spans="1:29" ht="15.75" customHeight="1">
      <c r="A65" s="467" t="s">
        <v>12</v>
      </c>
      <c r="B65" s="263" t="s">
        <v>24</v>
      </c>
      <c r="C65" s="487" t="s">
        <v>510</v>
      </c>
      <c r="D65" s="487"/>
      <c r="E65" s="26">
        <v>28.51</v>
      </c>
      <c r="F65" s="263">
        <v>4640</v>
      </c>
      <c r="G65" s="258">
        <f t="shared" si="85"/>
        <v>132286.39999999999</v>
      </c>
      <c r="H65" s="76" t="s">
        <v>57</v>
      </c>
      <c r="I65" s="261">
        <v>20</v>
      </c>
      <c r="J65" s="18">
        <v>2400</v>
      </c>
      <c r="K65" s="9">
        <f t="shared" ref="K65:K66" si="95">J65/I65</f>
        <v>120</v>
      </c>
      <c r="L65" s="17">
        <v>20</v>
      </c>
      <c r="M65" s="10">
        <f t="shared" si="91"/>
        <v>2174.9999999999995</v>
      </c>
      <c r="N65" s="9">
        <f t="shared" si="87"/>
        <v>108.74999999999997</v>
      </c>
      <c r="O65" s="11">
        <f t="shared" si="88"/>
        <v>0</v>
      </c>
      <c r="P65" s="12">
        <f t="shared" si="89"/>
        <v>-11.250000000000028</v>
      </c>
      <c r="Q65" s="259">
        <f t="shared" si="92"/>
        <v>0.90624999999999978</v>
      </c>
      <c r="R65" s="470"/>
      <c r="S65" s="24">
        <v>0.41249999999999998</v>
      </c>
      <c r="T65" s="24">
        <v>0.50138888888888888</v>
      </c>
      <c r="U65" s="258">
        <f t="shared" si="94"/>
        <v>4.9999999999999822</v>
      </c>
      <c r="V65" s="262">
        <f t="shared" si="90"/>
        <v>128.00000000000003</v>
      </c>
      <c r="W65" s="14"/>
      <c r="X65" s="14"/>
      <c r="Y65" s="456"/>
      <c r="Z65" s="456"/>
      <c r="AA65" s="11">
        <f t="shared" si="2"/>
        <v>-225.00000000000045</v>
      </c>
      <c r="AB65" s="259">
        <f t="shared" si="93"/>
        <v>0.90624999999999978</v>
      </c>
      <c r="AC65" s="470"/>
    </row>
    <row r="66" spans="1:29" ht="16.5" customHeight="1">
      <c r="A66" s="501" t="s">
        <v>12</v>
      </c>
      <c r="B66" s="26" t="s">
        <v>1054</v>
      </c>
      <c r="C66" s="466"/>
      <c r="D66" s="466"/>
      <c r="E66" s="257"/>
      <c r="F66" s="16"/>
      <c r="G66" s="9"/>
      <c r="H66" s="263"/>
      <c r="I66" s="17">
        <v>17.600000000000001</v>
      </c>
      <c r="J66" s="18">
        <v>2400</v>
      </c>
      <c r="K66" s="9">
        <f t="shared" si="95"/>
        <v>136.36363636363635</v>
      </c>
      <c r="L66" s="17">
        <v>17.600000000000001</v>
      </c>
      <c r="M66" s="10">
        <f>AVERAGE(M61:M65)</f>
        <v>2180.9178716020824</v>
      </c>
      <c r="N66" s="9">
        <f>M66/L66</f>
        <v>123.91578815920921</v>
      </c>
      <c r="O66" s="11">
        <f>L66-I66</f>
        <v>0</v>
      </c>
      <c r="P66" s="12">
        <f>N66-K66</f>
        <v>-12.447848204427132</v>
      </c>
      <c r="Q66" s="259">
        <f t="shared" si="92"/>
        <v>0.90871577983420104</v>
      </c>
      <c r="R66" s="470"/>
      <c r="S66" s="24"/>
      <c r="T66" s="24"/>
      <c r="U66" s="9"/>
      <c r="V66" s="262"/>
      <c r="W66" s="9"/>
      <c r="X66" s="9"/>
      <c r="Y66" s="456"/>
      <c r="Z66" s="456"/>
      <c r="AA66" s="11">
        <f t="shared" si="2"/>
        <v>-219.08212839791759</v>
      </c>
      <c r="AB66" s="259">
        <f t="shared" si="93"/>
        <v>0.90871577983420104</v>
      </c>
      <c r="AC66" s="470"/>
    </row>
    <row r="67" spans="1:29">
      <c r="D67" s="19"/>
      <c r="E67" s="19"/>
    </row>
  </sheetData>
  <mergeCells count="182">
    <mergeCell ref="Y64:Z64"/>
    <mergeCell ref="C65:D65"/>
    <mergeCell ref="Y65:Z65"/>
    <mergeCell ref="A61:A66"/>
    <mergeCell ref="C61:D61"/>
    <mergeCell ref="R61:R66"/>
    <mergeCell ref="Y61:Z61"/>
    <mergeCell ref="AC61:AC66"/>
    <mergeCell ref="C62:D62"/>
    <mergeCell ref="Y62:Z62"/>
    <mergeCell ref="C63:D63"/>
    <mergeCell ref="Y63:Z63"/>
    <mergeCell ref="C64:D64"/>
    <mergeCell ref="C66:D66"/>
    <mergeCell ref="Y66:Z66"/>
    <mergeCell ref="A55:A60"/>
    <mergeCell ref="C55:D55"/>
    <mergeCell ref="R55:R60"/>
    <mergeCell ref="Y55:Z55"/>
    <mergeCell ref="AC55:AC60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  <mergeCell ref="Y60:Z60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50:A54"/>
    <mergeCell ref="C50:D50"/>
    <mergeCell ref="R50:R54"/>
    <mergeCell ref="Y50:Z50"/>
    <mergeCell ref="AC50:AC54"/>
    <mergeCell ref="C51:D51"/>
    <mergeCell ref="Y51:Z51"/>
    <mergeCell ref="C52:D52"/>
    <mergeCell ref="C54:D54"/>
    <mergeCell ref="Y54:Z54"/>
    <mergeCell ref="A42:A49"/>
    <mergeCell ref="C42:D42"/>
    <mergeCell ref="R42:R49"/>
    <mergeCell ref="Y42:Z42"/>
    <mergeCell ref="Y47:Z47"/>
    <mergeCell ref="C48:D48"/>
    <mergeCell ref="Y48:Z48"/>
    <mergeCell ref="C49:D49"/>
    <mergeCell ref="Y49:Z49"/>
    <mergeCell ref="A35:A41"/>
    <mergeCell ref="C35:D35"/>
    <mergeCell ref="R35:R41"/>
    <mergeCell ref="Y35:Z35"/>
    <mergeCell ref="C41:D41"/>
    <mergeCell ref="Y41:Z41"/>
    <mergeCell ref="A28:A34"/>
    <mergeCell ref="C28:D28"/>
    <mergeCell ref="R28:R34"/>
    <mergeCell ref="Y28:Z28"/>
    <mergeCell ref="Y33:Z33"/>
    <mergeCell ref="C34:D34"/>
    <mergeCell ref="AC35:AC41"/>
    <mergeCell ref="C36:D36"/>
    <mergeCell ref="Y36:Z36"/>
    <mergeCell ref="C37:D37"/>
    <mergeCell ref="Y37:Z37"/>
    <mergeCell ref="AC28:AC34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38:D38"/>
    <mergeCell ref="Y38:Z38"/>
    <mergeCell ref="C39:D39"/>
    <mergeCell ref="Y39:Z39"/>
    <mergeCell ref="C40:D40"/>
    <mergeCell ref="Y40:Z40"/>
    <mergeCell ref="Y34:Z34"/>
    <mergeCell ref="AC20:AC27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6:D26"/>
    <mergeCell ref="Y26:Z26"/>
    <mergeCell ref="C27:D27"/>
    <mergeCell ref="Y27:Z27"/>
    <mergeCell ref="A20:A27"/>
    <mergeCell ref="C20:D20"/>
    <mergeCell ref="R20:R27"/>
    <mergeCell ref="Y20:Z20"/>
    <mergeCell ref="Y25:Z25"/>
    <mergeCell ref="A14:A19"/>
    <mergeCell ref="C14:D14"/>
    <mergeCell ref="R14:R19"/>
    <mergeCell ref="Y14:Z1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8:O66 O5:O9 O13:O15 O49:O55 O19:O47">
    <cfRule type="cellIs" dxfId="1504" priority="44" operator="greaterThan">
      <formula>0</formula>
    </cfRule>
  </conditionalFormatting>
  <conditionalFormatting sqref="P5:P7 P58:P59 AA58:AA59 P61:P65 P28:P33 P55 P9 P13:P15 P20:P26 P50:P53 P35:P47 AA5:AA55 AA61:AA66">
    <cfRule type="cellIs" dxfId="1503" priority="48" operator="lessThan">
      <formula>0</formula>
    </cfRule>
  </conditionalFormatting>
  <conditionalFormatting sqref="AB58:AB59 Q58:Q66 Q5:Q9 Q13:Q15 Q49:Q55 Q19:Q47 AB5:AB55 AB61:AB66">
    <cfRule type="cellIs" dxfId="1502" priority="45" operator="greaterThan">
      <formula>1</formula>
    </cfRule>
    <cfRule type="cellIs" dxfId="1501" priority="46" operator="lessThan">
      <formula>0.8</formula>
    </cfRule>
  </conditionalFormatting>
  <conditionalFormatting sqref="AC14:AC15 R14:R15 AC58 R19:R25 AC19:AC25 R58:R66 AC5:AC9 R5:R9 R27:R47 AC27:AC47 AC49:AC55 R49:R55">
    <cfRule type="cellIs" dxfId="1500" priority="50" operator="lessThan">
      <formula>0.8</formula>
    </cfRule>
  </conditionalFormatting>
  <conditionalFormatting sqref="AC42">
    <cfRule type="cellIs" dxfId="1499" priority="52" operator="lessThan">
      <formula>0.8</formula>
    </cfRule>
  </conditionalFormatting>
  <conditionalFormatting sqref="AC20:AC25">
    <cfRule type="cellIs" dxfId="1498" priority="49" operator="lessThan">
      <formula>0.8</formula>
    </cfRule>
  </conditionalFormatting>
  <conditionalFormatting sqref="AC28">
    <cfRule type="cellIs" dxfId="1497" priority="51" operator="lessThan">
      <formula>0.8</formula>
    </cfRule>
  </conditionalFormatting>
  <conditionalFormatting sqref="AC35:AC40">
    <cfRule type="cellIs" dxfId="1496" priority="47" operator="lessThan">
      <formula>0.8</formula>
    </cfRule>
  </conditionalFormatting>
  <conditionalFormatting sqref="AA60">
    <cfRule type="cellIs" dxfId="1495" priority="43" operator="lessThan">
      <formula>0</formula>
    </cfRule>
  </conditionalFormatting>
  <conditionalFormatting sqref="AB60">
    <cfRule type="cellIs" dxfId="1494" priority="41" operator="greaterThan">
      <formula>1</formula>
    </cfRule>
    <cfRule type="cellIs" dxfId="1493" priority="42" operator="lessThan">
      <formula>0.8</formula>
    </cfRule>
  </conditionalFormatting>
  <conditionalFormatting sqref="O16:O17">
    <cfRule type="cellIs" dxfId="1492" priority="36" operator="greaterThan">
      <formula>0</formula>
    </cfRule>
  </conditionalFormatting>
  <conditionalFormatting sqref="P16:P17">
    <cfRule type="cellIs" dxfId="1491" priority="39" operator="lessThan">
      <formula>0</formula>
    </cfRule>
  </conditionalFormatting>
  <conditionalFormatting sqref="Q16:Q17">
    <cfRule type="cellIs" dxfId="1490" priority="37" operator="greaterThan">
      <formula>1</formula>
    </cfRule>
    <cfRule type="cellIs" dxfId="1489" priority="38" operator="lessThan">
      <formula>0.8</formula>
    </cfRule>
  </conditionalFormatting>
  <conditionalFormatting sqref="R16:R17 AC16:AC17">
    <cfRule type="cellIs" dxfId="1488" priority="40" operator="lessThan">
      <formula>0.8</formula>
    </cfRule>
  </conditionalFormatting>
  <conditionalFormatting sqref="O10:O12">
    <cfRule type="cellIs" dxfId="1487" priority="32" operator="greaterThan">
      <formula>0</formula>
    </cfRule>
  </conditionalFormatting>
  <conditionalFormatting sqref="P10:P12">
    <cfRule type="cellIs" dxfId="1486" priority="35" operator="lessThan">
      <formula>0</formula>
    </cfRule>
  </conditionalFormatting>
  <conditionalFormatting sqref="Q10:Q12">
    <cfRule type="cellIs" dxfId="1485" priority="33" operator="greaterThan">
      <formula>1</formula>
    </cfRule>
    <cfRule type="cellIs" dxfId="1484" priority="34" operator="lessThan">
      <formula>0.8</formula>
    </cfRule>
  </conditionalFormatting>
  <conditionalFormatting sqref="O57">
    <cfRule type="cellIs" dxfId="1483" priority="27" operator="greaterThan">
      <formula>0</formula>
    </cfRule>
  </conditionalFormatting>
  <conditionalFormatting sqref="P57 AA57">
    <cfRule type="cellIs" dxfId="1482" priority="30" operator="lessThan">
      <formula>0</formula>
    </cfRule>
  </conditionalFormatting>
  <conditionalFormatting sqref="Q57 AB57">
    <cfRule type="cellIs" dxfId="1481" priority="28" operator="greaterThan">
      <formula>1</formula>
    </cfRule>
    <cfRule type="cellIs" dxfId="1480" priority="29" operator="lessThan">
      <formula>0.8</formula>
    </cfRule>
  </conditionalFormatting>
  <conditionalFormatting sqref="R57 AC57">
    <cfRule type="cellIs" dxfId="1479" priority="31" operator="lessThan">
      <formula>0.8</formula>
    </cfRule>
  </conditionalFormatting>
  <conditionalFormatting sqref="O18">
    <cfRule type="cellIs" dxfId="1478" priority="22" operator="greaterThan">
      <formula>0</formula>
    </cfRule>
  </conditionalFormatting>
  <conditionalFormatting sqref="P18">
    <cfRule type="cellIs" dxfId="1477" priority="25" operator="lessThan">
      <formula>0</formula>
    </cfRule>
  </conditionalFormatting>
  <conditionalFormatting sqref="Q18">
    <cfRule type="cellIs" dxfId="1476" priority="23" operator="greaterThan">
      <formula>1</formula>
    </cfRule>
    <cfRule type="cellIs" dxfId="1475" priority="24" operator="lessThan">
      <formula>0.8</formula>
    </cfRule>
  </conditionalFormatting>
  <conditionalFormatting sqref="R18 AC18">
    <cfRule type="cellIs" dxfId="1474" priority="26" operator="lessThan">
      <formula>0.8</formula>
    </cfRule>
  </conditionalFormatting>
  <conditionalFormatting sqref="O48">
    <cfRule type="cellIs" dxfId="1473" priority="16" operator="greaterThan">
      <formula>0</formula>
    </cfRule>
  </conditionalFormatting>
  <conditionalFormatting sqref="P48">
    <cfRule type="cellIs" dxfId="1472" priority="20" operator="lessThan">
      <formula>0</formula>
    </cfRule>
  </conditionalFormatting>
  <conditionalFormatting sqref="Q48">
    <cfRule type="cellIs" dxfId="1471" priority="17" operator="greaterThan">
      <formula>1</formula>
    </cfRule>
    <cfRule type="cellIs" dxfId="1470" priority="18" operator="lessThan">
      <formula>0.8</formula>
    </cfRule>
  </conditionalFormatting>
  <conditionalFormatting sqref="R48 AC48">
    <cfRule type="cellIs" dxfId="1469" priority="21" operator="lessThan">
      <formula>0.8</formula>
    </cfRule>
  </conditionalFormatting>
  <conditionalFormatting sqref="AC48">
    <cfRule type="cellIs" dxfId="1468" priority="19" operator="lessThan">
      <formula>0.8</formula>
    </cfRule>
  </conditionalFormatting>
  <conditionalFormatting sqref="R26 AC26">
    <cfRule type="cellIs" dxfId="1467" priority="15" operator="lessThan">
      <formula>0.8</formula>
    </cfRule>
  </conditionalFormatting>
  <conditionalFormatting sqref="AC26">
    <cfRule type="cellIs" dxfId="1466" priority="14" operator="lessThan">
      <formula>0.8</formula>
    </cfRule>
  </conditionalFormatting>
  <conditionalFormatting sqref="O56">
    <cfRule type="cellIs" dxfId="1465" priority="9" operator="greaterThan">
      <formula>0</formula>
    </cfRule>
  </conditionalFormatting>
  <conditionalFormatting sqref="P56 AA56">
    <cfRule type="cellIs" dxfId="1464" priority="12" operator="lessThan">
      <formula>0</formula>
    </cfRule>
  </conditionalFormatting>
  <conditionalFormatting sqref="Q56 AB56">
    <cfRule type="cellIs" dxfId="1463" priority="10" operator="greaterThan">
      <formula>1</formula>
    </cfRule>
    <cfRule type="cellIs" dxfId="1462" priority="11" operator="lessThan">
      <formula>0.8</formula>
    </cfRule>
  </conditionalFormatting>
  <conditionalFormatting sqref="R56 AC56">
    <cfRule type="cellIs" dxfId="1461" priority="13" operator="lessThan">
      <formula>0.8</formula>
    </cfRule>
  </conditionalFormatting>
  <conditionalFormatting sqref="P8">
    <cfRule type="cellIs" dxfId="1460" priority="8" operator="lessThan">
      <formula>0</formula>
    </cfRule>
  </conditionalFormatting>
  <conditionalFormatting sqref="P19">
    <cfRule type="cellIs" dxfId="1459" priority="7" operator="lessThan">
      <formula>0</formula>
    </cfRule>
  </conditionalFormatting>
  <conditionalFormatting sqref="P27">
    <cfRule type="cellIs" dxfId="1458" priority="6" operator="lessThan">
      <formula>0</formula>
    </cfRule>
  </conditionalFormatting>
  <conditionalFormatting sqref="P34">
    <cfRule type="cellIs" dxfId="1457" priority="5" operator="lessThan">
      <formula>0</formula>
    </cfRule>
  </conditionalFormatting>
  <conditionalFormatting sqref="P49">
    <cfRule type="cellIs" dxfId="1456" priority="4" operator="lessThan">
      <formula>0</formula>
    </cfRule>
  </conditionalFormatting>
  <conditionalFormatting sqref="P54">
    <cfRule type="cellIs" dxfId="1455" priority="3" operator="lessThan">
      <formula>0</formula>
    </cfRule>
  </conditionalFormatting>
  <conditionalFormatting sqref="P60">
    <cfRule type="cellIs" dxfId="1454" priority="2" operator="lessThan">
      <formula>0</formula>
    </cfRule>
  </conditionalFormatting>
  <conditionalFormatting sqref="P66">
    <cfRule type="cellIs" dxfId="1453" priority="1" operator="lessThan">
      <formula>0</formula>
    </cfRule>
  </conditionalFormatting>
  <dataValidations count="1">
    <dataValidation type="list" allowBlank="1" showInputMessage="1" showErrorMessage="1" sqref="Z8 Z59 Y5:Z7 Y8:Y59 Z10:Z55 Y60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52" t="s">
        <v>166</v>
      </c>
      <c r="C3" s="421" t="str">
        <f>TEXT('0718 4度C'!A2,"yyyy.mm.ddaaaa")</f>
        <v>2025.07.18星期五</v>
      </c>
      <c r="D3" s="421"/>
      <c r="E3" s="252" t="s">
        <v>922</v>
      </c>
      <c r="F3" s="422">
        <f>'0718 4度C'!D1</f>
        <v>134316</v>
      </c>
      <c r="G3" s="422"/>
      <c r="H3" s="252" t="s">
        <v>90</v>
      </c>
      <c r="I3" s="423">
        <f>'0718 4度C'!F1</f>
        <v>4581728.1400000006</v>
      </c>
      <c r="J3" s="423"/>
      <c r="K3" s="31"/>
      <c r="L3" s="32"/>
      <c r="M3" s="33"/>
      <c r="N3" s="33"/>
    </row>
    <row r="4" spans="2:17" ht="28.5" customHeight="1">
      <c r="B4" s="424" t="s">
        <v>923</v>
      </c>
      <c r="C4" s="424" t="s">
        <v>128</v>
      </c>
      <c r="D4" s="424"/>
      <c r="E4" s="425" t="s">
        <v>92</v>
      </c>
      <c r="F4" s="425"/>
      <c r="G4" s="425" t="s">
        <v>924</v>
      </c>
      <c r="H4" s="425"/>
      <c r="I4" s="425" t="s">
        <v>925</v>
      </c>
      <c r="J4" s="425"/>
      <c r="L4" s="33"/>
      <c r="M4" s="33"/>
      <c r="N4" s="33"/>
    </row>
    <row r="5" spans="2:17" ht="28.5" customHeight="1">
      <c r="B5" s="424"/>
      <c r="C5" s="424" t="s">
        <v>173</v>
      </c>
      <c r="D5" s="424"/>
      <c r="E5" s="424" t="s">
        <v>130</v>
      </c>
      <c r="F5" s="424"/>
      <c r="G5" s="426" t="s">
        <v>926</v>
      </c>
      <c r="H5" s="426"/>
      <c r="I5" s="427" t="s">
        <v>176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140.57286092761814</v>
      </c>
      <c r="F6" s="424">
        <f>AVERAGE(D27:O27,D13:J13)</f>
        <v>143.51252071104605</v>
      </c>
      <c r="G6" s="429">
        <f>AVERAGE(D13:J13)</f>
        <v>143.51252071104605</v>
      </c>
      <c r="H6" s="429"/>
      <c r="I6" s="429">
        <f>AVERAGE(K13:M13)</f>
        <v>133.71365476628634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127.65297696770526</v>
      </c>
      <c r="F7" s="434">
        <f>AVERAGE(D28:O28,D14:J14)</f>
        <v>130.33532310932836</v>
      </c>
      <c r="G7" s="435">
        <f>AVERAGE(D14:J14)</f>
        <v>130.33532310932836</v>
      </c>
      <c r="H7" s="435"/>
      <c r="I7" s="435">
        <f>AVERAGE(K14:M14)</f>
        <v>121.39416930391808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0.9080910068606961</v>
      </c>
      <c r="F8" s="432">
        <f>AVERAGE(D15:J15,D29:O29)</f>
        <v>0.90818072897327951</v>
      </c>
      <c r="G8" s="437">
        <f>AVERAGE(D15:J15)</f>
        <v>0.90818072897327951</v>
      </c>
      <c r="H8" s="437"/>
      <c r="I8" s="437">
        <f>AVERAGE(K15:M15)</f>
        <v>0.90788165526466769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927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928</v>
      </c>
      <c r="L10" s="444"/>
      <c r="M10" s="445"/>
      <c r="P10" s="37"/>
      <c r="Q10" s="37"/>
    </row>
    <row r="11" spans="2:17" ht="17.25" customHeight="1">
      <c r="B11" s="431" t="s">
        <v>929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930</v>
      </c>
      <c r="E12" s="42" t="s">
        <v>86</v>
      </c>
      <c r="F12" s="42" t="s">
        <v>931</v>
      </c>
      <c r="G12" s="42" t="s">
        <v>932</v>
      </c>
      <c r="H12" s="42" t="s">
        <v>933</v>
      </c>
      <c r="I12" s="42" t="s">
        <v>934</v>
      </c>
      <c r="J12" s="43" t="s">
        <v>935</v>
      </c>
      <c r="K12" s="41" t="s">
        <v>936</v>
      </c>
      <c r="L12" s="42" t="s">
        <v>937</v>
      </c>
      <c r="M12" s="43" t="s">
        <v>938</v>
      </c>
    </row>
    <row r="13" spans="2:17" ht="40.15" customHeight="1">
      <c r="B13" s="447" t="s">
        <v>114</v>
      </c>
      <c r="C13" s="44" t="s">
        <v>939</v>
      </c>
      <c r="D13" s="45">
        <f>SUMIFS('0718 4度C'!$K:$K,'0718 4度C'!$A:$A,"燴飯線",'0718 4度C'!$B:$B,"平均")</f>
        <v>105.88235294117646</v>
      </c>
      <c r="E13" s="46">
        <f>SUMIFS('0718 4度C'!$K:$K,'0718 4度C'!$A:$A,"沙拉線一線",'0718 4度C'!$B:$B,"平均")</f>
        <v>81.081081081081081</v>
      </c>
      <c r="F13" s="47">
        <f>SUMIFS('0718 4度C'!$K:$K,'0718 4度C'!$A:$A,"沙拉線二線",'0718 4度C'!$B:$B,"平均")</f>
        <v>80.702127659574472</v>
      </c>
      <c r="G13" s="47">
        <f>SUMIFS('0718 4度C'!$K:$K,'0718 4度C'!$A:$A,"沙拉線三線",'0718 4度C'!$B:$B,"平均")</f>
        <v>103.44827586206895</v>
      </c>
      <c r="H13" s="47">
        <f>SUMIFS('0718 4度C'!$K:$K,'0718 4度C'!$A:$A,"自動包裝線",'0718 4度C'!$B:$B,"平均")</f>
        <v>300</v>
      </c>
      <c r="I13" s="47">
        <f>SUMIFS('0718 4度C'!$K:$K,'0718 4度C'!$A:$A,"涼麵一線",'0718 4度C'!$B:$B,"平均")</f>
        <v>89.552238805970148</v>
      </c>
      <c r="J13" s="48">
        <f>SUMIFS('0718 4度C'!$K:$K,'0718 4度C'!$A:$A,"三明治四線",'0718 4度C'!$B:$B,"平均")</f>
        <v>243.92156862745099</v>
      </c>
      <c r="K13" s="49">
        <f>SUMIFS('0718 4度C'!$K:$K,'0718 4度C'!$A:$A,"三明治一線",'0718 4度C'!$B:$B,"平均")</f>
        <v>138.46153846153848</v>
      </c>
      <c r="L13" s="50">
        <f>SUMIFS('0718 4度C'!$K:$K,'0718 4度C'!$A:$A,"三明治二線",'0718 4度C'!$B:$B,"平均")</f>
        <v>126.31578947368421</v>
      </c>
      <c r="M13" s="48">
        <f>SUMIFS('0718 4度C'!$K:$K,'0718 4度C'!$A:$A,"自動包裝二線",'0718 4度C'!$B:$B,"平均")</f>
        <v>136.36363636363635</v>
      </c>
    </row>
    <row r="14" spans="2:17" ht="39.6" customHeight="1">
      <c r="B14" s="447"/>
      <c r="C14" s="51" t="s">
        <v>940</v>
      </c>
      <c r="D14" s="52">
        <f>SUMIFS('0718 4度C'!$N:$N,'0718 4度C'!$A:$A,"燴飯線",'0718 4度C'!$B:$B,"平均")</f>
        <v>95.882718759145348</v>
      </c>
      <c r="E14" s="53">
        <f>SUMIFS('0718 4度C'!$N:$N,'0718 4度C'!$A:$A,"沙拉線一線",'0718 4度C'!$B:$B,"平均")</f>
        <v>73.432211756603223</v>
      </c>
      <c r="F14" s="53">
        <f>SUMIFS('0718 4度C'!$N:$N,'0718 4度C'!$A:$A,"沙拉線二線",'0718 4度C'!$B:$B,"平均")</f>
        <v>73.146437375605487</v>
      </c>
      <c r="G14" s="53">
        <f>SUMIFS('0718 4度C'!$N:$N,'0718 4度C'!$A:$A,"沙拉線三線",'0718 4度C'!$B:$B,"平均")</f>
        <v>94.822520079937931</v>
      </c>
      <c r="H14" s="53">
        <f>SUMIFS('0718 4度C'!$N:$N,'0718 4度C'!$A:$A,"自動包裝線",'0718 4度C'!$B:$B,"平均")</f>
        <v>272.20081537354974</v>
      </c>
      <c r="I14" s="53">
        <f>SUMIFS('0718 4度C'!$N:$N,'0718 4度C'!$A:$A,"涼麵一線",'0718 4度C'!$B:$B,"平均")</f>
        <v>81.233151047104727</v>
      </c>
      <c r="J14" s="54">
        <f>SUMIFS('0718 4度C'!$N:$N,'0718 4度C'!$A:$A,"三明治四線",'0718 4度C'!$B:$B,"平均")</f>
        <v>221.629407373352</v>
      </c>
      <c r="K14" s="55">
        <f>SUMIFS('0718 4度C'!$N:$N,'0718 4度C'!$A:$A,"三明治一線",'0718 4度C'!$B:$B,"平均")</f>
        <v>125.46966304097053</v>
      </c>
      <c r="L14" s="56">
        <f>SUMIFS('0718 4度C'!$N:$N,'0718 4度C'!$A:$A,"三明治二線",'0718 4度C'!$B:$B,"平均")</f>
        <v>114.71025390689906</v>
      </c>
      <c r="M14" s="54">
        <f>SUMIFS('0718 4度C'!$N:$N,'0718 4度C'!$A:$A,"自動包裝二線",'0718 4度C'!$B:$B,"平均")</f>
        <v>124.00259096388467</v>
      </c>
    </row>
    <row r="15" spans="2:17" ht="40.15" customHeight="1">
      <c r="B15" s="447"/>
      <c r="C15" s="57" t="s">
        <v>941</v>
      </c>
      <c r="D15" s="58">
        <f>D14/D13</f>
        <v>0.90555901050303944</v>
      </c>
      <c r="E15" s="59">
        <f t="shared" ref="E15:M15" si="0">E14/E13</f>
        <v>0.90566394499810643</v>
      </c>
      <c r="F15" s="59">
        <f t="shared" si="0"/>
        <v>0.90637557517887102</v>
      </c>
      <c r="G15" s="59">
        <f t="shared" si="0"/>
        <v>0.91661769410606675</v>
      </c>
      <c r="H15" s="59">
        <f>H14/H13</f>
        <v>0.90733605124516581</v>
      </c>
      <c r="I15" s="59">
        <f>I14/I13</f>
        <v>0.90710352002600281</v>
      </c>
      <c r="J15" s="60">
        <f>J14/J13</f>
        <v>0.90860930675570351</v>
      </c>
      <c r="K15" s="58">
        <f>K14/K13</f>
        <v>0.90616978862923148</v>
      </c>
      <c r="L15" s="59">
        <f>L14/L13</f>
        <v>0.90812284342961758</v>
      </c>
      <c r="M15" s="60">
        <f t="shared" si="0"/>
        <v>0.90935233373515434</v>
      </c>
    </row>
    <row r="16" spans="2:17" ht="17.25" customHeight="1">
      <c r="B16" s="430" t="s">
        <v>136</v>
      </c>
      <c r="C16" s="251" t="s">
        <v>103</v>
      </c>
      <c r="D16" s="61">
        <f>VLOOKUP("燴飯線",'0718 4度C'!$A:$T,19,0)</f>
        <v>0.70833333333333337</v>
      </c>
      <c r="E16" s="24">
        <f>VLOOKUP("沙拉線一線",'0718 4度C'!$A:$T,19,0)</f>
        <v>0.13055555555555556</v>
      </c>
      <c r="F16" s="24">
        <f>VLOOKUP("沙拉線二線",'0718 4度C'!$A:$T,19,0)</f>
        <v>0.25</v>
      </c>
      <c r="G16" s="24">
        <f>VLOOKUP("沙拉線三線",'0718 4度C'!$A:$T,19,0)</f>
        <v>0.20833333333333334</v>
      </c>
      <c r="H16" s="24">
        <f>VLOOKUP("自動包裝線",'0718 4度C'!$A:$T,19,0)</f>
        <v>0.20833333333333334</v>
      </c>
      <c r="I16" s="24">
        <f>VLOOKUP("涼麵一線",'0718 4度C'!$A:$T,19,0)</f>
        <v>0.29305555555555557</v>
      </c>
      <c r="J16" s="62">
        <f>VLOOKUP("三明治四線",'0718 4度C'!$A:$T,19,0)</f>
        <v>0.25069444444444444</v>
      </c>
      <c r="K16" s="63">
        <f>VLOOKUP("三明治一線",'0718 4度C'!$A:$T,19,0)</f>
        <v>0.125</v>
      </c>
      <c r="L16" s="64">
        <f>VLOOKUP("三明治二線",'0718 4度C'!$A:$T,19,0)</f>
        <v>8.3333333333333329E-2</v>
      </c>
      <c r="M16" s="65">
        <f>VLOOKUP("自動包裝二線",'0718 4度C'!$A:$T,19,0)</f>
        <v>0.125</v>
      </c>
    </row>
    <row r="17" spans="2:13" ht="17.25" customHeight="1">
      <c r="B17" s="431"/>
      <c r="C17" s="251" t="s">
        <v>137</v>
      </c>
      <c r="D17" s="63">
        <f>LOOKUP(2,1/(('0718 4度C'!$A:$A="燴飯線")*('0718 4度C'!$T:$T&lt;&gt;"")),'0718 4度C'!$T:$T)</f>
        <v>0.83819444444444458</v>
      </c>
      <c r="E17" s="24">
        <f>LOOKUP(2,1/(('0718 4度C'!$A:$A="沙拉線一線")*('0718 4度C'!$T:$T&lt;&gt;"")),'0718 4度C'!$T:$T)</f>
        <v>0.58472222222222214</v>
      </c>
      <c r="F17" s="24">
        <f>LOOKUP(2,1/(('0718 4度C'!$A:$A="沙拉線二線")*('0718 4度C'!$T:$T&lt;&gt;"")),'0718 4度C'!$T:$T)</f>
        <v>0.8208333333333333</v>
      </c>
      <c r="G17" s="24">
        <f>LOOKUP(2,1/(('0718 4度C'!$A:$A="沙拉線三線")*('0718 4度C'!$T:$T&lt;&gt;"")),'0718 4度C'!$T:$T)</f>
        <v>0.78819444444444442</v>
      </c>
      <c r="H17" s="24">
        <f>LOOKUP(2,1/(('0718 4度C'!$A:$A="自動包裝線")*('0718 4度C'!$T:$T&lt;&gt;"")),'0718 4度C'!$T:$T)</f>
        <v>0.58333333333333326</v>
      </c>
      <c r="I17" s="24">
        <f>LOOKUP(2,1/(('0718 4度C'!$A:$A="涼麵一線")*('0718 4度C'!$T:$T&lt;&gt;"")),'0718 4度C'!$T:$T)</f>
        <v>0.80694444444444446</v>
      </c>
      <c r="J17" s="62">
        <f>LOOKUP(2,1/(('0718 4度C'!$A:$A="三明治四線")*('0718 4度C'!$T:$T&lt;&gt;"")),'0718 4度C'!$T:$T)</f>
        <v>0.46319444444444441</v>
      </c>
      <c r="K17" s="61">
        <f>LOOKUP(2,1/(('0718 4度C'!$A:$A="三明治一線")*('0718 4度C'!$T:$T&lt;&gt;"")),'0718 4度C'!$T:$T)</f>
        <v>0.57708333333333317</v>
      </c>
      <c r="L17" s="24">
        <f>LOOKUP(2,1/(('0718 4度C'!$A:$A="三明治二線")*('0718 4度C'!$T:$T&lt;&gt;"")),'0718 4度C'!$T:$T)</f>
        <v>0.4861111111111111</v>
      </c>
      <c r="M17" s="62">
        <f>LOOKUP(2,1/(('0718 4度C'!$A:$A="自動包裝二線")*('0718 4度C'!$T:$T&lt;&gt;"")),'0718 4度C'!$T:$T)</f>
        <v>0.50694444444444442</v>
      </c>
    </row>
    <row r="18" spans="2:13" ht="17.25" customHeight="1">
      <c r="B18" s="431" t="s">
        <v>138</v>
      </c>
      <c r="C18" s="446"/>
      <c r="D18" s="66">
        <f>SUMIFS('0718 4度C'!$I:$I,'0718 4度C'!$A:$A,"燴飯線",'0718 4度C'!$B:$B,"平均")</f>
        <v>17</v>
      </c>
      <c r="E18" s="67">
        <f>SUMIFS('0718 4度C'!$I:$I,'0718 4度C'!$A:$A,"沙拉線一線",'0718 4度C'!$B:$B,"平均")</f>
        <v>18.5</v>
      </c>
      <c r="F18" s="67">
        <f>SUMIFS('0718 4度C'!$I:$I,'0718 4度C'!$A:$A,"沙拉線二線",'0718 4度C'!$B:$B,"平均")</f>
        <v>18.8</v>
      </c>
      <c r="G18" s="67">
        <f>SUMIFS('0718 4度C'!$I:$I,'0718 4度C'!$A:$A,"沙拉線三線",'0718 4度C'!$B:$B,"平均")</f>
        <v>16.571428571428573</v>
      </c>
      <c r="H18" s="67">
        <f>SUMIFS('0718 4度C'!$I:$I,'0718 4度C'!$A:$A,"自動包裝線",'0718 4度C'!$B:$B,"平均")</f>
        <v>10</v>
      </c>
      <c r="I18" s="67">
        <f>SUMIFS('0718 4度C'!$I:$I,'0718 4度C'!$A:$A,"涼麵一線",'0718 4度C'!$B:$B,"平均")</f>
        <v>16.75</v>
      </c>
      <c r="J18" s="68">
        <f>SUMIFS('0718 4度C'!$I:$I,'0718 4度C'!$A:$A,"三明治四線",'0718 4度C'!$B:$B,"平均")</f>
        <v>10.199999999999999</v>
      </c>
      <c r="K18" s="66">
        <f>SUMIFS('0718 4度C'!$I:$I,'0718 4度C'!$A:$A,"三明治一線",'0718 4度C'!$B:$B,"平均")</f>
        <v>17.333333333333332</v>
      </c>
      <c r="L18" s="67">
        <f>SUMIFS('0718 4度C'!$I:$I,'0718 4度C'!$A:$A,"三明治二線",'0718 4度C'!$B:$B,"平均")</f>
        <v>19</v>
      </c>
      <c r="M18" s="68">
        <f>SUMIFS('0718 4度C'!$I:$I,'0718 4度C'!$A:$A,"自動包裝二線",'0718 4度C'!$B:$B,"平均")</f>
        <v>17.600000000000001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942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142</v>
      </c>
      <c r="G21" s="453"/>
      <c r="H21" s="73" t="s">
        <v>202</v>
      </c>
      <c r="I21" s="73" t="s">
        <v>943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45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944</v>
      </c>
      <c r="B1" s="1"/>
      <c r="C1" s="2" t="s">
        <v>945</v>
      </c>
      <c r="D1" s="3">
        <f>SUM(F5:F66)</f>
        <v>134316</v>
      </c>
      <c r="E1" s="258" t="s">
        <v>946</v>
      </c>
      <c r="F1" s="1">
        <f>SUM(G5:G66)</f>
        <v>4581728.1400000006</v>
      </c>
      <c r="G1" s="1" t="s">
        <v>947</v>
      </c>
      <c r="H1" s="4">
        <f>L8+L13+L49+L54+L19+L60+L34+L41+L27+L66</f>
        <v>161.75476190476189</v>
      </c>
      <c r="I1" s="454" t="s">
        <v>948</v>
      </c>
      <c r="J1" s="454"/>
      <c r="K1" s="454"/>
      <c r="L1" s="454" t="s">
        <v>949</v>
      </c>
      <c r="M1" s="454"/>
      <c r="N1" s="454"/>
      <c r="O1" s="454" t="s">
        <v>950</v>
      </c>
      <c r="P1" s="454"/>
      <c r="Q1" s="454"/>
      <c r="R1" s="454"/>
      <c r="S1" s="454" t="s">
        <v>951</v>
      </c>
      <c r="T1" s="454"/>
      <c r="U1" s="454"/>
      <c r="V1" s="454"/>
      <c r="W1" s="454"/>
      <c r="X1" s="454"/>
      <c r="Y1" s="454" t="s">
        <v>952</v>
      </c>
      <c r="Z1" s="454"/>
      <c r="AA1" s="454" t="s">
        <v>953</v>
      </c>
      <c r="AB1" s="455"/>
      <c r="AC1" s="455"/>
    </row>
    <row r="2" spans="1:29" ht="26.25" customHeight="1">
      <c r="A2" s="22">
        <v>45856</v>
      </c>
      <c r="B2" s="23" t="s">
        <v>303</v>
      </c>
      <c r="C2" s="2" t="s">
        <v>954</v>
      </c>
      <c r="D2" s="6">
        <f>AVERAGE(N8,N13,N49,N54,N19,N60,N27,N34,N41,N66)</f>
        <v>127.65297696770526</v>
      </c>
      <c r="E2" s="7" t="s">
        <v>0</v>
      </c>
      <c r="F2" s="8">
        <f>F1/D1</f>
        <v>34.111558861193011</v>
      </c>
      <c r="G2" s="1" t="s">
        <v>955</v>
      </c>
      <c r="H2" s="264">
        <f>COUNT(H5:H66)</f>
        <v>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956</v>
      </c>
      <c r="B3" s="456" t="s">
        <v>957</v>
      </c>
      <c r="C3" s="456" t="s">
        <v>958</v>
      </c>
      <c r="D3" s="456"/>
      <c r="E3" s="457" t="s">
        <v>959</v>
      </c>
      <c r="F3" s="456" t="s">
        <v>960</v>
      </c>
      <c r="G3" s="457" t="s">
        <v>961</v>
      </c>
      <c r="H3" s="463" t="s">
        <v>962</v>
      </c>
      <c r="I3" s="464" t="s">
        <v>963</v>
      </c>
      <c r="J3" s="465" t="s">
        <v>964</v>
      </c>
      <c r="K3" s="459" t="s">
        <v>954</v>
      </c>
      <c r="L3" s="464" t="s">
        <v>963</v>
      </c>
      <c r="M3" s="465" t="s">
        <v>964</v>
      </c>
      <c r="N3" s="459" t="s">
        <v>954</v>
      </c>
      <c r="O3" s="464" t="s">
        <v>963</v>
      </c>
      <c r="P3" s="459" t="s">
        <v>954</v>
      </c>
      <c r="Q3" s="460" t="s">
        <v>965</v>
      </c>
      <c r="R3" s="461" t="s">
        <v>966</v>
      </c>
      <c r="S3" s="462" t="s">
        <v>1</v>
      </c>
      <c r="T3" s="462"/>
      <c r="U3" s="463" t="s">
        <v>2</v>
      </c>
      <c r="V3" s="463" t="s">
        <v>967</v>
      </c>
      <c r="W3" s="456" t="s">
        <v>968</v>
      </c>
      <c r="X3" s="456"/>
      <c r="Y3" s="475" t="s">
        <v>969</v>
      </c>
      <c r="Z3" s="476"/>
      <c r="AA3" s="465" t="s">
        <v>964</v>
      </c>
      <c r="AB3" s="460" t="s">
        <v>965</v>
      </c>
      <c r="AC3" s="461" t="s">
        <v>966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63" t="s">
        <v>3</v>
      </c>
      <c r="T4" s="263" t="s">
        <v>4</v>
      </c>
      <c r="U4" s="463"/>
      <c r="V4" s="463"/>
      <c r="W4" s="258" t="s">
        <v>970</v>
      </c>
      <c r="X4" s="258" t="s">
        <v>971</v>
      </c>
      <c r="Y4" s="476"/>
      <c r="Z4" s="476"/>
      <c r="AA4" s="465"/>
      <c r="AB4" s="460"/>
      <c r="AC4" s="461"/>
    </row>
    <row r="5" spans="1:29">
      <c r="A5" s="471" t="s">
        <v>972</v>
      </c>
      <c r="B5" s="26" t="s">
        <v>13</v>
      </c>
      <c r="C5" s="472" t="s">
        <v>58</v>
      </c>
      <c r="D5" s="472"/>
      <c r="E5" s="26">
        <v>46.93</v>
      </c>
      <c r="F5" s="263">
        <v>866</v>
      </c>
      <c r="G5" s="258">
        <f>E5*F5</f>
        <v>40641.379999999997</v>
      </c>
      <c r="H5" s="76" t="s">
        <v>57</v>
      </c>
      <c r="I5" s="261">
        <v>17</v>
      </c>
      <c r="J5" s="18">
        <v>1800</v>
      </c>
      <c r="K5" s="9">
        <f>J5/I5</f>
        <v>105.88235294117646</v>
      </c>
      <c r="L5" s="261">
        <v>17</v>
      </c>
      <c r="M5" s="10">
        <f>F5/V5*60</f>
        <v>1623.749999999998</v>
      </c>
      <c r="N5" s="9">
        <f>M5/L5</f>
        <v>95.514705882352814</v>
      </c>
      <c r="O5" s="11">
        <f t="shared" ref="O5:O7" si="0">L5-I5</f>
        <v>0</v>
      </c>
      <c r="P5" s="12">
        <f t="shared" ref="P5:P7" si="1">N5-K5</f>
        <v>-10.36764705882365</v>
      </c>
      <c r="Q5" s="259">
        <f>N5/K5</f>
        <v>0.90208333333333224</v>
      </c>
      <c r="R5" s="470">
        <f>Q8</f>
        <v>0.90555901050303944</v>
      </c>
      <c r="S5" s="24">
        <v>0.70833333333333337</v>
      </c>
      <c r="T5" s="24">
        <v>0.73055555555555562</v>
      </c>
      <c r="U5" s="258"/>
      <c r="V5" s="262">
        <f>(T5-S5)*24*60</f>
        <v>32.000000000000043</v>
      </c>
      <c r="W5" s="13"/>
      <c r="X5" s="13"/>
      <c r="Y5" s="456"/>
      <c r="Z5" s="456"/>
      <c r="AA5" s="11">
        <f t="shared" ref="AA5:AA66" si="2">M5-J5</f>
        <v>-176.25000000000205</v>
      </c>
      <c r="AB5" s="259">
        <f t="shared" ref="AB5:AB7" si="3">M5/J5</f>
        <v>0.90208333333333224</v>
      </c>
      <c r="AC5" s="470">
        <f>AB8</f>
        <v>0.90555901050303933</v>
      </c>
    </row>
    <row r="6" spans="1:29">
      <c r="A6" s="464" t="s">
        <v>972</v>
      </c>
      <c r="B6" s="26" t="s">
        <v>13</v>
      </c>
      <c r="C6" s="472" t="s">
        <v>60</v>
      </c>
      <c r="D6" s="472"/>
      <c r="E6" s="26">
        <v>50.49</v>
      </c>
      <c r="F6" s="263">
        <v>1816</v>
      </c>
      <c r="G6" s="258">
        <f t="shared" ref="G6:G7" si="4">E6*F6</f>
        <v>91689.84</v>
      </c>
      <c r="H6" s="76" t="s">
        <v>57</v>
      </c>
      <c r="I6" s="261">
        <v>16</v>
      </c>
      <c r="J6" s="18">
        <v>1800</v>
      </c>
      <c r="K6" s="9">
        <f t="shared" ref="K6:K7" si="5">J6/I6</f>
        <v>112.5</v>
      </c>
      <c r="L6" s="261">
        <v>16</v>
      </c>
      <c r="M6" s="10">
        <f>F6/V6*60</f>
        <v>1626.268656716416</v>
      </c>
      <c r="N6" s="9">
        <f t="shared" ref="N6:N7" si="6">M6/L6</f>
        <v>101.641791044776</v>
      </c>
      <c r="O6" s="11">
        <f t="shared" si="0"/>
        <v>0</v>
      </c>
      <c r="P6" s="12">
        <f t="shared" si="1"/>
        <v>-10.858208955224001</v>
      </c>
      <c r="Q6" s="259">
        <f t="shared" ref="Q6:Q7" si="7">N6/K6</f>
        <v>0.90348258706467555</v>
      </c>
      <c r="R6" s="470"/>
      <c r="S6" s="24">
        <v>0.73402777777777783</v>
      </c>
      <c r="T6" s="24">
        <v>0.78055555555555567</v>
      </c>
      <c r="U6" s="258">
        <f>(S6-T5)*24*60</f>
        <v>4.9999999999999822</v>
      </c>
      <c r="V6" s="262">
        <f>(T6-S6)*24*60</f>
        <v>67.000000000000085</v>
      </c>
      <c r="W6" s="14"/>
      <c r="X6" s="14"/>
      <c r="Y6" s="456"/>
      <c r="Z6" s="456"/>
      <c r="AA6" s="11">
        <f t="shared" si="2"/>
        <v>-173.73134328358401</v>
      </c>
      <c r="AB6" s="259">
        <f t="shared" si="3"/>
        <v>0.90348258706467555</v>
      </c>
      <c r="AC6" s="470"/>
    </row>
    <row r="7" spans="1:29">
      <c r="A7" s="464" t="s">
        <v>972</v>
      </c>
      <c r="B7" s="26" t="s">
        <v>13</v>
      </c>
      <c r="C7" s="468" t="s">
        <v>448</v>
      </c>
      <c r="D7" s="469"/>
      <c r="E7" s="26">
        <v>50.67</v>
      </c>
      <c r="F7" s="263">
        <v>2132</v>
      </c>
      <c r="G7" s="258">
        <f t="shared" si="4"/>
        <v>108028.44</v>
      </c>
      <c r="H7" s="76" t="s">
        <v>57</v>
      </c>
      <c r="I7" s="261">
        <v>18</v>
      </c>
      <c r="J7" s="18">
        <v>1800</v>
      </c>
      <c r="K7" s="9">
        <f t="shared" si="5"/>
        <v>100</v>
      </c>
      <c r="L7" s="261">
        <v>18</v>
      </c>
      <c r="M7" s="10">
        <f t="shared" ref="M7" si="8">F7/V7*60</f>
        <v>1639.9999999999991</v>
      </c>
      <c r="N7" s="9">
        <f t="shared" si="6"/>
        <v>91.111111111111057</v>
      </c>
      <c r="O7" s="11">
        <f t="shared" si="0"/>
        <v>0</v>
      </c>
      <c r="P7" s="12">
        <f t="shared" si="1"/>
        <v>-8.8888888888889426</v>
      </c>
      <c r="Q7" s="259">
        <f t="shared" si="7"/>
        <v>0.91111111111111054</v>
      </c>
      <c r="R7" s="470"/>
      <c r="S7" s="24">
        <v>0.78402777777777788</v>
      </c>
      <c r="T7" s="24">
        <v>0.83819444444444458</v>
      </c>
      <c r="U7" s="258">
        <f t="shared" ref="U7" si="9">(S7-T6)*24*60</f>
        <v>4.9999999999999822</v>
      </c>
      <c r="V7" s="262">
        <f t="shared" ref="V7" si="10">(T7-S7)*24*60</f>
        <v>78.000000000000043</v>
      </c>
      <c r="W7" s="14"/>
      <c r="X7" s="14"/>
      <c r="Y7" s="473"/>
      <c r="Z7" s="474"/>
      <c r="AA7" s="11">
        <f t="shared" si="2"/>
        <v>-160.00000000000091</v>
      </c>
      <c r="AB7" s="259">
        <f t="shared" si="3"/>
        <v>0.91111111111111065</v>
      </c>
      <c r="AC7" s="470"/>
    </row>
    <row r="8" spans="1:29">
      <c r="A8" s="464" t="s">
        <v>972</v>
      </c>
      <c r="B8" s="26" t="s">
        <v>973</v>
      </c>
      <c r="C8" s="466"/>
      <c r="D8" s="466"/>
      <c r="E8" s="257"/>
      <c r="F8" s="16"/>
      <c r="G8" s="9"/>
      <c r="H8" s="26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1630.0062189054709</v>
      </c>
      <c r="N8" s="9">
        <f>M8/L8</f>
        <v>95.882718759145348</v>
      </c>
      <c r="O8" s="11">
        <f>L8-I8</f>
        <v>0</v>
      </c>
      <c r="P8" s="12">
        <f>N8-K8</f>
        <v>-9.9996341820311159</v>
      </c>
      <c r="Q8" s="259">
        <f>N8/K8</f>
        <v>0.90555901050303944</v>
      </c>
      <c r="R8" s="470"/>
      <c r="S8" s="24"/>
      <c r="T8" s="24"/>
      <c r="U8" s="258"/>
      <c r="V8" s="262"/>
      <c r="W8" s="9"/>
      <c r="X8" s="9"/>
      <c r="Y8" s="456"/>
      <c r="Z8" s="456"/>
      <c r="AA8" s="11">
        <f t="shared" si="2"/>
        <v>-169.99378109452914</v>
      </c>
      <c r="AB8" s="259">
        <f>M8/J8</f>
        <v>0.90555901050303933</v>
      </c>
      <c r="AC8" s="470"/>
    </row>
    <row r="9" spans="1:29" ht="15.75" customHeight="1">
      <c r="A9" s="467" t="s">
        <v>974</v>
      </c>
      <c r="B9" s="26" t="s">
        <v>15</v>
      </c>
      <c r="C9" s="468" t="s">
        <v>16</v>
      </c>
      <c r="D9" s="469"/>
      <c r="E9" s="26">
        <v>39.619999999999997</v>
      </c>
      <c r="F9" s="263">
        <v>3774</v>
      </c>
      <c r="G9" s="258">
        <f t="shared" ref="G9:G12" si="11">E9*F9</f>
        <v>149525.88</v>
      </c>
      <c r="H9" s="76" t="s">
        <v>57</v>
      </c>
      <c r="I9" s="261">
        <v>19</v>
      </c>
      <c r="J9" s="18">
        <v>1500</v>
      </c>
      <c r="K9" s="9">
        <f t="shared" ref="K9:K12" si="12">J9/I9</f>
        <v>78.94736842105263</v>
      </c>
      <c r="L9" s="261">
        <v>19</v>
      </c>
      <c r="M9" s="10">
        <f t="shared" ref="M9:M12" si="13">F9/V9*60</f>
        <v>1355.9281437125749</v>
      </c>
      <c r="N9" s="9">
        <f t="shared" ref="N9:N12" si="14">M9/L9</f>
        <v>71.364639142767103</v>
      </c>
      <c r="O9" s="11">
        <f t="shared" ref="O9:O12" si="15">L9-I9</f>
        <v>0</v>
      </c>
      <c r="P9" s="12">
        <f>N9-K9</f>
        <v>-7.5827292782855267</v>
      </c>
      <c r="Q9" s="259">
        <f>N9/K9</f>
        <v>0.90395209580838332</v>
      </c>
      <c r="R9" s="470">
        <f>Q13</f>
        <v>0.90566394499810643</v>
      </c>
      <c r="S9" s="24">
        <v>0.13055555555555556</v>
      </c>
      <c r="T9" s="24">
        <v>0.24652777777777779</v>
      </c>
      <c r="U9" s="258"/>
      <c r="V9" s="262">
        <f t="shared" ref="V9:V12" si="16">(T9-S9)*24*60</f>
        <v>167</v>
      </c>
      <c r="W9" s="9"/>
      <c r="X9" s="9"/>
      <c r="Y9" s="456"/>
      <c r="Z9" s="456"/>
      <c r="AA9" s="11">
        <f t="shared" si="2"/>
        <v>-144.07185628742513</v>
      </c>
      <c r="AB9" s="259">
        <f>M9/J9</f>
        <v>0.9039520958083832</v>
      </c>
      <c r="AC9" s="470">
        <f>AB13</f>
        <v>0.90566394499810632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63">
        <v>3000</v>
      </c>
      <c r="G10" s="258">
        <f t="shared" si="11"/>
        <v>119399.99999999999</v>
      </c>
      <c r="H10" s="76">
        <v>2</v>
      </c>
      <c r="I10" s="261">
        <v>18</v>
      </c>
      <c r="J10" s="18">
        <v>1500</v>
      </c>
      <c r="K10" s="9">
        <f t="shared" si="12"/>
        <v>83.333333333333329</v>
      </c>
      <c r="L10" s="261">
        <v>18</v>
      </c>
      <c r="M10" s="10">
        <f t="shared" si="13"/>
        <v>1353.3834586466166</v>
      </c>
      <c r="N10" s="9">
        <f t="shared" si="14"/>
        <v>75.187969924812037</v>
      </c>
      <c r="O10" s="11">
        <f t="shared" si="15"/>
        <v>0</v>
      </c>
      <c r="P10" s="12">
        <f t="shared" ref="P10:P12" si="17">N10-K10</f>
        <v>-8.1453634085212911</v>
      </c>
      <c r="Q10" s="259">
        <f t="shared" ref="Q10:Q12" si="18">N10/K10</f>
        <v>0.90225563909774453</v>
      </c>
      <c r="R10" s="470"/>
      <c r="S10" s="24">
        <v>0.26944444444444443</v>
      </c>
      <c r="T10" s="24">
        <v>0.36180555555555555</v>
      </c>
      <c r="U10" s="258">
        <f>(S10-T9)*24*60</f>
        <v>32.999999999999964</v>
      </c>
      <c r="V10" s="262">
        <f t="shared" si="16"/>
        <v>133</v>
      </c>
      <c r="W10" s="14"/>
      <c r="X10" s="14"/>
      <c r="Y10" s="456"/>
      <c r="Z10" s="456"/>
      <c r="AA10" s="11">
        <f t="shared" si="2"/>
        <v>-146.61654135338335</v>
      </c>
      <c r="AB10" s="259">
        <f t="shared" ref="AB10:AB27" si="19">M10/J10</f>
        <v>0.90225563909774442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63">
        <v>3780</v>
      </c>
      <c r="G11" s="258">
        <f t="shared" si="11"/>
        <v>148516.19999999998</v>
      </c>
      <c r="H11" s="76" t="s">
        <v>57</v>
      </c>
      <c r="I11" s="261">
        <v>19</v>
      </c>
      <c r="J11" s="18">
        <v>1500</v>
      </c>
      <c r="K11" s="9">
        <f t="shared" si="12"/>
        <v>78.94736842105263</v>
      </c>
      <c r="L11" s="261">
        <v>19</v>
      </c>
      <c r="M11" s="10">
        <f t="shared" si="13"/>
        <v>1358.0838323353296</v>
      </c>
      <c r="N11" s="9">
        <f t="shared" si="14"/>
        <v>71.478096438701556</v>
      </c>
      <c r="O11" s="11">
        <f t="shared" si="15"/>
        <v>0</v>
      </c>
      <c r="P11" s="12">
        <f t="shared" si="17"/>
        <v>-7.4692719823510743</v>
      </c>
      <c r="Q11" s="259">
        <f t="shared" si="18"/>
        <v>0.90538922155688639</v>
      </c>
      <c r="R11" s="470"/>
      <c r="S11" s="24">
        <v>0.37083333333333329</v>
      </c>
      <c r="T11" s="24">
        <v>0.48680555555555549</v>
      </c>
      <c r="U11" s="258">
        <f t="shared" ref="U11:U12" si="20">(S11-T10)*24*60</f>
        <v>12.999999999999954</v>
      </c>
      <c r="V11" s="262">
        <f t="shared" si="16"/>
        <v>166.99999999999997</v>
      </c>
      <c r="W11" s="14"/>
      <c r="X11" s="14"/>
      <c r="Y11" s="456"/>
      <c r="Z11" s="456"/>
      <c r="AA11" s="11">
        <f t="shared" si="2"/>
        <v>-141.91616766467041</v>
      </c>
      <c r="AB11" s="259">
        <f t="shared" si="19"/>
        <v>0.90538922155688639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63">
        <v>1936</v>
      </c>
      <c r="G12" s="258">
        <f t="shared" si="11"/>
        <v>77052.799999999988</v>
      </c>
      <c r="H12" s="76" t="s">
        <v>57</v>
      </c>
      <c r="I12" s="261">
        <v>18</v>
      </c>
      <c r="J12" s="18">
        <v>1500</v>
      </c>
      <c r="K12" s="9">
        <f t="shared" si="12"/>
        <v>83.333333333333329</v>
      </c>
      <c r="L12" s="261">
        <v>18</v>
      </c>
      <c r="M12" s="10">
        <f t="shared" si="13"/>
        <v>1366.5882352941176</v>
      </c>
      <c r="N12" s="9">
        <f t="shared" si="14"/>
        <v>75.921568627450981</v>
      </c>
      <c r="O12" s="11">
        <f t="shared" si="15"/>
        <v>0</v>
      </c>
      <c r="P12" s="12">
        <f t="shared" si="17"/>
        <v>-7.4117647058823479</v>
      </c>
      <c r="Q12" s="259">
        <f t="shared" si="18"/>
        <v>0.91105882352941181</v>
      </c>
      <c r="R12" s="470"/>
      <c r="S12" s="24">
        <v>0.52569444444444435</v>
      </c>
      <c r="T12" s="24">
        <v>0.58472222222222214</v>
      </c>
      <c r="U12" s="258">
        <f t="shared" si="20"/>
        <v>55.999999999999957</v>
      </c>
      <c r="V12" s="262">
        <f t="shared" si="16"/>
        <v>85.000000000000014</v>
      </c>
      <c r="W12" s="14"/>
      <c r="X12" s="14"/>
      <c r="Y12" s="456"/>
      <c r="Z12" s="456"/>
      <c r="AA12" s="11">
        <f t="shared" si="2"/>
        <v>-133.41176470588243</v>
      </c>
      <c r="AB12" s="259">
        <f t="shared" si="19"/>
        <v>0.9110588235294117</v>
      </c>
      <c r="AC12" s="470"/>
    </row>
    <row r="13" spans="1:29" ht="16.5" customHeight="1">
      <c r="A13" s="467" t="s">
        <v>5</v>
      </c>
      <c r="B13" s="26" t="s">
        <v>973</v>
      </c>
      <c r="C13" s="466"/>
      <c r="D13" s="466"/>
      <c r="E13" s="257"/>
      <c r="F13" s="18"/>
      <c r="G13" s="10"/>
      <c r="H13" s="263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1358.4959174971596</v>
      </c>
      <c r="N13" s="9">
        <f>M13/L13</f>
        <v>73.432211756603223</v>
      </c>
      <c r="O13" s="11">
        <f>L13-I13</f>
        <v>0</v>
      </c>
      <c r="P13" s="12">
        <f>N13-K13</f>
        <v>-7.6488693244778574</v>
      </c>
      <c r="Q13" s="259">
        <f>N13/K13</f>
        <v>0.90566394499810643</v>
      </c>
      <c r="R13" s="470"/>
      <c r="S13" s="24"/>
      <c r="T13" s="24"/>
      <c r="U13" s="9"/>
      <c r="V13" s="262"/>
      <c r="W13" s="9"/>
      <c r="X13" s="9"/>
      <c r="Y13" s="456"/>
      <c r="Z13" s="456"/>
      <c r="AA13" s="11">
        <f t="shared" si="2"/>
        <v>-141.50408250284045</v>
      </c>
      <c r="AB13" s="259">
        <f t="shared" si="19"/>
        <v>0.90566394499810632</v>
      </c>
      <c r="AC13" s="470"/>
    </row>
    <row r="14" spans="1:29" ht="16.5" customHeight="1">
      <c r="A14" s="480" t="s">
        <v>975</v>
      </c>
      <c r="B14" s="263" t="s">
        <v>18</v>
      </c>
      <c r="C14" s="477" t="s">
        <v>19</v>
      </c>
      <c r="D14" s="477"/>
      <c r="E14" s="26">
        <v>41</v>
      </c>
      <c r="F14" s="263">
        <v>1580</v>
      </c>
      <c r="G14" s="258">
        <f t="shared" ref="G14:G18" si="21">E14*F14</f>
        <v>64780</v>
      </c>
      <c r="H14" s="76" t="s">
        <v>57</v>
      </c>
      <c r="I14" s="261">
        <v>26</v>
      </c>
      <c r="J14" s="18">
        <v>1286</v>
      </c>
      <c r="K14" s="9">
        <f>J14/I14</f>
        <v>49.46153846153846</v>
      </c>
      <c r="L14" s="261">
        <v>26</v>
      </c>
      <c r="M14" s="10">
        <f>F14/V14*60</f>
        <v>1170.37037037037</v>
      </c>
      <c r="N14" s="9">
        <f t="shared" ref="N14:N26" si="22">M14/L14</f>
        <v>45.014245014244999</v>
      </c>
      <c r="O14" s="11">
        <f t="shared" ref="O14" si="23">L14-I14</f>
        <v>0</v>
      </c>
      <c r="P14" s="12">
        <f t="shared" ref="P14" si="24">N14-K14</f>
        <v>-4.4472934472934611</v>
      </c>
      <c r="Q14" s="259">
        <f>N14/K14</f>
        <v>0.91008582454927678</v>
      </c>
      <c r="R14" s="470">
        <f>Q19</f>
        <v>0.90637557517887102</v>
      </c>
      <c r="S14" s="24">
        <v>0.25</v>
      </c>
      <c r="T14" s="24">
        <v>0.30625000000000002</v>
      </c>
      <c r="U14" s="258"/>
      <c r="V14" s="262">
        <f>(T14-S14)*24*60</f>
        <v>81.000000000000028</v>
      </c>
      <c r="W14" s="15"/>
      <c r="X14" s="15"/>
      <c r="Y14" s="456"/>
      <c r="Z14" s="456"/>
      <c r="AA14" s="11">
        <f t="shared" si="2"/>
        <v>-115.62962962963002</v>
      </c>
      <c r="AB14" s="259">
        <f t="shared" si="19"/>
        <v>0.91008582454927678</v>
      </c>
      <c r="AC14" s="470">
        <f>AB19</f>
        <v>0.90637557517887102</v>
      </c>
    </row>
    <row r="15" spans="1:29" ht="16.5" customHeight="1">
      <c r="A15" s="481" t="s">
        <v>6</v>
      </c>
      <c r="B15" s="263" t="s">
        <v>15</v>
      </c>
      <c r="C15" s="477" t="s">
        <v>68</v>
      </c>
      <c r="D15" s="477"/>
      <c r="E15" s="26">
        <v>39.29</v>
      </c>
      <c r="F15" s="263">
        <v>1809</v>
      </c>
      <c r="G15" s="258">
        <f t="shared" si="21"/>
        <v>71075.61</v>
      </c>
      <c r="H15" s="76" t="s">
        <v>57</v>
      </c>
      <c r="I15" s="261">
        <v>18</v>
      </c>
      <c r="J15" s="18">
        <v>1500</v>
      </c>
      <c r="K15" s="9">
        <f>J15/I15</f>
        <v>83.333333333333329</v>
      </c>
      <c r="L15" s="261">
        <v>18</v>
      </c>
      <c r="M15" s="10">
        <f>F15/V15*60</f>
        <v>1356.7499999999995</v>
      </c>
      <c r="N15" s="9">
        <f t="shared" si="22"/>
        <v>75.374999999999972</v>
      </c>
      <c r="O15" s="11">
        <f>L15-I15</f>
        <v>0</v>
      </c>
      <c r="P15" s="12">
        <f>N15-K15</f>
        <v>-7.958333333333357</v>
      </c>
      <c r="Q15" s="259">
        <f>N15/K15</f>
        <v>0.90449999999999975</v>
      </c>
      <c r="R15" s="470"/>
      <c r="S15" s="24">
        <v>0.31597222222222221</v>
      </c>
      <c r="T15" s="24">
        <v>0.37152777777777779</v>
      </c>
      <c r="U15" s="258">
        <f>(S15-T14)*24*60</f>
        <v>13.99999999999995</v>
      </c>
      <c r="V15" s="262">
        <f>(T15-S15)*24*60</f>
        <v>80.000000000000028</v>
      </c>
      <c r="W15" s="14"/>
      <c r="X15" s="14"/>
      <c r="Y15" s="456"/>
      <c r="Z15" s="456"/>
      <c r="AA15" s="11">
        <f t="shared" si="2"/>
        <v>-143.25000000000045</v>
      </c>
      <c r="AB15" s="259">
        <f t="shared" si="19"/>
        <v>0.90449999999999975</v>
      </c>
      <c r="AC15" s="470"/>
    </row>
    <row r="16" spans="1:29" ht="16.5" customHeight="1">
      <c r="A16" s="481" t="s">
        <v>6</v>
      </c>
      <c r="B16" s="263" t="s">
        <v>15</v>
      </c>
      <c r="C16" s="477" t="s">
        <v>54</v>
      </c>
      <c r="D16" s="477"/>
      <c r="E16" s="26">
        <v>39.29</v>
      </c>
      <c r="F16" s="263">
        <v>2888</v>
      </c>
      <c r="G16" s="258">
        <f t="shared" si="21"/>
        <v>113469.52</v>
      </c>
      <c r="H16" s="76" t="s">
        <v>57</v>
      </c>
      <c r="I16" s="261">
        <v>17</v>
      </c>
      <c r="J16" s="18">
        <v>1500</v>
      </c>
      <c r="K16" s="9">
        <f t="shared" ref="K16:K18" si="25">J16/I16</f>
        <v>88.235294117647058</v>
      </c>
      <c r="L16" s="261">
        <v>17</v>
      </c>
      <c r="M16" s="10">
        <f t="shared" ref="M16:M18" si="26">F16/V16*60</f>
        <v>1364.4094488188973</v>
      </c>
      <c r="N16" s="9">
        <f t="shared" si="22"/>
        <v>80.259379342288071</v>
      </c>
      <c r="O16" s="11">
        <f t="shared" ref="O16:O18" si="27">L16-I16</f>
        <v>0</v>
      </c>
      <c r="P16" s="12">
        <f t="shared" ref="P16:P18" si="28">N16-K16</f>
        <v>-7.9759147753589872</v>
      </c>
      <c r="Q16" s="259">
        <f t="shared" ref="Q16:Q26" si="29">N16/K16</f>
        <v>0.90960629921259817</v>
      </c>
      <c r="R16" s="470"/>
      <c r="S16" s="24">
        <v>0.38124999999999998</v>
      </c>
      <c r="T16" s="24">
        <v>0.46944444444444444</v>
      </c>
      <c r="U16" s="258">
        <f t="shared" ref="U16:U18" si="30">(S16-T15)*24*60</f>
        <v>13.99999999999995</v>
      </c>
      <c r="V16" s="262">
        <f t="shared" ref="V16:V18" si="31">(T16-S16)*24*60</f>
        <v>127.00000000000003</v>
      </c>
      <c r="W16" s="14"/>
      <c r="X16" s="14"/>
      <c r="Y16" s="456"/>
      <c r="Z16" s="456"/>
      <c r="AA16" s="11">
        <f t="shared" si="2"/>
        <v>-135.59055118110268</v>
      </c>
      <c r="AB16" s="259">
        <f t="shared" si="19"/>
        <v>0.90960629921259817</v>
      </c>
      <c r="AC16" s="470"/>
    </row>
    <row r="17" spans="1:29" ht="16.5" customHeight="1">
      <c r="A17" s="481" t="s">
        <v>6</v>
      </c>
      <c r="B17" s="263" t="s">
        <v>13</v>
      </c>
      <c r="C17" s="477" t="s">
        <v>63</v>
      </c>
      <c r="D17" s="477"/>
      <c r="E17" s="26">
        <v>50.98</v>
      </c>
      <c r="F17" s="263">
        <v>2301</v>
      </c>
      <c r="G17" s="258">
        <f t="shared" si="21"/>
        <v>117304.98</v>
      </c>
      <c r="H17" s="76" t="s">
        <v>57</v>
      </c>
      <c r="I17" s="261">
        <v>17</v>
      </c>
      <c r="J17" s="18">
        <v>1800</v>
      </c>
      <c r="K17" s="9">
        <f t="shared" si="25"/>
        <v>105.88235294117646</v>
      </c>
      <c r="L17" s="261">
        <v>17</v>
      </c>
      <c r="M17" s="10">
        <f t="shared" si="26"/>
        <v>1624.2352941176468</v>
      </c>
      <c r="N17" s="9">
        <f t="shared" si="22"/>
        <v>95.543252595155693</v>
      </c>
      <c r="O17" s="11">
        <f t="shared" si="27"/>
        <v>0</v>
      </c>
      <c r="P17" s="12">
        <f t="shared" si="28"/>
        <v>-10.339100346020771</v>
      </c>
      <c r="Q17" s="259">
        <f t="shared" si="29"/>
        <v>0.90235294117647047</v>
      </c>
      <c r="R17" s="470"/>
      <c r="S17" s="24">
        <v>0.70833333333333337</v>
      </c>
      <c r="T17" s="24">
        <v>0.76736111111111116</v>
      </c>
      <c r="U17" s="258">
        <f t="shared" si="30"/>
        <v>344.00000000000006</v>
      </c>
      <c r="V17" s="262">
        <f t="shared" si="31"/>
        <v>85.000000000000014</v>
      </c>
      <c r="W17" s="14"/>
      <c r="X17" s="14"/>
      <c r="Y17" s="456"/>
      <c r="Z17" s="456"/>
      <c r="AA17" s="11">
        <f t="shared" si="2"/>
        <v>-175.76470588235316</v>
      </c>
      <c r="AB17" s="259">
        <f t="shared" si="19"/>
        <v>0.90235294117647047</v>
      </c>
      <c r="AC17" s="470"/>
    </row>
    <row r="18" spans="1:29" ht="16.5" customHeight="1">
      <c r="A18" s="481" t="s">
        <v>6</v>
      </c>
      <c r="B18" s="263" t="s">
        <v>13</v>
      </c>
      <c r="C18" s="477" t="s">
        <v>66</v>
      </c>
      <c r="D18" s="477"/>
      <c r="E18" s="26">
        <v>57.73</v>
      </c>
      <c r="F18" s="263">
        <v>1564</v>
      </c>
      <c r="G18" s="258">
        <f t="shared" si="21"/>
        <v>90289.72</v>
      </c>
      <c r="H18" s="76" t="s">
        <v>57</v>
      </c>
      <c r="I18" s="261">
        <v>16</v>
      </c>
      <c r="J18" s="18">
        <v>1500</v>
      </c>
      <c r="K18" s="9">
        <f t="shared" si="25"/>
        <v>93.75</v>
      </c>
      <c r="L18" s="261">
        <v>16</v>
      </c>
      <c r="M18" s="10">
        <f t="shared" si="26"/>
        <v>1360.0000000000018</v>
      </c>
      <c r="N18" s="9">
        <f t="shared" si="22"/>
        <v>85.000000000000114</v>
      </c>
      <c r="O18" s="11">
        <f t="shared" si="27"/>
        <v>0</v>
      </c>
      <c r="P18" s="12">
        <f t="shared" si="28"/>
        <v>-8.7499999999998863</v>
      </c>
      <c r="Q18" s="259">
        <f t="shared" si="29"/>
        <v>0.90666666666666784</v>
      </c>
      <c r="R18" s="470"/>
      <c r="S18" s="24">
        <v>0.7729166666666667</v>
      </c>
      <c r="T18" s="24">
        <v>0.8208333333333333</v>
      </c>
      <c r="U18" s="258">
        <f t="shared" si="30"/>
        <v>7.9999999999999716</v>
      </c>
      <c r="V18" s="262">
        <f t="shared" si="31"/>
        <v>68.999999999999915</v>
      </c>
      <c r="W18" s="14"/>
      <c r="X18" s="14"/>
      <c r="Y18" s="456"/>
      <c r="Z18" s="456"/>
      <c r="AA18" s="11">
        <f t="shared" si="2"/>
        <v>-139.99999999999818</v>
      </c>
      <c r="AB18" s="259">
        <f t="shared" si="19"/>
        <v>0.90666666666666784</v>
      </c>
      <c r="AC18" s="470"/>
    </row>
    <row r="19" spans="1:29" ht="16.5" customHeight="1">
      <c r="A19" s="481" t="s">
        <v>6</v>
      </c>
      <c r="B19" s="26" t="s">
        <v>973</v>
      </c>
      <c r="C19" s="466"/>
      <c r="D19" s="466"/>
      <c r="E19" s="257"/>
      <c r="F19" s="16"/>
      <c r="G19" s="9"/>
      <c r="H19" s="263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1375.1530226613831</v>
      </c>
      <c r="N19" s="9">
        <f t="shared" si="22"/>
        <v>73.146437375605487</v>
      </c>
      <c r="O19" s="11">
        <f>L19-I19</f>
        <v>0</v>
      </c>
      <c r="P19" s="12">
        <f>N19-K19</f>
        <v>-7.5556902839689855</v>
      </c>
      <c r="Q19" s="259">
        <f t="shared" si="29"/>
        <v>0.90637557517887102</v>
      </c>
      <c r="R19" s="470"/>
      <c r="S19" s="24"/>
      <c r="T19" s="24"/>
      <c r="U19" s="258"/>
      <c r="V19" s="262"/>
      <c r="W19" s="9"/>
      <c r="X19" s="9"/>
      <c r="Y19" s="456"/>
      <c r="Z19" s="456"/>
      <c r="AA19" s="11">
        <f t="shared" si="2"/>
        <v>-142.0469773386169</v>
      </c>
      <c r="AB19" s="259">
        <f t="shared" si="19"/>
        <v>0.90637557517887102</v>
      </c>
      <c r="AC19" s="470"/>
    </row>
    <row r="20" spans="1:29" ht="15.75" customHeight="1">
      <c r="A20" s="478" t="s">
        <v>976</v>
      </c>
      <c r="B20" s="26" t="s">
        <v>21</v>
      </c>
      <c r="C20" s="477" t="s">
        <v>22</v>
      </c>
      <c r="D20" s="477"/>
      <c r="E20" s="26">
        <v>43.14</v>
      </c>
      <c r="F20" s="263">
        <v>1096</v>
      </c>
      <c r="G20" s="258">
        <f t="shared" ref="G20:G26" si="32">E20*F20</f>
        <v>47281.440000000002</v>
      </c>
      <c r="H20" s="76" t="s">
        <v>57</v>
      </c>
      <c r="I20" s="261">
        <v>17</v>
      </c>
      <c r="J20" s="18">
        <v>1200</v>
      </c>
      <c r="K20" s="9">
        <f t="shared" ref="K20:K27" si="33">J20/I20</f>
        <v>70.588235294117652</v>
      </c>
      <c r="L20" s="261">
        <v>17</v>
      </c>
      <c r="M20" s="10">
        <f t="shared" ref="M20:M26" si="34">F20/V20*60</f>
        <v>1096.0000000000002</v>
      </c>
      <c r="N20" s="9">
        <f t="shared" si="22"/>
        <v>64.47058823529413</v>
      </c>
      <c r="O20" s="11">
        <f t="shared" ref="O20:O26" si="35">L20-I20</f>
        <v>0</v>
      </c>
      <c r="P20" s="12">
        <f t="shared" ref="P20:P26" si="36">N20-K20</f>
        <v>-6.1176470588235219</v>
      </c>
      <c r="Q20" s="259">
        <f t="shared" si="29"/>
        <v>0.91333333333333344</v>
      </c>
      <c r="R20" s="470">
        <f>Q27</f>
        <v>0.91661769410606675</v>
      </c>
      <c r="S20" s="24">
        <v>0.20833333333333334</v>
      </c>
      <c r="T20" s="24">
        <v>0.25</v>
      </c>
      <c r="U20" s="258"/>
      <c r="V20" s="262">
        <f>(T20-S20)*24*60</f>
        <v>59.999999999999986</v>
      </c>
      <c r="W20" s="15"/>
      <c r="X20" s="15"/>
      <c r="Y20" s="456"/>
      <c r="Z20" s="456"/>
      <c r="AA20" s="11">
        <f t="shared" si="2"/>
        <v>-103.99999999999977</v>
      </c>
      <c r="AB20" s="259">
        <f t="shared" si="19"/>
        <v>0.91333333333333355</v>
      </c>
      <c r="AC20" s="470">
        <f>AB27</f>
        <v>0.91661769410606675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63">
        <v>1764</v>
      </c>
      <c r="G21" s="258">
        <f t="shared" si="32"/>
        <v>101835.72</v>
      </c>
      <c r="H21" s="76" t="s">
        <v>57</v>
      </c>
      <c r="I21" s="261">
        <v>16</v>
      </c>
      <c r="J21" s="18">
        <v>1800</v>
      </c>
      <c r="K21" s="9">
        <f t="shared" si="33"/>
        <v>112.5</v>
      </c>
      <c r="L21" s="261">
        <v>16</v>
      </c>
      <c r="M21" s="10">
        <f t="shared" si="34"/>
        <v>1628.3076923076919</v>
      </c>
      <c r="N21" s="9">
        <f t="shared" si="22"/>
        <v>101.76923076923075</v>
      </c>
      <c r="O21" s="11">
        <f t="shared" si="35"/>
        <v>0</v>
      </c>
      <c r="P21" s="12">
        <f t="shared" si="36"/>
        <v>-10.730769230769255</v>
      </c>
      <c r="Q21" s="259">
        <f t="shared" si="29"/>
        <v>0.90461538461538438</v>
      </c>
      <c r="R21" s="470"/>
      <c r="S21" s="24">
        <v>0.26874999999999999</v>
      </c>
      <c r="T21" s="24">
        <v>0.31388888888888888</v>
      </c>
      <c r="U21" s="258">
        <f>(S21-T20)*24*60</f>
        <v>26.999999999999986</v>
      </c>
      <c r="V21" s="262">
        <f t="shared" ref="V21:V26" si="37">(T21-S21)*24*60</f>
        <v>65.000000000000014</v>
      </c>
      <c r="W21" s="14"/>
      <c r="X21" s="258"/>
      <c r="Y21" s="456"/>
      <c r="Z21" s="456"/>
      <c r="AA21" s="11">
        <f t="shared" si="2"/>
        <v>-171.69230769230808</v>
      </c>
      <c r="AB21" s="259">
        <f t="shared" si="19"/>
        <v>0.90461538461538438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63">
        <v>1480</v>
      </c>
      <c r="G22" s="258">
        <f t="shared" si="32"/>
        <v>79446.399999999994</v>
      </c>
      <c r="H22" s="76" t="s">
        <v>57</v>
      </c>
      <c r="I22" s="261">
        <v>17</v>
      </c>
      <c r="J22" s="18">
        <v>1800</v>
      </c>
      <c r="K22" s="9">
        <f t="shared" si="33"/>
        <v>105.88235294117646</v>
      </c>
      <c r="L22" s="261">
        <v>17</v>
      </c>
      <c r="M22" s="10">
        <f t="shared" si="34"/>
        <v>1644.4444444444453</v>
      </c>
      <c r="N22" s="9">
        <f t="shared" si="22"/>
        <v>96.732026143790904</v>
      </c>
      <c r="O22" s="11">
        <f t="shared" si="35"/>
        <v>0</v>
      </c>
      <c r="P22" s="12">
        <f t="shared" si="36"/>
        <v>-9.15032679738556</v>
      </c>
      <c r="Q22" s="259">
        <f t="shared" si="29"/>
        <v>0.91358024691358086</v>
      </c>
      <c r="R22" s="470"/>
      <c r="S22" s="24">
        <v>0.31805555555555554</v>
      </c>
      <c r="T22" s="24">
        <v>0.35555555555555551</v>
      </c>
      <c r="U22" s="258">
        <f t="shared" ref="U22:U26" si="38">(S22-T21)*24*60</f>
        <v>5.9999999999999787</v>
      </c>
      <c r="V22" s="262">
        <f t="shared" si="37"/>
        <v>53.999999999999972</v>
      </c>
      <c r="W22" s="14"/>
      <c r="X22" s="258"/>
      <c r="Y22" s="456"/>
      <c r="Z22" s="456"/>
      <c r="AA22" s="11">
        <f t="shared" si="2"/>
        <v>-155.55555555555475</v>
      </c>
      <c r="AB22" s="259">
        <f t="shared" si="19"/>
        <v>0.91358024691358075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63">
        <v>1000</v>
      </c>
      <c r="G23" s="258">
        <f t="shared" si="32"/>
        <v>50670</v>
      </c>
      <c r="H23" s="76" t="s">
        <v>57</v>
      </c>
      <c r="I23" s="261">
        <v>16</v>
      </c>
      <c r="J23" s="18">
        <v>1800</v>
      </c>
      <c r="K23" s="9">
        <f t="shared" si="33"/>
        <v>112.5</v>
      </c>
      <c r="L23" s="261">
        <v>16</v>
      </c>
      <c r="M23" s="10">
        <f t="shared" si="34"/>
        <v>1666.6666666666654</v>
      </c>
      <c r="N23" s="9">
        <f t="shared" si="22"/>
        <v>104.16666666666659</v>
      </c>
      <c r="O23" s="11">
        <f t="shared" si="35"/>
        <v>0</v>
      </c>
      <c r="P23" s="12">
        <f t="shared" si="36"/>
        <v>-8.3333333333334139</v>
      </c>
      <c r="Q23" s="259">
        <f t="shared" si="29"/>
        <v>0.92592592592592526</v>
      </c>
      <c r="R23" s="470"/>
      <c r="S23" s="24">
        <v>0.35972222222222217</v>
      </c>
      <c r="T23" s="24">
        <v>0.38472222222222219</v>
      </c>
      <c r="U23" s="258">
        <f t="shared" si="38"/>
        <v>5.9999999999999787</v>
      </c>
      <c r="V23" s="262">
        <f t="shared" si="37"/>
        <v>36.000000000000028</v>
      </c>
      <c r="W23" s="14"/>
      <c r="X23" s="258"/>
      <c r="Y23" s="456"/>
      <c r="Z23" s="456"/>
      <c r="AA23" s="11">
        <f t="shared" si="2"/>
        <v>-133.33333333333462</v>
      </c>
      <c r="AB23" s="259">
        <f t="shared" si="19"/>
        <v>0.92592592592592526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58.17</v>
      </c>
      <c r="F24" s="263">
        <v>3516</v>
      </c>
      <c r="G24" s="258">
        <f t="shared" si="32"/>
        <v>204525.72</v>
      </c>
      <c r="H24" s="76" t="s">
        <v>57</v>
      </c>
      <c r="I24" s="261">
        <v>19</v>
      </c>
      <c r="J24" s="18">
        <v>1800</v>
      </c>
      <c r="K24" s="9">
        <f t="shared" si="33"/>
        <v>94.736842105263165</v>
      </c>
      <c r="L24" s="261">
        <v>19</v>
      </c>
      <c r="M24" s="10">
        <f t="shared" si="34"/>
        <v>1635.348837209302</v>
      </c>
      <c r="N24" s="9">
        <f t="shared" si="22"/>
        <v>86.070991432068524</v>
      </c>
      <c r="O24" s="11">
        <f t="shared" si="35"/>
        <v>0</v>
      </c>
      <c r="P24" s="12">
        <f t="shared" si="36"/>
        <v>-8.6658506731946403</v>
      </c>
      <c r="Q24" s="259">
        <f t="shared" si="29"/>
        <v>0.90852713178294542</v>
      </c>
      <c r="R24" s="470"/>
      <c r="S24" s="24">
        <v>0.3881944444444444</v>
      </c>
      <c r="T24" s="24">
        <v>0.47777777777777775</v>
      </c>
      <c r="U24" s="258">
        <f t="shared" si="38"/>
        <v>4.9999999999999822</v>
      </c>
      <c r="V24" s="262">
        <f t="shared" si="37"/>
        <v>129.00000000000003</v>
      </c>
      <c r="W24" s="14"/>
      <c r="X24" s="258"/>
      <c r="Y24" s="456"/>
      <c r="Z24" s="456"/>
      <c r="AA24" s="11">
        <f t="shared" si="2"/>
        <v>-164.65116279069798</v>
      </c>
      <c r="AB24" s="259">
        <f t="shared" si="19"/>
        <v>0.90852713178294553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263">
        <v>2460</v>
      </c>
      <c r="G25" s="258">
        <f t="shared" si="32"/>
        <v>125263.2</v>
      </c>
      <c r="H25" s="76" t="s">
        <v>57</v>
      </c>
      <c r="I25" s="261">
        <v>16</v>
      </c>
      <c r="J25" s="18">
        <v>1800</v>
      </c>
      <c r="K25" s="9">
        <f t="shared" si="33"/>
        <v>112.5</v>
      </c>
      <c r="L25" s="261">
        <v>16</v>
      </c>
      <c r="M25" s="10">
        <f t="shared" si="34"/>
        <v>1621.9780219780221</v>
      </c>
      <c r="N25" s="9">
        <f t="shared" si="22"/>
        <v>101.37362637362638</v>
      </c>
      <c r="O25" s="11">
        <f t="shared" si="35"/>
        <v>0</v>
      </c>
      <c r="P25" s="12">
        <f t="shared" si="36"/>
        <v>-11.126373626373621</v>
      </c>
      <c r="Q25" s="259">
        <f t="shared" si="29"/>
        <v>0.90109890109890112</v>
      </c>
      <c r="R25" s="470"/>
      <c r="S25" s="24">
        <v>0.70833333333333337</v>
      </c>
      <c r="T25" s="24">
        <v>0.77152777777777781</v>
      </c>
      <c r="U25" s="258">
        <f t="shared" si="38"/>
        <v>332.00000000000011</v>
      </c>
      <c r="V25" s="262">
        <f t="shared" si="37"/>
        <v>91</v>
      </c>
      <c r="W25" s="14"/>
      <c r="X25" s="15"/>
      <c r="Y25" s="456"/>
      <c r="Z25" s="456"/>
      <c r="AA25" s="11">
        <f t="shared" si="2"/>
        <v>-178.02197802197793</v>
      </c>
      <c r="AB25" s="259">
        <f t="shared" si="19"/>
        <v>0.90109890109890112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263">
        <v>512</v>
      </c>
      <c r="G26" s="258">
        <f t="shared" si="32"/>
        <v>27274.240000000002</v>
      </c>
      <c r="H26" s="76" t="s">
        <v>57</v>
      </c>
      <c r="I26" s="261">
        <v>15</v>
      </c>
      <c r="J26" s="18">
        <v>1800</v>
      </c>
      <c r="K26" s="9">
        <f t="shared" si="33"/>
        <v>120</v>
      </c>
      <c r="L26" s="261">
        <v>15</v>
      </c>
      <c r="M26" s="10">
        <f t="shared" si="34"/>
        <v>1706.6666666666727</v>
      </c>
      <c r="N26" s="9">
        <f t="shared" si="22"/>
        <v>113.77777777777818</v>
      </c>
      <c r="O26" s="11">
        <f t="shared" si="35"/>
        <v>0</v>
      </c>
      <c r="P26" s="12">
        <f t="shared" si="36"/>
        <v>-6.2222222222218164</v>
      </c>
      <c r="Q26" s="259">
        <f t="shared" si="29"/>
        <v>0.94814814814815152</v>
      </c>
      <c r="R26" s="470"/>
      <c r="S26" s="24">
        <v>0.77569444444444446</v>
      </c>
      <c r="T26" s="24">
        <v>0.78819444444444442</v>
      </c>
      <c r="U26" s="258">
        <f t="shared" si="38"/>
        <v>5.9999999999999787</v>
      </c>
      <c r="V26" s="262">
        <f t="shared" si="37"/>
        <v>17.999999999999936</v>
      </c>
      <c r="W26" s="14"/>
      <c r="X26" s="15"/>
      <c r="Y26" s="473"/>
      <c r="Z26" s="474"/>
      <c r="AA26" s="11">
        <f t="shared" si="2"/>
        <v>-93.333333333327346</v>
      </c>
      <c r="AB26" s="259">
        <f t="shared" si="19"/>
        <v>0.94814814814815152</v>
      </c>
      <c r="AC26" s="470"/>
    </row>
    <row r="27" spans="1:29" ht="15.75" customHeight="1">
      <c r="A27" s="479" t="s">
        <v>7</v>
      </c>
      <c r="B27" s="26" t="s">
        <v>973</v>
      </c>
      <c r="C27" s="466"/>
      <c r="D27" s="466"/>
      <c r="E27" s="257"/>
      <c r="F27" s="263"/>
      <c r="G27" s="258"/>
      <c r="H27" s="263"/>
      <c r="I27" s="17">
        <v>16.571428571428573</v>
      </c>
      <c r="J27" s="18">
        <v>1714.2857142857142</v>
      </c>
      <c r="K27" s="9">
        <f t="shared" si="33"/>
        <v>103.44827586206895</v>
      </c>
      <c r="L27" s="17">
        <v>16.571428571428573</v>
      </c>
      <c r="M27" s="10">
        <f>AVERAGE(M20:M26)</f>
        <v>1571.3446184675429</v>
      </c>
      <c r="N27" s="9">
        <f>M27/L27</f>
        <v>94.822520079937931</v>
      </c>
      <c r="O27" s="11">
        <f>L27-I27</f>
        <v>0</v>
      </c>
      <c r="P27" s="12">
        <f>N27-K27</f>
        <v>-8.6257557821310229</v>
      </c>
      <c r="Q27" s="259">
        <f>N27/K27</f>
        <v>0.91661769410606675</v>
      </c>
      <c r="R27" s="470"/>
      <c r="S27" s="24"/>
      <c r="T27" s="24"/>
      <c r="U27" s="9"/>
      <c r="V27" s="262"/>
      <c r="W27" s="9"/>
      <c r="X27" s="9"/>
      <c r="Y27" s="456"/>
      <c r="Z27" s="456"/>
      <c r="AA27" s="11">
        <f t="shared" si="2"/>
        <v>-142.94109581817133</v>
      </c>
      <c r="AB27" s="259">
        <f t="shared" si="19"/>
        <v>0.91661769410606675</v>
      </c>
      <c r="AC27" s="470"/>
    </row>
    <row r="28" spans="1:29" ht="15.75" customHeight="1">
      <c r="A28" s="484" t="s">
        <v>977</v>
      </c>
      <c r="B28" s="26" t="s">
        <v>24</v>
      </c>
      <c r="C28" s="477" t="s">
        <v>26</v>
      </c>
      <c r="D28" s="477"/>
      <c r="E28" s="26">
        <v>26.2</v>
      </c>
      <c r="F28" s="263">
        <v>3384</v>
      </c>
      <c r="G28" s="258">
        <f t="shared" ref="G28:G33" si="39">E28*F28</f>
        <v>88660.800000000003</v>
      </c>
      <c r="H28" s="76" t="s">
        <v>57</v>
      </c>
      <c r="I28" s="261">
        <v>20</v>
      </c>
      <c r="J28" s="18">
        <v>2400</v>
      </c>
      <c r="K28" s="9">
        <f>J28/I28</f>
        <v>120</v>
      </c>
      <c r="L28" s="261">
        <v>20</v>
      </c>
      <c r="M28" s="10">
        <f t="shared" ref="M28:M33" si="40">F28/V28*60</f>
        <v>2183.2258064516132</v>
      </c>
      <c r="N28" s="9">
        <f t="shared" ref="N28:N33" si="41">M28/L28</f>
        <v>109.16129032258065</v>
      </c>
      <c r="O28" s="11">
        <f t="shared" ref="O28:O33" si="42">L28-I28</f>
        <v>0</v>
      </c>
      <c r="P28" s="12">
        <f t="shared" ref="P28:P33" si="43">N28-K28</f>
        <v>-10.838709677419345</v>
      </c>
      <c r="Q28" s="259">
        <f t="shared" ref="Q28:Q33" si="44">N28/K28</f>
        <v>0.90967741935483881</v>
      </c>
      <c r="R28" s="470">
        <f>Q34</f>
        <v>0.90616978862923148</v>
      </c>
      <c r="S28" s="24">
        <v>0.125</v>
      </c>
      <c r="T28" s="24">
        <v>0.18958333333333333</v>
      </c>
      <c r="U28" s="258"/>
      <c r="V28" s="262">
        <f t="shared" ref="V28:V33" si="45">(T28-S28)*24*60</f>
        <v>92.999999999999986</v>
      </c>
      <c r="W28" s="14"/>
      <c r="X28" s="14"/>
      <c r="Y28" s="456"/>
      <c r="Z28" s="456"/>
      <c r="AA28" s="11">
        <f t="shared" si="2"/>
        <v>-216.77419354838685</v>
      </c>
      <c r="AB28" s="259">
        <f>M28/J28</f>
        <v>0.90967741935483881</v>
      </c>
      <c r="AC28" s="470">
        <f>AB34</f>
        <v>0.90616978862923148</v>
      </c>
    </row>
    <row r="29" spans="1:29" ht="15.75" customHeight="1">
      <c r="A29" s="484" t="s">
        <v>8</v>
      </c>
      <c r="B29" s="26" t="s">
        <v>24</v>
      </c>
      <c r="C29" s="477" t="s">
        <v>25</v>
      </c>
      <c r="D29" s="477"/>
      <c r="E29" s="26">
        <v>20.52</v>
      </c>
      <c r="F29" s="263">
        <v>3222</v>
      </c>
      <c r="G29" s="258">
        <f t="shared" si="39"/>
        <v>66115.44</v>
      </c>
      <c r="H29" s="76" t="s">
        <v>57</v>
      </c>
      <c r="I29" s="261">
        <v>18</v>
      </c>
      <c r="J29" s="18">
        <v>2400</v>
      </c>
      <c r="K29" s="9">
        <f t="shared" ref="K29:K34" si="46">J29/I29</f>
        <v>133.33333333333334</v>
      </c>
      <c r="L29" s="261">
        <v>18</v>
      </c>
      <c r="M29" s="10">
        <f t="shared" si="40"/>
        <v>2172.134831460673</v>
      </c>
      <c r="N29" s="9">
        <f t="shared" si="41"/>
        <v>120.67415730337072</v>
      </c>
      <c r="O29" s="11">
        <f t="shared" si="42"/>
        <v>0</v>
      </c>
      <c r="P29" s="12">
        <f t="shared" si="43"/>
        <v>-12.659176029962623</v>
      </c>
      <c r="Q29" s="259">
        <f t="shared" si="44"/>
        <v>0.9050561797752803</v>
      </c>
      <c r="R29" s="470"/>
      <c r="S29" s="24">
        <v>0.21111111111111111</v>
      </c>
      <c r="T29" s="24">
        <v>0.2729166666666667</v>
      </c>
      <c r="U29" s="258">
        <f>(S29-T28)*24*60</f>
        <v>31.000000000000011</v>
      </c>
      <c r="V29" s="262">
        <f t="shared" si="45"/>
        <v>89.000000000000043</v>
      </c>
      <c r="W29" s="14"/>
      <c r="X29" s="14"/>
      <c r="Y29" s="456"/>
      <c r="Z29" s="456"/>
      <c r="AA29" s="11">
        <f t="shared" si="2"/>
        <v>-227.86516853932699</v>
      </c>
      <c r="AB29" s="259">
        <f t="shared" ref="AB29:AB33" si="47">M29/J29</f>
        <v>0.90505617977528041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263">
        <v>4000</v>
      </c>
      <c r="G30" s="258">
        <f t="shared" si="39"/>
        <v>125160</v>
      </c>
      <c r="H30" s="76">
        <v>2</v>
      </c>
      <c r="I30" s="261">
        <v>16</v>
      </c>
      <c r="J30" s="18">
        <v>2400</v>
      </c>
      <c r="K30" s="9">
        <f t="shared" si="46"/>
        <v>150</v>
      </c>
      <c r="L30" s="261">
        <v>16</v>
      </c>
      <c r="M30" s="10">
        <f t="shared" si="40"/>
        <v>2181.8181818181815</v>
      </c>
      <c r="N30" s="9">
        <f t="shared" si="41"/>
        <v>136.36363636363635</v>
      </c>
      <c r="O30" s="11">
        <f t="shared" si="42"/>
        <v>0</v>
      </c>
      <c r="P30" s="12">
        <f t="shared" si="43"/>
        <v>-13.636363636363654</v>
      </c>
      <c r="Q30" s="259">
        <f t="shared" si="44"/>
        <v>0.90909090909090895</v>
      </c>
      <c r="R30" s="470"/>
      <c r="S30" s="24">
        <v>0.27847222222222223</v>
      </c>
      <c r="T30" s="24">
        <v>0.35486111111111113</v>
      </c>
      <c r="U30" s="258">
        <f t="shared" ref="U30:U33" si="48">(S30-T29)*24*60</f>
        <v>7.9999999999999716</v>
      </c>
      <c r="V30" s="262">
        <f t="shared" si="45"/>
        <v>110.00000000000001</v>
      </c>
      <c r="W30" s="14"/>
      <c r="X30" s="14"/>
      <c r="Y30" s="456"/>
      <c r="Z30" s="456"/>
      <c r="AA30" s="11">
        <f t="shared" si="2"/>
        <v>-218.18181818181847</v>
      </c>
      <c r="AB30" s="259">
        <f t="shared" si="47"/>
        <v>0.90909090909090895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263">
        <v>4337</v>
      </c>
      <c r="G31" s="258">
        <f t="shared" si="39"/>
        <v>105172.25</v>
      </c>
      <c r="H31" s="76" t="s">
        <v>57</v>
      </c>
      <c r="I31" s="261">
        <v>18</v>
      </c>
      <c r="J31" s="18">
        <v>2400</v>
      </c>
      <c r="K31" s="9">
        <f t="shared" si="46"/>
        <v>133.33333333333334</v>
      </c>
      <c r="L31" s="261">
        <v>18</v>
      </c>
      <c r="M31" s="10">
        <f t="shared" si="40"/>
        <v>2168.5000000000005</v>
      </c>
      <c r="N31" s="9">
        <f t="shared" si="41"/>
        <v>120.47222222222224</v>
      </c>
      <c r="O31" s="11">
        <f t="shared" si="42"/>
        <v>0</v>
      </c>
      <c r="P31" s="12">
        <f t="shared" si="43"/>
        <v>-12.8611111111111</v>
      </c>
      <c r="Q31" s="259">
        <f t="shared" si="44"/>
        <v>0.9035416666666668</v>
      </c>
      <c r="R31" s="470"/>
      <c r="S31" s="24">
        <v>0.35902777777777778</v>
      </c>
      <c r="T31" s="24">
        <v>0.44236111111111109</v>
      </c>
      <c r="U31" s="258">
        <f t="shared" si="48"/>
        <v>5.9999999999999787</v>
      </c>
      <c r="V31" s="262">
        <f t="shared" si="45"/>
        <v>119.99999999999997</v>
      </c>
      <c r="W31" s="14"/>
      <c r="X31" s="14"/>
      <c r="Y31" s="456"/>
      <c r="Z31" s="456"/>
      <c r="AA31" s="11">
        <f t="shared" si="2"/>
        <v>-231.49999999999955</v>
      </c>
      <c r="AB31" s="259">
        <f t="shared" si="47"/>
        <v>0.90354166666666691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263">
        <v>2215</v>
      </c>
      <c r="G32" s="258">
        <f t="shared" si="39"/>
        <v>49505.25</v>
      </c>
      <c r="H32" s="76" t="s">
        <v>57</v>
      </c>
      <c r="I32" s="261">
        <v>16</v>
      </c>
      <c r="J32" s="18">
        <v>2400</v>
      </c>
      <c r="K32" s="9">
        <f t="shared" si="46"/>
        <v>150</v>
      </c>
      <c r="L32" s="261">
        <v>16</v>
      </c>
      <c r="M32" s="10">
        <f t="shared" si="40"/>
        <v>2178.6885245901635</v>
      </c>
      <c r="N32" s="9">
        <f t="shared" si="41"/>
        <v>136.16803278688522</v>
      </c>
      <c r="O32" s="11">
        <f t="shared" si="42"/>
        <v>0</v>
      </c>
      <c r="P32" s="12">
        <f t="shared" si="43"/>
        <v>-13.83196721311478</v>
      </c>
      <c r="Q32" s="259">
        <f t="shared" si="44"/>
        <v>0.90778688524590145</v>
      </c>
      <c r="R32" s="470"/>
      <c r="S32" s="24">
        <v>0.44791666666666663</v>
      </c>
      <c r="T32" s="24">
        <v>0.49027777777777776</v>
      </c>
      <c r="U32" s="258">
        <f t="shared" si="48"/>
        <v>7.9999999999999716</v>
      </c>
      <c r="V32" s="262">
        <f t="shared" si="45"/>
        <v>61.000000000000021</v>
      </c>
      <c r="W32" s="14"/>
      <c r="X32" s="14"/>
      <c r="Y32" s="456"/>
      <c r="Z32" s="456"/>
      <c r="AA32" s="11">
        <f t="shared" si="2"/>
        <v>-221.31147540983648</v>
      </c>
      <c r="AB32" s="259">
        <f t="shared" si="47"/>
        <v>0.90778688524590145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31.29</v>
      </c>
      <c r="F33" s="263">
        <v>2417</v>
      </c>
      <c r="G33" s="258">
        <f t="shared" si="39"/>
        <v>75627.929999999993</v>
      </c>
      <c r="H33" s="76" t="s">
        <v>57</v>
      </c>
      <c r="I33" s="261">
        <v>16</v>
      </c>
      <c r="J33" s="18">
        <v>2400</v>
      </c>
      <c r="K33" s="9">
        <f t="shared" si="46"/>
        <v>150</v>
      </c>
      <c r="L33" s="261">
        <v>16</v>
      </c>
      <c r="M33" s="10">
        <f t="shared" si="40"/>
        <v>2164.4776119403014</v>
      </c>
      <c r="N33" s="9">
        <f t="shared" si="41"/>
        <v>135.27985074626883</v>
      </c>
      <c r="O33" s="11">
        <f t="shared" si="42"/>
        <v>0</v>
      </c>
      <c r="P33" s="12">
        <f t="shared" si="43"/>
        <v>-14.720149253731165</v>
      </c>
      <c r="Q33" s="259">
        <f t="shared" si="44"/>
        <v>0.90186567164179221</v>
      </c>
      <c r="R33" s="470"/>
      <c r="S33" s="24">
        <v>0.53055555555555545</v>
      </c>
      <c r="T33" s="24">
        <v>0.57708333333333317</v>
      </c>
      <c r="U33" s="258">
        <f t="shared" si="48"/>
        <v>57.999999999999872</v>
      </c>
      <c r="V33" s="262">
        <f t="shared" si="45"/>
        <v>66.999999999999915</v>
      </c>
      <c r="W33" s="14"/>
      <c r="X33" s="14"/>
      <c r="Y33" s="456"/>
      <c r="Z33" s="456"/>
      <c r="AA33" s="11">
        <f t="shared" si="2"/>
        <v>-235.52238805969864</v>
      </c>
      <c r="AB33" s="259">
        <f t="shared" si="47"/>
        <v>0.90186567164179221</v>
      </c>
      <c r="AC33" s="470"/>
    </row>
    <row r="34" spans="1:29" ht="15.75" customHeight="1">
      <c r="A34" s="484" t="s">
        <v>8</v>
      </c>
      <c r="B34" s="26" t="s">
        <v>973</v>
      </c>
      <c r="C34" s="466"/>
      <c r="D34" s="466"/>
      <c r="E34" s="257"/>
      <c r="F34" s="263"/>
      <c r="G34" s="258"/>
      <c r="H34" s="263"/>
      <c r="I34" s="17">
        <v>17.333333333333332</v>
      </c>
      <c r="J34" s="18">
        <v>2400</v>
      </c>
      <c r="K34" s="9">
        <f t="shared" si="46"/>
        <v>138.46153846153848</v>
      </c>
      <c r="L34" s="17">
        <v>17.333333333333332</v>
      </c>
      <c r="M34" s="10">
        <f>AVERAGE(M28:M33)</f>
        <v>2174.8074927101557</v>
      </c>
      <c r="N34" s="9">
        <f>M34/L34</f>
        <v>125.46966304097053</v>
      </c>
      <c r="O34" s="11">
        <f>L34-I34</f>
        <v>0</v>
      </c>
      <c r="P34" s="12">
        <f>N34-K34</f>
        <v>-12.991875420567951</v>
      </c>
      <c r="Q34" s="259">
        <f>N34/K34</f>
        <v>0.90616978862923148</v>
      </c>
      <c r="R34" s="470"/>
      <c r="S34" s="24"/>
      <c r="T34" s="24"/>
      <c r="U34" s="258"/>
      <c r="V34" s="262"/>
      <c r="W34" s="258"/>
      <c r="X34" s="258"/>
      <c r="Y34" s="456"/>
      <c r="Z34" s="456"/>
      <c r="AA34" s="11">
        <f t="shared" si="2"/>
        <v>-225.19250728984434</v>
      </c>
      <c r="AB34" s="259">
        <f>M34/J34</f>
        <v>0.90616978862923148</v>
      </c>
      <c r="AC34" s="470"/>
    </row>
    <row r="35" spans="1:29" ht="15.75" customHeight="1">
      <c r="A35" s="485" t="s">
        <v>978</v>
      </c>
      <c r="B35" s="26" t="s">
        <v>24</v>
      </c>
      <c r="C35" s="487" t="s">
        <v>29</v>
      </c>
      <c r="D35" s="487"/>
      <c r="E35" s="26">
        <v>26.2</v>
      </c>
      <c r="F35" s="263">
        <v>4522</v>
      </c>
      <c r="G35" s="258">
        <f t="shared" ref="G35:G40" si="49">E35*F35</f>
        <v>118476.4</v>
      </c>
      <c r="H35" s="76" t="s">
        <v>57</v>
      </c>
      <c r="I35" s="261">
        <v>18</v>
      </c>
      <c r="J35" s="18">
        <v>2400</v>
      </c>
      <c r="K35" s="9">
        <f>J35/I35</f>
        <v>133.33333333333334</v>
      </c>
      <c r="L35" s="261">
        <v>18</v>
      </c>
      <c r="M35" s="10">
        <f>F35/V35*60</f>
        <v>2170.5599999999995</v>
      </c>
      <c r="N35" s="9">
        <f>M35/L35</f>
        <v>120.58666666666664</v>
      </c>
      <c r="O35" s="11">
        <f t="shared" ref="O35:O40" si="50">L35-I35</f>
        <v>0</v>
      </c>
      <c r="P35" s="12">
        <f t="shared" ref="P35:P49" si="51">N35-K35</f>
        <v>-12.746666666666698</v>
      </c>
      <c r="Q35" s="259">
        <f t="shared" ref="Q35:Q45" si="52">N35/K35</f>
        <v>0.90439999999999976</v>
      </c>
      <c r="R35" s="470">
        <f>Q41</f>
        <v>0.90812284342961758</v>
      </c>
      <c r="S35" s="24">
        <v>8.3333333333333329E-2</v>
      </c>
      <c r="T35" s="24">
        <v>0.1701388888888889</v>
      </c>
      <c r="U35" s="258"/>
      <c r="V35" s="262">
        <f t="shared" ref="V35:V40" si="53">(T35-S35)*24*60</f>
        <v>125.00000000000001</v>
      </c>
      <c r="W35" s="15"/>
      <c r="X35" s="15"/>
      <c r="Y35" s="456"/>
      <c r="Z35" s="456"/>
      <c r="AA35" s="11">
        <f t="shared" si="2"/>
        <v>-229.44000000000051</v>
      </c>
      <c r="AB35" s="259">
        <f>M35/J35</f>
        <v>0.90439999999999976</v>
      </c>
      <c r="AC35" s="470">
        <f>AB41</f>
        <v>0.90812284342961747</v>
      </c>
    </row>
    <row r="36" spans="1:29" ht="15.75" customHeight="1">
      <c r="A36" s="485" t="s">
        <v>978</v>
      </c>
      <c r="B36" s="26" t="s">
        <v>24</v>
      </c>
      <c r="C36" s="487" t="s">
        <v>31</v>
      </c>
      <c r="D36" s="487"/>
      <c r="E36" s="26">
        <v>24.45</v>
      </c>
      <c r="F36" s="263">
        <v>1926</v>
      </c>
      <c r="G36" s="258">
        <f t="shared" si="49"/>
        <v>47090.7</v>
      </c>
      <c r="H36" s="76" t="s">
        <v>57</v>
      </c>
      <c r="I36" s="261">
        <v>20</v>
      </c>
      <c r="J36" s="18">
        <v>2400</v>
      </c>
      <c r="K36" s="9">
        <f t="shared" ref="K36:K48" si="54">J36/I36</f>
        <v>120</v>
      </c>
      <c r="L36" s="261">
        <v>20</v>
      </c>
      <c r="M36" s="10">
        <f t="shared" ref="M36:M40" si="55">F36/V36*60</f>
        <v>2180.3773584905653</v>
      </c>
      <c r="N36" s="9">
        <f t="shared" ref="N36:N40" si="56">M36/L36</f>
        <v>109.01886792452827</v>
      </c>
      <c r="O36" s="11">
        <f t="shared" si="50"/>
        <v>0</v>
      </c>
      <c r="P36" s="12">
        <f t="shared" si="51"/>
        <v>-10.981132075471734</v>
      </c>
      <c r="Q36" s="259">
        <f t="shared" si="52"/>
        <v>0.90849056603773559</v>
      </c>
      <c r="R36" s="470"/>
      <c r="S36" s="24">
        <v>0.18888888888888891</v>
      </c>
      <c r="T36" s="24">
        <v>0.22569444444444448</v>
      </c>
      <c r="U36" s="258">
        <f>(S36-T35)*24*60</f>
        <v>27.000000000000025</v>
      </c>
      <c r="V36" s="262">
        <f t="shared" si="53"/>
        <v>53.000000000000014</v>
      </c>
      <c r="W36" s="258"/>
      <c r="X36" s="258"/>
      <c r="Y36" s="456"/>
      <c r="Z36" s="456"/>
      <c r="AA36" s="11">
        <f t="shared" si="2"/>
        <v>-219.62264150943474</v>
      </c>
      <c r="AB36" s="259">
        <f t="shared" ref="AB36:AB60" si="57">M36/J36</f>
        <v>0.90849056603773548</v>
      </c>
      <c r="AC36" s="470"/>
    </row>
    <row r="37" spans="1:29">
      <c r="A37" s="486" t="s">
        <v>978</v>
      </c>
      <c r="B37" s="26" t="s">
        <v>24</v>
      </c>
      <c r="C37" s="487" t="s">
        <v>32</v>
      </c>
      <c r="D37" s="487"/>
      <c r="E37" s="26">
        <v>26.2</v>
      </c>
      <c r="F37" s="263">
        <v>2233</v>
      </c>
      <c r="G37" s="258">
        <f t="shared" si="49"/>
        <v>58504.6</v>
      </c>
      <c r="H37" s="76" t="s">
        <v>57</v>
      </c>
      <c r="I37" s="261">
        <v>20</v>
      </c>
      <c r="J37" s="18">
        <v>2400</v>
      </c>
      <c r="K37" s="9">
        <f t="shared" si="54"/>
        <v>120</v>
      </c>
      <c r="L37" s="261">
        <v>20</v>
      </c>
      <c r="M37" s="10">
        <f t="shared" si="55"/>
        <v>2196.3934426229503</v>
      </c>
      <c r="N37" s="9">
        <f t="shared" si="56"/>
        <v>109.81967213114751</v>
      </c>
      <c r="O37" s="11">
        <f t="shared" si="50"/>
        <v>0</v>
      </c>
      <c r="P37" s="12">
        <f t="shared" si="51"/>
        <v>-10.180327868852487</v>
      </c>
      <c r="Q37" s="259">
        <f t="shared" si="52"/>
        <v>0.91516393442622923</v>
      </c>
      <c r="R37" s="470"/>
      <c r="S37" s="24">
        <v>0.22916666666666669</v>
      </c>
      <c r="T37" s="24">
        <v>0.27152777777777781</v>
      </c>
      <c r="U37" s="258">
        <f t="shared" ref="U37:U40" si="58">(S37-T36)*24*60</f>
        <v>4.9999999999999822</v>
      </c>
      <c r="V37" s="262">
        <f t="shared" si="53"/>
        <v>61.000000000000021</v>
      </c>
      <c r="W37" s="258"/>
      <c r="X37" s="258"/>
      <c r="Y37" s="456"/>
      <c r="Z37" s="456"/>
      <c r="AA37" s="11">
        <f t="shared" si="2"/>
        <v>-203.60655737704974</v>
      </c>
      <c r="AB37" s="259">
        <f t="shared" si="57"/>
        <v>0.91516393442622923</v>
      </c>
      <c r="AC37" s="470"/>
    </row>
    <row r="38" spans="1:29">
      <c r="A38" s="486" t="s">
        <v>978</v>
      </c>
      <c r="B38" s="26" t="s">
        <v>24</v>
      </c>
      <c r="C38" s="487" t="s">
        <v>30</v>
      </c>
      <c r="D38" s="487"/>
      <c r="E38" s="26">
        <v>26.39</v>
      </c>
      <c r="F38" s="263">
        <v>4029</v>
      </c>
      <c r="G38" s="258">
        <f t="shared" si="49"/>
        <v>106325.31</v>
      </c>
      <c r="H38" s="76" t="s">
        <v>57</v>
      </c>
      <c r="I38" s="261">
        <v>19</v>
      </c>
      <c r="J38" s="18">
        <v>2400</v>
      </c>
      <c r="K38" s="9">
        <f t="shared" si="54"/>
        <v>126.31578947368421</v>
      </c>
      <c r="L38" s="261">
        <v>19</v>
      </c>
      <c r="M38" s="10">
        <f t="shared" si="55"/>
        <v>2177.8378378378379</v>
      </c>
      <c r="N38" s="9">
        <f t="shared" si="56"/>
        <v>114.62304409672831</v>
      </c>
      <c r="O38" s="11">
        <f t="shared" si="50"/>
        <v>0</v>
      </c>
      <c r="P38" s="12">
        <f t="shared" si="51"/>
        <v>-11.692745376955898</v>
      </c>
      <c r="Q38" s="259">
        <f t="shared" si="52"/>
        <v>0.90743243243243243</v>
      </c>
      <c r="R38" s="470"/>
      <c r="S38" s="24">
        <v>0.27569444444444446</v>
      </c>
      <c r="T38" s="24">
        <v>0.3527777777777778</v>
      </c>
      <c r="U38" s="258">
        <f t="shared" si="58"/>
        <v>5.9999999999999787</v>
      </c>
      <c r="V38" s="262">
        <f t="shared" si="53"/>
        <v>111</v>
      </c>
      <c r="W38" s="14"/>
      <c r="X38" s="14"/>
      <c r="Y38" s="456"/>
      <c r="Z38" s="456"/>
      <c r="AA38" s="11">
        <f t="shared" si="2"/>
        <v>-222.16216216216208</v>
      </c>
      <c r="AB38" s="259">
        <f t="shared" si="57"/>
        <v>0.90743243243243243</v>
      </c>
      <c r="AC38" s="470"/>
    </row>
    <row r="39" spans="1:29">
      <c r="A39" s="486" t="s">
        <v>978</v>
      </c>
      <c r="B39" s="26" t="s">
        <v>24</v>
      </c>
      <c r="C39" s="487" t="s">
        <v>27</v>
      </c>
      <c r="D39" s="487"/>
      <c r="E39" s="26">
        <v>20.52</v>
      </c>
      <c r="F39" s="263">
        <v>3236</v>
      </c>
      <c r="G39" s="258">
        <f t="shared" si="49"/>
        <v>66402.720000000001</v>
      </c>
      <c r="H39" s="76" t="s">
        <v>57</v>
      </c>
      <c r="I39" s="261">
        <v>18</v>
      </c>
      <c r="J39" s="18">
        <v>2400</v>
      </c>
      <c r="K39" s="9">
        <f t="shared" si="54"/>
        <v>133.33333333333334</v>
      </c>
      <c r="L39" s="261">
        <v>18</v>
      </c>
      <c r="M39" s="10">
        <f t="shared" si="55"/>
        <v>2181.5730337078653</v>
      </c>
      <c r="N39" s="9">
        <f t="shared" si="56"/>
        <v>121.19850187265918</v>
      </c>
      <c r="O39" s="11">
        <f t="shared" si="50"/>
        <v>0</v>
      </c>
      <c r="P39" s="12">
        <f t="shared" si="51"/>
        <v>-12.134831460674164</v>
      </c>
      <c r="Q39" s="259">
        <f t="shared" si="52"/>
        <v>0.90898876404494378</v>
      </c>
      <c r="R39" s="470"/>
      <c r="S39" s="24">
        <v>0.35833333333333334</v>
      </c>
      <c r="T39" s="24">
        <v>0.4201388888888889</v>
      </c>
      <c r="U39" s="258">
        <f t="shared" si="58"/>
        <v>7.9999999999999716</v>
      </c>
      <c r="V39" s="262">
        <f t="shared" si="53"/>
        <v>89</v>
      </c>
      <c r="W39" s="14"/>
      <c r="X39" s="14"/>
      <c r="Y39" s="456"/>
      <c r="Z39" s="456"/>
      <c r="AA39" s="11">
        <f t="shared" si="2"/>
        <v>-218.42696629213469</v>
      </c>
      <c r="AB39" s="259">
        <f t="shared" si="57"/>
        <v>0.90898876404494389</v>
      </c>
      <c r="AC39" s="470"/>
    </row>
    <row r="40" spans="1:29">
      <c r="A40" s="486" t="s">
        <v>978</v>
      </c>
      <c r="B40" s="26" t="s">
        <v>24</v>
      </c>
      <c r="C40" s="487" t="s">
        <v>55</v>
      </c>
      <c r="D40" s="487"/>
      <c r="E40" s="26">
        <v>26.2</v>
      </c>
      <c r="F40" s="263">
        <v>3183</v>
      </c>
      <c r="G40" s="258">
        <f t="shared" si="49"/>
        <v>83394.599999999991</v>
      </c>
      <c r="H40" s="76" t="s">
        <v>57</v>
      </c>
      <c r="I40" s="261">
        <v>19</v>
      </c>
      <c r="J40" s="18">
        <v>2400</v>
      </c>
      <c r="K40" s="9">
        <f t="shared" si="54"/>
        <v>126.31578947368421</v>
      </c>
      <c r="L40" s="261">
        <v>19</v>
      </c>
      <c r="M40" s="10">
        <f t="shared" si="55"/>
        <v>2170.227272727273</v>
      </c>
      <c r="N40" s="9">
        <f t="shared" si="56"/>
        <v>114.22248803827752</v>
      </c>
      <c r="O40" s="11">
        <f t="shared" si="50"/>
        <v>0</v>
      </c>
      <c r="P40" s="12">
        <f t="shared" si="51"/>
        <v>-12.093301435406687</v>
      </c>
      <c r="Q40" s="259">
        <f t="shared" si="52"/>
        <v>0.90426136363636367</v>
      </c>
      <c r="R40" s="470"/>
      <c r="S40" s="24">
        <v>0.42499999999999999</v>
      </c>
      <c r="T40" s="24">
        <v>0.4861111111111111</v>
      </c>
      <c r="U40" s="258">
        <f t="shared" si="58"/>
        <v>6.9999999999999751</v>
      </c>
      <c r="V40" s="262">
        <f t="shared" si="53"/>
        <v>88</v>
      </c>
      <c r="W40" s="14"/>
      <c r="X40" s="14"/>
      <c r="Y40" s="456"/>
      <c r="Z40" s="456"/>
      <c r="AA40" s="11">
        <f t="shared" si="2"/>
        <v>-229.77272727272702</v>
      </c>
      <c r="AB40" s="259">
        <f t="shared" si="57"/>
        <v>0.90426136363636378</v>
      </c>
      <c r="AC40" s="470"/>
    </row>
    <row r="41" spans="1:29">
      <c r="A41" s="486" t="s">
        <v>978</v>
      </c>
      <c r="B41" s="16" t="s">
        <v>973</v>
      </c>
      <c r="C41" s="466"/>
      <c r="D41" s="466"/>
      <c r="E41" s="257"/>
      <c r="F41" s="16"/>
      <c r="G41" s="9"/>
      <c r="H41" s="263"/>
      <c r="I41" s="17">
        <v>19</v>
      </c>
      <c r="J41" s="18">
        <v>2400</v>
      </c>
      <c r="K41" s="9">
        <f t="shared" si="54"/>
        <v>126.31578947368421</v>
      </c>
      <c r="L41" s="17">
        <v>19</v>
      </c>
      <c r="M41" s="10">
        <f>AVERAGE(M35:M40)</f>
        <v>2179.494824231082</v>
      </c>
      <c r="N41" s="9">
        <f>M41/L41</f>
        <v>114.71025390689906</v>
      </c>
      <c r="O41" s="11">
        <f>L41-I41</f>
        <v>0</v>
      </c>
      <c r="P41" s="12">
        <f t="shared" si="51"/>
        <v>-11.60553556678515</v>
      </c>
      <c r="Q41" s="259">
        <f t="shared" si="52"/>
        <v>0.90812284342961758</v>
      </c>
      <c r="R41" s="470"/>
      <c r="S41" s="24"/>
      <c r="T41" s="24"/>
      <c r="U41" s="9"/>
      <c r="V41" s="262"/>
      <c r="W41" s="9"/>
      <c r="X41" s="9"/>
      <c r="Y41" s="456"/>
      <c r="Z41" s="456"/>
      <c r="AA41" s="11">
        <f t="shared" si="2"/>
        <v>-220.50517576891798</v>
      </c>
      <c r="AB41" s="259">
        <f t="shared" si="57"/>
        <v>0.90812284342961747</v>
      </c>
      <c r="AC41" s="470"/>
    </row>
    <row r="42" spans="1:29" ht="15.75" customHeight="1">
      <c r="A42" s="488" t="s">
        <v>979</v>
      </c>
      <c r="B42" s="26" t="s">
        <v>33</v>
      </c>
      <c r="C42" s="491" t="s">
        <v>34</v>
      </c>
      <c r="D42" s="492"/>
      <c r="E42" s="26">
        <v>27.17</v>
      </c>
      <c r="F42" s="263">
        <v>2400</v>
      </c>
      <c r="G42" s="258">
        <f t="shared" ref="G42:G48" si="59">E42*F42</f>
        <v>65208.000000000007</v>
      </c>
      <c r="H42" s="76">
        <v>2</v>
      </c>
      <c r="I42" s="261">
        <v>10</v>
      </c>
      <c r="J42" s="18">
        <v>3000</v>
      </c>
      <c r="K42" s="9">
        <f t="shared" si="54"/>
        <v>300</v>
      </c>
      <c r="L42" s="261">
        <v>10</v>
      </c>
      <c r="M42" s="10">
        <f t="shared" ref="M42:M43" si="60">F42/V42*60</f>
        <v>2716.9811320754711</v>
      </c>
      <c r="N42" s="10">
        <f t="shared" ref="N42:N49" si="61">M42/L42</f>
        <v>271.69811320754712</v>
      </c>
      <c r="O42" s="11">
        <f t="shared" ref="O42:O49" si="62">L42-I42</f>
        <v>0</v>
      </c>
      <c r="P42" s="12">
        <f t="shared" si="51"/>
        <v>-28.301886792452876</v>
      </c>
      <c r="Q42" s="259">
        <f t="shared" si="52"/>
        <v>0.90566037735849036</v>
      </c>
      <c r="R42" s="493">
        <f>Q49</f>
        <v>0.90733605124516581</v>
      </c>
      <c r="S42" s="24">
        <v>0.20833333333333334</v>
      </c>
      <c r="T42" s="24">
        <v>0.24513888888888891</v>
      </c>
      <c r="U42" s="15"/>
      <c r="V42" s="262">
        <f t="shared" ref="V42:V48" si="63">(T42-S42)*24*60</f>
        <v>53.000000000000014</v>
      </c>
      <c r="W42" s="258"/>
      <c r="X42" s="258"/>
      <c r="Y42" s="473"/>
      <c r="Z42" s="474"/>
      <c r="AA42" s="11">
        <f t="shared" si="2"/>
        <v>-283.01886792452888</v>
      </c>
      <c r="AB42" s="259">
        <f t="shared" si="57"/>
        <v>0.90566037735849036</v>
      </c>
      <c r="AC42" s="493">
        <f>AB49</f>
        <v>0.9073360512451657</v>
      </c>
    </row>
    <row r="43" spans="1:29" ht="15.75" customHeight="1">
      <c r="A43" s="489" t="s">
        <v>9</v>
      </c>
      <c r="B43" s="26" t="s">
        <v>33</v>
      </c>
      <c r="C43" s="491" t="s">
        <v>35</v>
      </c>
      <c r="D43" s="492"/>
      <c r="E43" s="26">
        <v>21.13</v>
      </c>
      <c r="F43" s="263">
        <v>3965</v>
      </c>
      <c r="G43" s="258">
        <f t="shared" si="59"/>
        <v>83780.45</v>
      </c>
      <c r="H43" s="76" t="s">
        <v>57</v>
      </c>
      <c r="I43" s="261">
        <v>10</v>
      </c>
      <c r="J43" s="18">
        <v>3000</v>
      </c>
      <c r="K43" s="9">
        <f t="shared" si="54"/>
        <v>300</v>
      </c>
      <c r="L43" s="261">
        <v>10</v>
      </c>
      <c r="M43" s="10">
        <f t="shared" si="60"/>
        <v>2734.4827586206907</v>
      </c>
      <c r="N43" s="10">
        <f t="shared" si="61"/>
        <v>273.44827586206907</v>
      </c>
      <c r="O43" s="11">
        <f t="shared" si="62"/>
        <v>0</v>
      </c>
      <c r="P43" s="12">
        <f t="shared" si="51"/>
        <v>-26.551724137930933</v>
      </c>
      <c r="Q43" s="259">
        <f t="shared" si="52"/>
        <v>0.91149425287356356</v>
      </c>
      <c r="R43" s="494"/>
      <c r="S43" s="24">
        <v>0.24930555555555559</v>
      </c>
      <c r="T43" s="24">
        <v>0.30972222222222223</v>
      </c>
      <c r="U43" s="258">
        <f>(S43-T42)*24*60</f>
        <v>6.0000000000000187</v>
      </c>
      <c r="V43" s="262">
        <f t="shared" si="63"/>
        <v>86.999999999999972</v>
      </c>
      <c r="W43" s="14"/>
      <c r="X43" s="14"/>
      <c r="Y43" s="473"/>
      <c r="Z43" s="474"/>
      <c r="AA43" s="11">
        <f t="shared" si="2"/>
        <v>-265.51724137930933</v>
      </c>
      <c r="AB43" s="259">
        <f t="shared" si="57"/>
        <v>0.91149425287356356</v>
      </c>
      <c r="AC43" s="494"/>
    </row>
    <row r="44" spans="1:29" ht="15.75" customHeight="1">
      <c r="A44" s="489" t="s">
        <v>9</v>
      </c>
      <c r="B44" s="26" t="s">
        <v>33</v>
      </c>
      <c r="C44" s="491" t="s">
        <v>43</v>
      </c>
      <c r="D44" s="492"/>
      <c r="E44" s="26">
        <v>35.119999999999997</v>
      </c>
      <c r="F44" s="263">
        <v>3971</v>
      </c>
      <c r="G44" s="258">
        <f t="shared" si="59"/>
        <v>139461.51999999999</v>
      </c>
      <c r="H44" s="76" t="s">
        <v>57</v>
      </c>
      <c r="I44" s="261">
        <v>10</v>
      </c>
      <c r="J44" s="18">
        <v>3000</v>
      </c>
      <c r="K44" s="9">
        <f t="shared" si="54"/>
        <v>300</v>
      </c>
      <c r="L44" s="261">
        <v>10</v>
      </c>
      <c r="M44" s="10">
        <f>F44/V44*60</f>
        <v>2707.5</v>
      </c>
      <c r="N44" s="10">
        <f t="shared" si="61"/>
        <v>270.75</v>
      </c>
      <c r="O44" s="11">
        <f t="shared" si="62"/>
        <v>0</v>
      </c>
      <c r="P44" s="12">
        <f t="shared" si="51"/>
        <v>-29.25</v>
      </c>
      <c r="Q44" s="259">
        <f t="shared" si="52"/>
        <v>0.90249999999999997</v>
      </c>
      <c r="R44" s="494"/>
      <c r="S44" s="24">
        <v>0.31527777777777777</v>
      </c>
      <c r="T44" s="24">
        <v>0.37638888888888888</v>
      </c>
      <c r="U44" s="258">
        <f t="shared" ref="U44:U48" si="64">(S44-T43)*24*60</f>
        <v>7.9999999999999716</v>
      </c>
      <c r="V44" s="262">
        <f t="shared" si="63"/>
        <v>88</v>
      </c>
      <c r="W44" s="14"/>
      <c r="X44" s="14"/>
      <c r="Y44" s="473"/>
      <c r="Z44" s="474"/>
      <c r="AA44" s="11">
        <f t="shared" si="2"/>
        <v>-292.5</v>
      </c>
      <c r="AB44" s="259">
        <f t="shared" si="57"/>
        <v>0.90249999999999997</v>
      </c>
      <c r="AC44" s="494"/>
    </row>
    <row r="45" spans="1:29" ht="15.75" customHeight="1">
      <c r="A45" s="489" t="s">
        <v>9</v>
      </c>
      <c r="B45" s="26" t="s">
        <v>33</v>
      </c>
      <c r="C45" s="491" t="s">
        <v>67</v>
      </c>
      <c r="D45" s="492"/>
      <c r="E45" s="26">
        <v>40.18</v>
      </c>
      <c r="F45" s="263">
        <v>2313</v>
      </c>
      <c r="G45" s="258">
        <f t="shared" si="59"/>
        <v>92936.34</v>
      </c>
      <c r="H45" s="76" t="s">
        <v>57</v>
      </c>
      <c r="I45" s="261">
        <v>10</v>
      </c>
      <c r="J45" s="18">
        <v>3000</v>
      </c>
      <c r="K45" s="9">
        <f t="shared" si="54"/>
        <v>300</v>
      </c>
      <c r="L45" s="261">
        <v>10</v>
      </c>
      <c r="M45" s="10">
        <f t="shared" ref="M45:M48" si="65">F45/V45*60</f>
        <v>2721.1764705882365</v>
      </c>
      <c r="N45" s="10">
        <f t="shared" si="61"/>
        <v>272.11764705882365</v>
      </c>
      <c r="O45" s="11">
        <f t="shared" si="62"/>
        <v>0</v>
      </c>
      <c r="P45" s="12">
        <f t="shared" si="51"/>
        <v>-27.88235294117635</v>
      </c>
      <c r="Q45" s="259">
        <f t="shared" si="52"/>
        <v>0.90705882352941214</v>
      </c>
      <c r="R45" s="494"/>
      <c r="S45" s="24">
        <v>0.38124999999999998</v>
      </c>
      <c r="T45" s="24">
        <v>0.41666666666666663</v>
      </c>
      <c r="U45" s="258">
        <f t="shared" si="64"/>
        <v>6.9999999999999751</v>
      </c>
      <c r="V45" s="262">
        <f t="shared" si="63"/>
        <v>50.999999999999979</v>
      </c>
      <c r="W45" s="14"/>
      <c r="X45" s="14"/>
      <c r="Y45" s="473"/>
      <c r="Z45" s="474"/>
      <c r="AA45" s="11">
        <f t="shared" si="2"/>
        <v>-278.8235294117635</v>
      </c>
      <c r="AB45" s="259">
        <f t="shared" si="57"/>
        <v>0.90705882352941214</v>
      </c>
      <c r="AC45" s="494"/>
    </row>
    <row r="46" spans="1:29" ht="15.75" customHeight="1">
      <c r="A46" s="489" t="s">
        <v>9</v>
      </c>
      <c r="B46" s="26" t="s">
        <v>33</v>
      </c>
      <c r="C46" s="491" t="s">
        <v>73</v>
      </c>
      <c r="D46" s="492"/>
      <c r="E46" s="26">
        <v>28.5</v>
      </c>
      <c r="F46" s="263">
        <v>1583</v>
      </c>
      <c r="G46" s="258">
        <f t="shared" si="59"/>
        <v>45115.5</v>
      </c>
      <c r="H46" s="76" t="s">
        <v>57</v>
      </c>
      <c r="I46" s="261">
        <v>10</v>
      </c>
      <c r="J46" s="18">
        <v>3000</v>
      </c>
      <c r="K46" s="9">
        <f t="shared" si="54"/>
        <v>300</v>
      </c>
      <c r="L46" s="261">
        <v>10</v>
      </c>
      <c r="M46" s="10">
        <f t="shared" si="65"/>
        <v>2713.7142857142831</v>
      </c>
      <c r="N46" s="10">
        <f t="shared" si="61"/>
        <v>271.37142857142828</v>
      </c>
      <c r="O46" s="11">
        <f t="shared" si="62"/>
        <v>0</v>
      </c>
      <c r="P46" s="12">
        <f t="shared" si="51"/>
        <v>-28.628571428571718</v>
      </c>
      <c r="Q46" s="259">
        <f>N46/K46</f>
        <v>0.90457142857142758</v>
      </c>
      <c r="R46" s="494"/>
      <c r="S46" s="24">
        <v>0.42013888888888884</v>
      </c>
      <c r="T46" s="24">
        <v>0.44444444444444442</v>
      </c>
      <c r="U46" s="258">
        <f t="shared" si="64"/>
        <v>4.9999999999999822</v>
      </c>
      <c r="V46" s="262">
        <f t="shared" si="63"/>
        <v>35.000000000000036</v>
      </c>
      <c r="W46" s="14"/>
      <c r="X46" s="14"/>
      <c r="Y46" s="473"/>
      <c r="Z46" s="474"/>
      <c r="AA46" s="11">
        <f t="shared" si="2"/>
        <v>-286.28571428571695</v>
      </c>
      <c r="AB46" s="259">
        <f t="shared" si="57"/>
        <v>0.90457142857142769</v>
      </c>
      <c r="AC46" s="494"/>
    </row>
    <row r="47" spans="1:29" ht="15.75" customHeight="1">
      <c r="A47" s="489" t="s">
        <v>9</v>
      </c>
      <c r="B47" s="26" t="s">
        <v>33</v>
      </c>
      <c r="C47" s="491" t="s">
        <v>511</v>
      </c>
      <c r="D47" s="492"/>
      <c r="E47" s="26">
        <v>35.869999999999997</v>
      </c>
      <c r="F47" s="263">
        <v>3539</v>
      </c>
      <c r="G47" s="258">
        <f t="shared" si="59"/>
        <v>126943.93</v>
      </c>
      <c r="H47" s="76" t="s">
        <v>57</v>
      </c>
      <c r="I47" s="261">
        <v>10</v>
      </c>
      <c r="J47" s="18">
        <v>3000</v>
      </c>
      <c r="K47" s="9">
        <f t="shared" si="54"/>
        <v>300</v>
      </c>
      <c r="L47" s="261">
        <v>10</v>
      </c>
      <c r="M47" s="10">
        <f t="shared" si="65"/>
        <v>2722.307692307691</v>
      </c>
      <c r="N47" s="10">
        <f t="shared" si="61"/>
        <v>272.23076923076911</v>
      </c>
      <c r="O47" s="11">
        <f t="shared" si="62"/>
        <v>0</v>
      </c>
      <c r="P47" s="12">
        <f t="shared" si="51"/>
        <v>-27.769230769230887</v>
      </c>
      <c r="Q47" s="259">
        <f t="shared" ref="Q47:Q49" si="66">N47/K47</f>
        <v>0.90743589743589703</v>
      </c>
      <c r="R47" s="494"/>
      <c r="S47" s="24">
        <v>0.44861111111111107</v>
      </c>
      <c r="T47" s="24">
        <v>0.50277777777777777</v>
      </c>
      <c r="U47" s="258">
        <f t="shared" si="64"/>
        <v>5.9999999999999787</v>
      </c>
      <c r="V47" s="262">
        <f t="shared" si="63"/>
        <v>78.000000000000043</v>
      </c>
      <c r="W47" s="14"/>
      <c r="X47" s="14"/>
      <c r="Y47" s="473"/>
      <c r="Z47" s="474"/>
      <c r="AA47" s="11">
        <f t="shared" si="2"/>
        <v>-277.69230769230899</v>
      </c>
      <c r="AB47" s="259">
        <f t="shared" si="57"/>
        <v>0.90743589743589703</v>
      </c>
      <c r="AC47" s="494"/>
    </row>
    <row r="48" spans="1:29" ht="15.75" customHeight="1">
      <c r="A48" s="489" t="s">
        <v>9</v>
      </c>
      <c r="B48" s="26" t="s">
        <v>33</v>
      </c>
      <c r="C48" s="491" t="s">
        <v>34</v>
      </c>
      <c r="D48" s="492"/>
      <c r="E48" s="26">
        <v>27.17</v>
      </c>
      <c r="F48" s="263">
        <v>2601</v>
      </c>
      <c r="G48" s="258">
        <f t="shared" si="59"/>
        <v>70669.17</v>
      </c>
      <c r="H48" s="76" t="s">
        <v>57</v>
      </c>
      <c r="I48" s="261">
        <v>10</v>
      </c>
      <c r="J48" s="18">
        <v>3000</v>
      </c>
      <c r="K48" s="9">
        <f t="shared" si="54"/>
        <v>300</v>
      </c>
      <c r="L48" s="261">
        <v>10</v>
      </c>
      <c r="M48" s="10">
        <f t="shared" si="65"/>
        <v>2737.8947368421072</v>
      </c>
      <c r="N48" s="10">
        <f t="shared" si="61"/>
        <v>273.78947368421075</v>
      </c>
      <c r="O48" s="11">
        <f t="shared" si="62"/>
        <v>0</v>
      </c>
      <c r="P48" s="12">
        <f t="shared" si="51"/>
        <v>-26.210526315789252</v>
      </c>
      <c r="Q48" s="259">
        <f t="shared" si="66"/>
        <v>0.91263157894736913</v>
      </c>
      <c r="R48" s="494"/>
      <c r="S48" s="24">
        <v>0.54374999999999996</v>
      </c>
      <c r="T48" s="24">
        <v>0.58333333333333326</v>
      </c>
      <c r="U48" s="258">
        <f t="shared" si="64"/>
        <v>58.99999999999995</v>
      </c>
      <c r="V48" s="262">
        <f t="shared" si="63"/>
        <v>56.999999999999957</v>
      </c>
      <c r="W48" s="14"/>
      <c r="X48" s="14"/>
      <c r="Y48" s="473"/>
      <c r="Z48" s="474"/>
      <c r="AA48" s="11">
        <f t="shared" si="2"/>
        <v>-262.10526315789275</v>
      </c>
      <c r="AB48" s="259">
        <f t="shared" si="57"/>
        <v>0.91263157894736913</v>
      </c>
      <c r="AC48" s="494"/>
    </row>
    <row r="49" spans="1:29" ht="15.75" customHeight="1">
      <c r="A49" s="490" t="s">
        <v>9</v>
      </c>
      <c r="B49" s="26" t="s">
        <v>973</v>
      </c>
      <c r="C49" s="497"/>
      <c r="D49" s="498"/>
      <c r="E49" s="260"/>
      <c r="F49" s="263"/>
      <c r="G49" s="258"/>
      <c r="H49" s="263"/>
      <c r="I49" s="17">
        <v>10</v>
      </c>
      <c r="J49" s="18">
        <v>3000</v>
      </c>
      <c r="K49" s="9">
        <f>J49/I49</f>
        <v>300</v>
      </c>
      <c r="L49" s="17">
        <v>10</v>
      </c>
      <c r="M49" s="10">
        <f>AVERAGE(M42:M48)</f>
        <v>2722.0081537354972</v>
      </c>
      <c r="N49" s="9">
        <f t="shared" si="61"/>
        <v>272.20081537354974</v>
      </c>
      <c r="O49" s="11">
        <f t="shared" si="62"/>
        <v>0</v>
      </c>
      <c r="P49" s="12">
        <f t="shared" si="51"/>
        <v>-27.799184626450256</v>
      </c>
      <c r="Q49" s="259">
        <f t="shared" si="66"/>
        <v>0.90733605124516581</v>
      </c>
      <c r="R49" s="495"/>
      <c r="S49" s="24"/>
      <c r="T49" s="24"/>
      <c r="U49" s="258"/>
      <c r="V49" s="262"/>
      <c r="W49" s="14"/>
      <c r="X49" s="14"/>
      <c r="Y49" s="473"/>
      <c r="Z49" s="474"/>
      <c r="AA49" s="11">
        <f t="shared" si="2"/>
        <v>-277.99184626450278</v>
      </c>
      <c r="AB49" s="259">
        <f t="shared" si="57"/>
        <v>0.9073360512451657</v>
      </c>
      <c r="AC49" s="495"/>
    </row>
    <row r="50" spans="1:29" ht="15.75" customHeight="1">
      <c r="A50" s="461" t="s">
        <v>980</v>
      </c>
      <c r="B50" s="26" t="s">
        <v>15</v>
      </c>
      <c r="C50" s="487" t="s">
        <v>20</v>
      </c>
      <c r="D50" s="487"/>
      <c r="E50" s="26">
        <v>46</v>
      </c>
      <c r="F50" s="27">
        <v>2530</v>
      </c>
      <c r="G50" s="258">
        <f t="shared" ref="G50:G53" si="67">E50*F50</f>
        <v>116380</v>
      </c>
      <c r="H50" s="76" t="s">
        <v>57</v>
      </c>
      <c r="I50" s="261">
        <v>17</v>
      </c>
      <c r="J50" s="18">
        <v>1500</v>
      </c>
      <c r="K50" s="9">
        <f t="shared" ref="K50:K53" si="68">J50/I50</f>
        <v>88.235294117647058</v>
      </c>
      <c r="L50" s="261">
        <v>17</v>
      </c>
      <c r="M50" s="10">
        <f t="shared" ref="M50:M53" si="69">F50/V50*60</f>
        <v>1355.3571428571429</v>
      </c>
      <c r="N50" s="10">
        <f>M50/L50</f>
        <v>79.726890756302524</v>
      </c>
      <c r="O50" s="11">
        <f>L50-I50</f>
        <v>0</v>
      </c>
      <c r="P50" s="12">
        <f>N50-K50</f>
        <v>-8.5084033613445342</v>
      </c>
      <c r="Q50" s="259">
        <f>N50/K50</f>
        <v>0.90357142857142858</v>
      </c>
      <c r="R50" s="470">
        <f>Q54</f>
        <v>0.90710352002600281</v>
      </c>
      <c r="S50" s="24">
        <v>0.29305555555555557</v>
      </c>
      <c r="T50" s="24">
        <v>0.37083333333333335</v>
      </c>
      <c r="U50" s="15"/>
      <c r="V50" s="262">
        <f t="shared" ref="V50:V53" si="70">(T50-S50)*24*60</f>
        <v>112</v>
      </c>
      <c r="W50" s="15"/>
      <c r="X50" s="15"/>
      <c r="Y50" s="456"/>
      <c r="Z50" s="456"/>
      <c r="AA50" s="11">
        <f t="shared" si="2"/>
        <v>-144.64285714285711</v>
      </c>
      <c r="AB50" s="259">
        <f t="shared" si="57"/>
        <v>0.90357142857142858</v>
      </c>
      <c r="AC50" s="470">
        <f>AB54</f>
        <v>0.9071035200260027</v>
      </c>
    </row>
    <row r="51" spans="1:29" ht="15.75" customHeight="1">
      <c r="A51" s="461" t="s">
        <v>10</v>
      </c>
      <c r="B51" s="26" t="s">
        <v>15</v>
      </c>
      <c r="C51" s="487" t="s">
        <v>75</v>
      </c>
      <c r="D51" s="487"/>
      <c r="E51" s="26">
        <v>46</v>
      </c>
      <c r="F51" s="27">
        <v>3090</v>
      </c>
      <c r="G51" s="258">
        <f t="shared" si="67"/>
        <v>142140</v>
      </c>
      <c r="H51" s="76" t="s">
        <v>57</v>
      </c>
      <c r="I51" s="261">
        <v>18</v>
      </c>
      <c r="J51" s="18">
        <v>1500</v>
      </c>
      <c r="K51" s="9">
        <f t="shared" si="68"/>
        <v>83.333333333333329</v>
      </c>
      <c r="L51" s="261">
        <v>18</v>
      </c>
      <c r="M51" s="10">
        <f t="shared" si="69"/>
        <v>1363.2352941176468</v>
      </c>
      <c r="N51" s="10">
        <f t="shared" ref="N51:N53" si="71">M51/L51</f>
        <v>75.735294117647044</v>
      </c>
      <c r="O51" s="11">
        <f t="shared" ref="O51:O53" si="72">L51-I51</f>
        <v>0</v>
      </c>
      <c r="P51" s="12">
        <f t="shared" ref="P51:P53" si="73">N51-K51</f>
        <v>-7.5980392156862848</v>
      </c>
      <c r="Q51" s="259">
        <f t="shared" ref="Q51:Q53" si="74">N51/K51</f>
        <v>0.90882352941176459</v>
      </c>
      <c r="R51" s="470"/>
      <c r="S51" s="24">
        <v>0.37638888888888888</v>
      </c>
      <c r="T51" s="24">
        <v>0.47083333333333333</v>
      </c>
      <c r="U51" s="258">
        <f t="shared" ref="U51:U53" si="75">(S51-T50)*24*60</f>
        <v>7.9999999999999716</v>
      </c>
      <c r="V51" s="262">
        <f t="shared" si="70"/>
        <v>136</v>
      </c>
      <c r="W51" s="14"/>
      <c r="X51" s="14"/>
      <c r="Y51" s="456"/>
      <c r="Z51" s="456"/>
      <c r="AA51" s="11">
        <f t="shared" si="2"/>
        <v>-136.76470588235316</v>
      </c>
      <c r="AB51" s="259">
        <f t="shared" si="57"/>
        <v>0.90882352941176459</v>
      </c>
      <c r="AC51" s="470"/>
    </row>
    <row r="52" spans="1:29" ht="15.75" customHeight="1">
      <c r="A52" s="461" t="s">
        <v>10</v>
      </c>
      <c r="B52" s="26" t="s">
        <v>13</v>
      </c>
      <c r="C52" s="491" t="s">
        <v>65</v>
      </c>
      <c r="D52" s="492"/>
      <c r="E52" s="26">
        <v>55.56</v>
      </c>
      <c r="F52" s="27">
        <v>1775</v>
      </c>
      <c r="G52" s="258">
        <f t="shared" si="67"/>
        <v>98619</v>
      </c>
      <c r="H52" s="76" t="s">
        <v>57</v>
      </c>
      <c r="I52" s="261">
        <v>17</v>
      </c>
      <c r="J52" s="18">
        <v>1500</v>
      </c>
      <c r="K52" s="9">
        <f t="shared" si="68"/>
        <v>88.235294117647058</v>
      </c>
      <c r="L52" s="261">
        <v>17</v>
      </c>
      <c r="M52" s="10">
        <f t="shared" si="69"/>
        <v>1365.3846153846148</v>
      </c>
      <c r="N52" s="10">
        <f t="shared" si="71"/>
        <v>80.316742081447927</v>
      </c>
      <c r="O52" s="11">
        <f t="shared" si="72"/>
        <v>0</v>
      </c>
      <c r="P52" s="12">
        <f t="shared" si="73"/>
        <v>-7.9185520361991308</v>
      </c>
      <c r="Q52" s="259">
        <f t="shared" si="74"/>
        <v>0.9102564102564098</v>
      </c>
      <c r="R52" s="470"/>
      <c r="S52" s="24">
        <v>0.70833333333333337</v>
      </c>
      <c r="T52" s="24">
        <v>0.76250000000000007</v>
      </c>
      <c r="U52" s="258">
        <f t="shared" si="75"/>
        <v>342.00000000000006</v>
      </c>
      <c r="V52" s="262">
        <f t="shared" si="70"/>
        <v>78.000000000000043</v>
      </c>
      <c r="W52" s="14"/>
      <c r="X52" s="14"/>
      <c r="Y52" s="255"/>
      <c r="Z52" s="256"/>
      <c r="AA52" s="11">
        <f t="shared" si="2"/>
        <v>-134.61538461538521</v>
      </c>
      <c r="AB52" s="259">
        <f t="shared" si="57"/>
        <v>0.91025641025640991</v>
      </c>
      <c r="AC52" s="470"/>
    </row>
    <row r="53" spans="1:29" ht="15.75" customHeight="1">
      <c r="A53" s="461" t="s">
        <v>10</v>
      </c>
      <c r="B53" s="26" t="s">
        <v>13</v>
      </c>
      <c r="C53" s="253" t="s">
        <v>64</v>
      </c>
      <c r="D53" s="254"/>
      <c r="E53" s="26">
        <v>55.32</v>
      </c>
      <c r="F53" s="27">
        <v>1336</v>
      </c>
      <c r="G53" s="258">
        <f t="shared" si="67"/>
        <v>73907.520000000004</v>
      </c>
      <c r="H53" s="76" t="s">
        <v>57</v>
      </c>
      <c r="I53" s="261">
        <v>15</v>
      </c>
      <c r="J53" s="18">
        <v>1500</v>
      </c>
      <c r="K53" s="9">
        <f t="shared" si="68"/>
        <v>100</v>
      </c>
      <c r="L53" s="261">
        <v>15</v>
      </c>
      <c r="M53" s="10">
        <f t="shared" si="69"/>
        <v>1358.6440677966111</v>
      </c>
      <c r="N53" s="10">
        <f t="shared" si="71"/>
        <v>90.576271186440735</v>
      </c>
      <c r="O53" s="11">
        <f t="shared" si="72"/>
        <v>0</v>
      </c>
      <c r="P53" s="12">
        <f t="shared" si="73"/>
        <v>-9.4237288135592649</v>
      </c>
      <c r="Q53" s="259">
        <f t="shared" si="74"/>
        <v>0.90576271186440738</v>
      </c>
      <c r="R53" s="470"/>
      <c r="S53" s="24">
        <v>0.76597222222222228</v>
      </c>
      <c r="T53" s="24">
        <v>0.80694444444444446</v>
      </c>
      <c r="U53" s="258">
        <f t="shared" si="75"/>
        <v>4.9999999999999822</v>
      </c>
      <c r="V53" s="262">
        <f t="shared" si="70"/>
        <v>58.99999999999995</v>
      </c>
      <c r="W53" s="14"/>
      <c r="X53" s="14"/>
      <c r="Y53" s="255"/>
      <c r="Z53" s="256"/>
      <c r="AA53" s="11">
        <f t="shared" si="2"/>
        <v>-141.35593220338887</v>
      </c>
      <c r="AB53" s="259">
        <f t="shared" si="57"/>
        <v>0.90576271186440738</v>
      </c>
      <c r="AC53" s="470"/>
    </row>
    <row r="54" spans="1:29">
      <c r="A54" s="496" t="s">
        <v>10</v>
      </c>
      <c r="B54" s="26" t="s">
        <v>973</v>
      </c>
      <c r="C54" s="466"/>
      <c r="D54" s="466"/>
      <c r="E54" s="257"/>
      <c r="F54" s="16"/>
      <c r="G54" s="9"/>
      <c r="H54" s="263"/>
      <c r="I54" s="17">
        <v>16.75</v>
      </c>
      <c r="J54" s="18">
        <v>1500</v>
      </c>
      <c r="K54" s="9">
        <f>J54/I54</f>
        <v>89.552238805970148</v>
      </c>
      <c r="L54" s="17">
        <v>16.75</v>
      </c>
      <c r="M54" s="10">
        <f>AVERAGE(M50:M53)</f>
        <v>1360.6552800390041</v>
      </c>
      <c r="N54" s="9">
        <f>M54/L54</f>
        <v>81.233151047104727</v>
      </c>
      <c r="O54" s="11">
        <f>L54-I54</f>
        <v>0</v>
      </c>
      <c r="P54" s="12">
        <f>N54-K54</f>
        <v>-8.3190877588654217</v>
      </c>
      <c r="Q54" s="259">
        <f>N54/K54</f>
        <v>0.90710352002600281</v>
      </c>
      <c r="R54" s="470"/>
      <c r="S54" s="25"/>
      <c r="T54" s="24"/>
      <c r="U54" s="9"/>
      <c r="V54" s="262"/>
      <c r="W54" s="9"/>
      <c r="X54" s="9"/>
      <c r="Y54" s="456"/>
      <c r="Z54" s="456"/>
      <c r="AA54" s="11">
        <f t="shared" si="2"/>
        <v>-139.34471996099592</v>
      </c>
      <c r="AB54" s="259">
        <f t="shared" si="57"/>
        <v>0.9071035200260027</v>
      </c>
      <c r="AC54" s="470"/>
    </row>
    <row r="55" spans="1:29" ht="15.75" customHeight="1">
      <c r="A55" s="499" t="s">
        <v>981</v>
      </c>
      <c r="B55" s="263" t="s">
        <v>33</v>
      </c>
      <c r="C55" s="487" t="s">
        <v>36</v>
      </c>
      <c r="D55" s="487"/>
      <c r="E55" s="26">
        <v>26.78</v>
      </c>
      <c r="F55" s="27">
        <v>2303</v>
      </c>
      <c r="G55" s="258">
        <f t="shared" ref="G55:G59" si="76">E55*F55</f>
        <v>61674.340000000004</v>
      </c>
      <c r="H55" s="76" t="s">
        <v>57</v>
      </c>
      <c r="I55" s="261">
        <v>10</v>
      </c>
      <c r="J55" s="18">
        <v>3000</v>
      </c>
      <c r="K55" s="9">
        <f t="shared" ref="K55:K59" si="77">J55/I55</f>
        <v>300</v>
      </c>
      <c r="L55" s="17">
        <v>10</v>
      </c>
      <c r="M55" s="10">
        <f t="shared" ref="M55:M59" si="78">F55/V55*60</f>
        <v>2709.4117647058838</v>
      </c>
      <c r="N55" s="9">
        <f>M55/L55</f>
        <v>270.9411764705884</v>
      </c>
      <c r="O55" s="11">
        <f t="shared" ref="O55:O59" si="79">L55-I55</f>
        <v>0</v>
      </c>
      <c r="P55" s="12">
        <f t="shared" ref="P55:P59" si="80">N55-K55</f>
        <v>-29.058823529411598</v>
      </c>
      <c r="Q55" s="259">
        <f>N55/K55</f>
        <v>0.90313725490196139</v>
      </c>
      <c r="R55" s="470">
        <f>Q60</f>
        <v>0.90860930675570351</v>
      </c>
      <c r="S55" s="24">
        <v>0.25069444444444444</v>
      </c>
      <c r="T55" s="24">
        <v>0.28611111111111109</v>
      </c>
      <c r="U55" s="258"/>
      <c r="V55" s="262">
        <f t="shared" ref="V55:V59" si="81">(T55-S55)*24*60</f>
        <v>50.999999999999979</v>
      </c>
      <c r="W55" s="15"/>
      <c r="X55" s="15"/>
      <c r="Y55" s="456"/>
      <c r="Z55" s="456"/>
      <c r="AA55" s="11">
        <f t="shared" si="2"/>
        <v>-290.5882352941162</v>
      </c>
      <c r="AB55" s="259">
        <f t="shared" si="57"/>
        <v>0.90313725490196128</v>
      </c>
      <c r="AC55" s="470">
        <f>AB60</f>
        <v>0.90860930675570351</v>
      </c>
    </row>
    <row r="56" spans="1:29" ht="15.75" customHeight="1">
      <c r="A56" s="499" t="s">
        <v>11</v>
      </c>
      <c r="B56" s="263" t="s">
        <v>33</v>
      </c>
      <c r="C56" s="487" t="s">
        <v>42</v>
      </c>
      <c r="D56" s="487"/>
      <c r="E56" s="26">
        <v>35.369999999999997</v>
      </c>
      <c r="F56" s="27">
        <v>1544</v>
      </c>
      <c r="G56" s="258">
        <f t="shared" si="76"/>
        <v>54611.28</v>
      </c>
      <c r="H56" s="76" t="s">
        <v>57</v>
      </c>
      <c r="I56" s="261">
        <v>10</v>
      </c>
      <c r="J56" s="18">
        <v>3000</v>
      </c>
      <c r="K56" s="9">
        <f t="shared" si="77"/>
        <v>300</v>
      </c>
      <c r="L56" s="17">
        <v>10</v>
      </c>
      <c r="M56" s="10">
        <f t="shared" si="78"/>
        <v>2724.7058823529378</v>
      </c>
      <c r="N56" s="9">
        <f t="shared" ref="N56:N59" si="82">M56/L56</f>
        <v>272.4705882352938</v>
      </c>
      <c r="O56" s="11">
        <f t="shared" si="79"/>
        <v>0</v>
      </c>
      <c r="P56" s="12">
        <f t="shared" si="80"/>
        <v>-27.529411764706197</v>
      </c>
      <c r="Q56" s="259">
        <f t="shared" ref="Q56:Q59" si="83">N56/K56</f>
        <v>0.90823529411764603</v>
      </c>
      <c r="R56" s="470"/>
      <c r="S56" s="24">
        <v>0.2895833333333333</v>
      </c>
      <c r="T56" s="24">
        <v>0.31319444444444444</v>
      </c>
      <c r="U56" s="258">
        <f>(S56-T55)*24*60</f>
        <v>4.9999999999999822</v>
      </c>
      <c r="V56" s="262">
        <f t="shared" si="81"/>
        <v>34.000000000000043</v>
      </c>
      <c r="W56" s="258"/>
      <c r="X56" s="258"/>
      <c r="Y56" s="456"/>
      <c r="Z56" s="456"/>
      <c r="AA56" s="11">
        <f t="shared" si="2"/>
        <v>-275.29411764706219</v>
      </c>
      <c r="AB56" s="259">
        <f t="shared" si="57"/>
        <v>0.90823529411764592</v>
      </c>
      <c r="AC56" s="470"/>
    </row>
    <row r="57" spans="1:29" ht="15.75" customHeight="1">
      <c r="A57" s="499" t="s">
        <v>11</v>
      </c>
      <c r="B57" s="263" t="s">
        <v>33</v>
      </c>
      <c r="C57" s="487" t="s">
        <v>41</v>
      </c>
      <c r="D57" s="487"/>
      <c r="E57" s="26">
        <v>34.35</v>
      </c>
      <c r="F57" s="27">
        <v>1240</v>
      </c>
      <c r="G57" s="258">
        <f t="shared" si="76"/>
        <v>42594</v>
      </c>
      <c r="H57" s="76" t="s">
        <v>57</v>
      </c>
      <c r="I57" s="261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2755.555555555557</v>
      </c>
      <c r="N57" s="9">
        <f t="shared" si="82"/>
        <v>275.55555555555571</v>
      </c>
      <c r="O57" s="11">
        <f t="shared" si="79"/>
        <v>0</v>
      </c>
      <c r="P57" s="12">
        <f t="shared" si="80"/>
        <v>-24.444444444444287</v>
      </c>
      <c r="Q57" s="259">
        <f t="shared" si="83"/>
        <v>0.91851851851851907</v>
      </c>
      <c r="R57" s="470"/>
      <c r="S57" s="24">
        <v>0.31736111111111109</v>
      </c>
      <c r="T57" s="24">
        <v>0.33611111111111108</v>
      </c>
      <c r="U57" s="258">
        <f t="shared" ref="U57:U59" si="84">(S57-T56)*24*60</f>
        <v>5.9999999999999787</v>
      </c>
      <c r="V57" s="262">
        <f t="shared" si="81"/>
        <v>26.999999999999986</v>
      </c>
      <c r="W57" s="258"/>
      <c r="X57" s="258"/>
      <c r="Y57" s="456"/>
      <c r="Z57" s="456"/>
      <c r="AA57" s="11">
        <f t="shared" si="2"/>
        <v>-244.44444444444298</v>
      </c>
      <c r="AB57" s="259">
        <f t="shared" si="57"/>
        <v>0.91851851851851896</v>
      </c>
      <c r="AC57" s="470"/>
    </row>
    <row r="58" spans="1:29" ht="15.75" customHeight="1">
      <c r="A58" s="499" t="s">
        <v>11</v>
      </c>
      <c r="B58" s="263" t="s">
        <v>15</v>
      </c>
      <c r="C58" s="487" t="s">
        <v>39</v>
      </c>
      <c r="D58" s="487"/>
      <c r="E58" s="26">
        <v>26.97</v>
      </c>
      <c r="F58" s="27">
        <v>2876</v>
      </c>
      <c r="G58" s="258">
        <f t="shared" si="76"/>
        <v>77565.72</v>
      </c>
      <c r="H58" s="76" t="s">
        <v>57</v>
      </c>
      <c r="I58" s="261">
        <v>8</v>
      </c>
      <c r="J58" s="18">
        <v>1440</v>
      </c>
      <c r="K58" s="9">
        <f t="shared" si="77"/>
        <v>180</v>
      </c>
      <c r="L58" s="17">
        <v>8</v>
      </c>
      <c r="M58" s="10">
        <f t="shared" si="78"/>
        <v>1307.2727272727273</v>
      </c>
      <c r="N58" s="9">
        <f t="shared" si="82"/>
        <v>163.40909090909091</v>
      </c>
      <c r="O58" s="11">
        <f t="shared" si="79"/>
        <v>0</v>
      </c>
      <c r="P58" s="12">
        <f t="shared" si="80"/>
        <v>-16.590909090909093</v>
      </c>
      <c r="Q58" s="259">
        <f t="shared" si="83"/>
        <v>0.90782828282828276</v>
      </c>
      <c r="R58" s="470"/>
      <c r="S58" s="24">
        <v>0.34097222222222218</v>
      </c>
      <c r="T58" s="24">
        <v>0.43263888888888885</v>
      </c>
      <c r="U58" s="258">
        <f t="shared" si="84"/>
        <v>6.9999999999999751</v>
      </c>
      <c r="V58" s="262">
        <f t="shared" si="81"/>
        <v>132</v>
      </c>
      <c r="W58" s="258"/>
      <c r="X58" s="258"/>
      <c r="Y58" s="456"/>
      <c r="Z58" s="456"/>
      <c r="AA58" s="11">
        <f t="shared" si="2"/>
        <v>-132.72727272727275</v>
      </c>
      <c r="AB58" s="259">
        <f t="shared" si="57"/>
        <v>0.90782828282828276</v>
      </c>
      <c r="AC58" s="470"/>
    </row>
    <row r="59" spans="1:29">
      <c r="A59" s="500" t="s">
        <v>11</v>
      </c>
      <c r="B59" s="263" t="s">
        <v>33</v>
      </c>
      <c r="C59" s="487" t="s">
        <v>40</v>
      </c>
      <c r="D59" s="487"/>
      <c r="E59" s="26">
        <v>35.119999999999997</v>
      </c>
      <c r="F59" s="27">
        <v>1174</v>
      </c>
      <c r="G59" s="258">
        <f t="shared" si="76"/>
        <v>41230.879999999997</v>
      </c>
      <c r="H59" s="76" t="s">
        <v>57</v>
      </c>
      <c r="I59" s="261">
        <v>13</v>
      </c>
      <c r="J59" s="18">
        <v>2000</v>
      </c>
      <c r="K59" s="9">
        <f t="shared" si="77"/>
        <v>153.84615384615384</v>
      </c>
      <c r="L59" s="17">
        <v>13</v>
      </c>
      <c r="M59" s="10">
        <f t="shared" si="78"/>
        <v>1806.1538461538451</v>
      </c>
      <c r="N59" s="9">
        <f t="shared" si="82"/>
        <v>138.93491124260348</v>
      </c>
      <c r="O59" s="11">
        <f t="shared" si="79"/>
        <v>0</v>
      </c>
      <c r="P59" s="12">
        <f t="shared" si="80"/>
        <v>-14.911242603550363</v>
      </c>
      <c r="Q59" s="259">
        <f t="shared" si="83"/>
        <v>0.90307692307692267</v>
      </c>
      <c r="R59" s="470"/>
      <c r="S59" s="24">
        <v>0.43611111111111106</v>
      </c>
      <c r="T59" s="24">
        <v>0.46319444444444441</v>
      </c>
      <c r="U59" s="258">
        <f t="shared" si="84"/>
        <v>4.9999999999999822</v>
      </c>
      <c r="V59" s="262">
        <f t="shared" si="81"/>
        <v>39.000000000000021</v>
      </c>
      <c r="W59" s="14"/>
      <c r="X59" s="14"/>
      <c r="Y59" s="456"/>
      <c r="Z59" s="456"/>
      <c r="AA59" s="11">
        <f t="shared" si="2"/>
        <v>-193.84615384615495</v>
      </c>
      <c r="AB59" s="259">
        <f t="shared" si="57"/>
        <v>0.90307692307692256</v>
      </c>
      <c r="AC59" s="470"/>
    </row>
    <row r="60" spans="1:29">
      <c r="A60" s="500" t="s">
        <v>11</v>
      </c>
      <c r="B60" s="26" t="s">
        <v>973</v>
      </c>
      <c r="C60" s="466"/>
      <c r="D60" s="466"/>
      <c r="E60" s="257"/>
      <c r="F60" s="16"/>
      <c r="G60" s="9"/>
      <c r="H60" s="263"/>
      <c r="I60" s="17">
        <v>10.199999999999999</v>
      </c>
      <c r="J60" s="18">
        <v>2488</v>
      </c>
      <c r="K60" s="9">
        <f>J60/I60</f>
        <v>243.92156862745099</v>
      </c>
      <c r="L60" s="17">
        <v>10.199999999999999</v>
      </c>
      <c r="M60" s="10">
        <f>AVERAGE(M55:M59)</f>
        <v>2260.6199552081903</v>
      </c>
      <c r="N60" s="9">
        <f>M60/L60</f>
        <v>221.629407373352</v>
      </c>
      <c r="O60" s="11">
        <f>L60-I60</f>
        <v>0</v>
      </c>
      <c r="P60" s="12">
        <f>N60-K60</f>
        <v>-22.292161254099</v>
      </c>
      <c r="Q60" s="259">
        <f>N60/K60</f>
        <v>0.90860930675570351</v>
      </c>
      <c r="R60" s="470"/>
      <c r="S60" s="24"/>
      <c r="T60" s="24"/>
      <c r="U60" s="9"/>
      <c r="V60" s="262"/>
      <c r="W60" s="9"/>
      <c r="X60" s="9"/>
      <c r="Y60" s="456"/>
      <c r="Z60" s="456"/>
      <c r="AA60" s="11">
        <f t="shared" si="2"/>
        <v>-227.38004479180972</v>
      </c>
      <c r="AB60" s="259">
        <f t="shared" si="57"/>
        <v>0.90860930675570351</v>
      </c>
      <c r="AC60" s="470"/>
    </row>
    <row r="61" spans="1:29" ht="15.75" customHeight="1">
      <c r="A61" s="467" t="s">
        <v>982</v>
      </c>
      <c r="B61" s="263" t="s">
        <v>24</v>
      </c>
      <c r="C61" s="487" t="s">
        <v>83</v>
      </c>
      <c r="D61" s="487"/>
      <c r="E61" s="26">
        <v>32.03</v>
      </c>
      <c r="F61" s="263">
        <v>1508</v>
      </c>
      <c r="G61" s="258">
        <f t="shared" ref="G61:G65" si="85">E61*F61</f>
        <v>48301.240000000005</v>
      </c>
      <c r="H61" s="76" t="s">
        <v>57</v>
      </c>
      <c r="I61" s="261">
        <v>19</v>
      </c>
      <c r="J61" s="18">
        <v>2400</v>
      </c>
      <c r="K61" s="9">
        <f t="shared" ref="K61:K63" si="86">J61/I61</f>
        <v>126.31578947368421</v>
      </c>
      <c r="L61" s="17">
        <v>19</v>
      </c>
      <c r="M61" s="10">
        <f>F61/V61*60</f>
        <v>2206.8292682926822</v>
      </c>
      <c r="N61" s="9">
        <f t="shared" ref="N61:N65" si="87">M61/L61</f>
        <v>116.14890885750958</v>
      </c>
      <c r="O61" s="11">
        <f t="shared" ref="O61:O65" si="88">L61-I61</f>
        <v>0</v>
      </c>
      <c r="P61" s="12">
        <f t="shared" ref="P61:P65" si="89">N61-K61</f>
        <v>-10.166880616174623</v>
      </c>
      <c r="Q61" s="259">
        <f>N61/K61</f>
        <v>0.91951219512195093</v>
      </c>
      <c r="R61" s="470">
        <f>Q66</f>
        <v>0.90935233373515434</v>
      </c>
      <c r="S61" s="24">
        <v>0.125</v>
      </c>
      <c r="T61" s="24">
        <v>0.15347222222222223</v>
      </c>
      <c r="U61" s="15"/>
      <c r="V61" s="262">
        <f t="shared" ref="V61:V65" si="90">(T61-S61)*24*60</f>
        <v>41.000000000000014</v>
      </c>
      <c r="W61" s="14"/>
      <c r="X61" s="14"/>
      <c r="Y61" s="456"/>
      <c r="Z61" s="456"/>
      <c r="AA61" s="11">
        <f t="shared" si="2"/>
        <v>-193.17073170731783</v>
      </c>
      <c r="AB61" s="259">
        <f>M61/J61</f>
        <v>0.91951219512195093</v>
      </c>
      <c r="AC61" s="470">
        <f>AB66</f>
        <v>0.90935233373515434</v>
      </c>
    </row>
    <row r="62" spans="1:29" ht="15.75" customHeight="1">
      <c r="A62" s="467" t="s">
        <v>12</v>
      </c>
      <c r="B62" s="263" t="s">
        <v>24</v>
      </c>
      <c r="C62" s="487" t="s">
        <v>56</v>
      </c>
      <c r="D62" s="487"/>
      <c r="E62" s="26">
        <v>20.2</v>
      </c>
      <c r="F62" s="263">
        <v>1975</v>
      </c>
      <c r="G62" s="258">
        <f t="shared" si="85"/>
        <v>39895</v>
      </c>
      <c r="H62" s="76" t="s">
        <v>57</v>
      </c>
      <c r="I62" s="261">
        <v>19</v>
      </c>
      <c r="J62" s="18">
        <v>2400</v>
      </c>
      <c r="K62" s="9">
        <f t="shared" si="86"/>
        <v>126.31578947368421</v>
      </c>
      <c r="L62" s="17">
        <v>19</v>
      </c>
      <c r="M62" s="10">
        <f t="shared" ref="M62:M65" si="91">F62/V62*60</f>
        <v>2194.4444444444443</v>
      </c>
      <c r="N62" s="9">
        <f t="shared" si="87"/>
        <v>115.49707602339181</v>
      </c>
      <c r="O62" s="11">
        <f t="shared" si="88"/>
        <v>0</v>
      </c>
      <c r="P62" s="12">
        <f t="shared" si="89"/>
        <v>-10.818713450292393</v>
      </c>
      <c r="Q62" s="259">
        <f t="shared" ref="Q62:Q66" si="92">N62/K62</f>
        <v>0.91435185185185186</v>
      </c>
      <c r="R62" s="470"/>
      <c r="S62" s="24">
        <v>0.17430555555555557</v>
      </c>
      <c r="T62" s="24">
        <v>0.21180555555555558</v>
      </c>
      <c r="U62" s="258">
        <f>(S62-T61)*24*60</f>
        <v>30.000000000000014</v>
      </c>
      <c r="V62" s="262">
        <f t="shared" si="90"/>
        <v>54.000000000000007</v>
      </c>
      <c r="W62" s="14"/>
      <c r="X62" s="14"/>
      <c r="Y62" s="456"/>
      <c r="Z62" s="456"/>
      <c r="AA62" s="11">
        <f t="shared" si="2"/>
        <v>-205.55555555555566</v>
      </c>
      <c r="AB62" s="259">
        <f t="shared" ref="AB62:AB66" si="93">M62/J62</f>
        <v>0.91435185185185186</v>
      </c>
      <c r="AC62" s="470"/>
    </row>
    <row r="63" spans="1:29" ht="15.75" customHeight="1">
      <c r="A63" s="467" t="s">
        <v>12</v>
      </c>
      <c r="B63" s="263" t="s">
        <v>24</v>
      </c>
      <c r="C63" s="487" t="s">
        <v>45</v>
      </c>
      <c r="D63" s="487"/>
      <c r="E63" s="26">
        <v>19.02</v>
      </c>
      <c r="F63" s="263">
        <v>6648</v>
      </c>
      <c r="G63" s="258">
        <f t="shared" si="85"/>
        <v>126444.95999999999</v>
      </c>
      <c r="H63" s="76" t="s">
        <v>57</v>
      </c>
      <c r="I63" s="261">
        <v>15</v>
      </c>
      <c r="J63" s="18">
        <v>2400</v>
      </c>
      <c r="K63" s="9">
        <f t="shared" si="86"/>
        <v>160</v>
      </c>
      <c r="L63" s="17">
        <v>15</v>
      </c>
      <c r="M63" s="10">
        <f t="shared" si="91"/>
        <v>2167.8260869565211</v>
      </c>
      <c r="N63" s="9">
        <f t="shared" si="87"/>
        <v>144.52173913043472</v>
      </c>
      <c r="O63" s="11">
        <f t="shared" si="88"/>
        <v>0</v>
      </c>
      <c r="P63" s="12">
        <f t="shared" si="89"/>
        <v>-15.478260869565275</v>
      </c>
      <c r="Q63" s="259">
        <f t="shared" si="92"/>
        <v>0.90326086956521701</v>
      </c>
      <c r="R63" s="470"/>
      <c r="S63" s="24">
        <v>0.21736111111111114</v>
      </c>
      <c r="T63" s="24">
        <v>0.34513888888888894</v>
      </c>
      <c r="U63" s="258">
        <f t="shared" ref="U63:U65" si="94">(S63-T62)*24*60</f>
        <v>8.0000000000000107</v>
      </c>
      <c r="V63" s="262">
        <f t="shared" si="90"/>
        <v>184.00000000000003</v>
      </c>
      <c r="W63" s="14"/>
      <c r="X63" s="14"/>
      <c r="Y63" s="456"/>
      <c r="Z63" s="456"/>
      <c r="AA63" s="11">
        <f t="shared" si="2"/>
        <v>-232.17391304347893</v>
      </c>
      <c r="AB63" s="259">
        <f t="shared" si="93"/>
        <v>0.90326086956521712</v>
      </c>
      <c r="AC63" s="470"/>
    </row>
    <row r="64" spans="1:29" ht="15.75" customHeight="1">
      <c r="A64" s="467" t="s">
        <v>12</v>
      </c>
      <c r="B64" s="263" t="s">
        <v>24</v>
      </c>
      <c r="C64" s="487" t="s">
        <v>46</v>
      </c>
      <c r="D64" s="487"/>
      <c r="E64" s="26">
        <v>25</v>
      </c>
      <c r="F64" s="263">
        <v>3247</v>
      </c>
      <c r="G64" s="258">
        <f t="shared" si="85"/>
        <v>81175</v>
      </c>
      <c r="H64" s="76" t="s">
        <v>57</v>
      </c>
      <c r="I64" s="261">
        <v>15</v>
      </c>
      <c r="J64" s="18">
        <v>2400</v>
      </c>
      <c r="K64" s="9">
        <f>J64/I64</f>
        <v>160</v>
      </c>
      <c r="L64" s="17">
        <v>15</v>
      </c>
      <c r="M64" s="10">
        <f t="shared" si="91"/>
        <v>2164.6666666666665</v>
      </c>
      <c r="N64" s="9">
        <f t="shared" si="87"/>
        <v>144.3111111111111</v>
      </c>
      <c r="O64" s="11">
        <f t="shared" si="88"/>
        <v>0</v>
      </c>
      <c r="P64" s="12">
        <f t="shared" si="89"/>
        <v>-15.688888888888897</v>
      </c>
      <c r="Q64" s="259">
        <f t="shared" si="92"/>
        <v>0.90194444444444444</v>
      </c>
      <c r="R64" s="470"/>
      <c r="S64" s="24">
        <v>0.34861111111111115</v>
      </c>
      <c r="T64" s="24">
        <v>0.41111111111111115</v>
      </c>
      <c r="U64" s="258">
        <f t="shared" si="94"/>
        <v>4.9999999999999822</v>
      </c>
      <c r="V64" s="262">
        <f t="shared" si="90"/>
        <v>90</v>
      </c>
      <c r="W64" s="14"/>
      <c r="X64" s="14"/>
      <c r="Y64" s="456"/>
      <c r="Z64" s="456"/>
      <c r="AA64" s="11">
        <f t="shared" si="2"/>
        <v>-235.33333333333348</v>
      </c>
      <c r="AB64" s="259">
        <f t="shared" si="93"/>
        <v>0.90194444444444433</v>
      </c>
      <c r="AC64" s="470"/>
    </row>
    <row r="65" spans="1:29" ht="15.75" customHeight="1">
      <c r="A65" s="467" t="s">
        <v>12</v>
      </c>
      <c r="B65" s="263" t="s">
        <v>24</v>
      </c>
      <c r="C65" s="487" t="s">
        <v>510</v>
      </c>
      <c r="D65" s="487"/>
      <c r="E65" s="26">
        <v>28.51</v>
      </c>
      <c r="F65" s="263">
        <v>4720</v>
      </c>
      <c r="G65" s="258">
        <f t="shared" si="85"/>
        <v>134567.20000000001</v>
      </c>
      <c r="H65" s="76" t="s">
        <v>57</v>
      </c>
      <c r="I65" s="261">
        <v>20</v>
      </c>
      <c r="J65" s="18">
        <v>2400</v>
      </c>
      <c r="K65" s="9">
        <f t="shared" ref="K65:K66" si="95">J65/I65</f>
        <v>120</v>
      </c>
      <c r="L65" s="17">
        <v>20</v>
      </c>
      <c r="M65" s="10">
        <f t="shared" si="91"/>
        <v>2178.461538461539</v>
      </c>
      <c r="N65" s="9">
        <f t="shared" si="87"/>
        <v>108.92307692307695</v>
      </c>
      <c r="O65" s="11">
        <f t="shared" si="88"/>
        <v>0</v>
      </c>
      <c r="P65" s="12">
        <f t="shared" si="89"/>
        <v>-11.076923076923052</v>
      </c>
      <c r="Q65" s="259">
        <f t="shared" si="92"/>
        <v>0.90769230769230791</v>
      </c>
      <c r="R65" s="470"/>
      <c r="S65" s="24">
        <v>0.41666666666666669</v>
      </c>
      <c r="T65" s="24">
        <v>0.50694444444444442</v>
      </c>
      <c r="U65" s="258">
        <f t="shared" si="94"/>
        <v>7.9999999999999716</v>
      </c>
      <c r="V65" s="262">
        <f t="shared" si="90"/>
        <v>129.99999999999994</v>
      </c>
      <c r="W65" s="14"/>
      <c r="X65" s="14"/>
      <c r="Y65" s="456"/>
      <c r="Z65" s="456"/>
      <c r="AA65" s="11">
        <f t="shared" si="2"/>
        <v>-221.53846153846098</v>
      </c>
      <c r="AB65" s="259">
        <f t="shared" si="93"/>
        <v>0.90769230769230791</v>
      </c>
      <c r="AC65" s="470"/>
    </row>
    <row r="66" spans="1:29" ht="16.5" customHeight="1">
      <c r="A66" s="501" t="s">
        <v>12</v>
      </c>
      <c r="B66" s="26" t="s">
        <v>973</v>
      </c>
      <c r="C66" s="466"/>
      <c r="D66" s="466"/>
      <c r="E66" s="257"/>
      <c r="F66" s="16"/>
      <c r="G66" s="9"/>
      <c r="H66" s="263"/>
      <c r="I66" s="17">
        <v>17.600000000000001</v>
      </c>
      <c r="J66" s="18">
        <v>2400</v>
      </c>
      <c r="K66" s="9">
        <f t="shared" si="95"/>
        <v>136.36363636363635</v>
      </c>
      <c r="L66" s="17">
        <v>17.600000000000001</v>
      </c>
      <c r="M66" s="10">
        <f>AVERAGE(M61:M65)</f>
        <v>2182.4456009643704</v>
      </c>
      <c r="N66" s="9">
        <f>M66/L66</f>
        <v>124.00259096388467</v>
      </c>
      <c r="O66" s="11">
        <f>L66-I66</f>
        <v>0</v>
      </c>
      <c r="P66" s="12">
        <f>N66-K66</f>
        <v>-12.361045399751674</v>
      </c>
      <c r="Q66" s="259">
        <f t="shared" si="92"/>
        <v>0.90935233373515434</v>
      </c>
      <c r="R66" s="470"/>
      <c r="S66" s="24"/>
      <c r="T66" s="24"/>
      <c r="U66" s="9"/>
      <c r="V66" s="262"/>
      <c r="W66" s="9"/>
      <c r="X66" s="9"/>
      <c r="Y66" s="456"/>
      <c r="Z66" s="456"/>
      <c r="AA66" s="11">
        <f t="shared" si="2"/>
        <v>-217.55439903562956</v>
      </c>
      <c r="AB66" s="259">
        <f t="shared" si="93"/>
        <v>0.90935233373515434</v>
      </c>
      <c r="AC66" s="470"/>
    </row>
    <row r="67" spans="1:29">
      <c r="D67" s="19"/>
      <c r="E67" s="19"/>
    </row>
  </sheetData>
  <mergeCells count="182">
    <mergeCell ref="Y64:Z64"/>
    <mergeCell ref="C65:D65"/>
    <mergeCell ref="Y65:Z65"/>
    <mergeCell ref="A61:A66"/>
    <mergeCell ref="C61:D61"/>
    <mergeCell ref="R61:R66"/>
    <mergeCell ref="Y61:Z61"/>
    <mergeCell ref="AC61:AC66"/>
    <mergeCell ref="C62:D62"/>
    <mergeCell ref="Y62:Z62"/>
    <mergeCell ref="C63:D63"/>
    <mergeCell ref="Y63:Z63"/>
    <mergeCell ref="C64:D64"/>
    <mergeCell ref="C66:D66"/>
    <mergeCell ref="Y66:Z66"/>
    <mergeCell ref="A55:A60"/>
    <mergeCell ref="C55:D55"/>
    <mergeCell ref="R55:R60"/>
    <mergeCell ref="Y55:Z55"/>
    <mergeCell ref="AC55:AC60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  <mergeCell ref="Y60:Z60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50:A54"/>
    <mergeCell ref="C50:D50"/>
    <mergeCell ref="R50:R54"/>
    <mergeCell ref="Y50:Z50"/>
    <mergeCell ref="AC50:AC54"/>
    <mergeCell ref="C51:D51"/>
    <mergeCell ref="Y51:Z51"/>
    <mergeCell ref="C52:D52"/>
    <mergeCell ref="C54:D54"/>
    <mergeCell ref="Y54:Z54"/>
    <mergeCell ref="A42:A49"/>
    <mergeCell ref="C42:D42"/>
    <mergeCell ref="R42:R49"/>
    <mergeCell ref="Y42:Z42"/>
    <mergeCell ref="Y47:Z47"/>
    <mergeCell ref="C48:D48"/>
    <mergeCell ref="Y48:Z48"/>
    <mergeCell ref="C49:D49"/>
    <mergeCell ref="Y49:Z49"/>
    <mergeCell ref="A35:A41"/>
    <mergeCell ref="C35:D35"/>
    <mergeCell ref="R35:R41"/>
    <mergeCell ref="Y35:Z35"/>
    <mergeCell ref="C41:D41"/>
    <mergeCell ref="Y41:Z41"/>
    <mergeCell ref="A28:A34"/>
    <mergeCell ref="C28:D28"/>
    <mergeCell ref="R28:R34"/>
    <mergeCell ref="Y28:Z28"/>
    <mergeCell ref="Y33:Z33"/>
    <mergeCell ref="C34:D34"/>
    <mergeCell ref="AC35:AC41"/>
    <mergeCell ref="C36:D36"/>
    <mergeCell ref="Y36:Z36"/>
    <mergeCell ref="C37:D37"/>
    <mergeCell ref="Y37:Z37"/>
    <mergeCell ref="AC28:AC34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38:D38"/>
    <mergeCell ref="Y38:Z38"/>
    <mergeCell ref="C39:D39"/>
    <mergeCell ref="Y39:Z39"/>
    <mergeCell ref="C40:D40"/>
    <mergeCell ref="Y40:Z40"/>
    <mergeCell ref="Y34:Z34"/>
    <mergeCell ref="AC20:AC27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6:D26"/>
    <mergeCell ref="Y26:Z26"/>
    <mergeCell ref="C27:D27"/>
    <mergeCell ref="Y27:Z27"/>
    <mergeCell ref="A20:A27"/>
    <mergeCell ref="C20:D20"/>
    <mergeCell ref="R20:R27"/>
    <mergeCell ref="Y20:Z20"/>
    <mergeCell ref="Y25:Z25"/>
    <mergeCell ref="A14:A19"/>
    <mergeCell ref="C14:D14"/>
    <mergeCell ref="R14:R19"/>
    <mergeCell ref="Y14:Z1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8:O66 O5:O9 O13:O15 O49:O55 O19:O47">
    <cfRule type="cellIs" dxfId="1451" priority="44" operator="greaterThan">
      <formula>0</formula>
    </cfRule>
  </conditionalFormatting>
  <conditionalFormatting sqref="P5:P7 P58:P59 AA58:AA59 P61:P65 P28:P33 P55 P9 P13:P15 P20:P26 P50:P53 P35:P47 AA5:AA55 AA61:AA66">
    <cfRule type="cellIs" dxfId="1450" priority="48" operator="lessThan">
      <formula>0</formula>
    </cfRule>
  </conditionalFormatting>
  <conditionalFormatting sqref="AB58:AB59 Q58:Q66 Q5:Q9 Q13:Q15 Q49:Q55 Q19:Q47 AB5:AB55 AB61:AB66">
    <cfRule type="cellIs" dxfId="1449" priority="45" operator="greaterThan">
      <formula>1</formula>
    </cfRule>
    <cfRule type="cellIs" dxfId="1448" priority="46" operator="lessThan">
      <formula>0.8</formula>
    </cfRule>
  </conditionalFormatting>
  <conditionalFormatting sqref="AC14:AC15 R14:R15 AC58 R19:R25 AC19:AC25 R58:R66 AC5:AC9 R5:R9 R27:R47 AC27:AC47 AC49:AC55 R49:R55">
    <cfRule type="cellIs" dxfId="1447" priority="50" operator="lessThan">
      <formula>0.8</formula>
    </cfRule>
  </conditionalFormatting>
  <conditionalFormatting sqref="AC42">
    <cfRule type="cellIs" dxfId="1446" priority="52" operator="lessThan">
      <formula>0.8</formula>
    </cfRule>
  </conditionalFormatting>
  <conditionalFormatting sqref="AC20:AC25">
    <cfRule type="cellIs" dxfId="1445" priority="49" operator="lessThan">
      <formula>0.8</formula>
    </cfRule>
  </conditionalFormatting>
  <conditionalFormatting sqref="AC28">
    <cfRule type="cellIs" dxfId="1444" priority="51" operator="lessThan">
      <formula>0.8</formula>
    </cfRule>
  </conditionalFormatting>
  <conditionalFormatting sqref="AC35:AC40">
    <cfRule type="cellIs" dxfId="1443" priority="47" operator="lessThan">
      <formula>0.8</formula>
    </cfRule>
  </conditionalFormatting>
  <conditionalFormatting sqref="AA60">
    <cfRule type="cellIs" dxfId="1442" priority="43" operator="lessThan">
      <formula>0</formula>
    </cfRule>
  </conditionalFormatting>
  <conditionalFormatting sqref="AB60">
    <cfRule type="cellIs" dxfId="1441" priority="41" operator="greaterThan">
      <formula>1</formula>
    </cfRule>
    <cfRule type="cellIs" dxfId="1440" priority="42" operator="lessThan">
      <formula>0.8</formula>
    </cfRule>
  </conditionalFormatting>
  <conditionalFormatting sqref="O16:O17">
    <cfRule type="cellIs" dxfId="1439" priority="36" operator="greaterThan">
      <formula>0</formula>
    </cfRule>
  </conditionalFormatting>
  <conditionalFormatting sqref="P16:P17">
    <cfRule type="cellIs" dxfId="1438" priority="39" operator="lessThan">
      <formula>0</formula>
    </cfRule>
  </conditionalFormatting>
  <conditionalFormatting sqref="Q16:Q17">
    <cfRule type="cellIs" dxfId="1437" priority="37" operator="greaterThan">
      <formula>1</formula>
    </cfRule>
    <cfRule type="cellIs" dxfId="1436" priority="38" operator="lessThan">
      <formula>0.8</formula>
    </cfRule>
  </conditionalFormatting>
  <conditionalFormatting sqref="R16:R17 AC16:AC17">
    <cfRule type="cellIs" dxfId="1435" priority="40" operator="lessThan">
      <formula>0.8</formula>
    </cfRule>
  </conditionalFormatting>
  <conditionalFormatting sqref="O10:O12">
    <cfRule type="cellIs" dxfId="1434" priority="32" operator="greaterThan">
      <formula>0</formula>
    </cfRule>
  </conditionalFormatting>
  <conditionalFormatting sqref="P10:P12">
    <cfRule type="cellIs" dxfId="1433" priority="35" operator="lessThan">
      <formula>0</formula>
    </cfRule>
  </conditionalFormatting>
  <conditionalFormatting sqref="Q10:Q12">
    <cfRule type="cellIs" dxfId="1432" priority="33" operator="greaterThan">
      <formula>1</formula>
    </cfRule>
    <cfRule type="cellIs" dxfId="1431" priority="34" operator="lessThan">
      <formula>0.8</formula>
    </cfRule>
  </conditionalFormatting>
  <conditionalFormatting sqref="O57">
    <cfRule type="cellIs" dxfId="1430" priority="27" operator="greaterThan">
      <formula>0</formula>
    </cfRule>
  </conditionalFormatting>
  <conditionalFormatting sqref="P57 AA57">
    <cfRule type="cellIs" dxfId="1429" priority="30" operator="lessThan">
      <formula>0</formula>
    </cfRule>
  </conditionalFormatting>
  <conditionalFormatting sqref="Q57 AB57">
    <cfRule type="cellIs" dxfId="1428" priority="28" operator="greaterThan">
      <formula>1</formula>
    </cfRule>
    <cfRule type="cellIs" dxfId="1427" priority="29" operator="lessThan">
      <formula>0.8</formula>
    </cfRule>
  </conditionalFormatting>
  <conditionalFormatting sqref="R57 AC57">
    <cfRule type="cellIs" dxfId="1426" priority="31" operator="lessThan">
      <formula>0.8</formula>
    </cfRule>
  </conditionalFormatting>
  <conditionalFormatting sqref="O18">
    <cfRule type="cellIs" dxfId="1425" priority="22" operator="greaterThan">
      <formula>0</formula>
    </cfRule>
  </conditionalFormatting>
  <conditionalFormatting sqref="P18">
    <cfRule type="cellIs" dxfId="1424" priority="25" operator="lessThan">
      <formula>0</formula>
    </cfRule>
  </conditionalFormatting>
  <conditionalFormatting sqref="Q18">
    <cfRule type="cellIs" dxfId="1423" priority="23" operator="greaterThan">
      <formula>1</formula>
    </cfRule>
    <cfRule type="cellIs" dxfId="1422" priority="24" operator="lessThan">
      <formula>0.8</formula>
    </cfRule>
  </conditionalFormatting>
  <conditionalFormatting sqref="R18 AC18">
    <cfRule type="cellIs" dxfId="1421" priority="26" operator="lessThan">
      <formula>0.8</formula>
    </cfRule>
  </conditionalFormatting>
  <conditionalFormatting sqref="O48">
    <cfRule type="cellIs" dxfId="1420" priority="16" operator="greaterThan">
      <formula>0</formula>
    </cfRule>
  </conditionalFormatting>
  <conditionalFormatting sqref="P48">
    <cfRule type="cellIs" dxfId="1419" priority="20" operator="lessThan">
      <formula>0</formula>
    </cfRule>
  </conditionalFormatting>
  <conditionalFormatting sqref="Q48">
    <cfRule type="cellIs" dxfId="1418" priority="17" operator="greaterThan">
      <formula>1</formula>
    </cfRule>
    <cfRule type="cellIs" dxfId="1417" priority="18" operator="lessThan">
      <formula>0.8</formula>
    </cfRule>
  </conditionalFormatting>
  <conditionalFormatting sqref="R48 AC48">
    <cfRule type="cellIs" dxfId="1416" priority="21" operator="lessThan">
      <formula>0.8</formula>
    </cfRule>
  </conditionalFormatting>
  <conditionalFormatting sqref="AC48">
    <cfRule type="cellIs" dxfId="1415" priority="19" operator="lessThan">
      <formula>0.8</formula>
    </cfRule>
  </conditionalFormatting>
  <conditionalFormatting sqref="R26 AC26">
    <cfRule type="cellIs" dxfId="1414" priority="15" operator="lessThan">
      <formula>0.8</formula>
    </cfRule>
  </conditionalFormatting>
  <conditionalFormatting sqref="AC26">
    <cfRule type="cellIs" dxfId="1413" priority="14" operator="lessThan">
      <formula>0.8</formula>
    </cfRule>
  </conditionalFormatting>
  <conditionalFormatting sqref="O56">
    <cfRule type="cellIs" dxfId="1412" priority="9" operator="greaterThan">
      <formula>0</formula>
    </cfRule>
  </conditionalFormatting>
  <conditionalFormatting sqref="P56 AA56">
    <cfRule type="cellIs" dxfId="1411" priority="12" operator="lessThan">
      <formula>0</formula>
    </cfRule>
  </conditionalFormatting>
  <conditionalFormatting sqref="Q56 AB56">
    <cfRule type="cellIs" dxfId="1410" priority="10" operator="greaterThan">
      <formula>1</formula>
    </cfRule>
    <cfRule type="cellIs" dxfId="1409" priority="11" operator="lessThan">
      <formula>0.8</formula>
    </cfRule>
  </conditionalFormatting>
  <conditionalFormatting sqref="R56 AC56">
    <cfRule type="cellIs" dxfId="1408" priority="13" operator="lessThan">
      <formula>0.8</formula>
    </cfRule>
  </conditionalFormatting>
  <conditionalFormatting sqref="P8">
    <cfRule type="cellIs" dxfId="1407" priority="8" operator="lessThan">
      <formula>0</formula>
    </cfRule>
  </conditionalFormatting>
  <conditionalFormatting sqref="P19">
    <cfRule type="cellIs" dxfId="1406" priority="7" operator="lessThan">
      <formula>0</formula>
    </cfRule>
  </conditionalFormatting>
  <conditionalFormatting sqref="P27">
    <cfRule type="cellIs" dxfId="1405" priority="6" operator="lessThan">
      <formula>0</formula>
    </cfRule>
  </conditionalFormatting>
  <conditionalFormatting sqref="P34">
    <cfRule type="cellIs" dxfId="1404" priority="5" operator="lessThan">
      <formula>0</formula>
    </cfRule>
  </conditionalFormatting>
  <conditionalFormatting sqref="P49">
    <cfRule type="cellIs" dxfId="1403" priority="4" operator="lessThan">
      <formula>0</formula>
    </cfRule>
  </conditionalFormatting>
  <conditionalFormatting sqref="P54">
    <cfRule type="cellIs" dxfId="1402" priority="3" operator="lessThan">
      <formula>0</formula>
    </cfRule>
  </conditionalFormatting>
  <conditionalFormatting sqref="P60">
    <cfRule type="cellIs" dxfId="1401" priority="2" operator="lessThan">
      <formula>0</formula>
    </cfRule>
  </conditionalFormatting>
  <conditionalFormatting sqref="P66">
    <cfRule type="cellIs" dxfId="1400" priority="1" operator="lessThan">
      <formula>0</formula>
    </cfRule>
  </conditionalFormatting>
  <dataValidations count="1">
    <dataValidation type="list" allowBlank="1" showInputMessage="1" showErrorMessage="1" sqref="Z8 Z59 Y5:Z7 Y8:Y59 Z10:Z55 Y60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835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38" t="s">
        <v>836</v>
      </c>
      <c r="C3" s="421" t="str">
        <f>TEXT('0717 4度C'!A2,"yyyy.mm.ddaaaa")</f>
        <v>2025.07.17星期四</v>
      </c>
      <c r="D3" s="421"/>
      <c r="E3" s="238" t="s">
        <v>837</v>
      </c>
      <c r="F3" s="422">
        <f>'0717 4度C'!D1</f>
        <v>159490</v>
      </c>
      <c r="G3" s="422"/>
      <c r="H3" s="238" t="s">
        <v>838</v>
      </c>
      <c r="I3" s="423">
        <f>'0717 4度C'!F1</f>
        <v>5381511.3399999999</v>
      </c>
      <c r="J3" s="423"/>
      <c r="K3" s="31"/>
      <c r="L3" s="32"/>
      <c r="M3" s="33"/>
      <c r="N3" s="33"/>
    </row>
    <row r="4" spans="2:17" ht="28.5" customHeight="1">
      <c r="B4" s="424" t="s">
        <v>839</v>
      </c>
      <c r="C4" s="424" t="s">
        <v>840</v>
      </c>
      <c r="D4" s="424"/>
      <c r="E4" s="425" t="s">
        <v>841</v>
      </c>
      <c r="F4" s="425"/>
      <c r="G4" s="425" t="s">
        <v>842</v>
      </c>
      <c r="H4" s="425"/>
      <c r="I4" s="425" t="s">
        <v>172</v>
      </c>
      <c r="J4" s="425"/>
      <c r="L4" s="33"/>
      <c r="M4" s="33"/>
      <c r="N4" s="33"/>
    </row>
    <row r="5" spans="2:17" ht="28.5" customHeight="1">
      <c r="B5" s="424"/>
      <c r="C5" s="424" t="s">
        <v>843</v>
      </c>
      <c r="D5" s="424"/>
      <c r="E5" s="424" t="s">
        <v>844</v>
      </c>
      <c r="F5" s="424"/>
      <c r="G5" s="426" t="s">
        <v>845</v>
      </c>
      <c r="H5" s="426"/>
      <c r="I5" s="427" t="s">
        <v>846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140.62191465402464</v>
      </c>
      <c r="F6" s="424">
        <f>AVERAGE(D27:O27,D13:J13)</f>
        <v>143.33737019106792</v>
      </c>
      <c r="G6" s="429">
        <f>AVERAGE(D13:J13)</f>
        <v>143.33737019106792</v>
      </c>
      <c r="H6" s="429"/>
      <c r="I6" s="429">
        <f>AVERAGE(K13:M13)</f>
        <v>134.28585173425697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127.76890549450869</v>
      </c>
      <c r="F7" s="434">
        <f>AVERAGE(D28:O28,D14:J14)</f>
        <v>130.38459696741447</v>
      </c>
      <c r="G7" s="435">
        <f>AVERAGE(D14:J14)</f>
        <v>130.38459696741447</v>
      </c>
      <c r="H7" s="435"/>
      <c r="I7" s="435">
        <f>AVERAGE(K14:M14)</f>
        <v>121.66562539106184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0.90772856710466132</v>
      </c>
      <c r="F8" s="432">
        <f>AVERAGE(D15:J15,D29:O29)</f>
        <v>0.90844614827262882</v>
      </c>
      <c r="G8" s="437">
        <f>AVERAGE(D15:J15)</f>
        <v>0.90844614827262882</v>
      </c>
      <c r="H8" s="437"/>
      <c r="I8" s="437">
        <f>AVERAGE(K15:M15)</f>
        <v>0.90605421104607042</v>
      </c>
      <c r="J8" s="437"/>
      <c r="K8" s="34" t="s">
        <v>847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848</v>
      </c>
      <c r="C10" s="439"/>
      <c r="D10" s="440" t="s">
        <v>849</v>
      </c>
      <c r="E10" s="441"/>
      <c r="F10" s="441"/>
      <c r="G10" s="441"/>
      <c r="H10" s="441"/>
      <c r="I10" s="441"/>
      <c r="J10" s="442"/>
      <c r="K10" s="443" t="s">
        <v>850</v>
      </c>
      <c r="L10" s="444"/>
      <c r="M10" s="445"/>
      <c r="P10" s="37"/>
      <c r="Q10" s="37"/>
    </row>
    <row r="11" spans="2:17" ht="17.25" customHeight="1">
      <c r="B11" s="431" t="s">
        <v>851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852</v>
      </c>
      <c r="E12" s="42" t="s">
        <v>853</v>
      </c>
      <c r="F12" s="42" t="s">
        <v>854</v>
      </c>
      <c r="G12" s="42" t="s">
        <v>855</v>
      </c>
      <c r="H12" s="42" t="s">
        <v>856</v>
      </c>
      <c r="I12" s="42" t="s">
        <v>857</v>
      </c>
      <c r="J12" s="43" t="s">
        <v>858</v>
      </c>
      <c r="K12" s="41" t="s">
        <v>859</v>
      </c>
      <c r="L12" s="42" t="s">
        <v>860</v>
      </c>
      <c r="M12" s="43" t="s">
        <v>861</v>
      </c>
    </row>
    <row r="13" spans="2:17" ht="40.15" customHeight="1">
      <c r="B13" s="447" t="s">
        <v>862</v>
      </c>
      <c r="C13" s="44" t="s">
        <v>863</v>
      </c>
      <c r="D13" s="45">
        <f>SUMIFS('0717 4度C'!$K:$K,'0717 4度C'!$A:$A,"燴飯線",'0717 4度C'!$B:$B,"平均")</f>
        <v>105.88235294117646</v>
      </c>
      <c r="E13" s="46">
        <f>SUMIFS('0717 4度C'!$K:$K,'0717 4度C'!$A:$A,"沙拉線一線",'0717 4度C'!$B:$B,"平均")</f>
        <v>81.081081081081081</v>
      </c>
      <c r="F13" s="47">
        <f>SUMIFS('0717 4度C'!$K:$K,'0717 4度C'!$A:$A,"沙拉線二線",'0717 4度C'!$B:$B,"平均")</f>
        <v>80.702127659574472</v>
      </c>
      <c r="G13" s="47">
        <f>SUMIFS('0717 4度C'!$K:$K,'0717 4度C'!$A:$A,"沙拉線三線",'0717 4度C'!$B:$B,"平均")</f>
        <v>102.22222222222223</v>
      </c>
      <c r="H13" s="47">
        <f>SUMIFS('0717 4度C'!$K:$K,'0717 4度C'!$A:$A,"自動包裝線",'0717 4度C'!$B:$B,"平均")</f>
        <v>300</v>
      </c>
      <c r="I13" s="47">
        <f>SUMIFS('0717 4度C'!$K:$K,'0717 4度C'!$A:$A,"涼麵一線",'0717 4度C'!$B:$B,"平均")</f>
        <v>89.552238805970148</v>
      </c>
      <c r="J13" s="48">
        <f>SUMIFS('0717 4度C'!$K:$K,'0717 4度C'!$A:$A,"三明治四線",'0717 4度C'!$B:$B,"平均")</f>
        <v>243.92156862745099</v>
      </c>
      <c r="K13" s="49">
        <f>SUMIFS('0717 4度C'!$K:$K,'0717 4度C'!$A:$A,"三明治一線",'0717 4度C'!$B:$B,"平均")</f>
        <v>138.46153846153848</v>
      </c>
      <c r="L13" s="50">
        <f>SUMIFS('0717 4度C'!$K:$K,'0717 4度C'!$A:$A,"三明治二線",'0717 4度C'!$B:$B,"平均")</f>
        <v>127.81065088757396</v>
      </c>
      <c r="M13" s="48">
        <f>SUMIFS('0717 4度C'!$K:$K,'0717 4度C'!$A:$A,"自動包裝二線",'0717 4度C'!$B:$B,"平均")</f>
        <v>136.58536585365852</v>
      </c>
    </row>
    <row r="14" spans="2:17" ht="39.6" customHeight="1">
      <c r="B14" s="447"/>
      <c r="C14" s="51" t="s">
        <v>864</v>
      </c>
      <c r="D14" s="52">
        <f>SUMIFS('0717 4度C'!$N:$N,'0717 4度C'!$A:$A,"燴飯線",'0717 4度C'!$B:$B,"平均")</f>
        <v>95.981626216920304</v>
      </c>
      <c r="E14" s="53">
        <f>SUMIFS('0717 4度C'!$N:$N,'0717 4度C'!$A:$A,"沙拉線一線",'0717 4度C'!$B:$B,"平均")</f>
        <v>73.33073214666102</v>
      </c>
      <c r="F14" s="53">
        <f>SUMIFS('0717 4度C'!$N:$N,'0717 4度C'!$A:$A,"沙拉線二線",'0717 4度C'!$B:$B,"平均")</f>
        <v>73.155518175857125</v>
      </c>
      <c r="G14" s="53">
        <f>SUMIFS('0717 4度C'!$N:$N,'0717 4度C'!$A:$A,"沙拉線三線",'0717 4度C'!$B:$B,"平均")</f>
        <v>93.189481613599696</v>
      </c>
      <c r="H14" s="53">
        <f>SUMIFS('0717 4度C'!$N:$N,'0717 4度C'!$A:$A,"自動包裝線",'0717 4度C'!$B:$B,"平均")</f>
        <v>272.61900735371063</v>
      </c>
      <c r="I14" s="53">
        <f>SUMIFS('0717 4度C'!$N:$N,'0717 4度C'!$A:$A,"涼麵一線",'0717 4度C'!$B:$B,"平均")</f>
        <v>81.13162417050566</v>
      </c>
      <c r="J14" s="54">
        <f>SUMIFS('0717 4度C'!$N:$N,'0717 4度C'!$A:$A,"三明治四線",'0717 4度C'!$B:$B,"平均")</f>
        <v>223.28418909464685</v>
      </c>
      <c r="K14" s="55">
        <f>SUMIFS('0717 4度C'!$N:$N,'0717 4度C'!$A:$A,"三明治一線",'0717 4度C'!$B:$B,"平均")</f>
        <v>125.0194615388523</v>
      </c>
      <c r="L14" s="56">
        <f>SUMIFS('0717 4度C'!$N:$N,'0717 4度C'!$A:$A,"三明治二線",'0717 4度C'!$B:$B,"平均")</f>
        <v>115.92026486663123</v>
      </c>
      <c r="M14" s="54">
        <f>SUMIFS('0717 4度C'!$N:$N,'0717 4度C'!$A:$A,"自動包裝二線",'0717 4度C'!$B:$B,"平均")</f>
        <v>124.05714976770197</v>
      </c>
    </row>
    <row r="15" spans="2:17" ht="40.15" customHeight="1">
      <c r="B15" s="447"/>
      <c r="C15" s="57" t="s">
        <v>865</v>
      </c>
      <c r="D15" s="58">
        <f>D14/D13</f>
        <v>0.90649313649313623</v>
      </c>
      <c r="E15" s="59">
        <f t="shared" ref="E15:M15" si="0">E14/E13</f>
        <v>0.90441236314215256</v>
      </c>
      <c r="F15" s="59">
        <f t="shared" si="0"/>
        <v>0.9064880976180556</v>
      </c>
      <c r="G15" s="59">
        <f t="shared" si="0"/>
        <v>0.91163623317651876</v>
      </c>
      <c r="H15" s="59">
        <f>H14/H13</f>
        <v>0.90873002451236873</v>
      </c>
      <c r="I15" s="59">
        <f>I14/I13</f>
        <v>0.90596980323731324</v>
      </c>
      <c r="J15" s="60">
        <f>J14/J13</f>
        <v>0.91539337972885759</v>
      </c>
      <c r="K15" s="58">
        <f>K14/K13</f>
        <v>0.90291833333615534</v>
      </c>
      <c r="L15" s="59">
        <f>L14/L13</f>
        <v>0.90696873900280917</v>
      </c>
      <c r="M15" s="60">
        <f t="shared" si="0"/>
        <v>0.90827556079924676</v>
      </c>
    </row>
    <row r="16" spans="2:17" ht="17.25" customHeight="1">
      <c r="B16" s="430" t="s">
        <v>866</v>
      </c>
      <c r="C16" s="237" t="s">
        <v>867</v>
      </c>
      <c r="D16" s="61">
        <f>VLOOKUP("燴飯線",'0717 4度C'!$A:$T,19,0)</f>
        <v>0.70833333333333337</v>
      </c>
      <c r="E16" s="24">
        <f>VLOOKUP("沙拉線一線",'0717 4度C'!$A:$T,19,0)</f>
        <v>0.13055555555555556</v>
      </c>
      <c r="F16" s="24">
        <f>VLOOKUP("沙拉線二線",'0717 4度C'!$A:$T,19,0)</f>
        <v>0.25</v>
      </c>
      <c r="G16" s="24">
        <f>VLOOKUP("沙拉線三線",'0717 4度C'!$A:$T,19,0)</f>
        <v>0.16666666666666666</v>
      </c>
      <c r="H16" s="24">
        <f>VLOOKUP("自動包裝線",'0717 4度C'!$A:$T,19,0)</f>
        <v>0.20833333333333334</v>
      </c>
      <c r="I16" s="24">
        <f>VLOOKUP("涼麵一線",'0717 4度C'!$A:$T,19,0)</f>
        <v>0.29305555555555557</v>
      </c>
      <c r="J16" s="62">
        <f>VLOOKUP("三明治四線",'0717 4度C'!$A:$T,19,0)</f>
        <v>0.25069444444444444</v>
      </c>
      <c r="K16" s="63">
        <f>VLOOKUP("三明治一線",'0717 4度C'!$A:$T,19,0)</f>
        <v>0.125</v>
      </c>
      <c r="L16" s="64">
        <f>VLOOKUP("三明治二線",'0717 4度C'!$A:$T,19,0)</f>
        <v>8.3333333333333329E-2</v>
      </c>
      <c r="M16" s="65">
        <f>VLOOKUP("自動包裝二線",'0717 4度C'!$A:$T,19,0)</f>
        <v>0.125</v>
      </c>
    </row>
    <row r="17" spans="2:13" ht="17.25" customHeight="1">
      <c r="B17" s="431"/>
      <c r="C17" s="237" t="s">
        <v>868</v>
      </c>
      <c r="D17" s="63">
        <f>LOOKUP(2,1/(('0717 4度C'!$A:$A="燴飯線")*('0717 4度C'!$T:$T&lt;&gt;"")),'0717 4度C'!$T:$T)</f>
        <v>0.83958333333333335</v>
      </c>
      <c r="E17" s="24">
        <f>LOOKUP(2,1/(('0717 4度C'!$A:$A="沙拉線一線")*('0717 4度C'!$T:$T&lt;&gt;"")),'0717 4度C'!$T:$T)</f>
        <v>0.63680555555555551</v>
      </c>
      <c r="F17" s="24">
        <f>LOOKUP(2,1/(('0717 4度C'!$A:$A="沙拉線二線")*('0717 4度C'!$T:$T&lt;&gt;"")),'0717 4度C'!$T:$T)</f>
        <v>0.82013888888888897</v>
      </c>
      <c r="G17" s="24">
        <f>LOOKUP(2,1/(('0717 4度C'!$A:$A="沙拉線三線")*('0717 4度C'!$T:$T&lt;&gt;"")),'0717 4度C'!$T:$T)</f>
        <v>0.79583333333333328</v>
      </c>
      <c r="H17" s="24">
        <f>LOOKUP(2,1/(('0717 4度C'!$A:$A="自動包裝線")*('0717 4度C'!$T:$T&lt;&gt;"")),'0717 4度C'!$T:$T)</f>
        <v>0.64444444444444438</v>
      </c>
      <c r="I17" s="24">
        <f>LOOKUP(2,1/(('0717 4度C'!$A:$A="涼麵一線")*('0717 4度C'!$T:$T&lt;&gt;"")),'0717 4度C'!$T:$T)</f>
        <v>0.80763888888888891</v>
      </c>
      <c r="J17" s="62">
        <f>LOOKUP(2,1/(('0717 4度C'!$A:$A="三明治四線")*('0717 4度C'!$T:$T&lt;&gt;"")),'0717 4度C'!$T:$T)</f>
        <v>0.48888888888888887</v>
      </c>
      <c r="K17" s="61">
        <f>LOOKUP(2,1/(('0717 4度C'!$A:$A="三明治一線")*('0717 4度C'!$T:$T&lt;&gt;"")),'0717 4度C'!$T:$T)</f>
        <v>0.63194444444444442</v>
      </c>
      <c r="L17" s="24">
        <f>LOOKUP(2,1/(('0717 4度C'!$A:$A="三明治二線")*('0717 4度C'!$T:$T&lt;&gt;"")),'0717 4度C'!$T:$T)</f>
        <v>0.65902777777777755</v>
      </c>
      <c r="M17" s="62">
        <f>LOOKUP(2,1/(('0717 4度C'!$A:$A="自動包裝二線")*('0717 4度C'!$T:$T&lt;&gt;"")),'0717 4度C'!$T:$T)</f>
        <v>0.63263888888888897</v>
      </c>
    </row>
    <row r="18" spans="2:13" ht="17.25" customHeight="1">
      <c r="B18" s="431" t="s">
        <v>869</v>
      </c>
      <c r="C18" s="446"/>
      <c r="D18" s="66">
        <f>SUMIFS('0717 4度C'!$I:$I,'0717 4度C'!$A:$A,"燴飯線",'0717 4度C'!$B:$B,"平均")</f>
        <v>17</v>
      </c>
      <c r="E18" s="67">
        <f>SUMIFS('0717 4度C'!$I:$I,'0717 4度C'!$A:$A,"沙拉線一線",'0717 4度C'!$B:$B,"平均")</f>
        <v>18.5</v>
      </c>
      <c r="F18" s="67">
        <f>SUMIFS('0717 4度C'!$I:$I,'0717 4度C'!$A:$A,"沙拉線二線",'0717 4度C'!$B:$B,"平均")</f>
        <v>18.8</v>
      </c>
      <c r="G18" s="67">
        <f>SUMIFS('0717 4度C'!$I:$I,'0717 4度C'!$A:$A,"沙拉線三線",'0717 4度C'!$B:$B,"平均")</f>
        <v>16.875</v>
      </c>
      <c r="H18" s="67">
        <f>SUMIFS('0717 4度C'!$I:$I,'0717 4度C'!$A:$A,"自動包裝線",'0717 4度C'!$B:$B,"平均")</f>
        <v>10</v>
      </c>
      <c r="I18" s="67">
        <f>SUMIFS('0717 4度C'!$I:$I,'0717 4度C'!$A:$A,"涼麵一線",'0717 4度C'!$B:$B,"平均")</f>
        <v>16.75</v>
      </c>
      <c r="J18" s="68">
        <f>SUMIFS('0717 4度C'!$I:$I,'0717 4度C'!$A:$A,"三明治四線",'0717 4度C'!$B:$B,"平均")</f>
        <v>10.199999999999999</v>
      </c>
      <c r="K18" s="66">
        <f>SUMIFS('0717 4度C'!$I:$I,'0717 4度C'!$A:$A,"三明治一線",'0717 4度C'!$B:$B,"平均")</f>
        <v>17.333333333333332</v>
      </c>
      <c r="L18" s="67">
        <f>SUMIFS('0717 4度C'!$I:$I,'0717 4度C'!$A:$A,"三明治二線",'0717 4度C'!$B:$B,"平均")</f>
        <v>18.777777777777779</v>
      </c>
      <c r="M18" s="68">
        <f>SUMIFS('0717 4度C'!$I:$I,'0717 4度C'!$A:$A,"自動包裝二線",'0717 4度C'!$B:$B,"平均")</f>
        <v>17.571428571428573</v>
      </c>
    </row>
    <row r="19" spans="2:13" ht="17.25" customHeight="1">
      <c r="B19" s="448" t="s">
        <v>870</v>
      </c>
      <c r="C19" s="449"/>
      <c r="D19" s="69" t="s">
        <v>50</v>
      </c>
      <c r="E19" s="70" t="s">
        <v>51</v>
      </c>
      <c r="F19" s="70" t="s">
        <v>871</v>
      </c>
      <c r="G19" s="70" t="s">
        <v>871</v>
      </c>
      <c r="H19" s="70" t="s">
        <v>52</v>
      </c>
      <c r="I19" s="70" t="s">
        <v>50</v>
      </c>
      <c r="J19" s="71" t="s">
        <v>52</v>
      </c>
      <c r="K19" s="69" t="s">
        <v>872</v>
      </c>
      <c r="L19" s="70" t="s">
        <v>872</v>
      </c>
      <c r="M19" s="71" t="s">
        <v>872</v>
      </c>
    </row>
    <row r="20" spans="2:13" ht="17.25" customHeight="1">
      <c r="B20" s="448" t="s">
        <v>873</v>
      </c>
      <c r="C20" s="449"/>
      <c r="D20" s="69"/>
      <c r="E20" s="70"/>
      <c r="F20" s="70" t="s">
        <v>874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875</v>
      </c>
      <c r="C21" s="451"/>
      <c r="D21" s="72"/>
      <c r="E21" s="73" t="s">
        <v>876</v>
      </c>
      <c r="F21" s="452" t="s">
        <v>877</v>
      </c>
      <c r="G21" s="453"/>
      <c r="H21" s="73" t="s">
        <v>878</v>
      </c>
      <c r="I21" s="73" t="s">
        <v>879</v>
      </c>
      <c r="J21" s="74" t="s">
        <v>878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3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880</v>
      </c>
      <c r="B1" s="1"/>
      <c r="C1" s="2" t="s">
        <v>881</v>
      </c>
      <c r="D1" s="3">
        <f>SUM(F5:F73)</f>
        <v>159490</v>
      </c>
      <c r="E1" s="244" t="s">
        <v>882</v>
      </c>
      <c r="F1" s="1">
        <f>SUM(G5:G73)</f>
        <v>5381511.3399999999</v>
      </c>
      <c r="G1" s="1" t="s">
        <v>883</v>
      </c>
      <c r="H1" s="4">
        <f>L8+L13+L54+L59+L19+L65+L35+L45+L28+L73</f>
        <v>161.8075396825397</v>
      </c>
      <c r="I1" s="454" t="s">
        <v>112</v>
      </c>
      <c r="J1" s="454"/>
      <c r="K1" s="454"/>
      <c r="L1" s="454" t="s">
        <v>884</v>
      </c>
      <c r="M1" s="454"/>
      <c r="N1" s="454"/>
      <c r="O1" s="454" t="s">
        <v>885</v>
      </c>
      <c r="P1" s="454"/>
      <c r="Q1" s="454"/>
      <c r="R1" s="454"/>
      <c r="S1" s="454" t="s">
        <v>886</v>
      </c>
      <c r="T1" s="454"/>
      <c r="U1" s="454"/>
      <c r="V1" s="454"/>
      <c r="W1" s="454"/>
      <c r="X1" s="454"/>
      <c r="Y1" s="454" t="s">
        <v>144</v>
      </c>
      <c r="Z1" s="454"/>
      <c r="AA1" s="454" t="s">
        <v>213</v>
      </c>
      <c r="AB1" s="455"/>
      <c r="AC1" s="455"/>
    </row>
    <row r="2" spans="1:29" ht="26.25" customHeight="1">
      <c r="A2" s="22">
        <v>45855</v>
      </c>
      <c r="B2" s="23" t="s">
        <v>261</v>
      </c>
      <c r="C2" s="2" t="s">
        <v>887</v>
      </c>
      <c r="D2" s="6">
        <f>AVERAGE(N8,N13,N54,N59,N19,N65,N28,N35,N45,N73)</f>
        <v>127.76890549450869</v>
      </c>
      <c r="E2" s="7" t="s">
        <v>0</v>
      </c>
      <c r="F2" s="8">
        <f>F1/D1</f>
        <v>33.741998495203461</v>
      </c>
      <c r="G2" s="1" t="s">
        <v>888</v>
      </c>
      <c r="H2" s="250">
        <f>COUNT(H5:H73)</f>
        <v>10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115</v>
      </c>
      <c r="B3" s="456" t="s">
        <v>889</v>
      </c>
      <c r="C3" s="456" t="s">
        <v>890</v>
      </c>
      <c r="D3" s="456"/>
      <c r="E3" s="457" t="s">
        <v>891</v>
      </c>
      <c r="F3" s="456" t="s">
        <v>892</v>
      </c>
      <c r="G3" s="457" t="s">
        <v>148</v>
      </c>
      <c r="H3" s="463" t="s">
        <v>893</v>
      </c>
      <c r="I3" s="464" t="s">
        <v>894</v>
      </c>
      <c r="J3" s="465" t="s">
        <v>895</v>
      </c>
      <c r="K3" s="459" t="s">
        <v>896</v>
      </c>
      <c r="L3" s="464" t="s">
        <v>894</v>
      </c>
      <c r="M3" s="465" t="s">
        <v>225</v>
      </c>
      <c r="N3" s="459" t="s">
        <v>897</v>
      </c>
      <c r="O3" s="464" t="s">
        <v>76</v>
      </c>
      <c r="P3" s="459" t="s">
        <v>896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898</v>
      </c>
      <c r="W3" s="456" t="s">
        <v>150</v>
      </c>
      <c r="X3" s="456"/>
      <c r="Y3" s="475" t="s">
        <v>899</v>
      </c>
      <c r="Z3" s="476"/>
      <c r="AA3" s="465" t="s">
        <v>225</v>
      </c>
      <c r="AB3" s="460" t="s">
        <v>121</v>
      </c>
      <c r="AC3" s="461" t="s">
        <v>900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49" t="s">
        <v>3</v>
      </c>
      <c r="T4" s="249" t="s">
        <v>4</v>
      </c>
      <c r="U4" s="463"/>
      <c r="V4" s="463"/>
      <c r="W4" s="244" t="s">
        <v>901</v>
      </c>
      <c r="X4" s="244" t="s">
        <v>902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249">
        <v>897</v>
      </c>
      <c r="G5" s="244">
        <f>E5*F5</f>
        <v>42096.21</v>
      </c>
      <c r="H5" s="76" t="s">
        <v>57</v>
      </c>
      <c r="I5" s="247">
        <v>17</v>
      </c>
      <c r="J5" s="18">
        <v>1800</v>
      </c>
      <c r="K5" s="9">
        <f>J5/I5</f>
        <v>105.88235294117646</v>
      </c>
      <c r="L5" s="247">
        <v>17</v>
      </c>
      <c r="M5" s="10">
        <f>F5/V5*60</f>
        <v>1630.9090909090889</v>
      </c>
      <c r="N5" s="9">
        <f>M5/L5</f>
        <v>95.935828877005235</v>
      </c>
      <c r="O5" s="11">
        <f t="shared" ref="O5:O7" si="0">L5-I5</f>
        <v>0</v>
      </c>
      <c r="P5" s="12">
        <f t="shared" ref="P5:P7" si="1">N5-K5</f>
        <v>-9.9465240641712285</v>
      </c>
      <c r="Q5" s="245">
        <f>N5/K5</f>
        <v>0.90606060606060501</v>
      </c>
      <c r="R5" s="470">
        <f>Q8</f>
        <v>0.90649313649313623</v>
      </c>
      <c r="S5" s="24">
        <v>0.70833333333333337</v>
      </c>
      <c r="T5" s="24">
        <v>0.73125000000000007</v>
      </c>
      <c r="U5" s="244"/>
      <c r="V5" s="248">
        <f>(T5-S5)*24*60</f>
        <v>33.000000000000043</v>
      </c>
      <c r="W5" s="13"/>
      <c r="X5" s="13"/>
      <c r="Y5" s="456"/>
      <c r="Z5" s="456"/>
      <c r="AA5" s="11">
        <f t="shared" ref="AA5:AA68" si="2">M5-J5</f>
        <v>-169.09090909091105</v>
      </c>
      <c r="AB5" s="245">
        <f t="shared" ref="AB5:AB7" si="3">M5/J5</f>
        <v>0.90606060606060501</v>
      </c>
      <c r="AC5" s="470">
        <f>AB8</f>
        <v>0.90649313649313623</v>
      </c>
    </row>
    <row r="6" spans="1:29">
      <c r="A6" s="464" t="s">
        <v>903</v>
      </c>
      <c r="B6" s="26" t="s">
        <v>13</v>
      </c>
      <c r="C6" s="472" t="s">
        <v>60</v>
      </c>
      <c r="D6" s="472"/>
      <c r="E6" s="26">
        <v>50.49</v>
      </c>
      <c r="F6" s="249">
        <v>1777</v>
      </c>
      <c r="G6" s="244">
        <f t="shared" ref="G6:G7" si="4">E6*F6</f>
        <v>89720.73000000001</v>
      </c>
      <c r="H6" s="76" t="s">
        <v>57</v>
      </c>
      <c r="I6" s="247">
        <v>16</v>
      </c>
      <c r="J6" s="18">
        <v>1800</v>
      </c>
      <c r="K6" s="9">
        <f t="shared" ref="K6:K7" si="5">J6/I6</f>
        <v>112.5</v>
      </c>
      <c r="L6" s="247">
        <v>16</v>
      </c>
      <c r="M6" s="10">
        <f>F6/V6*60</f>
        <v>1640.3076923076942</v>
      </c>
      <c r="N6" s="9">
        <f t="shared" ref="N6:N7" si="6">M6/L6</f>
        <v>102.51923076923089</v>
      </c>
      <c r="O6" s="11">
        <f t="shared" si="0"/>
        <v>0</v>
      </c>
      <c r="P6" s="12">
        <f t="shared" si="1"/>
        <v>-9.9807692307691127</v>
      </c>
      <c r="Q6" s="245">
        <f t="shared" ref="Q6:Q7" si="7">N6/K6</f>
        <v>0.91128205128205231</v>
      </c>
      <c r="R6" s="470"/>
      <c r="S6" s="24">
        <v>0.73611111111111116</v>
      </c>
      <c r="T6" s="24">
        <v>0.78125</v>
      </c>
      <c r="U6" s="244">
        <f>(S6-T5)*24*60</f>
        <v>6.9999999999999751</v>
      </c>
      <c r="V6" s="248">
        <f>(T6-S6)*24*60</f>
        <v>64.999999999999929</v>
      </c>
      <c r="W6" s="14"/>
      <c r="X6" s="14"/>
      <c r="Y6" s="456"/>
      <c r="Z6" s="456"/>
      <c r="AA6" s="11">
        <f t="shared" si="2"/>
        <v>-159.6923076923058</v>
      </c>
      <c r="AB6" s="245">
        <f t="shared" si="3"/>
        <v>0.91128205128205231</v>
      </c>
      <c r="AC6" s="470"/>
    </row>
    <row r="7" spans="1:29">
      <c r="A7" s="464" t="s">
        <v>904</v>
      </c>
      <c r="B7" s="26" t="s">
        <v>13</v>
      </c>
      <c r="C7" s="468" t="s">
        <v>448</v>
      </c>
      <c r="D7" s="469"/>
      <c r="E7" s="26">
        <v>50.67</v>
      </c>
      <c r="F7" s="249">
        <v>2111</v>
      </c>
      <c r="G7" s="244">
        <f t="shared" si="4"/>
        <v>106964.37000000001</v>
      </c>
      <c r="H7" s="76" t="s">
        <v>57</v>
      </c>
      <c r="I7" s="247">
        <v>18</v>
      </c>
      <c r="J7" s="18">
        <v>1800</v>
      </c>
      <c r="K7" s="9">
        <f t="shared" si="5"/>
        <v>100</v>
      </c>
      <c r="L7" s="247">
        <v>18</v>
      </c>
      <c r="M7" s="10">
        <f t="shared" ref="M7" si="8">F7/V7*60</f>
        <v>1623.8461538461529</v>
      </c>
      <c r="N7" s="9">
        <f t="shared" si="6"/>
        <v>90.21367521367516</v>
      </c>
      <c r="O7" s="11">
        <f t="shared" si="0"/>
        <v>0</v>
      </c>
      <c r="P7" s="12">
        <f t="shared" si="1"/>
        <v>-9.7863247863248404</v>
      </c>
      <c r="Q7" s="245">
        <f t="shared" si="7"/>
        <v>0.9021367521367516</v>
      </c>
      <c r="R7" s="470"/>
      <c r="S7" s="24">
        <v>0.78541666666666665</v>
      </c>
      <c r="T7" s="24">
        <v>0.83958333333333335</v>
      </c>
      <c r="U7" s="244">
        <f t="shared" ref="U7" si="9">(S7-T6)*24*60</f>
        <v>5.9999999999999787</v>
      </c>
      <c r="V7" s="248">
        <f t="shared" ref="V7" si="10">(T7-S7)*24*60</f>
        <v>78.000000000000043</v>
      </c>
      <c r="W7" s="14"/>
      <c r="X7" s="14"/>
      <c r="Y7" s="473"/>
      <c r="Z7" s="474"/>
      <c r="AA7" s="11">
        <f t="shared" si="2"/>
        <v>-176.1538461538471</v>
      </c>
      <c r="AB7" s="245">
        <f t="shared" si="3"/>
        <v>0.9021367521367516</v>
      </c>
      <c r="AC7" s="470"/>
    </row>
    <row r="8" spans="1:29">
      <c r="A8" s="464" t="s">
        <v>905</v>
      </c>
      <c r="B8" s="26" t="s">
        <v>906</v>
      </c>
      <c r="C8" s="466"/>
      <c r="D8" s="466"/>
      <c r="E8" s="243"/>
      <c r="F8" s="16"/>
      <c r="G8" s="9"/>
      <c r="H8" s="249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1631.6876456876453</v>
      </c>
      <c r="N8" s="9">
        <f>M8/L8</f>
        <v>95.981626216920304</v>
      </c>
      <c r="O8" s="11">
        <f>L8-I8</f>
        <v>0</v>
      </c>
      <c r="P8" s="12">
        <f>N8-K8</f>
        <v>-9.9007267242561596</v>
      </c>
      <c r="Q8" s="245">
        <f>N8/K8</f>
        <v>0.90649313649313623</v>
      </c>
      <c r="R8" s="470"/>
      <c r="S8" s="24"/>
      <c r="T8" s="24"/>
      <c r="U8" s="244"/>
      <c r="V8" s="248"/>
      <c r="W8" s="9"/>
      <c r="X8" s="9"/>
      <c r="Y8" s="456"/>
      <c r="Z8" s="456"/>
      <c r="AA8" s="11">
        <f t="shared" si="2"/>
        <v>-168.31235431235473</v>
      </c>
      <c r="AB8" s="245">
        <f>M8/J8</f>
        <v>0.90649313649313623</v>
      </c>
      <c r="AC8" s="470"/>
    </row>
    <row r="9" spans="1:29" ht="15.75" customHeight="1">
      <c r="A9" s="467" t="s">
        <v>907</v>
      </c>
      <c r="B9" s="26" t="s">
        <v>15</v>
      </c>
      <c r="C9" s="468" t="s">
        <v>16</v>
      </c>
      <c r="D9" s="469"/>
      <c r="E9" s="26">
        <v>39.619999999999997</v>
      </c>
      <c r="F9" s="249">
        <v>4130</v>
      </c>
      <c r="G9" s="244">
        <f t="shared" ref="G9:G12" si="11">E9*F9</f>
        <v>163630.59999999998</v>
      </c>
      <c r="H9" s="76" t="s">
        <v>57</v>
      </c>
      <c r="I9" s="247">
        <v>19</v>
      </c>
      <c r="J9" s="18">
        <v>1500</v>
      </c>
      <c r="K9" s="9">
        <f t="shared" ref="K9:K12" si="12">J9/I9</f>
        <v>78.94736842105263</v>
      </c>
      <c r="L9" s="247">
        <v>19</v>
      </c>
      <c r="M9" s="10">
        <f t="shared" ref="M9:M12" si="13">F9/V9*60</f>
        <v>1354.0983606557381</v>
      </c>
      <c r="N9" s="9">
        <f t="shared" ref="N9:N12" si="14">M9/L9</f>
        <v>71.268334771354645</v>
      </c>
      <c r="O9" s="11">
        <f t="shared" ref="O9:O12" si="15">L9-I9</f>
        <v>0</v>
      </c>
      <c r="P9" s="12">
        <f>N9-K9</f>
        <v>-7.6790336496979847</v>
      </c>
      <c r="Q9" s="245">
        <f>N9/K9</f>
        <v>0.90273224043715883</v>
      </c>
      <c r="R9" s="470">
        <f>Q13</f>
        <v>0.90441236314215256</v>
      </c>
      <c r="S9" s="24">
        <v>0.13055555555555556</v>
      </c>
      <c r="T9" s="24">
        <v>0.25763888888888886</v>
      </c>
      <c r="U9" s="244"/>
      <c r="V9" s="248">
        <f t="shared" ref="V9:V12" si="16">(T9-S9)*24*60</f>
        <v>182.99999999999994</v>
      </c>
      <c r="W9" s="9"/>
      <c r="X9" s="9"/>
      <c r="Y9" s="456"/>
      <c r="Z9" s="456"/>
      <c r="AA9" s="11">
        <f t="shared" si="2"/>
        <v>-145.90163934426187</v>
      </c>
      <c r="AB9" s="245">
        <f>M9/J9</f>
        <v>0.90273224043715872</v>
      </c>
      <c r="AC9" s="470">
        <f>AB13</f>
        <v>0.90441236314215256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49">
        <v>3000</v>
      </c>
      <c r="G10" s="244">
        <f t="shared" si="11"/>
        <v>119399.99999999999</v>
      </c>
      <c r="H10" s="76">
        <v>2</v>
      </c>
      <c r="I10" s="247">
        <v>18</v>
      </c>
      <c r="J10" s="18">
        <v>1500</v>
      </c>
      <c r="K10" s="9">
        <f t="shared" si="12"/>
        <v>83.333333333333329</v>
      </c>
      <c r="L10" s="247">
        <v>18</v>
      </c>
      <c r="M10" s="10">
        <f t="shared" si="13"/>
        <v>1353.3834586466166</v>
      </c>
      <c r="N10" s="9">
        <f t="shared" si="14"/>
        <v>75.187969924812037</v>
      </c>
      <c r="O10" s="11">
        <f t="shared" si="15"/>
        <v>0</v>
      </c>
      <c r="P10" s="12">
        <f t="shared" ref="P10:P12" si="17">N10-K10</f>
        <v>-8.1453634085212911</v>
      </c>
      <c r="Q10" s="245">
        <f t="shared" ref="Q10:Q12" si="18">N10/K10</f>
        <v>0.90225563909774453</v>
      </c>
      <c r="R10" s="470"/>
      <c r="S10" s="24">
        <v>0.28333333333333327</v>
      </c>
      <c r="T10" s="24">
        <v>0.37569444444444439</v>
      </c>
      <c r="U10" s="244">
        <f>(S10-T9)*24*60</f>
        <v>36.99999999999995</v>
      </c>
      <c r="V10" s="248">
        <f t="shared" si="16"/>
        <v>133</v>
      </c>
      <c r="W10" s="14"/>
      <c r="X10" s="14"/>
      <c r="Y10" s="456"/>
      <c r="Z10" s="456"/>
      <c r="AA10" s="11">
        <f t="shared" si="2"/>
        <v>-146.61654135338335</v>
      </c>
      <c r="AB10" s="245">
        <f t="shared" ref="AB10:AB28" si="19">M10/J10</f>
        <v>0.90225563909774442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49">
        <v>4035</v>
      </c>
      <c r="G11" s="244">
        <f t="shared" si="11"/>
        <v>158535.15</v>
      </c>
      <c r="H11" s="76" t="s">
        <v>57</v>
      </c>
      <c r="I11" s="247">
        <v>19</v>
      </c>
      <c r="J11" s="18">
        <v>1500</v>
      </c>
      <c r="K11" s="9">
        <f t="shared" si="12"/>
        <v>78.94736842105263</v>
      </c>
      <c r="L11" s="247">
        <v>19</v>
      </c>
      <c r="M11" s="10">
        <f t="shared" si="13"/>
        <v>1360.1123595505612</v>
      </c>
      <c r="N11" s="9">
        <f t="shared" si="14"/>
        <v>71.584861028976903</v>
      </c>
      <c r="O11" s="11">
        <f t="shared" si="15"/>
        <v>0</v>
      </c>
      <c r="P11" s="12">
        <f t="shared" si="17"/>
        <v>-7.3625073920757274</v>
      </c>
      <c r="Q11" s="245">
        <f t="shared" si="18"/>
        <v>0.9067415730337075</v>
      </c>
      <c r="R11" s="470"/>
      <c r="S11" s="24">
        <v>0.38472222222222213</v>
      </c>
      <c r="T11" s="24">
        <v>0.5083333333333333</v>
      </c>
      <c r="U11" s="244">
        <f t="shared" ref="U11:U12" si="20">(S11-T10)*24*60</f>
        <v>12.999999999999954</v>
      </c>
      <c r="V11" s="248">
        <f t="shared" si="16"/>
        <v>178.00000000000009</v>
      </c>
      <c r="W11" s="14"/>
      <c r="X11" s="14"/>
      <c r="Y11" s="456"/>
      <c r="Z11" s="456"/>
      <c r="AA11" s="11">
        <f t="shared" si="2"/>
        <v>-139.88764044943878</v>
      </c>
      <c r="AB11" s="245">
        <f t="shared" si="19"/>
        <v>0.9067415730337075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49">
        <v>2831</v>
      </c>
      <c r="G12" s="244">
        <f t="shared" si="11"/>
        <v>112673.79999999999</v>
      </c>
      <c r="H12" s="76" t="s">
        <v>57</v>
      </c>
      <c r="I12" s="247">
        <v>18</v>
      </c>
      <c r="J12" s="18">
        <v>1500</v>
      </c>
      <c r="K12" s="9">
        <f t="shared" si="12"/>
        <v>83.333333333333329</v>
      </c>
      <c r="L12" s="247">
        <v>18</v>
      </c>
      <c r="M12" s="10">
        <f t="shared" si="13"/>
        <v>1358.8799999999997</v>
      </c>
      <c r="N12" s="9">
        <f t="shared" si="14"/>
        <v>75.493333333333311</v>
      </c>
      <c r="O12" s="11">
        <f t="shared" si="15"/>
        <v>0</v>
      </c>
      <c r="P12" s="12">
        <f t="shared" si="17"/>
        <v>-7.8400000000000176</v>
      </c>
      <c r="Q12" s="245">
        <f t="shared" si="18"/>
        <v>0.90591999999999984</v>
      </c>
      <c r="R12" s="470"/>
      <c r="S12" s="24">
        <v>0.54999999999999993</v>
      </c>
      <c r="T12" s="24">
        <v>0.63680555555555551</v>
      </c>
      <c r="U12" s="244">
        <f t="shared" si="20"/>
        <v>59.999999999999943</v>
      </c>
      <c r="V12" s="248">
        <f t="shared" si="16"/>
        <v>125.00000000000003</v>
      </c>
      <c r="W12" s="14"/>
      <c r="X12" s="14"/>
      <c r="Y12" s="456"/>
      <c r="Z12" s="456"/>
      <c r="AA12" s="11">
        <f t="shared" si="2"/>
        <v>-141.12000000000035</v>
      </c>
      <c r="AB12" s="245">
        <f t="shared" si="19"/>
        <v>0.90591999999999973</v>
      </c>
      <c r="AC12" s="470"/>
    </row>
    <row r="13" spans="1:29" ht="16.5" customHeight="1">
      <c r="A13" s="467" t="s">
        <v>5</v>
      </c>
      <c r="B13" s="26" t="s">
        <v>908</v>
      </c>
      <c r="C13" s="466"/>
      <c r="D13" s="466"/>
      <c r="E13" s="243"/>
      <c r="F13" s="18"/>
      <c r="G13" s="10"/>
      <c r="H13" s="249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1356.6185447132289</v>
      </c>
      <c r="N13" s="9">
        <f>M13/L13</f>
        <v>73.33073214666102</v>
      </c>
      <c r="O13" s="11">
        <f>L13-I13</f>
        <v>0</v>
      </c>
      <c r="P13" s="12">
        <f>N13-K13</f>
        <v>-7.7503489344200602</v>
      </c>
      <c r="Q13" s="245">
        <f>N13/K13</f>
        <v>0.90441236314215256</v>
      </c>
      <c r="R13" s="470"/>
      <c r="S13" s="24"/>
      <c r="T13" s="24"/>
      <c r="U13" s="9"/>
      <c r="V13" s="248"/>
      <c r="W13" s="9"/>
      <c r="X13" s="9"/>
      <c r="Y13" s="456"/>
      <c r="Z13" s="456"/>
      <c r="AA13" s="11">
        <f t="shared" si="2"/>
        <v>-143.38145528677114</v>
      </c>
      <c r="AB13" s="245">
        <f t="shared" si="19"/>
        <v>0.90441236314215256</v>
      </c>
      <c r="AC13" s="470"/>
    </row>
    <row r="14" spans="1:29" ht="16.5" customHeight="1">
      <c r="A14" s="480" t="s">
        <v>909</v>
      </c>
      <c r="B14" s="249" t="s">
        <v>18</v>
      </c>
      <c r="C14" s="477" t="s">
        <v>19</v>
      </c>
      <c r="D14" s="477"/>
      <c r="E14" s="26">
        <v>41</v>
      </c>
      <c r="F14" s="249">
        <v>1612</v>
      </c>
      <c r="G14" s="244">
        <f t="shared" ref="G14:G18" si="21">E14*F14</f>
        <v>66092</v>
      </c>
      <c r="H14" s="76" t="s">
        <v>57</v>
      </c>
      <c r="I14" s="247">
        <v>26</v>
      </c>
      <c r="J14" s="18">
        <v>1286</v>
      </c>
      <c r="K14" s="9">
        <f>J14/I14</f>
        <v>49.46153846153846</v>
      </c>
      <c r="L14" s="247">
        <v>26</v>
      </c>
      <c r="M14" s="10">
        <f>F14/V14*60</f>
        <v>1165.3012048192768</v>
      </c>
      <c r="N14" s="9">
        <f t="shared" ref="N14:N27" si="22">M14/L14</f>
        <v>44.819277108433724</v>
      </c>
      <c r="O14" s="11">
        <f t="shared" ref="O14" si="23">L14-I14</f>
        <v>0</v>
      </c>
      <c r="P14" s="12">
        <f t="shared" ref="P14" si="24">N14-K14</f>
        <v>-4.6422613531047361</v>
      </c>
      <c r="Q14" s="245">
        <f>N14/K14</f>
        <v>0.90614401618917328</v>
      </c>
      <c r="R14" s="470">
        <f>Q19</f>
        <v>0.9064880976180556</v>
      </c>
      <c r="S14" s="24">
        <v>0.25</v>
      </c>
      <c r="T14" s="24">
        <v>0.30763888888888891</v>
      </c>
      <c r="U14" s="244"/>
      <c r="V14" s="248">
        <f>(T14-S14)*24*60</f>
        <v>83.000000000000028</v>
      </c>
      <c r="W14" s="15"/>
      <c r="X14" s="15"/>
      <c r="Y14" s="456"/>
      <c r="Z14" s="456"/>
      <c r="AA14" s="11">
        <f t="shared" si="2"/>
        <v>-120.69879518072321</v>
      </c>
      <c r="AB14" s="245">
        <f t="shared" si="19"/>
        <v>0.90614401618917328</v>
      </c>
      <c r="AC14" s="470">
        <f>AB19</f>
        <v>0.90648809761805571</v>
      </c>
    </row>
    <row r="15" spans="1:29" ht="16.5" customHeight="1">
      <c r="A15" s="481" t="s">
        <v>6</v>
      </c>
      <c r="B15" s="249" t="s">
        <v>15</v>
      </c>
      <c r="C15" s="477" t="s">
        <v>68</v>
      </c>
      <c r="D15" s="477"/>
      <c r="E15" s="26">
        <v>39.29</v>
      </c>
      <c r="F15" s="249">
        <v>1974</v>
      </c>
      <c r="G15" s="244">
        <f t="shared" si="21"/>
        <v>77558.459999999992</v>
      </c>
      <c r="H15" s="76" t="s">
        <v>57</v>
      </c>
      <c r="I15" s="247">
        <v>18</v>
      </c>
      <c r="J15" s="18">
        <v>1500</v>
      </c>
      <c r="K15" s="9">
        <f>J15/I15</f>
        <v>83.333333333333329</v>
      </c>
      <c r="L15" s="247">
        <v>18</v>
      </c>
      <c r="M15" s="10">
        <f>F15/V15*60</f>
        <v>1361.3793103448274</v>
      </c>
      <c r="N15" s="9">
        <f t="shared" si="22"/>
        <v>75.632183908045974</v>
      </c>
      <c r="O15" s="11">
        <f>L15-I15</f>
        <v>0</v>
      </c>
      <c r="P15" s="12">
        <f>N15-K15</f>
        <v>-7.7011494252873547</v>
      </c>
      <c r="Q15" s="245">
        <f>N15/K15</f>
        <v>0.90758620689655178</v>
      </c>
      <c r="R15" s="470"/>
      <c r="S15" s="24">
        <v>0.31736111111111109</v>
      </c>
      <c r="T15" s="24">
        <v>0.37777777777777777</v>
      </c>
      <c r="U15" s="244">
        <f>(S15-T14)*24*60</f>
        <v>13.99999999999995</v>
      </c>
      <c r="V15" s="248">
        <f>(T15-S15)*24*60</f>
        <v>87.000000000000014</v>
      </c>
      <c r="W15" s="14"/>
      <c r="X15" s="14"/>
      <c r="Y15" s="456"/>
      <c r="Z15" s="456"/>
      <c r="AA15" s="11">
        <f t="shared" si="2"/>
        <v>-138.62068965517255</v>
      </c>
      <c r="AB15" s="245">
        <f t="shared" si="19"/>
        <v>0.90758620689655167</v>
      </c>
      <c r="AC15" s="470"/>
    </row>
    <row r="16" spans="1:29" ht="16.5" customHeight="1">
      <c r="A16" s="481" t="s">
        <v>6</v>
      </c>
      <c r="B16" s="249" t="s">
        <v>15</v>
      </c>
      <c r="C16" s="477" t="s">
        <v>54</v>
      </c>
      <c r="D16" s="477"/>
      <c r="E16" s="26">
        <v>39.29</v>
      </c>
      <c r="F16" s="249">
        <v>3205</v>
      </c>
      <c r="G16" s="244">
        <f t="shared" si="21"/>
        <v>125924.45</v>
      </c>
      <c r="H16" s="76" t="s">
        <v>57</v>
      </c>
      <c r="I16" s="247">
        <v>17</v>
      </c>
      <c r="J16" s="18">
        <v>1500</v>
      </c>
      <c r="K16" s="9">
        <f t="shared" ref="K16:K18" si="25">J16/I16</f>
        <v>88.235294117647058</v>
      </c>
      <c r="L16" s="247">
        <v>17</v>
      </c>
      <c r="M16" s="10">
        <f t="shared" ref="M16:M18" si="26">F16/V16*60</f>
        <v>1354.2253521126763</v>
      </c>
      <c r="N16" s="9">
        <f t="shared" si="22"/>
        <v>79.660314830157432</v>
      </c>
      <c r="O16" s="11">
        <f t="shared" ref="O16:O18" si="27">L16-I16</f>
        <v>0</v>
      </c>
      <c r="P16" s="12">
        <f t="shared" ref="P16:P18" si="28">N16-K16</f>
        <v>-8.5749792874896258</v>
      </c>
      <c r="Q16" s="245">
        <f t="shared" ref="Q16:Q27" si="29">N16/K16</f>
        <v>0.90281690140845094</v>
      </c>
      <c r="R16" s="470"/>
      <c r="S16" s="24">
        <v>0.3881944444444444</v>
      </c>
      <c r="T16" s="24">
        <v>0.48680555555555549</v>
      </c>
      <c r="U16" s="244">
        <f t="shared" ref="U16:U18" si="30">(S16-T15)*24*60</f>
        <v>14.999999999999947</v>
      </c>
      <c r="V16" s="248">
        <f t="shared" ref="V16:V18" si="31">(T16-S16)*24*60</f>
        <v>141.99999999999997</v>
      </c>
      <c r="W16" s="14"/>
      <c r="X16" s="14"/>
      <c r="Y16" s="456"/>
      <c r="Z16" s="456"/>
      <c r="AA16" s="11">
        <f t="shared" si="2"/>
        <v>-145.77464788732368</v>
      </c>
      <c r="AB16" s="245">
        <f t="shared" si="19"/>
        <v>0.90281690140845083</v>
      </c>
      <c r="AC16" s="470"/>
    </row>
    <row r="17" spans="1:29" ht="16.5" customHeight="1">
      <c r="A17" s="481" t="s">
        <v>6</v>
      </c>
      <c r="B17" s="249" t="s">
        <v>13</v>
      </c>
      <c r="C17" s="477" t="s">
        <v>63</v>
      </c>
      <c r="D17" s="477"/>
      <c r="E17" s="26">
        <v>50.98</v>
      </c>
      <c r="F17" s="249">
        <v>2352</v>
      </c>
      <c r="G17" s="244">
        <f t="shared" si="21"/>
        <v>119904.95999999999</v>
      </c>
      <c r="H17" s="76" t="s">
        <v>57</v>
      </c>
      <c r="I17" s="247">
        <v>17</v>
      </c>
      <c r="J17" s="18">
        <v>1800</v>
      </c>
      <c r="K17" s="9">
        <f t="shared" si="25"/>
        <v>105.88235294117646</v>
      </c>
      <c r="L17" s="247">
        <v>17</v>
      </c>
      <c r="M17" s="10">
        <f t="shared" si="26"/>
        <v>1640.9302325581393</v>
      </c>
      <c r="N17" s="9">
        <f t="shared" si="22"/>
        <v>96.525307797537607</v>
      </c>
      <c r="O17" s="11">
        <f t="shared" si="27"/>
        <v>0</v>
      </c>
      <c r="P17" s="12">
        <f t="shared" si="28"/>
        <v>-9.3570451436388566</v>
      </c>
      <c r="Q17" s="245">
        <f t="shared" si="29"/>
        <v>0.91162790697674412</v>
      </c>
      <c r="R17" s="470"/>
      <c r="S17" s="24">
        <v>0.70833333333333337</v>
      </c>
      <c r="T17" s="24">
        <v>0.7680555555555556</v>
      </c>
      <c r="U17" s="244">
        <f t="shared" si="30"/>
        <v>319.00000000000017</v>
      </c>
      <c r="V17" s="248">
        <f t="shared" si="31"/>
        <v>86.000000000000014</v>
      </c>
      <c r="W17" s="14"/>
      <c r="X17" s="14"/>
      <c r="Y17" s="456"/>
      <c r="Z17" s="456"/>
      <c r="AA17" s="11">
        <f t="shared" si="2"/>
        <v>-159.06976744186068</v>
      </c>
      <c r="AB17" s="245">
        <f t="shared" si="19"/>
        <v>0.91162790697674412</v>
      </c>
      <c r="AC17" s="470"/>
    </row>
    <row r="18" spans="1:29" ht="16.5" customHeight="1">
      <c r="A18" s="481" t="s">
        <v>6</v>
      </c>
      <c r="B18" s="249" t="s">
        <v>13</v>
      </c>
      <c r="C18" s="477" t="s">
        <v>66</v>
      </c>
      <c r="D18" s="477"/>
      <c r="E18" s="26">
        <v>57.73</v>
      </c>
      <c r="F18" s="249">
        <v>1558</v>
      </c>
      <c r="G18" s="244">
        <f t="shared" si="21"/>
        <v>89943.34</v>
      </c>
      <c r="H18" s="76" t="s">
        <v>57</v>
      </c>
      <c r="I18" s="247">
        <v>16</v>
      </c>
      <c r="J18" s="18">
        <v>1500</v>
      </c>
      <c r="K18" s="9">
        <f t="shared" si="25"/>
        <v>93.75</v>
      </c>
      <c r="L18" s="247">
        <v>16</v>
      </c>
      <c r="M18" s="10">
        <f t="shared" si="26"/>
        <v>1354.7826086956509</v>
      </c>
      <c r="N18" s="9">
        <f t="shared" si="22"/>
        <v>84.67391304347818</v>
      </c>
      <c r="O18" s="11">
        <f t="shared" si="27"/>
        <v>0</v>
      </c>
      <c r="P18" s="12">
        <f t="shared" si="28"/>
        <v>-9.0760869565218201</v>
      </c>
      <c r="Q18" s="245">
        <f t="shared" si="29"/>
        <v>0.90318840579710058</v>
      </c>
      <c r="R18" s="470"/>
      <c r="S18" s="24">
        <v>0.77222222222222225</v>
      </c>
      <c r="T18" s="24">
        <v>0.82013888888888897</v>
      </c>
      <c r="U18" s="244">
        <f t="shared" si="30"/>
        <v>5.9999999999999787</v>
      </c>
      <c r="V18" s="248">
        <f t="shared" si="31"/>
        <v>69.000000000000071</v>
      </c>
      <c r="W18" s="14"/>
      <c r="X18" s="14"/>
      <c r="Y18" s="456"/>
      <c r="Z18" s="456"/>
      <c r="AA18" s="11">
        <f t="shared" si="2"/>
        <v>-145.21739130434912</v>
      </c>
      <c r="AB18" s="245">
        <f t="shared" si="19"/>
        <v>0.90318840579710058</v>
      </c>
      <c r="AC18" s="470"/>
    </row>
    <row r="19" spans="1:29" ht="16.5" customHeight="1">
      <c r="A19" s="481" t="s">
        <v>6</v>
      </c>
      <c r="B19" s="26" t="s">
        <v>910</v>
      </c>
      <c r="C19" s="466"/>
      <c r="D19" s="466"/>
      <c r="E19" s="243"/>
      <c r="F19" s="16"/>
      <c r="G19" s="9"/>
      <c r="H19" s="249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1375.3237417061141</v>
      </c>
      <c r="N19" s="9">
        <f t="shared" si="22"/>
        <v>73.155518175857125</v>
      </c>
      <c r="O19" s="11">
        <f>L19-I19</f>
        <v>0</v>
      </c>
      <c r="P19" s="12">
        <f>N19-K19</f>
        <v>-7.5466094837173472</v>
      </c>
      <c r="Q19" s="245">
        <f t="shared" si="29"/>
        <v>0.9064880976180556</v>
      </c>
      <c r="R19" s="470"/>
      <c r="S19" s="24"/>
      <c r="T19" s="24"/>
      <c r="U19" s="244"/>
      <c r="V19" s="248"/>
      <c r="W19" s="9"/>
      <c r="X19" s="9"/>
      <c r="Y19" s="456"/>
      <c r="Z19" s="456"/>
      <c r="AA19" s="11">
        <f t="shared" si="2"/>
        <v>-141.87625829388594</v>
      </c>
      <c r="AB19" s="245">
        <f t="shared" si="19"/>
        <v>0.90648809761805571</v>
      </c>
      <c r="AC19" s="470"/>
    </row>
    <row r="20" spans="1:29" ht="15.75" customHeight="1">
      <c r="A20" s="478" t="s">
        <v>156</v>
      </c>
      <c r="B20" s="26" t="s">
        <v>21</v>
      </c>
      <c r="C20" s="477" t="s">
        <v>22</v>
      </c>
      <c r="D20" s="477"/>
      <c r="E20" s="26">
        <v>43.14</v>
      </c>
      <c r="F20" s="249">
        <v>1292</v>
      </c>
      <c r="G20" s="244">
        <f t="shared" ref="G20:G27" si="32">E20*F20</f>
        <v>55736.88</v>
      </c>
      <c r="H20" s="76" t="s">
        <v>57</v>
      </c>
      <c r="I20" s="247">
        <v>17</v>
      </c>
      <c r="J20" s="18">
        <v>1200</v>
      </c>
      <c r="K20" s="9">
        <f t="shared" ref="K20:K28" si="33">J20/I20</f>
        <v>70.588235294117652</v>
      </c>
      <c r="L20" s="247">
        <v>17</v>
      </c>
      <c r="M20" s="10">
        <f t="shared" ref="M20:M27" si="34">F20/V20*60</f>
        <v>1091.8309859154931</v>
      </c>
      <c r="N20" s="9">
        <f t="shared" si="22"/>
        <v>64.225352112676063</v>
      </c>
      <c r="O20" s="11">
        <f t="shared" ref="O20:O27" si="35">L20-I20</f>
        <v>0</v>
      </c>
      <c r="P20" s="12">
        <f t="shared" ref="P20:P27" si="36">N20-K20</f>
        <v>-6.3628831814415889</v>
      </c>
      <c r="Q20" s="245">
        <f t="shared" si="29"/>
        <v>0.90985915492957747</v>
      </c>
      <c r="R20" s="470">
        <f>Q28</f>
        <v>0.91163623317651876</v>
      </c>
      <c r="S20" s="24">
        <v>0.16666666666666666</v>
      </c>
      <c r="T20" s="24">
        <v>0.2159722222222222</v>
      </c>
      <c r="U20" s="244"/>
      <c r="V20" s="248">
        <f>(T20-S20)*24*60</f>
        <v>70.999999999999986</v>
      </c>
      <c r="W20" s="15"/>
      <c r="X20" s="15"/>
      <c r="Y20" s="456"/>
      <c r="Z20" s="456"/>
      <c r="AA20" s="11">
        <f t="shared" si="2"/>
        <v>-108.1690140845069</v>
      </c>
      <c r="AB20" s="245">
        <f t="shared" si="19"/>
        <v>0.90985915492957758</v>
      </c>
      <c r="AC20" s="470">
        <f>AB28</f>
        <v>0.91163623317651876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49">
        <v>2713</v>
      </c>
      <c r="G21" s="244">
        <f t="shared" si="32"/>
        <v>156621.49</v>
      </c>
      <c r="H21" s="76" t="s">
        <v>57</v>
      </c>
      <c r="I21" s="247">
        <v>16</v>
      </c>
      <c r="J21" s="18">
        <v>1800</v>
      </c>
      <c r="K21" s="9">
        <f t="shared" si="33"/>
        <v>112.5</v>
      </c>
      <c r="L21" s="247">
        <v>16</v>
      </c>
      <c r="M21" s="10">
        <f t="shared" si="34"/>
        <v>1627.7999999999993</v>
      </c>
      <c r="N21" s="9">
        <f t="shared" si="22"/>
        <v>101.73749999999995</v>
      </c>
      <c r="O21" s="11">
        <f t="shared" si="35"/>
        <v>0</v>
      </c>
      <c r="P21" s="12">
        <f t="shared" si="36"/>
        <v>-10.762500000000045</v>
      </c>
      <c r="Q21" s="245">
        <f t="shared" si="29"/>
        <v>0.90433333333333288</v>
      </c>
      <c r="R21" s="470"/>
      <c r="S21" s="24">
        <v>0.2361111111111111</v>
      </c>
      <c r="T21" s="24">
        <v>0.30555555555555558</v>
      </c>
      <c r="U21" s="244">
        <f>(S21-T20)*24*60</f>
        <v>29.000000000000018</v>
      </c>
      <c r="V21" s="248">
        <f t="shared" ref="V21:V27" si="37">(T21-S21)*24*60</f>
        <v>100.00000000000004</v>
      </c>
      <c r="W21" s="14"/>
      <c r="X21" s="244"/>
      <c r="Y21" s="456"/>
      <c r="Z21" s="456"/>
      <c r="AA21" s="11">
        <f t="shared" si="2"/>
        <v>-172.20000000000073</v>
      </c>
      <c r="AB21" s="245">
        <f t="shared" si="19"/>
        <v>0.90433333333333288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49">
        <v>1723</v>
      </c>
      <c r="G22" s="244">
        <f t="shared" si="32"/>
        <v>92490.64</v>
      </c>
      <c r="H22" s="76" t="s">
        <v>57</v>
      </c>
      <c r="I22" s="247">
        <v>17</v>
      </c>
      <c r="J22" s="18">
        <v>1800</v>
      </c>
      <c r="K22" s="9">
        <f t="shared" si="33"/>
        <v>105.88235294117646</v>
      </c>
      <c r="L22" s="247">
        <v>17</v>
      </c>
      <c r="M22" s="10">
        <f t="shared" si="34"/>
        <v>1640.9523809523807</v>
      </c>
      <c r="N22" s="9">
        <f t="shared" si="22"/>
        <v>96.526610644257687</v>
      </c>
      <c r="O22" s="11">
        <f t="shared" si="35"/>
        <v>0</v>
      </c>
      <c r="P22" s="12">
        <f t="shared" si="36"/>
        <v>-9.3557422969187769</v>
      </c>
      <c r="Q22" s="245">
        <f t="shared" si="29"/>
        <v>0.91164021164021158</v>
      </c>
      <c r="R22" s="470"/>
      <c r="S22" s="24">
        <v>0.31041666666666667</v>
      </c>
      <c r="T22" s="24">
        <v>0.35416666666666669</v>
      </c>
      <c r="U22" s="244">
        <f t="shared" ref="U22:U27" si="38">(S22-T21)*24*60</f>
        <v>6.9999999999999751</v>
      </c>
      <c r="V22" s="248">
        <f t="shared" si="37"/>
        <v>63.000000000000014</v>
      </c>
      <c r="W22" s="14"/>
      <c r="X22" s="244"/>
      <c r="Y22" s="456"/>
      <c r="Z22" s="456"/>
      <c r="AA22" s="11">
        <f t="shared" si="2"/>
        <v>-159.04761904761926</v>
      </c>
      <c r="AB22" s="245">
        <f t="shared" si="19"/>
        <v>0.91164021164021147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49">
        <v>1068</v>
      </c>
      <c r="G23" s="244">
        <f t="shared" si="32"/>
        <v>54115.560000000005</v>
      </c>
      <c r="H23" s="76" t="s">
        <v>57</v>
      </c>
      <c r="I23" s="247">
        <v>16</v>
      </c>
      <c r="J23" s="18">
        <v>1800</v>
      </c>
      <c r="K23" s="9">
        <f t="shared" si="33"/>
        <v>112.5</v>
      </c>
      <c r="L23" s="247">
        <v>16</v>
      </c>
      <c r="M23" s="10">
        <f t="shared" si="34"/>
        <v>1643.0769230769222</v>
      </c>
      <c r="N23" s="9">
        <f t="shared" si="22"/>
        <v>102.69230769230764</v>
      </c>
      <c r="O23" s="11">
        <f t="shared" si="35"/>
        <v>0</v>
      </c>
      <c r="P23" s="12">
        <f t="shared" si="36"/>
        <v>-9.8076923076923634</v>
      </c>
      <c r="Q23" s="245">
        <f t="shared" si="29"/>
        <v>0.91282051282051235</v>
      </c>
      <c r="R23" s="470"/>
      <c r="S23" s="24">
        <v>0.35902777777777778</v>
      </c>
      <c r="T23" s="24">
        <v>0.38611111111111113</v>
      </c>
      <c r="U23" s="244">
        <f t="shared" si="38"/>
        <v>6.9999999999999751</v>
      </c>
      <c r="V23" s="248">
        <f t="shared" si="37"/>
        <v>39.000000000000021</v>
      </c>
      <c r="W23" s="14"/>
      <c r="X23" s="244"/>
      <c r="Y23" s="456"/>
      <c r="Z23" s="456"/>
      <c r="AA23" s="11">
        <f t="shared" si="2"/>
        <v>-156.92307692307782</v>
      </c>
      <c r="AB23" s="245">
        <f t="shared" si="19"/>
        <v>0.91282051282051235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55.56</v>
      </c>
      <c r="F24" s="249">
        <v>4000</v>
      </c>
      <c r="G24" s="244">
        <f t="shared" si="32"/>
        <v>222240</v>
      </c>
      <c r="H24" s="76">
        <v>2</v>
      </c>
      <c r="I24" s="247">
        <v>19</v>
      </c>
      <c r="J24" s="18">
        <v>1800</v>
      </c>
      <c r="K24" s="9">
        <f t="shared" si="33"/>
        <v>94.736842105263165</v>
      </c>
      <c r="L24" s="247">
        <v>19</v>
      </c>
      <c r="M24" s="10">
        <f t="shared" si="34"/>
        <v>1632.6530612244894</v>
      </c>
      <c r="N24" s="9">
        <f t="shared" si="22"/>
        <v>85.929108485499441</v>
      </c>
      <c r="O24" s="11">
        <f t="shared" si="35"/>
        <v>0</v>
      </c>
      <c r="P24" s="12">
        <f t="shared" si="36"/>
        <v>-8.8077336197637237</v>
      </c>
      <c r="Q24" s="245">
        <f t="shared" si="29"/>
        <v>0.9070294784580496</v>
      </c>
      <c r="R24" s="470"/>
      <c r="S24" s="24">
        <v>0.39027777777777778</v>
      </c>
      <c r="T24" s="24">
        <v>0.49236111111111114</v>
      </c>
      <c r="U24" s="244">
        <f t="shared" si="38"/>
        <v>5.9999999999999787</v>
      </c>
      <c r="V24" s="248">
        <f t="shared" si="37"/>
        <v>147.00000000000003</v>
      </c>
      <c r="W24" s="14"/>
      <c r="X24" s="244"/>
      <c r="Y24" s="456"/>
      <c r="Z24" s="456"/>
      <c r="AA24" s="11">
        <f t="shared" si="2"/>
        <v>-167.34693877551058</v>
      </c>
      <c r="AB24" s="245">
        <f t="shared" si="19"/>
        <v>0.90702947845804971</v>
      </c>
      <c r="AC24" s="470"/>
    </row>
    <row r="25" spans="1:29" ht="15.75" customHeight="1">
      <c r="A25" s="479" t="s">
        <v>7</v>
      </c>
      <c r="B25" s="26" t="s">
        <v>13</v>
      </c>
      <c r="C25" s="477" t="s">
        <v>784</v>
      </c>
      <c r="D25" s="477"/>
      <c r="E25" s="26">
        <v>55.56</v>
      </c>
      <c r="F25" s="249">
        <v>1482</v>
      </c>
      <c r="G25" s="244">
        <f t="shared" si="32"/>
        <v>82339.92</v>
      </c>
      <c r="H25" s="76" t="s">
        <v>57</v>
      </c>
      <c r="I25" s="247">
        <v>19</v>
      </c>
      <c r="J25" s="18">
        <v>1800</v>
      </c>
      <c r="K25" s="9">
        <f t="shared" si="33"/>
        <v>94.736842105263165</v>
      </c>
      <c r="L25" s="247">
        <v>19</v>
      </c>
      <c r="M25" s="10">
        <f t="shared" si="34"/>
        <v>1646.6666666666677</v>
      </c>
      <c r="N25" s="9">
        <f t="shared" si="22"/>
        <v>86.666666666666714</v>
      </c>
      <c r="O25" s="11">
        <f t="shared" si="35"/>
        <v>0</v>
      </c>
      <c r="P25" s="12">
        <f t="shared" si="36"/>
        <v>-8.0701754385964506</v>
      </c>
      <c r="Q25" s="245">
        <f t="shared" si="29"/>
        <v>0.9148148148148153</v>
      </c>
      <c r="R25" s="470"/>
      <c r="S25" s="24">
        <v>0.53194444444444444</v>
      </c>
      <c r="T25" s="24">
        <v>0.56944444444444442</v>
      </c>
      <c r="U25" s="244">
        <f t="shared" si="38"/>
        <v>56.999999999999957</v>
      </c>
      <c r="V25" s="248">
        <f t="shared" si="37"/>
        <v>53.999999999999972</v>
      </c>
      <c r="W25" s="14"/>
      <c r="X25" s="15"/>
      <c r="Y25" s="456"/>
      <c r="Z25" s="456"/>
      <c r="AA25" s="11">
        <f t="shared" si="2"/>
        <v>-153.33333333333235</v>
      </c>
      <c r="AB25" s="245">
        <f t="shared" si="19"/>
        <v>0.91481481481481541</v>
      </c>
      <c r="AC25" s="470"/>
    </row>
    <row r="26" spans="1:29" ht="15.75" customHeight="1">
      <c r="A26" s="479" t="s">
        <v>7</v>
      </c>
      <c r="B26" s="26" t="s">
        <v>13</v>
      </c>
      <c r="C26" s="477" t="s">
        <v>59</v>
      </c>
      <c r="D26" s="477"/>
      <c r="E26" s="26">
        <v>50.92</v>
      </c>
      <c r="F26" s="249">
        <v>2726</v>
      </c>
      <c r="G26" s="244">
        <f t="shared" si="32"/>
        <v>138807.92000000001</v>
      </c>
      <c r="H26" s="76" t="s">
        <v>57</v>
      </c>
      <c r="I26" s="247">
        <v>16</v>
      </c>
      <c r="J26" s="18">
        <v>1800</v>
      </c>
      <c r="K26" s="9">
        <f t="shared" si="33"/>
        <v>112.5</v>
      </c>
      <c r="L26" s="247">
        <v>16</v>
      </c>
      <c r="M26" s="10">
        <f t="shared" si="34"/>
        <v>1635.6000000000006</v>
      </c>
      <c r="N26" s="9">
        <f t="shared" si="22"/>
        <v>102.22500000000004</v>
      </c>
      <c r="O26" s="11">
        <f t="shared" si="35"/>
        <v>0</v>
      </c>
      <c r="P26" s="12">
        <f t="shared" si="36"/>
        <v>-10.274999999999963</v>
      </c>
      <c r="Q26" s="245">
        <f t="shared" si="29"/>
        <v>0.90866666666666696</v>
      </c>
      <c r="R26" s="470"/>
      <c r="S26" s="24">
        <v>0.70833333333333337</v>
      </c>
      <c r="T26" s="24">
        <v>0.77777777777777779</v>
      </c>
      <c r="U26" s="244">
        <f t="shared" si="38"/>
        <v>200.00000000000009</v>
      </c>
      <c r="V26" s="248">
        <f t="shared" si="37"/>
        <v>99.999999999999972</v>
      </c>
      <c r="W26" s="14"/>
      <c r="X26" s="15"/>
      <c r="Y26" s="473"/>
      <c r="Z26" s="474"/>
      <c r="AA26" s="11">
        <f t="shared" si="2"/>
        <v>-164.39999999999941</v>
      </c>
      <c r="AB26" s="245">
        <f t="shared" si="19"/>
        <v>0.90866666666666696</v>
      </c>
      <c r="AC26" s="470"/>
    </row>
    <row r="27" spans="1:29" ht="15.75" customHeight="1">
      <c r="A27" s="479" t="s">
        <v>7</v>
      </c>
      <c r="B27" s="26" t="s">
        <v>13</v>
      </c>
      <c r="C27" s="482" t="s">
        <v>62</v>
      </c>
      <c r="D27" s="483"/>
      <c r="E27" s="26">
        <v>53.27</v>
      </c>
      <c r="F27" s="249">
        <v>554</v>
      </c>
      <c r="G27" s="244">
        <f t="shared" si="32"/>
        <v>29511.58</v>
      </c>
      <c r="H27" s="76" t="s">
        <v>57</v>
      </c>
      <c r="I27" s="247">
        <v>15</v>
      </c>
      <c r="J27" s="18">
        <v>1800</v>
      </c>
      <c r="K27" s="9">
        <f t="shared" si="33"/>
        <v>120</v>
      </c>
      <c r="L27" s="247">
        <v>15</v>
      </c>
      <c r="M27" s="10">
        <f t="shared" si="34"/>
        <v>1662.0000000000059</v>
      </c>
      <c r="N27" s="9">
        <f t="shared" si="22"/>
        <v>110.8000000000004</v>
      </c>
      <c r="O27" s="11">
        <f t="shared" si="35"/>
        <v>0</v>
      </c>
      <c r="P27" s="12">
        <f t="shared" si="36"/>
        <v>-9.1999999999996049</v>
      </c>
      <c r="Q27" s="245">
        <f t="shared" si="29"/>
        <v>0.92333333333333667</v>
      </c>
      <c r="R27" s="470"/>
      <c r="S27" s="24">
        <v>0.78194444444444444</v>
      </c>
      <c r="T27" s="24">
        <v>0.79583333333333328</v>
      </c>
      <c r="U27" s="244">
        <f t="shared" si="38"/>
        <v>5.9999999999999787</v>
      </c>
      <c r="V27" s="248">
        <f t="shared" si="37"/>
        <v>19.999999999999929</v>
      </c>
      <c r="W27" s="14"/>
      <c r="X27" s="14"/>
      <c r="Y27" s="473"/>
      <c r="Z27" s="474"/>
      <c r="AA27" s="11">
        <f t="shared" si="2"/>
        <v>-137.99999999999409</v>
      </c>
      <c r="AB27" s="245">
        <f t="shared" si="19"/>
        <v>0.92333333333333667</v>
      </c>
      <c r="AC27" s="470"/>
    </row>
    <row r="28" spans="1:29" ht="15.75" customHeight="1">
      <c r="A28" s="479" t="s">
        <v>7</v>
      </c>
      <c r="B28" s="26" t="s">
        <v>911</v>
      </c>
      <c r="C28" s="466"/>
      <c r="D28" s="466"/>
      <c r="E28" s="243"/>
      <c r="F28" s="249"/>
      <c r="G28" s="244"/>
      <c r="H28" s="249"/>
      <c r="I28" s="17">
        <v>16.875</v>
      </c>
      <c r="J28" s="18">
        <v>1725</v>
      </c>
      <c r="K28" s="9">
        <f t="shared" si="33"/>
        <v>102.22222222222223</v>
      </c>
      <c r="L28" s="17">
        <v>16.875</v>
      </c>
      <c r="M28" s="10">
        <f>AVERAGE(M20:M27)</f>
        <v>1572.5725022294948</v>
      </c>
      <c r="N28" s="9">
        <f>M28/L28</f>
        <v>93.189481613599696</v>
      </c>
      <c r="O28" s="11">
        <f>L28-I28</f>
        <v>0</v>
      </c>
      <c r="P28" s="12">
        <f>N28-K28</f>
        <v>-9.0327406086225324</v>
      </c>
      <c r="Q28" s="245">
        <f>N28/K28</f>
        <v>0.91163623317651876</v>
      </c>
      <c r="R28" s="470"/>
      <c r="S28" s="24"/>
      <c r="T28" s="24"/>
      <c r="U28" s="9"/>
      <c r="V28" s="248"/>
      <c r="W28" s="9"/>
      <c r="X28" s="9"/>
      <c r="Y28" s="456"/>
      <c r="Z28" s="456"/>
      <c r="AA28" s="11">
        <f t="shared" si="2"/>
        <v>-152.42749777050517</v>
      </c>
      <c r="AB28" s="245">
        <f t="shared" si="19"/>
        <v>0.91163623317651876</v>
      </c>
      <c r="AC28" s="470"/>
    </row>
    <row r="29" spans="1:29" ht="15.75" customHeight="1">
      <c r="A29" s="484" t="s">
        <v>912</v>
      </c>
      <c r="B29" s="26" t="s">
        <v>24</v>
      </c>
      <c r="C29" s="477" t="s">
        <v>26</v>
      </c>
      <c r="D29" s="477"/>
      <c r="E29" s="26">
        <v>26.2</v>
      </c>
      <c r="F29" s="249">
        <v>4362</v>
      </c>
      <c r="G29" s="244">
        <f t="shared" ref="G29:G34" si="39">E29*F29</f>
        <v>114284.4</v>
      </c>
      <c r="H29" s="76" t="s">
        <v>57</v>
      </c>
      <c r="I29" s="247">
        <v>20</v>
      </c>
      <c r="J29" s="18">
        <v>2400</v>
      </c>
      <c r="K29" s="9">
        <f>J29/I29</f>
        <v>120</v>
      </c>
      <c r="L29" s="247">
        <v>20</v>
      </c>
      <c r="M29" s="10">
        <f t="shared" ref="M29:M34" si="40">F29/V29*60</f>
        <v>2162.9752066115707</v>
      </c>
      <c r="N29" s="9">
        <f t="shared" ref="N29:N34" si="41">M29/L29</f>
        <v>108.14876033057854</v>
      </c>
      <c r="O29" s="11">
        <f t="shared" ref="O29:O34" si="42">L29-I29</f>
        <v>0</v>
      </c>
      <c r="P29" s="12">
        <f t="shared" ref="P29:P34" si="43">N29-K29</f>
        <v>-11.85123966942146</v>
      </c>
      <c r="Q29" s="245">
        <f t="shared" ref="Q29:Q34" si="44">N29/K29</f>
        <v>0.90123966942148781</v>
      </c>
      <c r="R29" s="470">
        <f>Q35</f>
        <v>0.90291833333615534</v>
      </c>
      <c r="S29" s="24">
        <v>0.125</v>
      </c>
      <c r="T29" s="24">
        <v>0.20902777777777776</v>
      </c>
      <c r="U29" s="244"/>
      <c r="V29" s="248">
        <f t="shared" ref="V29:V34" si="45">(T29-S29)*24*60</f>
        <v>120.99999999999997</v>
      </c>
      <c r="W29" s="14"/>
      <c r="X29" s="14"/>
      <c r="Y29" s="456"/>
      <c r="Z29" s="456"/>
      <c r="AA29" s="11">
        <f t="shared" si="2"/>
        <v>-237.02479338842932</v>
      </c>
      <c r="AB29" s="245">
        <f>M29/J29</f>
        <v>0.90123966942148781</v>
      </c>
      <c r="AC29" s="470">
        <f>AB35</f>
        <v>0.90291833333615534</v>
      </c>
    </row>
    <row r="30" spans="1:29" ht="15.75" customHeight="1">
      <c r="A30" s="484" t="s">
        <v>8</v>
      </c>
      <c r="B30" s="26" t="s">
        <v>24</v>
      </c>
      <c r="C30" s="477" t="s">
        <v>25</v>
      </c>
      <c r="D30" s="477"/>
      <c r="E30" s="26">
        <v>20.52</v>
      </c>
      <c r="F30" s="249">
        <v>4226</v>
      </c>
      <c r="G30" s="244">
        <f t="shared" si="39"/>
        <v>86717.52</v>
      </c>
      <c r="H30" s="76" t="s">
        <v>57</v>
      </c>
      <c r="I30" s="247">
        <v>18</v>
      </c>
      <c r="J30" s="18">
        <v>2400</v>
      </c>
      <c r="K30" s="9">
        <f t="shared" ref="K30:K35" si="46">J30/I30</f>
        <v>133.33333333333334</v>
      </c>
      <c r="L30" s="247">
        <v>18</v>
      </c>
      <c r="M30" s="10">
        <f t="shared" si="40"/>
        <v>2167.1794871794868</v>
      </c>
      <c r="N30" s="9">
        <f t="shared" si="41"/>
        <v>120.39886039886038</v>
      </c>
      <c r="O30" s="11">
        <f t="shared" si="42"/>
        <v>0</v>
      </c>
      <c r="P30" s="12">
        <f t="shared" si="43"/>
        <v>-12.934472934472964</v>
      </c>
      <c r="Q30" s="245">
        <f t="shared" si="44"/>
        <v>0.90299145299145278</v>
      </c>
      <c r="R30" s="470"/>
      <c r="S30" s="24">
        <v>0.22916666666666666</v>
      </c>
      <c r="T30" s="24">
        <v>0.31041666666666667</v>
      </c>
      <c r="U30" s="244">
        <f>(S30-T29)*24*60</f>
        <v>29.000000000000018</v>
      </c>
      <c r="V30" s="248">
        <f t="shared" si="45"/>
        <v>117.00000000000003</v>
      </c>
      <c r="W30" s="14"/>
      <c r="X30" s="14"/>
      <c r="Y30" s="456"/>
      <c r="Z30" s="456"/>
      <c r="AA30" s="11">
        <f t="shared" si="2"/>
        <v>-232.82051282051316</v>
      </c>
      <c r="AB30" s="245">
        <f t="shared" ref="AB30:AB34" si="47">M30/J30</f>
        <v>0.90299145299145289</v>
      </c>
      <c r="AC30" s="470"/>
    </row>
    <row r="31" spans="1:29" ht="15.75" customHeight="1">
      <c r="A31" s="484" t="s">
        <v>8</v>
      </c>
      <c r="B31" s="26" t="s">
        <v>24</v>
      </c>
      <c r="C31" s="477" t="s">
        <v>513</v>
      </c>
      <c r="D31" s="477"/>
      <c r="E31" s="26">
        <v>31.29</v>
      </c>
      <c r="F31" s="249">
        <v>3500</v>
      </c>
      <c r="G31" s="244">
        <f t="shared" si="39"/>
        <v>109515</v>
      </c>
      <c r="H31" s="76">
        <v>2</v>
      </c>
      <c r="I31" s="247">
        <v>16</v>
      </c>
      <c r="J31" s="18">
        <v>2400</v>
      </c>
      <c r="K31" s="9">
        <f t="shared" si="46"/>
        <v>150</v>
      </c>
      <c r="L31" s="247">
        <v>16</v>
      </c>
      <c r="M31" s="10">
        <f t="shared" si="40"/>
        <v>2164.9484536082482</v>
      </c>
      <c r="N31" s="9">
        <f t="shared" si="41"/>
        <v>135.30927835051551</v>
      </c>
      <c r="O31" s="11">
        <f t="shared" si="42"/>
        <v>0</v>
      </c>
      <c r="P31" s="12">
        <f t="shared" si="43"/>
        <v>-14.690721649484487</v>
      </c>
      <c r="Q31" s="245">
        <f t="shared" si="44"/>
        <v>0.90206185567010344</v>
      </c>
      <c r="R31" s="470"/>
      <c r="S31" s="24">
        <v>0.31458333333333333</v>
      </c>
      <c r="T31" s="24">
        <v>0.38194444444444442</v>
      </c>
      <c r="U31" s="244">
        <f t="shared" ref="U31:U34" si="48">(S31-T30)*24*60</f>
        <v>5.9999999999999787</v>
      </c>
      <c r="V31" s="248">
        <f t="shared" si="45"/>
        <v>96.999999999999972</v>
      </c>
      <c r="W31" s="14"/>
      <c r="X31" s="14"/>
      <c r="Y31" s="456"/>
      <c r="Z31" s="456"/>
      <c r="AA31" s="11">
        <f t="shared" si="2"/>
        <v>-235.0515463917518</v>
      </c>
      <c r="AB31" s="245">
        <f t="shared" si="47"/>
        <v>0.90206185567010344</v>
      </c>
      <c r="AC31" s="470"/>
    </row>
    <row r="32" spans="1:29" ht="15.75" customHeight="1">
      <c r="A32" s="484" t="s">
        <v>8</v>
      </c>
      <c r="B32" s="26" t="s">
        <v>24</v>
      </c>
      <c r="C32" s="477" t="s">
        <v>84</v>
      </c>
      <c r="D32" s="477"/>
      <c r="E32" s="26">
        <v>24.25</v>
      </c>
      <c r="F32" s="249">
        <v>3000</v>
      </c>
      <c r="G32" s="244">
        <f t="shared" si="39"/>
        <v>72750</v>
      </c>
      <c r="H32" s="76">
        <v>2</v>
      </c>
      <c r="I32" s="247">
        <v>18</v>
      </c>
      <c r="J32" s="18">
        <v>2400</v>
      </c>
      <c r="K32" s="9">
        <f t="shared" si="46"/>
        <v>133.33333333333334</v>
      </c>
      <c r="L32" s="247">
        <v>18</v>
      </c>
      <c r="M32" s="10">
        <f t="shared" si="40"/>
        <v>2168.6746987951801</v>
      </c>
      <c r="N32" s="9">
        <f t="shared" si="41"/>
        <v>120.48192771084334</v>
      </c>
      <c r="O32" s="11">
        <f t="shared" si="42"/>
        <v>0</v>
      </c>
      <c r="P32" s="12">
        <f t="shared" si="43"/>
        <v>-12.851405622490006</v>
      </c>
      <c r="Q32" s="245">
        <f t="shared" si="44"/>
        <v>0.90361445783132499</v>
      </c>
      <c r="R32" s="470"/>
      <c r="S32" s="24">
        <v>0.38749999999999996</v>
      </c>
      <c r="T32" s="24">
        <v>0.44513888888888886</v>
      </c>
      <c r="U32" s="244">
        <f t="shared" si="48"/>
        <v>7.9999999999999716</v>
      </c>
      <c r="V32" s="248">
        <f t="shared" si="45"/>
        <v>83.000000000000028</v>
      </c>
      <c r="W32" s="14"/>
      <c r="X32" s="14"/>
      <c r="Y32" s="456"/>
      <c r="Z32" s="456"/>
      <c r="AA32" s="11">
        <f t="shared" si="2"/>
        <v>-231.32530120481988</v>
      </c>
      <c r="AB32" s="245">
        <f t="shared" si="47"/>
        <v>0.9036144578313251</v>
      </c>
      <c r="AC32" s="470"/>
    </row>
    <row r="33" spans="1:29" ht="15.75" customHeight="1">
      <c r="A33" s="484" t="s">
        <v>8</v>
      </c>
      <c r="B33" s="26" t="s">
        <v>24</v>
      </c>
      <c r="C33" s="477" t="s">
        <v>69</v>
      </c>
      <c r="D33" s="477"/>
      <c r="E33" s="26">
        <v>22.35</v>
      </c>
      <c r="F33" s="249">
        <v>2713</v>
      </c>
      <c r="G33" s="244">
        <f t="shared" si="39"/>
        <v>60635.55</v>
      </c>
      <c r="H33" s="76" t="s">
        <v>57</v>
      </c>
      <c r="I33" s="247">
        <v>16</v>
      </c>
      <c r="J33" s="18">
        <v>2400</v>
      </c>
      <c r="K33" s="9">
        <f t="shared" si="46"/>
        <v>150</v>
      </c>
      <c r="L33" s="247">
        <v>16</v>
      </c>
      <c r="M33" s="10">
        <f t="shared" si="40"/>
        <v>2170.3999999999983</v>
      </c>
      <c r="N33" s="9">
        <f t="shared" si="41"/>
        <v>135.64999999999989</v>
      </c>
      <c r="O33" s="11">
        <f t="shared" si="42"/>
        <v>0</v>
      </c>
      <c r="P33" s="12">
        <f t="shared" si="43"/>
        <v>-14.350000000000108</v>
      </c>
      <c r="Q33" s="245">
        <f t="shared" si="44"/>
        <v>0.90433333333333266</v>
      </c>
      <c r="R33" s="470"/>
      <c r="S33" s="24">
        <v>0.44861111111111107</v>
      </c>
      <c r="T33" s="24">
        <v>0.50069444444444444</v>
      </c>
      <c r="U33" s="244">
        <f t="shared" si="48"/>
        <v>4.9999999999999822</v>
      </c>
      <c r="V33" s="248">
        <f t="shared" si="45"/>
        <v>75.000000000000057</v>
      </c>
      <c r="W33" s="14"/>
      <c r="X33" s="14"/>
      <c r="Y33" s="456"/>
      <c r="Z33" s="456"/>
      <c r="AA33" s="11">
        <f t="shared" si="2"/>
        <v>-229.60000000000173</v>
      </c>
      <c r="AB33" s="245">
        <f t="shared" si="47"/>
        <v>0.90433333333333266</v>
      </c>
      <c r="AC33" s="470"/>
    </row>
    <row r="34" spans="1:29" ht="15.75" customHeight="1">
      <c r="A34" s="484" t="s">
        <v>8</v>
      </c>
      <c r="B34" s="26" t="s">
        <v>24</v>
      </c>
      <c r="C34" s="477" t="s">
        <v>513</v>
      </c>
      <c r="D34" s="477"/>
      <c r="E34" s="26">
        <v>31.29</v>
      </c>
      <c r="F34" s="249">
        <v>4697</v>
      </c>
      <c r="G34" s="244">
        <f t="shared" si="39"/>
        <v>146969.13</v>
      </c>
      <c r="H34" s="76" t="s">
        <v>57</v>
      </c>
      <c r="I34" s="247">
        <v>16</v>
      </c>
      <c r="J34" s="18">
        <v>2400</v>
      </c>
      <c r="K34" s="9">
        <f t="shared" si="46"/>
        <v>150</v>
      </c>
      <c r="L34" s="247">
        <v>16</v>
      </c>
      <c r="M34" s="10">
        <f t="shared" si="40"/>
        <v>2167.8461538461534</v>
      </c>
      <c r="N34" s="9">
        <f t="shared" si="41"/>
        <v>135.49038461538458</v>
      </c>
      <c r="O34" s="11">
        <f t="shared" si="42"/>
        <v>0</v>
      </c>
      <c r="P34" s="12">
        <f t="shared" si="43"/>
        <v>-14.509615384615415</v>
      </c>
      <c r="Q34" s="245">
        <f t="shared" si="44"/>
        <v>0.9032692307692306</v>
      </c>
      <c r="R34" s="470"/>
      <c r="S34" s="24">
        <v>0.54166666666666663</v>
      </c>
      <c r="T34" s="24">
        <v>0.63194444444444442</v>
      </c>
      <c r="U34" s="244">
        <f t="shared" si="48"/>
        <v>58.99999999999995</v>
      </c>
      <c r="V34" s="248">
        <f t="shared" si="45"/>
        <v>130.00000000000003</v>
      </c>
      <c r="W34" s="14"/>
      <c r="X34" s="14"/>
      <c r="Y34" s="456"/>
      <c r="Z34" s="456"/>
      <c r="AA34" s="11">
        <f t="shared" si="2"/>
        <v>-232.15384615384664</v>
      </c>
      <c r="AB34" s="245">
        <f t="shared" si="47"/>
        <v>0.9032692307692306</v>
      </c>
      <c r="AC34" s="470"/>
    </row>
    <row r="35" spans="1:29" ht="15.75" customHeight="1">
      <c r="A35" s="484" t="s">
        <v>8</v>
      </c>
      <c r="B35" s="26" t="s">
        <v>910</v>
      </c>
      <c r="C35" s="466"/>
      <c r="D35" s="466"/>
      <c r="E35" s="243"/>
      <c r="F35" s="249"/>
      <c r="G35" s="244"/>
      <c r="H35" s="249"/>
      <c r="I35" s="17">
        <v>17.333333333333332</v>
      </c>
      <c r="J35" s="18">
        <v>2400</v>
      </c>
      <c r="K35" s="9">
        <f t="shared" si="46"/>
        <v>138.46153846153848</v>
      </c>
      <c r="L35" s="17">
        <v>17.333333333333332</v>
      </c>
      <c r="M35" s="10">
        <f>AVERAGE(M29:M34)</f>
        <v>2167.0040000067729</v>
      </c>
      <c r="N35" s="9">
        <f>M35/L35</f>
        <v>125.0194615388523</v>
      </c>
      <c r="O35" s="11">
        <f>L35-I35</f>
        <v>0</v>
      </c>
      <c r="P35" s="12">
        <f>N35-K35</f>
        <v>-13.442076922686184</v>
      </c>
      <c r="Q35" s="245">
        <f>N35/K35</f>
        <v>0.90291833333615534</v>
      </c>
      <c r="R35" s="470"/>
      <c r="S35" s="24"/>
      <c r="T35" s="24"/>
      <c r="U35" s="244"/>
      <c r="V35" s="248"/>
      <c r="W35" s="244"/>
      <c r="X35" s="244"/>
      <c r="Y35" s="456"/>
      <c r="Z35" s="456"/>
      <c r="AA35" s="11">
        <f t="shared" si="2"/>
        <v>-232.99599999322709</v>
      </c>
      <c r="AB35" s="245">
        <f>M35/J35</f>
        <v>0.90291833333615534</v>
      </c>
      <c r="AC35" s="470"/>
    </row>
    <row r="36" spans="1:29" ht="15.75" customHeight="1">
      <c r="A36" s="485" t="s">
        <v>913</v>
      </c>
      <c r="B36" s="26" t="s">
        <v>24</v>
      </c>
      <c r="C36" s="487" t="s">
        <v>29</v>
      </c>
      <c r="D36" s="487"/>
      <c r="E36" s="26">
        <v>26.2</v>
      </c>
      <c r="F36" s="249">
        <v>4000</v>
      </c>
      <c r="G36" s="244">
        <f t="shared" ref="G36:G44" si="49">E36*F36</f>
        <v>104800</v>
      </c>
      <c r="H36" s="76">
        <v>2</v>
      </c>
      <c r="I36" s="247">
        <v>18</v>
      </c>
      <c r="J36" s="18">
        <v>2400</v>
      </c>
      <c r="K36" s="9">
        <f>J36/I36</f>
        <v>133.33333333333334</v>
      </c>
      <c r="L36" s="247">
        <v>18</v>
      </c>
      <c r="M36" s="10">
        <f>F36/V36*60</f>
        <v>2181.818181818182</v>
      </c>
      <c r="N36" s="9">
        <f>M36/L36</f>
        <v>121.21212121212122</v>
      </c>
      <c r="O36" s="11">
        <f t="shared" ref="O36:O44" si="50">L36-I36</f>
        <v>0</v>
      </c>
      <c r="P36" s="12">
        <f t="shared" ref="P36:P54" si="51">N36-K36</f>
        <v>-12.121212121212125</v>
      </c>
      <c r="Q36" s="245">
        <f t="shared" ref="Q36:Q49" si="52">N36/K36</f>
        <v>0.90909090909090906</v>
      </c>
      <c r="R36" s="470">
        <f>Q45</f>
        <v>0.90696873900280917</v>
      </c>
      <c r="S36" s="24">
        <v>8.3333333333333329E-2</v>
      </c>
      <c r="T36" s="24">
        <v>0.15972222222222221</v>
      </c>
      <c r="U36" s="244"/>
      <c r="V36" s="248">
        <f t="shared" ref="V36:V44" si="53">(T36-S36)*24*60</f>
        <v>109.99999999999999</v>
      </c>
      <c r="W36" s="15"/>
      <c r="X36" s="15"/>
      <c r="Y36" s="456"/>
      <c r="Z36" s="456"/>
      <c r="AA36" s="11">
        <f t="shared" si="2"/>
        <v>-218.18181818181802</v>
      </c>
      <c r="AB36" s="245">
        <f>M36/J36</f>
        <v>0.90909090909090917</v>
      </c>
      <c r="AC36" s="470">
        <f>AB45</f>
        <v>0.90696873900280917</v>
      </c>
    </row>
    <row r="37" spans="1:29" ht="15.75" customHeight="1">
      <c r="A37" s="485" t="s">
        <v>914</v>
      </c>
      <c r="B37" s="26" t="s">
        <v>24</v>
      </c>
      <c r="C37" s="487" t="s">
        <v>31</v>
      </c>
      <c r="D37" s="487"/>
      <c r="E37" s="26">
        <v>24.45</v>
      </c>
      <c r="F37" s="249">
        <v>2356</v>
      </c>
      <c r="G37" s="244">
        <f t="shared" si="49"/>
        <v>57604.2</v>
      </c>
      <c r="H37" s="76" t="s">
        <v>57</v>
      </c>
      <c r="I37" s="247">
        <v>20</v>
      </c>
      <c r="J37" s="18">
        <v>2400</v>
      </c>
      <c r="K37" s="9">
        <f t="shared" ref="K37:K53" si="54">J37/I37</f>
        <v>120</v>
      </c>
      <c r="L37" s="247">
        <v>20</v>
      </c>
      <c r="M37" s="10">
        <f t="shared" ref="M37:M44" si="55">F37/V37*60</f>
        <v>2174.7692307692305</v>
      </c>
      <c r="N37" s="9">
        <f t="shared" ref="N37:N44" si="56">M37/L37</f>
        <v>108.73846153846152</v>
      </c>
      <c r="O37" s="11">
        <f t="shared" si="50"/>
        <v>0</v>
      </c>
      <c r="P37" s="12">
        <f t="shared" si="51"/>
        <v>-11.261538461538478</v>
      </c>
      <c r="Q37" s="245">
        <f t="shared" si="52"/>
        <v>0.90615384615384598</v>
      </c>
      <c r="R37" s="470"/>
      <c r="S37" s="24">
        <v>0.17916666666666664</v>
      </c>
      <c r="T37" s="24">
        <v>0.22430555555555554</v>
      </c>
      <c r="U37" s="244">
        <f>(S37-T36)*24*60</f>
        <v>27.999999999999979</v>
      </c>
      <c r="V37" s="248">
        <f t="shared" si="53"/>
        <v>65.000000000000014</v>
      </c>
      <c r="W37" s="244"/>
      <c r="X37" s="244"/>
      <c r="Y37" s="456"/>
      <c r="Z37" s="456"/>
      <c r="AA37" s="11">
        <f t="shared" si="2"/>
        <v>-225.23076923076951</v>
      </c>
      <c r="AB37" s="245">
        <f t="shared" ref="AB37:AB65" si="57">M37/J37</f>
        <v>0.90615384615384609</v>
      </c>
      <c r="AC37" s="470"/>
    </row>
    <row r="38" spans="1:29">
      <c r="A38" s="486" t="s">
        <v>913</v>
      </c>
      <c r="B38" s="26" t="s">
        <v>24</v>
      </c>
      <c r="C38" s="487" t="s">
        <v>32</v>
      </c>
      <c r="D38" s="487"/>
      <c r="E38" s="26">
        <v>26.2</v>
      </c>
      <c r="F38" s="249">
        <v>2877</v>
      </c>
      <c r="G38" s="244">
        <f t="shared" si="49"/>
        <v>75377.399999999994</v>
      </c>
      <c r="H38" s="76" t="s">
        <v>57</v>
      </c>
      <c r="I38" s="247">
        <v>20</v>
      </c>
      <c r="J38" s="18">
        <v>2400</v>
      </c>
      <c r="K38" s="9">
        <f t="shared" si="54"/>
        <v>120</v>
      </c>
      <c r="L38" s="247">
        <v>20</v>
      </c>
      <c r="M38" s="10">
        <f t="shared" si="55"/>
        <v>2185.0632911392404</v>
      </c>
      <c r="N38" s="9">
        <f t="shared" si="56"/>
        <v>109.25316455696202</v>
      </c>
      <c r="O38" s="11">
        <f t="shared" si="50"/>
        <v>0</v>
      </c>
      <c r="P38" s="12">
        <f t="shared" si="51"/>
        <v>-10.74683544303798</v>
      </c>
      <c r="Q38" s="245">
        <f t="shared" si="52"/>
        <v>0.91044303797468351</v>
      </c>
      <c r="R38" s="470"/>
      <c r="S38" s="24">
        <v>0.22916666666666666</v>
      </c>
      <c r="T38" s="24">
        <v>0.28402777777777777</v>
      </c>
      <c r="U38" s="244">
        <f t="shared" ref="U38:U44" si="58">(S38-T37)*24*60</f>
        <v>7.0000000000000151</v>
      </c>
      <c r="V38" s="248">
        <f t="shared" si="53"/>
        <v>79</v>
      </c>
      <c r="W38" s="244"/>
      <c r="X38" s="244"/>
      <c r="Y38" s="456"/>
      <c r="Z38" s="456"/>
      <c r="AA38" s="11">
        <f t="shared" si="2"/>
        <v>-214.93670886075961</v>
      </c>
      <c r="AB38" s="245">
        <f t="shared" si="57"/>
        <v>0.91044303797468351</v>
      </c>
      <c r="AC38" s="470"/>
    </row>
    <row r="39" spans="1:29">
      <c r="A39" s="486" t="s">
        <v>913</v>
      </c>
      <c r="B39" s="26" t="s">
        <v>24</v>
      </c>
      <c r="C39" s="487" t="s">
        <v>30</v>
      </c>
      <c r="D39" s="487"/>
      <c r="E39" s="26">
        <v>26.39</v>
      </c>
      <c r="F39" s="249">
        <v>3500</v>
      </c>
      <c r="G39" s="244">
        <f t="shared" si="49"/>
        <v>92365</v>
      </c>
      <c r="H39" s="76">
        <v>2</v>
      </c>
      <c r="I39" s="247">
        <v>19</v>
      </c>
      <c r="J39" s="18">
        <v>2400</v>
      </c>
      <c r="K39" s="9">
        <f t="shared" si="54"/>
        <v>126.31578947368421</v>
      </c>
      <c r="L39" s="247">
        <v>19</v>
      </c>
      <c r="M39" s="10">
        <f t="shared" si="55"/>
        <v>2164.9484536082482</v>
      </c>
      <c r="N39" s="9">
        <f t="shared" si="56"/>
        <v>113.94465545306569</v>
      </c>
      <c r="O39" s="11">
        <f t="shared" si="50"/>
        <v>0</v>
      </c>
      <c r="P39" s="12">
        <f t="shared" si="51"/>
        <v>-12.371134020618513</v>
      </c>
      <c r="Q39" s="245">
        <f t="shared" si="52"/>
        <v>0.90206185567010344</v>
      </c>
      <c r="R39" s="470"/>
      <c r="S39" s="24">
        <v>0.28819444444444442</v>
      </c>
      <c r="T39" s="24">
        <v>0.35555555555555551</v>
      </c>
      <c r="U39" s="244">
        <f t="shared" si="58"/>
        <v>5.9999999999999787</v>
      </c>
      <c r="V39" s="248">
        <f t="shared" si="53"/>
        <v>96.999999999999972</v>
      </c>
      <c r="W39" s="14"/>
      <c r="X39" s="14"/>
      <c r="Y39" s="456"/>
      <c r="Z39" s="456"/>
      <c r="AA39" s="11">
        <f t="shared" si="2"/>
        <v>-235.0515463917518</v>
      </c>
      <c r="AB39" s="245">
        <f t="shared" si="57"/>
        <v>0.90206185567010344</v>
      </c>
      <c r="AC39" s="470"/>
    </row>
    <row r="40" spans="1:29">
      <c r="A40" s="486" t="s">
        <v>913</v>
      </c>
      <c r="B40" s="26" t="s">
        <v>24</v>
      </c>
      <c r="C40" s="487" t="s">
        <v>27</v>
      </c>
      <c r="D40" s="487"/>
      <c r="E40" s="26">
        <v>20.52</v>
      </c>
      <c r="F40" s="249">
        <v>3110</v>
      </c>
      <c r="G40" s="244">
        <f t="shared" si="49"/>
        <v>63817.2</v>
      </c>
      <c r="H40" s="76" t="s">
        <v>57</v>
      </c>
      <c r="I40" s="247">
        <v>18</v>
      </c>
      <c r="J40" s="18">
        <v>2400</v>
      </c>
      <c r="K40" s="9">
        <f t="shared" si="54"/>
        <v>133.33333333333334</v>
      </c>
      <c r="L40" s="247">
        <v>18</v>
      </c>
      <c r="M40" s="10">
        <f t="shared" si="55"/>
        <v>2169.7674418604647</v>
      </c>
      <c r="N40" s="9">
        <f t="shared" si="56"/>
        <v>120.5426356589147</v>
      </c>
      <c r="O40" s="11">
        <f t="shared" si="50"/>
        <v>0</v>
      </c>
      <c r="P40" s="12">
        <f t="shared" si="51"/>
        <v>-12.790697674418638</v>
      </c>
      <c r="Q40" s="245">
        <f t="shared" si="52"/>
        <v>0.90406976744186018</v>
      </c>
      <c r="R40" s="470"/>
      <c r="S40" s="24">
        <v>0.36041666666666661</v>
      </c>
      <c r="T40" s="24">
        <v>0.42013888888888884</v>
      </c>
      <c r="U40" s="244">
        <f t="shared" si="58"/>
        <v>6.9999999999999751</v>
      </c>
      <c r="V40" s="248">
        <f t="shared" si="53"/>
        <v>86.000000000000014</v>
      </c>
      <c r="W40" s="14"/>
      <c r="X40" s="14"/>
      <c r="Y40" s="456"/>
      <c r="Z40" s="456"/>
      <c r="AA40" s="11">
        <f t="shared" si="2"/>
        <v>-230.23255813953529</v>
      </c>
      <c r="AB40" s="245">
        <f t="shared" si="57"/>
        <v>0.90406976744186029</v>
      </c>
      <c r="AC40" s="470"/>
    </row>
    <row r="41" spans="1:29">
      <c r="A41" s="486" t="s">
        <v>915</v>
      </c>
      <c r="B41" s="26" t="s">
        <v>24</v>
      </c>
      <c r="C41" s="487" t="s">
        <v>55</v>
      </c>
      <c r="D41" s="487"/>
      <c r="E41" s="26">
        <v>26.2</v>
      </c>
      <c r="F41" s="249">
        <v>4047</v>
      </c>
      <c r="G41" s="244">
        <f t="shared" si="49"/>
        <v>106031.4</v>
      </c>
      <c r="H41" s="76" t="s">
        <v>57</v>
      </c>
      <c r="I41" s="247">
        <v>19</v>
      </c>
      <c r="J41" s="18">
        <v>2400</v>
      </c>
      <c r="K41" s="9">
        <f t="shared" si="54"/>
        <v>126.31578947368421</v>
      </c>
      <c r="L41" s="247">
        <v>19</v>
      </c>
      <c r="M41" s="10">
        <f t="shared" si="55"/>
        <v>2168.035714285716</v>
      </c>
      <c r="N41" s="9">
        <f t="shared" si="56"/>
        <v>114.10714285714295</v>
      </c>
      <c r="O41" s="11">
        <f t="shared" si="50"/>
        <v>0</v>
      </c>
      <c r="P41" s="12">
        <f t="shared" si="51"/>
        <v>-12.208646616541259</v>
      </c>
      <c r="Q41" s="245">
        <f t="shared" si="52"/>
        <v>0.90334821428571499</v>
      </c>
      <c r="R41" s="470"/>
      <c r="S41" s="24">
        <v>0.42430555555555549</v>
      </c>
      <c r="T41" s="24">
        <v>0.50208333333333321</v>
      </c>
      <c r="U41" s="244">
        <f t="shared" si="58"/>
        <v>5.9999999999999787</v>
      </c>
      <c r="V41" s="248">
        <f t="shared" si="53"/>
        <v>111.99999999999991</v>
      </c>
      <c r="W41" s="14"/>
      <c r="X41" s="14"/>
      <c r="Y41" s="456"/>
      <c r="Z41" s="456"/>
      <c r="AA41" s="11">
        <f t="shared" si="2"/>
        <v>-231.96428571428396</v>
      </c>
      <c r="AB41" s="245">
        <f t="shared" si="57"/>
        <v>0.90334821428571499</v>
      </c>
      <c r="AC41" s="470"/>
    </row>
    <row r="42" spans="1:29">
      <c r="A42" s="486" t="s">
        <v>915</v>
      </c>
      <c r="B42" s="26" t="s">
        <v>24</v>
      </c>
      <c r="C42" s="487" t="s">
        <v>84</v>
      </c>
      <c r="D42" s="487"/>
      <c r="E42" s="26">
        <v>24.25</v>
      </c>
      <c r="F42" s="249">
        <v>2307</v>
      </c>
      <c r="G42" s="244">
        <f t="shared" si="49"/>
        <v>55944.75</v>
      </c>
      <c r="H42" s="76" t="s">
        <v>57</v>
      </c>
      <c r="I42" s="247">
        <v>18</v>
      </c>
      <c r="J42" s="18">
        <v>2400</v>
      </c>
      <c r="K42" s="9">
        <f t="shared" si="54"/>
        <v>133.33333333333334</v>
      </c>
      <c r="L42" s="247">
        <v>18</v>
      </c>
      <c r="M42" s="10">
        <f t="shared" si="55"/>
        <v>2197.1428571428592</v>
      </c>
      <c r="N42" s="9">
        <f t="shared" si="56"/>
        <v>122.06349206349218</v>
      </c>
      <c r="O42" s="11">
        <f t="shared" si="50"/>
        <v>0</v>
      </c>
      <c r="P42" s="12">
        <f t="shared" si="51"/>
        <v>-11.269841269841166</v>
      </c>
      <c r="Q42" s="245">
        <f t="shared" si="52"/>
        <v>0.91547619047619122</v>
      </c>
      <c r="R42" s="470"/>
      <c r="S42" s="24">
        <v>0.54236111111111096</v>
      </c>
      <c r="T42" s="24">
        <v>0.58611111111111092</v>
      </c>
      <c r="U42" s="244">
        <f t="shared" si="58"/>
        <v>57.999999999999957</v>
      </c>
      <c r="V42" s="248">
        <f t="shared" si="53"/>
        <v>62.999999999999936</v>
      </c>
      <c r="W42" s="14"/>
      <c r="X42" s="14"/>
      <c r="Y42" s="473"/>
      <c r="Z42" s="474"/>
      <c r="AA42" s="11">
        <f t="shared" si="2"/>
        <v>-202.85714285714084</v>
      </c>
      <c r="AB42" s="245">
        <f t="shared" si="57"/>
        <v>0.91547619047619133</v>
      </c>
      <c r="AC42" s="470"/>
    </row>
    <row r="43" spans="1:29">
      <c r="A43" s="486" t="s">
        <v>916</v>
      </c>
      <c r="B43" s="26" t="s">
        <v>24</v>
      </c>
      <c r="C43" s="487" t="s">
        <v>29</v>
      </c>
      <c r="D43" s="487"/>
      <c r="E43" s="26">
        <v>26.2</v>
      </c>
      <c r="F43" s="249">
        <v>1783</v>
      </c>
      <c r="G43" s="244">
        <f t="shared" si="49"/>
        <v>46714.6</v>
      </c>
      <c r="H43" s="76" t="s">
        <v>57</v>
      </c>
      <c r="I43" s="247">
        <v>18</v>
      </c>
      <c r="J43" s="18">
        <v>2400</v>
      </c>
      <c r="K43" s="9">
        <f t="shared" si="54"/>
        <v>133.33333333333334</v>
      </c>
      <c r="L43" s="247">
        <v>18</v>
      </c>
      <c r="M43" s="10">
        <f t="shared" si="55"/>
        <v>2183.2653061224496</v>
      </c>
      <c r="N43" s="9">
        <f t="shared" si="56"/>
        <v>121.29251700680275</v>
      </c>
      <c r="O43" s="11">
        <f t="shared" si="50"/>
        <v>0</v>
      </c>
      <c r="P43" s="12">
        <f t="shared" si="51"/>
        <v>-12.040816326530589</v>
      </c>
      <c r="Q43" s="245">
        <f t="shared" si="52"/>
        <v>0.9096938775510206</v>
      </c>
      <c r="R43" s="470"/>
      <c r="S43" s="24">
        <v>0.59097222222222201</v>
      </c>
      <c r="T43" s="24">
        <v>0.62499999999999978</v>
      </c>
      <c r="U43" s="244">
        <f t="shared" si="58"/>
        <v>6.9999999999999751</v>
      </c>
      <c r="V43" s="248">
        <f t="shared" si="53"/>
        <v>48.999999999999986</v>
      </c>
      <c r="W43" s="14"/>
      <c r="X43" s="14"/>
      <c r="Y43" s="473"/>
      <c r="Z43" s="474"/>
      <c r="AA43" s="11">
        <f t="shared" si="2"/>
        <v>-216.7346938775504</v>
      </c>
      <c r="AB43" s="245">
        <f t="shared" si="57"/>
        <v>0.90969387755102071</v>
      </c>
      <c r="AC43" s="470"/>
    </row>
    <row r="44" spans="1:29">
      <c r="A44" s="486" t="s">
        <v>916</v>
      </c>
      <c r="B44" s="26" t="s">
        <v>24</v>
      </c>
      <c r="C44" s="487" t="s">
        <v>30</v>
      </c>
      <c r="D44" s="487"/>
      <c r="E44" s="26">
        <v>26.39</v>
      </c>
      <c r="F44" s="249">
        <v>1516</v>
      </c>
      <c r="G44" s="244">
        <f t="shared" si="49"/>
        <v>40007.24</v>
      </c>
      <c r="H44" s="76" t="s">
        <v>57</v>
      </c>
      <c r="I44" s="247">
        <v>19</v>
      </c>
      <c r="J44" s="18">
        <v>2400</v>
      </c>
      <c r="K44" s="9">
        <f t="shared" si="54"/>
        <v>126.31578947368421</v>
      </c>
      <c r="L44" s="247">
        <v>19</v>
      </c>
      <c r="M44" s="10">
        <f t="shared" si="55"/>
        <v>2165.7142857142849</v>
      </c>
      <c r="N44" s="9">
        <f t="shared" si="56"/>
        <v>113.98496240601499</v>
      </c>
      <c r="O44" s="11">
        <f t="shared" si="50"/>
        <v>0</v>
      </c>
      <c r="P44" s="12">
        <f t="shared" si="51"/>
        <v>-12.330827067669219</v>
      </c>
      <c r="Q44" s="245">
        <f t="shared" si="52"/>
        <v>0.90238095238095206</v>
      </c>
      <c r="R44" s="470"/>
      <c r="S44" s="24">
        <v>0.62986111111111087</v>
      </c>
      <c r="T44" s="24">
        <v>0.65902777777777755</v>
      </c>
      <c r="U44" s="244">
        <f t="shared" si="58"/>
        <v>6.9999999999999751</v>
      </c>
      <c r="V44" s="248">
        <f t="shared" si="53"/>
        <v>42.000000000000014</v>
      </c>
      <c r="W44" s="14"/>
      <c r="X44" s="14"/>
      <c r="Y44" s="473"/>
      <c r="Z44" s="474"/>
      <c r="AA44" s="11">
        <f t="shared" si="2"/>
        <v>-234.28571428571513</v>
      </c>
      <c r="AB44" s="245">
        <f t="shared" si="57"/>
        <v>0.90238095238095206</v>
      </c>
      <c r="AC44" s="470"/>
    </row>
    <row r="45" spans="1:29">
      <c r="A45" s="486" t="s">
        <v>913</v>
      </c>
      <c r="B45" s="16" t="s">
        <v>910</v>
      </c>
      <c r="C45" s="466"/>
      <c r="D45" s="466"/>
      <c r="E45" s="243"/>
      <c r="F45" s="16"/>
      <c r="G45" s="9"/>
      <c r="H45" s="249"/>
      <c r="I45" s="17">
        <v>18.777777777777779</v>
      </c>
      <c r="J45" s="18">
        <v>2400</v>
      </c>
      <c r="K45" s="9">
        <f t="shared" si="54"/>
        <v>127.81065088757396</v>
      </c>
      <c r="L45" s="17">
        <v>18.777777777777779</v>
      </c>
      <c r="M45" s="10">
        <f>AVERAGE(M36:M44)</f>
        <v>2176.724973606742</v>
      </c>
      <c r="N45" s="9">
        <f>M45/L45</f>
        <v>115.92026486663123</v>
      </c>
      <c r="O45" s="11">
        <f>L45-I45</f>
        <v>0</v>
      </c>
      <c r="P45" s="12">
        <f t="shared" si="51"/>
        <v>-11.890386020942728</v>
      </c>
      <c r="Q45" s="245">
        <f t="shared" si="52"/>
        <v>0.90696873900280917</v>
      </c>
      <c r="R45" s="470"/>
      <c r="S45" s="24"/>
      <c r="T45" s="24"/>
      <c r="U45" s="9"/>
      <c r="V45" s="248"/>
      <c r="W45" s="9"/>
      <c r="X45" s="9"/>
      <c r="Y45" s="456"/>
      <c r="Z45" s="456"/>
      <c r="AA45" s="11">
        <f t="shared" si="2"/>
        <v>-223.27502639325803</v>
      </c>
      <c r="AB45" s="245">
        <f t="shared" si="57"/>
        <v>0.90696873900280917</v>
      </c>
      <c r="AC45" s="470"/>
    </row>
    <row r="46" spans="1:29" ht="15.75" customHeight="1">
      <c r="A46" s="488" t="s">
        <v>917</v>
      </c>
      <c r="B46" s="26" t="s">
        <v>33</v>
      </c>
      <c r="C46" s="491" t="s">
        <v>34</v>
      </c>
      <c r="D46" s="492"/>
      <c r="E46" s="26">
        <v>27.17</v>
      </c>
      <c r="F46" s="249">
        <v>2400</v>
      </c>
      <c r="G46" s="244">
        <f t="shared" ref="G46:G53" si="59">E46*F46</f>
        <v>65208.000000000007</v>
      </c>
      <c r="H46" s="76">
        <v>2</v>
      </c>
      <c r="I46" s="247">
        <v>10</v>
      </c>
      <c r="J46" s="18">
        <v>3000</v>
      </c>
      <c r="K46" s="9">
        <f t="shared" si="54"/>
        <v>300</v>
      </c>
      <c r="L46" s="247">
        <v>10</v>
      </c>
      <c r="M46" s="10">
        <f t="shared" ref="M46:M47" si="60">F46/V46*60</f>
        <v>2716.9811320754711</v>
      </c>
      <c r="N46" s="10">
        <f t="shared" ref="N46:N54" si="61">M46/L46</f>
        <v>271.69811320754712</v>
      </c>
      <c r="O46" s="11">
        <f t="shared" ref="O46:O54" si="62">L46-I46</f>
        <v>0</v>
      </c>
      <c r="P46" s="12">
        <f t="shared" si="51"/>
        <v>-28.301886792452876</v>
      </c>
      <c r="Q46" s="245">
        <f t="shared" si="52"/>
        <v>0.90566037735849036</v>
      </c>
      <c r="R46" s="493">
        <f>Q54</f>
        <v>0.90873002451236873</v>
      </c>
      <c r="S46" s="24">
        <v>0.20833333333333334</v>
      </c>
      <c r="T46" s="24">
        <v>0.24513888888888891</v>
      </c>
      <c r="U46" s="15"/>
      <c r="V46" s="248">
        <f t="shared" ref="V46:V53" si="63">(T46-S46)*24*60</f>
        <v>53.000000000000014</v>
      </c>
      <c r="W46" s="244"/>
      <c r="X46" s="244"/>
      <c r="Y46" s="473"/>
      <c r="Z46" s="474"/>
      <c r="AA46" s="11">
        <f t="shared" si="2"/>
        <v>-283.01886792452888</v>
      </c>
      <c r="AB46" s="245">
        <f t="shared" si="57"/>
        <v>0.90566037735849036</v>
      </c>
      <c r="AC46" s="493">
        <f>AB54</f>
        <v>0.90873002451236884</v>
      </c>
    </row>
    <row r="47" spans="1:29" ht="15.75" customHeight="1">
      <c r="A47" s="489" t="s">
        <v>9</v>
      </c>
      <c r="B47" s="26" t="s">
        <v>33</v>
      </c>
      <c r="C47" s="491" t="s">
        <v>35</v>
      </c>
      <c r="D47" s="492"/>
      <c r="E47" s="26">
        <v>21.13</v>
      </c>
      <c r="F47" s="249">
        <v>4907</v>
      </c>
      <c r="G47" s="244">
        <f t="shared" si="59"/>
        <v>103684.90999999999</v>
      </c>
      <c r="H47" s="76" t="s">
        <v>57</v>
      </c>
      <c r="I47" s="247">
        <v>10</v>
      </c>
      <c r="J47" s="18">
        <v>3000</v>
      </c>
      <c r="K47" s="9">
        <f t="shared" si="54"/>
        <v>300</v>
      </c>
      <c r="L47" s="247">
        <v>10</v>
      </c>
      <c r="M47" s="10">
        <f t="shared" si="60"/>
        <v>2726.1111111111104</v>
      </c>
      <c r="N47" s="10">
        <f t="shared" si="61"/>
        <v>272.61111111111103</v>
      </c>
      <c r="O47" s="11">
        <f t="shared" si="62"/>
        <v>0</v>
      </c>
      <c r="P47" s="12">
        <f t="shared" si="51"/>
        <v>-27.388888888888971</v>
      </c>
      <c r="Q47" s="245">
        <f t="shared" si="52"/>
        <v>0.90870370370370346</v>
      </c>
      <c r="R47" s="494"/>
      <c r="S47" s="24">
        <v>0.25069444444444444</v>
      </c>
      <c r="T47" s="24">
        <v>0.32569444444444445</v>
      </c>
      <c r="U47" s="244">
        <f>(S47-T46)*24*60</f>
        <v>7.9999999999999716</v>
      </c>
      <c r="V47" s="248">
        <f t="shared" si="63"/>
        <v>108.00000000000001</v>
      </c>
      <c r="W47" s="14"/>
      <c r="X47" s="14"/>
      <c r="Y47" s="473"/>
      <c r="Z47" s="474"/>
      <c r="AA47" s="11">
        <f t="shared" si="2"/>
        <v>-273.8888888888896</v>
      </c>
      <c r="AB47" s="245">
        <f t="shared" si="57"/>
        <v>0.90870370370370346</v>
      </c>
      <c r="AC47" s="494"/>
    </row>
    <row r="48" spans="1:29" ht="15.75" customHeight="1">
      <c r="A48" s="489" t="s">
        <v>9</v>
      </c>
      <c r="B48" s="26" t="s">
        <v>33</v>
      </c>
      <c r="C48" s="491" t="s">
        <v>43</v>
      </c>
      <c r="D48" s="492"/>
      <c r="E48" s="26">
        <v>35.119999999999997</v>
      </c>
      <c r="F48" s="249">
        <v>2600</v>
      </c>
      <c r="G48" s="244">
        <f t="shared" si="59"/>
        <v>91312</v>
      </c>
      <c r="H48" s="76">
        <v>2</v>
      </c>
      <c r="I48" s="247">
        <v>10</v>
      </c>
      <c r="J48" s="18">
        <v>3000</v>
      </c>
      <c r="K48" s="9">
        <f t="shared" si="54"/>
        <v>300</v>
      </c>
      <c r="L48" s="247">
        <v>10</v>
      </c>
      <c r="M48" s="10">
        <f>F48/V48*60</f>
        <v>2736.8421052631566</v>
      </c>
      <c r="N48" s="10">
        <f t="shared" si="61"/>
        <v>273.68421052631567</v>
      </c>
      <c r="O48" s="11">
        <f t="shared" si="62"/>
        <v>0</v>
      </c>
      <c r="P48" s="12">
        <f t="shared" si="51"/>
        <v>-26.315789473684333</v>
      </c>
      <c r="Q48" s="245">
        <f t="shared" si="52"/>
        <v>0.91228070175438558</v>
      </c>
      <c r="R48" s="494"/>
      <c r="S48" s="24">
        <v>0.33055555555555555</v>
      </c>
      <c r="T48" s="24">
        <v>0.37013888888888891</v>
      </c>
      <c r="U48" s="244">
        <f t="shared" ref="U48:U53" si="64">(S48-T47)*24*60</f>
        <v>6.9999999999999751</v>
      </c>
      <c r="V48" s="248">
        <f t="shared" si="63"/>
        <v>57.000000000000036</v>
      </c>
      <c r="W48" s="14"/>
      <c r="X48" s="14"/>
      <c r="Y48" s="473"/>
      <c r="Z48" s="474"/>
      <c r="AA48" s="11">
        <f t="shared" si="2"/>
        <v>-263.15789473684345</v>
      </c>
      <c r="AB48" s="245">
        <f t="shared" si="57"/>
        <v>0.91228070175438547</v>
      </c>
      <c r="AC48" s="494"/>
    </row>
    <row r="49" spans="1:29" ht="15.75" customHeight="1">
      <c r="A49" s="489" t="s">
        <v>9</v>
      </c>
      <c r="B49" s="26" t="s">
        <v>33</v>
      </c>
      <c r="C49" s="491" t="s">
        <v>67</v>
      </c>
      <c r="D49" s="492"/>
      <c r="E49" s="26">
        <v>40.18</v>
      </c>
      <c r="F49" s="249">
        <v>2526</v>
      </c>
      <c r="G49" s="244">
        <f t="shared" si="59"/>
        <v>101494.68</v>
      </c>
      <c r="H49" s="76" t="s">
        <v>57</v>
      </c>
      <c r="I49" s="247">
        <v>10</v>
      </c>
      <c r="J49" s="18">
        <v>3000</v>
      </c>
      <c r="K49" s="9">
        <f t="shared" si="54"/>
        <v>300</v>
      </c>
      <c r="L49" s="247">
        <v>10</v>
      </c>
      <c r="M49" s="10">
        <f t="shared" ref="M49:M53" si="65">F49/V49*60</f>
        <v>2706.4285714285734</v>
      </c>
      <c r="N49" s="10">
        <f t="shared" si="61"/>
        <v>270.64285714285734</v>
      </c>
      <c r="O49" s="11">
        <f t="shared" si="62"/>
        <v>0</v>
      </c>
      <c r="P49" s="12">
        <f t="shared" si="51"/>
        <v>-29.357142857142662</v>
      </c>
      <c r="Q49" s="245">
        <f t="shared" si="52"/>
        <v>0.9021428571428578</v>
      </c>
      <c r="R49" s="494"/>
      <c r="S49" s="24">
        <v>0.37430555555555556</v>
      </c>
      <c r="T49" s="24">
        <v>0.41319444444444442</v>
      </c>
      <c r="U49" s="244">
        <f t="shared" si="64"/>
        <v>5.9999999999999787</v>
      </c>
      <c r="V49" s="248">
        <f t="shared" si="63"/>
        <v>55.999999999999957</v>
      </c>
      <c r="W49" s="14"/>
      <c r="X49" s="14"/>
      <c r="Y49" s="473"/>
      <c r="Z49" s="474"/>
      <c r="AA49" s="11">
        <f t="shared" si="2"/>
        <v>-293.57142857142662</v>
      </c>
      <c r="AB49" s="245">
        <f t="shared" si="57"/>
        <v>0.9021428571428578</v>
      </c>
      <c r="AC49" s="494"/>
    </row>
    <row r="50" spans="1:29" ht="15.75" customHeight="1">
      <c r="A50" s="489" t="s">
        <v>9</v>
      </c>
      <c r="B50" s="26" t="s">
        <v>33</v>
      </c>
      <c r="C50" s="491" t="s">
        <v>73</v>
      </c>
      <c r="D50" s="492"/>
      <c r="E50" s="26">
        <v>28.5</v>
      </c>
      <c r="F50" s="249">
        <v>1841</v>
      </c>
      <c r="G50" s="244">
        <f t="shared" si="59"/>
        <v>52468.5</v>
      </c>
      <c r="H50" s="76" t="s">
        <v>57</v>
      </c>
      <c r="I50" s="247">
        <v>10</v>
      </c>
      <c r="J50" s="18">
        <v>3000</v>
      </c>
      <c r="K50" s="9">
        <f t="shared" si="54"/>
        <v>300</v>
      </c>
      <c r="L50" s="247">
        <v>10</v>
      </c>
      <c r="M50" s="10">
        <f t="shared" si="65"/>
        <v>2761.4999999999991</v>
      </c>
      <c r="N50" s="10">
        <f t="shared" si="61"/>
        <v>276.14999999999992</v>
      </c>
      <c r="O50" s="11">
        <f t="shared" si="62"/>
        <v>0</v>
      </c>
      <c r="P50" s="12">
        <f t="shared" si="51"/>
        <v>-23.85000000000008</v>
      </c>
      <c r="Q50" s="245">
        <f>N50/K50</f>
        <v>0.92049999999999976</v>
      </c>
      <c r="R50" s="494"/>
      <c r="S50" s="24">
        <v>0.41736111111111107</v>
      </c>
      <c r="T50" s="24">
        <v>0.44513888888888886</v>
      </c>
      <c r="U50" s="244">
        <f t="shared" si="64"/>
        <v>5.9999999999999787</v>
      </c>
      <c r="V50" s="248">
        <f t="shared" si="63"/>
        <v>40.000000000000014</v>
      </c>
      <c r="W50" s="14"/>
      <c r="X50" s="14"/>
      <c r="Y50" s="473"/>
      <c r="Z50" s="474"/>
      <c r="AA50" s="11">
        <f t="shared" si="2"/>
        <v>-238.50000000000091</v>
      </c>
      <c r="AB50" s="245">
        <f t="shared" si="57"/>
        <v>0.92049999999999965</v>
      </c>
      <c r="AC50" s="494"/>
    </row>
    <row r="51" spans="1:29" ht="15.75" customHeight="1">
      <c r="A51" s="489" t="s">
        <v>9</v>
      </c>
      <c r="B51" s="26" t="s">
        <v>33</v>
      </c>
      <c r="C51" s="491" t="s">
        <v>511</v>
      </c>
      <c r="D51" s="492"/>
      <c r="E51" s="26">
        <v>35.869999999999997</v>
      </c>
      <c r="F51" s="249">
        <v>4117</v>
      </c>
      <c r="G51" s="244">
        <f t="shared" si="59"/>
        <v>147676.78999999998</v>
      </c>
      <c r="H51" s="76" t="s">
        <v>57</v>
      </c>
      <c r="I51" s="247">
        <v>10</v>
      </c>
      <c r="J51" s="18">
        <v>3000</v>
      </c>
      <c r="K51" s="9">
        <f t="shared" si="54"/>
        <v>300</v>
      </c>
      <c r="L51" s="247">
        <v>10</v>
      </c>
      <c r="M51" s="10">
        <f t="shared" si="65"/>
        <v>2714.5054945054944</v>
      </c>
      <c r="N51" s="10">
        <f t="shared" si="61"/>
        <v>271.45054945054943</v>
      </c>
      <c r="O51" s="11">
        <f t="shared" si="62"/>
        <v>0</v>
      </c>
      <c r="P51" s="12">
        <f t="shared" si="51"/>
        <v>-28.549450549450569</v>
      </c>
      <c r="Q51" s="245">
        <f t="shared" ref="Q51:Q54" si="66">N51/K51</f>
        <v>0.9048351648351648</v>
      </c>
      <c r="R51" s="494"/>
      <c r="S51" s="24">
        <v>0.44861111111111107</v>
      </c>
      <c r="T51" s="24">
        <v>0.51180555555555551</v>
      </c>
      <c r="U51" s="244">
        <f t="shared" si="64"/>
        <v>4.9999999999999822</v>
      </c>
      <c r="V51" s="248">
        <f t="shared" si="63"/>
        <v>91</v>
      </c>
      <c r="W51" s="14"/>
      <c r="X51" s="14"/>
      <c r="Y51" s="473"/>
      <c r="Z51" s="474"/>
      <c r="AA51" s="11">
        <f t="shared" si="2"/>
        <v>-285.49450549450557</v>
      </c>
      <c r="AB51" s="245">
        <f t="shared" si="57"/>
        <v>0.9048351648351648</v>
      </c>
      <c r="AC51" s="494"/>
    </row>
    <row r="52" spans="1:29" ht="15.75" customHeight="1">
      <c r="A52" s="489" t="s">
        <v>9</v>
      </c>
      <c r="B52" s="26" t="s">
        <v>33</v>
      </c>
      <c r="C52" s="491" t="s">
        <v>34</v>
      </c>
      <c r="D52" s="492"/>
      <c r="E52" s="26">
        <v>27.17</v>
      </c>
      <c r="F52" s="249">
        <v>3602</v>
      </c>
      <c r="G52" s="244">
        <f t="shared" si="59"/>
        <v>97866.340000000011</v>
      </c>
      <c r="H52" s="76" t="s">
        <v>57</v>
      </c>
      <c r="I52" s="247">
        <v>10</v>
      </c>
      <c r="J52" s="18">
        <v>3000</v>
      </c>
      <c r="K52" s="9">
        <f t="shared" si="54"/>
        <v>300</v>
      </c>
      <c r="L52" s="247">
        <v>10</v>
      </c>
      <c r="M52" s="10">
        <f t="shared" si="65"/>
        <v>2701.4999999999991</v>
      </c>
      <c r="N52" s="10">
        <f t="shared" si="61"/>
        <v>270.14999999999992</v>
      </c>
      <c r="O52" s="11">
        <f t="shared" si="62"/>
        <v>0</v>
      </c>
      <c r="P52" s="12">
        <f t="shared" si="51"/>
        <v>-29.85000000000008</v>
      </c>
      <c r="Q52" s="245">
        <f t="shared" si="66"/>
        <v>0.90049999999999975</v>
      </c>
      <c r="R52" s="494"/>
      <c r="S52" s="24">
        <v>0.55208333333333326</v>
      </c>
      <c r="T52" s="24">
        <v>0.60763888888888884</v>
      </c>
      <c r="U52" s="244">
        <f t="shared" si="64"/>
        <v>57.999999999999957</v>
      </c>
      <c r="V52" s="248">
        <f t="shared" si="63"/>
        <v>80.000000000000028</v>
      </c>
      <c r="W52" s="14"/>
      <c r="X52" s="14"/>
      <c r="Y52" s="473"/>
      <c r="Z52" s="474"/>
      <c r="AA52" s="11">
        <f t="shared" si="2"/>
        <v>-298.50000000000091</v>
      </c>
      <c r="AB52" s="245">
        <f t="shared" si="57"/>
        <v>0.90049999999999975</v>
      </c>
      <c r="AC52" s="494"/>
    </row>
    <row r="53" spans="1:29" ht="15.75" customHeight="1">
      <c r="A53" s="489" t="s">
        <v>9</v>
      </c>
      <c r="B53" s="26" t="s">
        <v>33</v>
      </c>
      <c r="C53" s="491" t="s">
        <v>43</v>
      </c>
      <c r="D53" s="492"/>
      <c r="E53" s="26">
        <v>35.119999999999997</v>
      </c>
      <c r="F53" s="249">
        <v>2105</v>
      </c>
      <c r="G53" s="244">
        <f t="shared" si="59"/>
        <v>73927.599999999991</v>
      </c>
      <c r="H53" s="76" t="s">
        <v>57</v>
      </c>
      <c r="I53" s="247">
        <v>10</v>
      </c>
      <c r="J53" s="18">
        <v>3000</v>
      </c>
      <c r="K53" s="9">
        <f t="shared" si="54"/>
        <v>300</v>
      </c>
      <c r="L53" s="247">
        <v>10</v>
      </c>
      <c r="M53" s="10">
        <f t="shared" si="65"/>
        <v>2745.6521739130435</v>
      </c>
      <c r="N53" s="10">
        <f t="shared" si="61"/>
        <v>274.56521739130437</v>
      </c>
      <c r="O53" s="11">
        <f t="shared" si="62"/>
        <v>0</v>
      </c>
      <c r="P53" s="12">
        <f t="shared" si="51"/>
        <v>-25.434782608695627</v>
      </c>
      <c r="Q53" s="245">
        <f t="shared" si="66"/>
        <v>0.91521739130434787</v>
      </c>
      <c r="R53" s="494"/>
      <c r="S53" s="24">
        <v>0.61249999999999993</v>
      </c>
      <c r="T53" s="24">
        <v>0.64444444444444438</v>
      </c>
      <c r="U53" s="244">
        <f t="shared" si="64"/>
        <v>6.9999999999999751</v>
      </c>
      <c r="V53" s="248">
        <f t="shared" si="63"/>
        <v>46</v>
      </c>
      <c r="W53" s="14"/>
      <c r="X53" s="14"/>
      <c r="Y53" s="473"/>
      <c r="Z53" s="474"/>
      <c r="AA53" s="11">
        <f t="shared" si="2"/>
        <v>-254.3478260869565</v>
      </c>
      <c r="AB53" s="245">
        <f t="shared" si="57"/>
        <v>0.91521739130434787</v>
      </c>
      <c r="AC53" s="494"/>
    </row>
    <row r="54" spans="1:29" ht="15.75" customHeight="1">
      <c r="A54" s="490" t="s">
        <v>9</v>
      </c>
      <c r="B54" s="26" t="s">
        <v>908</v>
      </c>
      <c r="C54" s="497"/>
      <c r="D54" s="498"/>
      <c r="E54" s="246"/>
      <c r="F54" s="249"/>
      <c r="G54" s="244"/>
      <c r="H54" s="249"/>
      <c r="I54" s="17">
        <v>10</v>
      </c>
      <c r="J54" s="18">
        <v>3000</v>
      </c>
      <c r="K54" s="9">
        <f>J54/I54</f>
        <v>300</v>
      </c>
      <c r="L54" s="17">
        <v>10</v>
      </c>
      <c r="M54" s="10">
        <f>AVERAGE(M46:M53)</f>
        <v>2726.1900735371064</v>
      </c>
      <c r="N54" s="9">
        <f t="shared" si="61"/>
        <v>272.61900735371063</v>
      </c>
      <c r="O54" s="11">
        <f t="shared" si="62"/>
        <v>0</v>
      </c>
      <c r="P54" s="12">
        <f t="shared" si="51"/>
        <v>-27.380992646289371</v>
      </c>
      <c r="Q54" s="245">
        <f t="shared" si="66"/>
        <v>0.90873002451236873</v>
      </c>
      <c r="R54" s="495"/>
      <c r="S54" s="24"/>
      <c r="T54" s="24"/>
      <c r="U54" s="244"/>
      <c r="V54" s="248"/>
      <c r="W54" s="14"/>
      <c r="X54" s="14"/>
      <c r="Y54" s="473"/>
      <c r="Z54" s="474"/>
      <c r="AA54" s="11">
        <f t="shared" si="2"/>
        <v>-273.8099264628936</v>
      </c>
      <c r="AB54" s="245">
        <f t="shared" si="57"/>
        <v>0.90873002451236884</v>
      </c>
      <c r="AC54" s="495"/>
    </row>
    <row r="55" spans="1:29" ht="15.75" customHeight="1">
      <c r="A55" s="461" t="s">
        <v>918</v>
      </c>
      <c r="B55" s="26" t="s">
        <v>15</v>
      </c>
      <c r="C55" s="487" t="s">
        <v>20</v>
      </c>
      <c r="D55" s="487"/>
      <c r="E55" s="26">
        <v>46</v>
      </c>
      <c r="F55" s="27">
        <v>2967</v>
      </c>
      <c r="G55" s="244">
        <f t="shared" ref="G55:G58" si="67">E55*F55</f>
        <v>136482</v>
      </c>
      <c r="H55" s="76" t="s">
        <v>57</v>
      </c>
      <c r="I55" s="247">
        <v>17</v>
      </c>
      <c r="J55" s="18">
        <v>1500</v>
      </c>
      <c r="K55" s="9">
        <f t="shared" ref="K55:K58" si="68">J55/I55</f>
        <v>88.235294117647058</v>
      </c>
      <c r="L55" s="247">
        <v>17</v>
      </c>
      <c r="M55" s="10">
        <f t="shared" ref="M55:M58" si="69">F55/V55*60</f>
        <v>1358.9312977099237</v>
      </c>
      <c r="N55" s="10">
        <f>M55/L55</f>
        <v>79.937135159407276</v>
      </c>
      <c r="O55" s="11">
        <f>L55-I55</f>
        <v>0</v>
      </c>
      <c r="P55" s="12">
        <f>N55-K55</f>
        <v>-8.2981589582397817</v>
      </c>
      <c r="Q55" s="245">
        <f>N55/K55</f>
        <v>0.90595419847328251</v>
      </c>
      <c r="R55" s="470">
        <f>Q59</f>
        <v>0.90596980323731324</v>
      </c>
      <c r="S55" s="24">
        <v>0.29305555555555557</v>
      </c>
      <c r="T55" s="24">
        <v>0.3840277777777778</v>
      </c>
      <c r="U55" s="15"/>
      <c r="V55" s="248">
        <f t="shared" ref="V55:V58" si="70">(T55-S55)*24*60</f>
        <v>131</v>
      </c>
      <c r="W55" s="15"/>
      <c r="X55" s="15"/>
      <c r="Y55" s="456"/>
      <c r="Z55" s="456"/>
      <c r="AA55" s="11">
        <f t="shared" si="2"/>
        <v>-141.06870229007632</v>
      </c>
      <c r="AB55" s="245">
        <f t="shared" si="57"/>
        <v>0.9059541984732824</v>
      </c>
      <c r="AC55" s="470">
        <f>AB59</f>
        <v>0.90596980323731324</v>
      </c>
    </row>
    <row r="56" spans="1:29" ht="15.75" customHeight="1">
      <c r="A56" s="461" t="s">
        <v>10</v>
      </c>
      <c r="B56" s="26" t="s">
        <v>15</v>
      </c>
      <c r="C56" s="487" t="s">
        <v>75</v>
      </c>
      <c r="D56" s="487"/>
      <c r="E56" s="26">
        <v>46</v>
      </c>
      <c r="F56" s="27">
        <v>3562</v>
      </c>
      <c r="G56" s="244">
        <f t="shared" si="67"/>
        <v>163852</v>
      </c>
      <c r="H56" s="76" t="s">
        <v>57</v>
      </c>
      <c r="I56" s="247">
        <v>18</v>
      </c>
      <c r="J56" s="18">
        <v>1500</v>
      </c>
      <c r="K56" s="9">
        <f t="shared" si="68"/>
        <v>83.333333333333329</v>
      </c>
      <c r="L56" s="247">
        <v>18</v>
      </c>
      <c r="M56" s="10">
        <f t="shared" si="69"/>
        <v>1361.2738853503183</v>
      </c>
      <c r="N56" s="10">
        <f t="shared" ref="N56:N58" si="71">M56/L56</f>
        <v>75.626326963906578</v>
      </c>
      <c r="O56" s="11">
        <f t="shared" ref="O56:O58" si="72">L56-I56</f>
        <v>0</v>
      </c>
      <c r="P56" s="12">
        <f t="shared" ref="P56:P58" si="73">N56-K56</f>
        <v>-7.7070063694267503</v>
      </c>
      <c r="Q56" s="245">
        <f t="shared" ref="Q56:Q58" si="74">N56/K56</f>
        <v>0.90751592356687905</v>
      </c>
      <c r="R56" s="470"/>
      <c r="S56" s="24">
        <v>0.38750000000000001</v>
      </c>
      <c r="T56" s="24">
        <v>0.49652777777777779</v>
      </c>
      <c r="U56" s="244">
        <f t="shared" ref="U56:U58" si="75">(S56-T55)*24*60</f>
        <v>4.9999999999999822</v>
      </c>
      <c r="V56" s="248">
        <f t="shared" si="70"/>
        <v>157</v>
      </c>
      <c r="W56" s="14"/>
      <c r="X56" s="14"/>
      <c r="Y56" s="456"/>
      <c r="Z56" s="456"/>
      <c r="AA56" s="11">
        <f t="shared" si="2"/>
        <v>-138.72611464968168</v>
      </c>
      <c r="AB56" s="245">
        <f t="shared" si="57"/>
        <v>0.90751592356687893</v>
      </c>
      <c r="AC56" s="470"/>
    </row>
    <row r="57" spans="1:29" ht="15.75" customHeight="1">
      <c r="A57" s="461" t="s">
        <v>10</v>
      </c>
      <c r="B57" s="26" t="s">
        <v>13</v>
      </c>
      <c r="C57" s="491" t="s">
        <v>65</v>
      </c>
      <c r="D57" s="492"/>
      <c r="E57" s="26">
        <v>55.56</v>
      </c>
      <c r="F57" s="27">
        <v>1807</v>
      </c>
      <c r="G57" s="244">
        <f t="shared" si="67"/>
        <v>100396.92</v>
      </c>
      <c r="H57" s="76" t="s">
        <v>57</v>
      </c>
      <c r="I57" s="247">
        <v>17</v>
      </c>
      <c r="J57" s="18">
        <v>1500</v>
      </c>
      <c r="K57" s="9">
        <f t="shared" si="68"/>
        <v>88.235294117647058</v>
      </c>
      <c r="L57" s="247">
        <v>17</v>
      </c>
      <c r="M57" s="10">
        <f t="shared" si="69"/>
        <v>1355.2499999999995</v>
      </c>
      <c r="N57" s="10">
        <f t="shared" si="71"/>
        <v>79.720588235294088</v>
      </c>
      <c r="O57" s="11">
        <f t="shared" si="72"/>
        <v>0</v>
      </c>
      <c r="P57" s="12">
        <f t="shared" si="73"/>
        <v>-8.5147058823529704</v>
      </c>
      <c r="Q57" s="245">
        <f t="shared" si="74"/>
        <v>0.90349999999999964</v>
      </c>
      <c r="R57" s="470"/>
      <c r="S57" s="24">
        <v>0.70833333333333337</v>
      </c>
      <c r="T57" s="24">
        <v>0.76388888888888895</v>
      </c>
      <c r="U57" s="244">
        <f t="shared" si="75"/>
        <v>305.00000000000006</v>
      </c>
      <c r="V57" s="248">
        <f t="shared" si="70"/>
        <v>80.000000000000028</v>
      </c>
      <c r="W57" s="14"/>
      <c r="X57" s="14"/>
      <c r="Y57" s="241"/>
      <c r="Z57" s="242"/>
      <c r="AA57" s="11">
        <f t="shared" si="2"/>
        <v>-144.75000000000045</v>
      </c>
      <c r="AB57" s="245">
        <f t="shared" si="57"/>
        <v>0.90349999999999975</v>
      </c>
      <c r="AC57" s="470"/>
    </row>
    <row r="58" spans="1:29" ht="15.75" customHeight="1">
      <c r="A58" s="461" t="s">
        <v>10</v>
      </c>
      <c r="B58" s="26" t="s">
        <v>13</v>
      </c>
      <c r="C58" s="239" t="s">
        <v>64</v>
      </c>
      <c r="D58" s="240"/>
      <c r="E58" s="26">
        <v>55.32</v>
      </c>
      <c r="F58" s="27">
        <v>1247</v>
      </c>
      <c r="G58" s="244">
        <f t="shared" si="67"/>
        <v>68984.039999999994</v>
      </c>
      <c r="H58" s="76" t="s">
        <v>57</v>
      </c>
      <c r="I58" s="247">
        <v>15</v>
      </c>
      <c r="J58" s="18">
        <v>1500</v>
      </c>
      <c r="K58" s="9">
        <f t="shared" si="68"/>
        <v>100</v>
      </c>
      <c r="L58" s="247">
        <v>15</v>
      </c>
      <c r="M58" s="10">
        <f t="shared" si="69"/>
        <v>1360.3636363636372</v>
      </c>
      <c r="N58" s="10">
        <f t="shared" si="71"/>
        <v>90.690909090909145</v>
      </c>
      <c r="O58" s="11">
        <f t="shared" si="72"/>
        <v>0</v>
      </c>
      <c r="P58" s="12">
        <f t="shared" si="73"/>
        <v>-9.3090909090908553</v>
      </c>
      <c r="Q58" s="245">
        <f t="shared" si="74"/>
        <v>0.90690909090909144</v>
      </c>
      <c r="R58" s="470"/>
      <c r="S58" s="24">
        <v>0.76944444444444449</v>
      </c>
      <c r="T58" s="24">
        <v>0.80763888888888891</v>
      </c>
      <c r="U58" s="244">
        <f t="shared" si="75"/>
        <v>7.9999999999999716</v>
      </c>
      <c r="V58" s="248">
        <f t="shared" si="70"/>
        <v>54.999999999999964</v>
      </c>
      <c r="W58" s="14"/>
      <c r="X58" s="14"/>
      <c r="Y58" s="241"/>
      <c r="Z58" s="242"/>
      <c r="AA58" s="11">
        <f t="shared" si="2"/>
        <v>-139.63636363636283</v>
      </c>
      <c r="AB58" s="245">
        <f t="shared" si="57"/>
        <v>0.90690909090909144</v>
      </c>
      <c r="AC58" s="470"/>
    </row>
    <row r="59" spans="1:29">
      <c r="A59" s="496" t="s">
        <v>10</v>
      </c>
      <c r="B59" s="26" t="s">
        <v>919</v>
      </c>
      <c r="C59" s="466"/>
      <c r="D59" s="466"/>
      <c r="E59" s="243"/>
      <c r="F59" s="16"/>
      <c r="G59" s="9"/>
      <c r="H59" s="249"/>
      <c r="I59" s="17">
        <v>16.75</v>
      </c>
      <c r="J59" s="18">
        <v>1500</v>
      </c>
      <c r="K59" s="9">
        <f>J59/I59</f>
        <v>89.552238805970148</v>
      </c>
      <c r="L59" s="17">
        <v>16.75</v>
      </c>
      <c r="M59" s="10">
        <f>AVERAGE(M55:M58)</f>
        <v>1358.9547048559698</v>
      </c>
      <c r="N59" s="9">
        <f>M59/L59</f>
        <v>81.13162417050566</v>
      </c>
      <c r="O59" s="11">
        <f>L59-I59</f>
        <v>0</v>
      </c>
      <c r="P59" s="12">
        <f>N59-K59</f>
        <v>-8.4206146354644886</v>
      </c>
      <c r="Q59" s="245">
        <f>N59/K59</f>
        <v>0.90596980323731324</v>
      </c>
      <c r="R59" s="470"/>
      <c r="S59" s="25"/>
      <c r="T59" s="24"/>
      <c r="U59" s="9"/>
      <c r="V59" s="248"/>
      <c r="W59" s="9"/>
      <c r="X59" s="9"/>
      <c r="Y59" s="456"/>
      <c r="Z59" s="456"/>
      <c r="AA59" s="11">
        <f t="shared" si="2"/>
        <v>-141.04529514403021</v>
      </c>
      <c r="AB59" s="245">
        <f t="shared" si="57"/>
        <v>0.90596980323731324</v>
      </c>
      <c r="AC59" s="470"/>
    </row>
    <row r="60" spans="1:29" ht="15.75" customHeight="1">
      <c r="A60" s="499" t="s">
        <v>920</v>
      </c>
      <c r="B60" s="249" t="s">
        <v>33</v>
      </c>
      <c r="C60" s="487" t="s">
        <v>36</v>
      </c>
      <c r="D60" s="487"/>
      <c r="E60" s="26">
        <v>26.78</v>
      </c>
      <c r="F60" s="27">
        <v>2646</v>
      </c>
      <c r="G60" s="244">
        <f t="shared" ref="G60:G64" si="76">E60*F60</f>
        <v>70859.88</v>
      </c>
      <c r="H60" s="76" t="s">
        <v>57</v>
      </c>
      <c r="I60" s="247">
        <v>10</v>
      </c>
      <c r="J60" s="18">
        <v>3000</v>
      </c>
      <c r="K60" s="9">
        <f t="shared" ref="K60:K64" si="77">J60/I60</f>
        <v>300</v>
      </c>
      <c r="L60" s="17">
        <v>10</v>
      </c>
      <c r="M60" s="10">
        <f t="shared" ref="M60:M64" si="78">F60/V60*60</f>
        <v>2737.2413793103433</v>
      </c>
      <c r="N60" s="9">
        <f>M60/L60</f>
        <v>273.72413793103431</v>
      </c>
      <c r="O60" s="11">
        <f t="shared" ref="O60:O64" si="79">L60-I60</f>
        <v>0</v>
      </c>
      <c r="P60" s="12">
        <f t="shared" ref="P60:P64" si="80">N60-K60</f>
        <v>-26.275862068965694</v>
      </c>
      <c r="Q60" s="245">
        <f>N60/K60</f>
        <v>0.91241379310344772</v>
      </c>
      <c r="R60" s="470">
        <f>Q65</f>
        <v>0.91539337972885759</v>
      </c>
      <c r="S60" s="24">
        <v>0.25069444444444444</v>
      </c>
      <c r="T60" s="24">
        <v>0.29097222222222224</v>
      </c>
      <c r="U60" s="244"/>
      <c r="V60" s="248">
        <f t="shared" ref="V60:V64" si="81">(T60-S60)*24*60</f>
        <v>58.000000000000036</v>
      </c>
      <c r="W60" s="15"/>
      <c r="X60" s="15"/>
      <c r="Y60" s="456"/>
      <c r="Z60" s="456"/>
      <c r="AA60" s="11">
        <f t="shared" si="2"/>
        <v>-262.75862068965671</v>
      </c>
      <c r="AB60" s="245">
        <f t="shared" si="57"/>
        <v>0.91241379310344772</v>
      </c>
      <c r="AC60" s="470">
        <f>AB65</f>
        <v>0.91539337972885759</v>
      </c>
    </row>
    <row r="61" spans="1:29" ht="15.75" customHeight="1">
      <c r="A61" s="499" t="s">
        <v>11</v>
      </c>
      <c r="B61" s="249" t="s">
        <v>33</v>
      </c>
      <c r="C61" s="487" t="s">
        <v>42</v>
      </c>
      <c r="D61" s="487"/>
      <c r="E61" s="26">
        <v>35.369999999999997</v>
      </c>
      <c r="F61" s="27">
        <v>1732</v>
      </c>
      <c r="G61" s="244">
        <f t="shared" si="76"/>
        <v>61260.84</v>
      </c>
      <c r="H61" s="76" t="s">
        <v>57</v>
      </c>
      <c r="I61" s="247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2734.7368421052611</v>
      </c>
      <c r="N61" s="9">
        <f t="shared" ref="N61:N64" si="82">M61/L61</f>
        <v>273.47368421052613</v>
      </c>
      <c r="O61" s="11">
        <f t="shared" si="79"/>
        <v>0</v>
      </c>
      <c r="P61" s="12">
        <f t="shared" si="80"/>
        <v>-26.52631578947387</v>
      </c>
      <c r="Q61" s="245">
        <f t="shared" ref="Q61:Q64" si="83">N61/K61</f>
        <v>0.91157894736842049</v>
      </c>
      <c r="R61" s="470"/>
      <c r="S61" s="24">
        <v>0.29583333333333334</v>
      </c>
      <c r="T61" s="24">
        <v>0.32222222222222224</v>
      </c>
      <c r="U61" s="244">
        <f>(S61-T60)*24*60</f>
        <v>6.9999999999999751</v>
      </c>
      <c r="V61" s="248">
        <f t="shared" si="81"/>
        <v>38.000000000000028</v>
      </c>
      <c r="W61" s="244"/>
      <c r="X61" s="244"/>
      <c r="Y61" s="456"/>
      <c r="Z61" s="456"/>
      <c r="AA61" s="11">
        <f t="shared" si="2"/>
        <v>-265.26315789473892</v>
      </c>
      <c r="AB61" s="245">
        <f t="shared" si="57"/>
        <v>0.91157894736842038</v>
      </c>
      <c r="AC61" s="470"/>
    </row>
    <row r="62" spans="1:29" ht="15.75" customHeight="1">
      <c r="A62" s="499" t="s">
        <v>11</v>
      </c>
      <c r="B62" s="249" t="s">
        <v>33</v>
      </c>
      <c r="C62" s="487" t="s">
        <v>41</v>
      </c>
      <c r="D62" s="487"/>
      <c r="E62" s="26">
        <v>34.35</v>
      </c>
      <c r="F62" s="27">
        <v>1431</v>
      </c>
      <c r="G62" s="244">
        <f t="shared" si="76"/>
        <v>49154.85</v>
      </c>
      <c r="H62" s="76" t="s">
        <v>57</v>
      </c>
      <c r="I62" s="247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2769.6774193548413</v>
      </c>
      <c r="N62" s="9">
        <f t="shared" si="82"/>
        <v>276.96774193548413</v>
      </c>
      <c r="O62" s="11">
        <f t="shared" si="79"/>
        <v>0</v>
      </c>
      <c r="P62" s="12">
        <f t="shared" si="80"/>
        <v>-23.032258064515872</v>
      </c>
      <c r="Q62" s="245">
        <f t="shared" si="83"/>
        <v>0.92322580645161378</v>
      </c>
      <c r="R62" s="470"/>
      <c r="S62" s="24">
        <v>0.32569444444444445</v>
      </c>
      <c r="T62" s="24">
        <v>0.34722222222222221</v>
      </c>
      <c r="U62" s="244">
        <f t="shared" ref="U62:U64" si="84">(S62-T61)*24*60</f>
        <v>4.9999999999999822</v>
      </c>
      <c r="V62" s="248">
        <f t="shared" si="81"/>
        <v>30.999999999999972</v>
      </c>
      <c r="W62" s="244"/>
      <c r="X62" s="244"/>
      <c r="Y62" s="456"/>
      <c r="Z62" s="456"/>
      <c r="AA62" s="11">
        <f t="shared" si="2"/>
        <v>-230.32258064515872</v>
      </c>
      <c r="AB62" s="245">
        <f t="shared" si="57"/>
        <v>0.92322580645161378</v>
      </c>
      <c r="AC62" s="470"/>
    </row>
    <row r="63" spans="1:29" ht="15.75" customHeight="1">
      <c r="A63" s="499" t="s">
        <v>11</v>
      </c>
      <c r="B63" s="249" t="s">
        <v>15</v>
      </c>
      <c r="C63" s="487" t="s">
        <v>39</v>
      </c>
      <c r="D63" s="487"/>
      <c r="E63" s="26">
        <v>26.97</v>
      </c>
      <c r="F63" s="27">
        <v>3267</v>
      </c>
      <c r="G63" s="244">
        <f t="shared" si="76"/>
        <v>88110.989999999991</v>
      </c>
      <c r="H63" s="76" t="s">
        <v>57</v>
      </c>
      <c r="I63" s="247">
        <v>8</v>
      </c>
      <c r="J63" s="18">
        <v>1440</v>
      </c>
      <c r="K63" s="9">
        <f t="shared" si="77"/>
        <v>180</v>
      </c>
      <c r="L63" s="17">
        <v>8</v>
      </c>
      <c r="M63" s="10">
        <f t="shared" si="78"/>
        <v>1298.1456953642382</v>
      </c>
      <c r="N63" s="9">
        <f t="shared" si="82"/>
        <v>162.26821192052978</v>
      </c>
      <c r="O63" s="11">
        <f t="shared" si="79"/>
        <v>0</v>
      </c>
      <c r="P63" s="12">
        <f t="shared" si="80"/>
        <v>-17.731788079470221</v>
      </c>
      <c r="Q63" s="245">
        <f t="shared" si="83"/>
        <v>0.90149006622516548</v>
      </c>
      <c r="R63" s="470"/>
      <c r="S63" s="24">
        <v>0.3520833333333333</v>
      </c>
      <c r="T63" s="24">
        <v>0.45694444444444443</v>
      </c>
      <c r="U63" s="244">
        <f t="shared" si="84"/>
        <v>6.9999999999999751</v>
      </c>
      <c r="V63" s="248">
        <f t="shared" si="81"/>
        <v>151.00000000000003</v>
      </c>
      <c r="W63" s="244"/>
      <c r="X63" s="244"/>
      <c r="Y63" s="456"/>
      <c r="Z63" s="456"/>
      <c r="AA63" s="11">
        <f t="shared" si="2"/>
        <v>-141.85430463576176</v>
      </c>
      <c r="AB63" s="245">
        <f t="shared" si="57"/>
        <v>0.90149006622516548</v>
      </c>
      <c r="AC63" s="470"/>
    </row>
    <row r="64" spans="1:29">
      <c r="A64" s="500" t="s">
        <v>11</v>
      </c>
      <c r="B64" s="249" t="s">
        <v>33</v>
      </c>
      <c r="C64" s="487" t="s">
        <v>40</v>
      </c>
      <c r="D64" s="487"/>
      <c r="E64" s="26">
        <v>35.119999999999997</v>
      </c>
      <c r="F64" s="27">
        <v>1201</v>
      </c>
      <c r="G64" s="244">
        <f t="shared" si="76"/>
        <v>42179.119999999995</v>
      </c>
      <c r="H64" s="76" t="s">
        <v>57</v>
      </c>
      <c r="I64" s="247">
        <v>13</v>
      </c>
      <c r="J64" s="18">
        <v>2000</v>
      </c>
      <c r="K64" s="9">
        <f t="shared" si="77"/>
        <v>153.84615384615384</v>
      </c>
      <c r="L64" s="17">
        <v>13</v>
      </c>
      <c r="M64" s="10">
        <f t="shared" si="78"/>
        <v>1847.6923076923067</v>
      </c>
      <c r="N64" s="9">
        <f t="shared" si="82"/>
        <v>142.13017751479282</v>
      </c>
      <c r="O64" s="11">
        <f t="shared" si="79"/>
        <v>0</v>
      </c>
      <c r="P64" s="12">
        <f t="shared" si="80"/>
        <v>-11.71597633136102</v>
      </c>
      <c r="Q64" s="245">
        <f t="shared" si="83"/>
        <v>0.92384615384615332</v>
      </c>
      <c r="R64" s="470"/>
      <c r="S64" s="24">
        <v>0.46180555555555552</v>
      </c>
      <c r="T64" s="24">
        <v>0.48888888888888887</v>
      </c>
      <c r="U64" s="244">
        <f t="shared" si="84"/>
        <v>6.9999999999999751</v>
      </c>
      <c r="V64" s="248">
        <f t="shared" si="81"/>
        <v>39.000000000000021</v>
      </c>
      <c r="W64" s="14"/>
      <c r="X64" s="14"/>
      <c r="Y64" s="456"/>
      <c r="Z64" s="456"/>
      <c r="AA64" s="11">
        <f t="shared" si="2"/>
        <v>-152.30769230769329</v>
      </c>
      <c r="AB64" s="245">
        <f t="shared" si="57"/>
        <v>0.92384615384615332</v>
      </c>
      <c r="AC64" s="470"/>
    </row>
    <row r="65" spans="1:29">
      <c r="A65" s="500" t="s">
        <v>11</v>
      </c>
      <c r="B65" s="26" t="s">
        <v>910</v>
      </c>
      <c r="C65" s="466"/>
      <c r="D65" s="466"/>
      <c r="E65" s="243"/>
      <c r="F65" s="16"/>
      <c r="G65" s="9"/>
      <c r="H65" s="249"/>
      <c r="I65" s="17">
        <v>10.199999999999999</v>
      </c>
      <c r="J65" s="18">
        <v>2488</v>
      </c>
      <c r="K65" s="9">
        <f>J65/I65</f>
        <v>243.92156862745099</v>
      </c>
      <c r="L65" s="17">
        <v>10.199999999999999</v>
      </c>
      <c r="M65" s="10">
        <f>AVERAGE(M60:M64)</f>
        <v>2277.4987287653976</v>
      </c>
      <c r="N65" s="9">
        <f>M65/L65</f>
        <v>223.28418909464685</v>
      </c>
      <c r="O65" s="11">
        <f>L65-I65</f>
        <v>0</v>
      </c>
      <c r="P65" s="12">
        <f>N65-K65</f>
        <v>-20.637379532804147</v>
      </c>
      <c r="Q65" s="245">
        <f>N65/K65</f>
        <v>0.91539337972885759</v>
      </c>
      <c r="R65" s="470"/>
      <c r="S65" s="24"/>
      <c r="T65" s="24"/>
      <c r="U65" s="9"/>
      <c r="V65" s="248"/>
      <c r="W65" s="9"/>
      <c r="X65" s="9"/>
      <c r="Y65" s="456"/>
      <c r="Z65" s="456"/>
      <c r="AA65" s="11">
        <f t="shared" si="2"/>
        <v>-210.50127123460243</v>
      </c>
      <c r="AB65" s="245">
        <f t="shared" si="57"/>
        <v>0.91539337972885759</v>
      </c>
      <c r="AC65" s="470"/>
    </row>
    <row r="66" spans="1:29" ht="15.75" customHeight="1">
      <c r="A66" s="467" t="s">
        <v>921</v>
      </c>
      <c r="B66" s="249" t="s">
        <v>24</v>
      </c>
      <c r="C66" s="487" t="s">
        <v>83</v>
      </c>
      <c r="D66" s="487"/>
      <c r="E66" s="26">
        <v>32.03</v>
      </c>
      <c r="F66" s="249">
        <v>1575</v>
      </c>
      <c r="G66" s="244">
        <f t="shared" ref="G66:G72" si="85">E66*F66</f>
        <v>50447.25</v>
      </c>
      <c r="H66" s="76" t="s">
        <v>57</v>
      </c>
      <c r="I66" s="247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2197.6744186046508</v>
      </c>
      <c r="N66" s="9">
        <f t="shared" ref="N66:N72" si="87">M66/L66</f>
        <v>115.66707466340267</v>
      </c>
      <c r="O66" s="11">
        <f t="shared" ref="O66:O72" si="88">L66-I66</f>
        <v>0</v>
      </c>
      <c r="P66" s="12">
        <f t="shared" ref="P66:P72" si="89">N66-K66</f>
        <v>-10.648714810281533</v>
      </c>
      <c r="Q66" s="245">
        <f>N66/K66</f>
        <v>0.9156976744186045</v>
      </c>
      <c r="R66" s="470">
        <f>Q73</f>
        <v>0.90827556079924676</v>
      </c>
      <c r="S66" s="24">
        <v>0.125</v>
      </c>
      <c r="T66" s="24">
        <v>0.15486111111111112</v>
      </c>
      <c r="U66" s="15"/>
      <c r="V66" s="248">
        <f t="shared" ref="V66:V72" si="90">(T66-S66)*24*60</f>
        <v>43.000000000000007</v>
      </c>
      <c r="W66" s="14"/>
      <c r="X66" s="14"/>
      <c r="Y66" s="456"/>
      <c r="Z66" s="456"/>
      <c r="AA66" s="11">
        <f t="shared" si="2"/>
        <v>-202.32558139534922</v>
      </c>
      <c r="AB66" s="245">
        <f>M66/J66</f>
        <v>0.9156976744186045</v>
      </c>
      <c r="AC66" s="470">
        <f>AB73</f>
        <v>0.90827556079924665</v>
      </c>
    </row>
    <row r="67" spans="1:29" ht="15.75" customHeight="1">
      <c r="A67" s="467" t="s">
        <v>12</v>
      </c>
      <c r="B67" s="249" t="s">
        <v>24</v>
      </c>
      <c r="C67" s="487" t="s">
        <v>56</v>
      </c>
      <c r="D67" s="487"/>
      <c r="E67" s="26">
        <v>20.2</v>
      </c>
      <c r="F67" s="249">
        <v>2436</v>
      </c>
      <c r="G67" s="244">
        <f t="shared" si="85"/>
        <v>49207.199999999997</v>
      </c>
      <c r="H67" s="76" t="s">
        <v>57</v>
      </c>
      <c r="I67" s="247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2" si="91">F67/V67*60</f>
        <v>2181.4925373134329</v>
      </c>
      <c r="N67" s="9">
        <f t="shared" si="87"/>
        <v>114.815396700707</v>
      </c>
      <c r="O67" s="11">
        <f t="shared" si="88"/>
        <v>0</v>
      </c>
      <c r="P67" s="12">
        <f t="shared" si="89"/>
        <v>-11.500392772977207</v>
      </c>
      <c r="Q67" s="245">
        <f t="shared" ref="Q67:Q73" si="92">N67/K67</f>
        <v>0.90895522388059713</v>
      </c>
      <c r="R67" s="470"/>
      <c r="S67" s="24">
        <v>0.17361111111111113</v>
      </c>
      <c r="T67" s="24">
        <v>0.22013888888888891</v>
      </c>
      <c r="U67" s="244">
        <f>(S67-T66)*24*60</f>
        <v>27.000000000000025</v>
      </c>
      <c r="V67" s="248">
        <f t="shared" si="90"/>
        <v>67</v>
      </c>
      <c r="W67" s="14"/>
      <c r="X67" s="14"/>
      <c r="Y67" s="456"/>
      <c r="Z67" s="456"/>
      <c r="AA67" s="11">
        <f t="shared" si="2"/>
        <v>-218.50746268656712</v>
      </c>
      <c r="AB67" s="245">
        <f t="shared" ref="AB67:AB73" si="93">M67/J67</f>
        <v>0.90895522388059702</v>
      </c>
      <c r="AC67" s="470"/>
    </row>
    <row r="68" spans="1:29" ht="15.75" customHeight="1">
      <c r="A68" s="467" t="s">
        <v>12</v>
      </c>
      <c r="B68" s="249" t="s">
        <v>24</v>
      </c>
      <c r="C68" s="487" t="s">
        <v>45</v>
      </c>
      <c r="D68" s="487"/>
      <c r="E68" s="26">
        <v>19.02</v>
      </c>
      <c r="F68" s="249">
        <v>5500</v>
      </c>
      <c r="G68" s="244">
        <f t="shared" si="85"/>
        <v>104610</v>
      </c>
      <c r="H68" s="76">
        <v>2</v>
      </c>
      <c r="I68" s="247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2171.0526315789466</v>
      </c>
      <c r="N68" s="9">
        <f t="shared" si="87"/>
        <v>144.73684210526309</v>
      </c>
      <c r="O68" s="11">
        <f t="shared" si="88"/>
        <v>0</v>
      </c>
      <c r="P68" s="12">
        <f t="shared" si="89"/>
        <v>-15.263157894736906</v>
      </c>
      <c r="Q68" s="245">
        <f t="shared" si="92"/>
        <v>0.90460526315789436</v>
      </c>
      <c r="R68" s="470"/>
      <c r="S68" s="24">
        <v>0.22500000000000003</v>
      </c>
      <c r="T68" s="24">
        <v>0.3305555555555556</v>
      </c>
      <c r="U68" s="244">
        <f t="shared" ref="U68:U72" si="94">(S68-T67)*24*60</f>
        <v>7.0000000000000151</v>
      </c>
      <c r="V68" s="248">
        <f t="shared" si="90"/>
        <v>152.00000000000003</v>
      </c>
      <c r="W68" s="14"/>
      <c r="X68" s="14"/>
      <c r="Y68" s="456"/>
      <c r="Z68" s="456"/>
      <c r="AA68" s="11">
        <f t="shared" si="2"/>
        <v>-228.9473684210534</v>
      </c>
      <c r="AB68" s="245">
        <f t="shared" si="93"/>
        <v>0.90460526315789447</v>
      </c>
      <c r="AC68" s="470"/>
    </row>
    <row r="69" spans="1:29" ht="15.75" customHeight="1">
      <c r="A69" s="467" t="s">
        <v>12</v>
      </c>
      <c r="B69" s="249" t="s">
        <v>24</v>
      </c>
      <c r="C69" s="487" t="s">
        <v>46</v>
      </c>
      <c r="D69" s="487"/>
      <c r="E69" s="26">
        <v>25</v>
      </c>
      <c r="F69" s="249">
        <v>4024</v>
      </c>
      <c r="G69" s="244">
        <f t="shared" si="85"/>
        <v>100600</v>
      </c>
      <c r="H69" s="76" t="s">
        <v>57</v>
      </c>
      <c r="I69" s="247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2175.1351351351354</v>
      </c>
      <c r="N69" s="9">
        <f t="shared" si="87"/>
        <v>145.00900900900902</v>
      </c>
      <c r="O69" s="11">
        <f t="shared" si="88"/>
        <v>0</v>
      </c>
      <c r="P69" s="12">
        <f t="shared" si="89"/>
        <v>-14.99099099099098</v>
      </c>
      <c r="Q69" s="245">
        <f t="shared" si="92"/>
        <v>0.90630630630630638</v>
      </c>
      <c r="R69" s="470"/>
      <c r="S69" s="24">
        <v>0.3354166666666667</v>
      </c>
      <c r="T69" s="24">
        <v>0.41250000000000003</v>
      </c>
      <c r="U69" s="244">
        <f t="shared" si="94"/>
        <v>6.9999999999999751</v>
      </c>
      <c r="V69" s="248">
        <f t="shared" si="90"/>
        <v>111</v>
      </c>
      <c r="W69" s="14"/>
      <c r="X69" s="14"/>
      <c r="Y69" s="456"/>
      <c r="Z69" s="456"/>
      <c r="AA69" s="11">
        <f t="shared" ref="AA69:AA73" si="95">M69-J69</f>
        <v>-224.86486486486456</v>
      </c>
      <c r="AB69" s="245">
        <f t="shared" si="93"/>
        <v>0.90630630630630649</v>
      </c>
      <c r="AC69" s="470"/>
    </row>
    <row r="70" spans="1:29" ht="15.75" customHeight="1">
      <c r="A70" s="467" t="s">
        <v>12</v>
      </c>
      <c r="B70" s="249" t="s">
        <v>24</v>
      </c>
      <c r="C70" s="487" t="s">
        <v>510</v>
      </c>
      <c r="D70" s="487"/>
      <c r="E70" s="26">
        <v>28.51</v>
      </c>
      <c r="F70" s="249">
        <v>3000</v>
      </c>
      <c r="G70" s="244">
        <f t="shared" si="85"/>
        <v>85530</v>
      </c>
      <c r="H70" s="76">
        <v>2</v>
      </c>
      <c r="I70" s="247">
        <v>20</v>
      </c>
      <c r="J70" s="18">
        <v>2400</v>
      </c>
      <c r="K70" s="9">
        <f t="shared" ref="K70:K73" si="96">J70/I70</f>
        <v>120</v>
      </c>
      <c r="L70" s="17">
        <v>20</v>
      </c>
      <c r="M70" s="10">
        <f t="shared" si="91"/>
        <v>2168.6746987951801</v>
      </c>
      <c r="N70" s="9">
        <f t="shared" si="87"/>
        <v>108.43373493975901</v>
      </c>
      <c r="O70" s="11">
        <f t="shared" si="88"/>
        <v>0</v>
      </c>
      <c r="P70" s="12">
        <f t="shared" si="89"/>
        <v>-11.566265060240994</v>
      </c>
      <c r="Q70" s="245">
        <f t="shared" si="92"/>
        <v>0.9036144578313251</v>
      </c>
      <c r="R70" s="470"/>
      <c r="S70" s="24">
        <v>0.41805555555555557</v>
      </c>
      <c r="T70" s="24">
        <v>0.47569444444444448</v>
      </c>
      <c r="U70" s="244">
        <f t="shared" si="94"/>
        <v>7.9999999999999716</v>
      </c>
      <c r="V70" s="248">
        <f t="shared" si="90"/>
        <v>83.000000000000028</v>
      </c>
      <c r="W70" s="14"/>
      <c r="X70" s="14"/>
      <c r="Y70" s="456"/>
      <c r="Z70" s="456"/>
      <c r="AA70" s="11">
        <f t="shared" si="95"/>
        <v>-231.32530120481988</v>
      </c>
      <c r="AB70" s="245">
        <f t="shared" si="93"/>
        <v>0.9036144578313251</v>
      </c>
      <c r="AC70" s="470"/>
    </row>
    <row r="71" spans="1:29" ht="15.75" customHeight="1">
      <c r="A71" s="467" t="s">
        <v>12</v>
      </c>
      <c r="B71" s="249" t="s">
        <v>24</v>
      </c>
      <c r="C71" s="487" t="s">
        <v>510</v>
      </c>
      <c r="D71" s="487"/>
      <c r="E71" s="26">
        <v>28.51</v>
      </c>
      <c r="F71" s="249">
        <v>2628</v>
      </c>
      <c r="G71" s="244">
        <f t="shared" si="85"/>
        <v>74924.28</v>
      </c>
      <c r="H71" s="76" t="s">
        <v>57</v>
      </c>
      <c r="I71" s="247">
        <v>20</v>
      </c>
      <c r="J71" s="18">
        <v>2400</v>
      </c>
      <c r="K71" s="9">
        <f t="shared" si="96"/>
        <v>120</v>
      </c>
      <c r="L71" s="17">
        <v>20</v>
      </c>
      <c r="M71" s="10">
        <f t="shared" si="91"/>
        <v>2189.9999999999982</v>
      </c>
      <c r="N71" s="9">
        <f t="shared" si="87"/>
        <v>109.49999999999991</v>
      </c>
      <c r="O71" s="11">
        <f t="shared" si="88"/>
        <v>0</v>
      </c>
      <c r="P71" s="12">
        <f t="shared" si="89"/>
        <v>-10.500000000000085</v>
      </c>
      <c r="Q71" s="245">
        <f t="shared" si="92"/>
        <v>0.91249999999999931</v>
      </c>
      <c r="R71" s="470"/>
      <c r="S71" s="24">
        <v>0.51527777777777783</v>
      </c>
      <c r="T71" s="24">
        <v>0.56527777777777788</v>
      </c>
      <c r="U71" s="244">
        <f t="shared" si="94"/>
        <v>57.000000000000036</v>
      </c>
      <c r="V71" s="248">
        <f t="shared" si="90"/>
        <v>72.000000000000057</v>
      </c>
      <c r="W71" s="14"/>
      <c r="X71" s="14"/>
      <c r="Y71" s="456"/>
      <c r="Z71" s="456"/>
      <c r="AA71" s="11">
        <f t="shared" si="95"/>
        <v>-210.00000000000182</v>
      </c>
      <c r="AB71" s="245">
        <f t="shared" si="93"/>
        <v>0.9124999999999992</v>
      </c>
      <c r="AC71" s="470"/>
    </row>
    <row r="72" spans="1:29" ht="15.75" customHeight="1">
      <c r="A72" s="467" t="s">
        <v>12</v>
      </c>
      <c r="B72" s="249" t="s">
        <v>24</v>
      </c>
      <c r="C72" s="491" t="s">
        <v>45</v>
      </c>
      <c r="D72" s="492"/>
      <c r="E72" s="26">
        <v>19.02</v>
      </c>
      <c r="F72" s="249">
        <v>3335</v>
      </c>
      <c r="G72" s="244">
        <f t="shared" si="85"/>
        <v>63431.7</v>
      </c>
      <c r="H72" s="76" t="s">
        <v>57</v>
      </c>
      <c r="I72" s="247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2175</v>
      </c>
      <c r="N72" s="9">
        <f t="shared" si="87"/>
        <v>145</v>
      </c>
      <c r="O72" s="11">
        <f t="shared" si="88"/>
        <v>0</v>
      </c>
      <c r="P72" s="12">
        <f t="shared" si="89"/>
        <v>-15</v>
      </c>
      <c r="Q72" s="245">
        <f t="shared" si="92"/>
        <v>0.90625</v>
      </c>
      <c r="R72" s="470"/>
      <c r="S72" s="24">
        <v>0.56875000000000009</v>
      </c>
      <c r="T72" s="24">
        <v>0.63263888888888897</v>
      </c>
      <c r="U72" s="244">
        <f t="shared" si="94"/>
        <v>4.9999999999999822</v>
      </c>
      <c r="V72" s="248">
        <f t="shared" si="90"/>
        <v>92</v>
      </c>
      <c r="W72" s="14"/>
      <c r="X72" s="14"/>
      <c r="Y72" s="473"/>
      <c r="Z72" s="474"/>
      <c r="AA72" s="11">
        <f t="shared" si="95"/>
        <v>-225</v>
      </c>
      <c r="AB72" s="245">
        <f t="shared" si="93"/>
        <v>0.90625</v>
      </c>
      <c r="AC72" s="470"/>
    </row>
    <row r="73" spans="1:29" ht="16.5" customHeight="1">
      <c r="A73" s="501" t="s">
        <v>12</v>
      </c>
      <c r="B73" s="26" t="s">
        <v>919</v>
      </c>
      <c r="C73" s="466"/>
      <c r="D73" s="466"/>
      <c r="E73" s="243"/>
      <c r="F73" s="16"/>
      <c r="G73" s="9"/>
      <c r="H73" s="249"/>
      <c r="I73" s="17">
        <v>17.571428571428573</v>
      </c>
      <c r="J73" s="18">
        <v>2400</v>
      </c>
      <c r="K73" s="9">
        <f t="shared" si="96"/>
        <v>136.58536585365852</v>
      </c>
      <c r="L73" s="17">
        <v>17.571428571428573</v>
      </c>
      <c r="M73" s="10">
        <f>AVERAGE(M66:M72)</f>
        <v>2179.861345918192</v>
      </c>
      <c r="N73" s="9">
        <f>M73/L73</f>
        <v>124.05714976770197</v>
      </c>
      <c r="O73" s="11">
        <f>L73-I73</f>
        <v>0</v>
      </c>
      <c r="P73" s="12">
        <f>N73-K73</f>
        <v>-12.528216085956544</v>
      </c>
      <c r="Q73" s="245">
        <f t="shared" si="92"/>
        <v>0.90827556079924676</v>
      </c>
      <c r="R73" s="470"/>
      <c r="S73" s="24"/>
      <c r="T73" s="24"/>
      <c r="U73" s="9"/>
      <c r="V73" s="248"/>
      <c r="W73" s="9"/>
      <c r="X73" s="9"/>
      <c r="Y73" s="456"/>
      <c r="Z73" s="456"/>
      <c r="AA73" s="11">
        <f t="shared" si="95"/>
        <v>-220.138654081808</v>
      </c>
      <c r="AB73" s="245">
        <f t="shared" si="93"/>
        <v>0.90827556079924665</v>
      </c>
      <c r="AC73" s="470"/>
    </row>
    <row r="74" spans="1:29">
      <c r="D74" s="19"/>
      <c r="E74" s="19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28"/>
    <mergeCell ref="C20:D20"/>
    <mergeCell ref="R20:R28"/>
    <mergeCell ref="Y20:Z20"/>
    <mergeCell ref="Y25:Z25"/>
    <mergeCell ref="A14:A19"/>
    <mergeCell ref="C14:D14"/>
    <mergeCell ref="R14:R19"/>
    <mergeCell ref="Y14:Z14"/>
    <mergeCell ref="AC29:AC35"/>
    <mergeCell ref="C30:D30"/>
    <mergeCell ref="Y30:Z30"/>
    <mergeCell ref="C31:D31"/>
    <mergeCell ref="Y31:Z31"/>
    <mergeCell ref="C32:D32"/>
    <mergeCell ref="C26:D26"/>
    <mergeCell ref="Y26:Z26"/>
    <mergeCell ref="C27:D27"/>
    <mergeCell ref="Y27:Z27"/>
    <mergeCell ref="C28:D28"/>
    <mergeCell ref="Y28:Z28"/>
    <mergeCell ref="AC20:AC28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Y32:Z32"/>
    <mergeCell ref="C33:D33"/>
    <mergeCell ref="Y33:Z33"/>
    <mergeCell ref="C34:D34"/>
    <mergeCell ref="Y34:Z34"/>
    <mergeCell ref="C35:D35"/>
    <mergeCell ref="Y35:Z35"/>
    <mergeCell ref="A29:A35"/>
    <mergeCell ref="C29:D29"/>
    <mergeCell ref="R29:R35"/>
    <mergeCell ref="Y29:Z29"/>
    <mergeCell ref="A36:A45"/>
    <mergeCell ref="C36:D36"/>
    <mergeCell ref="R36:R45"/>
    <mergeCell ref="Y36:Z36"/>
    <mergeCell ref="C37:D37"/>
    <mergeCell ref="Y37:Z37"/>
    <mergeCell ref="C38:D38"/>
    <mergeCell ref="Y38:Z38"/>
    <mergeCell ref="C39:D39"/>
    <mergeCell ref="AC46:AC54"/>
    <mergeCell ref="C47:D47"/>
    <mergeCell ref="Y47:Z47"/>
    <mergeCell ref="C48:D48"/>
    <mergeCell ref="Y48:Z48"/>
    <mergeCell ref="C49:D49"/>
    <mergeCell ref="C43:D43"/>
    <mergeCell ref="Y43:Z43"/>
    <mergeCell ref="C44:D44"/>
    <mergeCell ref="Y44:Z44"/>
    <mergeCell ref="C45:D45"/>
    <mergeCell ref="Y45:Z45"/>
    <mergeCell ref="AC36:AC45"/>
    <mergeCell ref="C53:D53"/>
    <mergeCell ref="Y53:Z53"/>
    <mergeCell ref="C54:D54"/>
    <mergeCell ref="Y54:Z54"/>
    <mergeCell ref="Y39:Z39"/>
    <mergeCell ref="C40:D40"/>
    <mergeCell ref="Y40:Z40"/>
    <mergeCell ref="C41:D41"/>
    <mergeCell ref="Y41:Z41"/>
    <mergeCell ref="C42:D42"/>
    <mergeCell ref="Y42:Z42"/>
    <mergeCell ref="A55:A59"/>
    <mergeCell ref="C55:D55"/>
    <mergeCell ref="R55:R59"/>
    <mergeCell ref="Y55:Z55"/>
    <mergeCell ref="Y49:Z49"/>
    <mergeCell ref="C50:D50"/>
    <mergeCell ref="Y50:Z50"/>
    <mergeCell ref="C51:D51"/>
    <mergeCell ref="Y51:Z51"/>
    <mergeCell ref="C52:D52"/>
    <mergeCell ref="Y52:Z52"/>
    <mergeCell ref="A46:A54"/>
    <mergeCell ref="C46:D46"/>
    <mergeCell ref="R46:R54"/>
    <mergeCell ref="Y46:Z46"/>
    <mergeCell ref="AC60:AC65"/>
    <mergeCell ref="C61:D61"/>
    <mergeCell ref="Y61:Z61"/>
    <mergeCell ref="C62:D62"/>
    <mergeCell ref="Y62:Z62"/>
    <mergeCell ref="C63:D63"/>
    <mergeCell ref="AC55:AC59"/>
    <mergeCell ref="C56:D56"/>
    <mergeCell ref="Y56:Z56"/>
    <mergeCell ref="C57:D57"/>
    <mergeCell ref="C59:D59"/>
    <mergeCell ref="Y59:Z59"/>
    <mergeCell ref="Y63:Z63"/>
    <mergeCell ref="C64:D64"/>
    <mergeCell ref="Y64:Z64"/>
    <mergeCell ref="C65:D65"/>
    <mergeCell ref="Y65:Z65"/>
    <mergeCell ref="A66:A73"/>
    <mergeCell ref="C66:D66"/>
    <mergeCell ref="R66:R73"/>
    <mergeCell ref="Y66:Z66"/>
    <mergeCell ref="Y71:Z71"/>
    <mergeCell ref="A60:A65"/>
    <mergeCell ref="C60:D60"/>
    <mergeCell ref="R60:R65"/>
    <mergeCell ref="Y60:Z60"/>
    <mergeCell ref="C72:D72"/>
    <mergeCell ref="Y72:Z72"/>
    <mergeCell ref="C73:D73"/>
    <mergeCell ref="Y73:Z73"/>
    <mergeCell ref="AC66:AC73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</mergeCells>
  <phoneticPr fontId="3" type="noConversion"/>
  <conditionalFormatting sqref="O63:O71 O73 O5:O9 O13:O15 O54:O60 O19:O51">
    <cfRule type="cellIs" dxfId="1398" priority="58" operator="greaterThan">
      <formula>0</formula>
    </cfRule>
  </conditionalFormatting>
  <conditionalFormatting sqref="P5:P7 P63:P64 AA63:AA64 P66:P71 P29:P34 P60 P9 P13:P15 P20:P27 P55:P58 P36:P51 AA5:AA60 AA66:AA73">
    <cfRule type="cellIs" dxfId="1397" priority="62" operator="lessThan">
      <formula>0</formula>
    </cfRule>
  </conditionalFormatting>
  <conditionalFormatting sqref="AB63:AB64 Q63:Q71 Q73 Q5:Q9 Q13:Q15 Q54:Q60 Q19:Q51 AB5:AB60 AB66:AB73">
    <cfRule type="cellIs" dxfId="1396" priority="59" operator="greaterThan">
      <formula>1</formula>
    </cfRule>
    <cfRule type="cellIs" dxfId="1395" priority="60" operator="lessThan">
      <formula>0.8</formula>
    </cfRule>
  </conditionalFormatting>
  <conditionalFormatting sqref="AC14:AC15 R14:R15 AC63 R63:R71 R19:R25 AC19:AC25 R28:R43 AC28:AC43 R73 AC5:AC9 R5:R9 R45:R51 AC45:AC51 AC54:AC60 R54:R60">
    <cfRule type="cellIs" dxfId="1394" priority="64" operator="lessThan">
      <formula>0.8</formula>
    </cfRule>
  </conditionalFormatting>
  <conditionalFormatting sqref="AC46">
    <cfRule type="cellIs" dxfId="1393" priority="66" operator="lessThan">
      <formula>0.8</formula>
    </cfRule>
  </conditionalFormatting>
  <conditionalFormatting sqref="AC20:AC25">
    <cfRule type="cellIs" dxfId="1392" priority="63" operator="lessThan">
      <formula>0.8</formula>
    </cfRule>
  </conditionalFormatting>
  <conditionalFormatting sqref="AC29">
    <cfRule type="cellIs" dxfId="1391" priority="65" operator="lessThan">
      <formula>0.8</formula>
    </cfRule>
  </conditionalFormatting>
  <conditionalFormatting sqref="AC36:AC43">
    <cfRule type="cellIs" dxfId="1390" priority="61" operator="lessThan">
      <formula>0.8</formula>
    </cfRule>
  </conditionalFormatting>
  <conditionalFormatting sqref="AA65">
    <cfRule type="cellIs" dxfId="1389" priority="57" operator="lessThan">
      <formula>0</formula>
    </cfRule>
  </conditionalFormatting>
  <conditionalFormatting sqref="AB65">
    <cfRule type="cellIs" dxfId="1388" priority="55" operator="greaterThan">
      <formula>1</formula>
    </cfRule>
    <cfRule type="cellIs" dxfId="1387" priority="56" operator="lessThan">
      <formula>0.8</formula>
    </cfRule>
  </conditionalFormatting>
  <conditionalFormatting sqref="O16:O17">
    <cfRule type="cellIs" dxfId="1386" priority="50" operator="greaterThan">
      <formula>0</formula>
    </cfRule>
  </conditionalFormatting>
  <conditionalFormatting sqref="P16:P17">
    <cfRule type="cellIs" dxfId="1385" priority="53" operator="lessThan">
      <formula>0</formula>
    </cfRule>
  </conditionalFormatting>
  <conditionalFormatting sqref="Q16:Q17">
    <cfRule type="cellIs" dxfId="1384" priority="51" operator="greaterThan">
      <formula>1</formula>
    </cfRule>
    <cfRule type="cellIs" dxfId="1383" priority="52" operator="lessThan">
      <formula>0.8</formula>
    </cfRule>
  </conditionalFormatting>
  <conditionalFormatting sqref="R16:R17 AC16:AC17">
    <cfRule type="cellIs" dxfId="1382" priority="54" operator="lessThan">
      <formula>0.8</formula>
    </cfRule>
  </conditionalFormatting>
  <conditionalFormatting sqref="O10:O12">
    <cfRule type="cellIs" dxfId="1381" priority="46" operator="greaterThan">
      <formula>0</formula>
    </cfRule>
  </conditionalFormatting>
  <conditionalFormatting sqref="P10:P12">
    <cfRule type="cellIs" dxfId="1380" priority="49" operator="lessThan">
      <formula>0</formula>
    </cfRule>
  </conditionalFormatting>
  <conditionalFormatting sqref="Q10:Q12">
    <cfRule type="cellIs" dxfId="1379" priority="47" operator="greaterThan">
      <formula>1</formula>
    </cfRule>
    <cfRule type="cellIs" dxfId="1378" priority="48" operator="lessThan">
      <formula>0.8</formula>
    </cfRule>
  </conditionalFormatting>
  <conditionalFormatting sqref="AC27 R27">
    <cfRule type="cellIs" dxfId="1377" priority="45" operator="lessThan">
      <formula>0.8</formula>
    </cfRule>
  </conditionalFormatting>
  <conditionalFormatting sqref="R44 AC44">
    <cfRule type="cellIs" dxfId="1376" priority="44" operator="lessThan">
      <formula>0.8</formula>
    </cfRule>
  </conditionalFormatting>
  <conditionalFormatting sqref="AC44">
    <cfRule type="cellIs" dxfId="1375" priority="43" operator="lessThan">
      <formula>0.8</formula>
    </cfRule>
  </conditionalFormatting>
  <conditionalFormatting sqref="O62">
    <cfRule type="cellIs" dxfId="1374" priority="38" operator="greaterThan">
      <formula>0</formula>
    </cfRule>
  </conditionalFormatting>
  <conditionalFormatting sqref="P62 AA62">
    <cfRule type="cellIs" dxfId="1373" priority="41" operator="lessThan">
      <formula>0</formula>
    </cfRule>
  </conditionalFormatting>
  <conditionalFormatting sqref="Q62 AB62">
    <cfRule type="cellIs" dxfId="1372" priority="39" operator="greaterThan">
      <formula>1</formula>
    </cfRule>
    <cfRule type="cellIs" dxfId="1371" priority="40" operator="lessThan">
      <formula>0.8</formula>
    </cfRule>
  </conditionalFormatting>
  <conditionalFormatting sqref="R62 AC62">
    <cfRule type="cellIs" dxfId="1370" priority="42" operator="lessThan">
      <formula>0.8</formula>
    </cfRule>
  </conditionalFormatting>
  <conditionalFormatting sqref="O72">
    <cfRule type="cellIs" dxfId="1369" priority="33" operator="greaterThan">
      <formula>0</formula>
    </cfRule>
  </conditionalFormatting>
  <conditionalFormatting sqref="P72">
    <cfRule type="cellIs" dxfId="1368" priority="36" operator="lessThan">
      <formula>0</formula>
    </cfRule>
  </conditionalFormatting>
  <conditionalFormatting sqref="Q72">
    <cfRule type="cellIs" dxfId="1367" priority="34" operator="greaterThan">
      <formula>1</formula>
    </cfRule>
    <cfRule type="cellIs" dxfId="1366" priority="35" operator="lessThan">
      <formula>0.8</formula>
    </cfRule>
  </conditionalFormatting>
  <conditionalFormatting sqref="R72">
    <cfRule type="cellIs" dxfId="1365" priority="37" operator="lessThan">
      <formula>0.8</formula>
    </cfRule>
  </conditionalFormatting>
  <conditionalFormatting sqref="O18">
    <cfRule type="cellIs" dxfId="1364" priority="28" operator="greaterThan">
      <formula>0</formula>
    </cfRule>
  </conditionalFormatting>
  <conditionalFormatting sqref="P18">
    <cfRule type="cellIs" dxfId="1363" priority="31" operator="lessThan">
      <formula>0</formula>
    </cfRule>
  </conditionalFormatting>
  <conditionalFormatting sqref="Q18">
    <cfRule type="cellIs" dxfId="1362" priority="29" operator="greaterThan">
      <formula>1</formula>
    </cfRule>
    <cfRule type="cellIs" dxfId="1361" priority="30" operator="lessThan">
      <formula>0.8</formula>
    </cfRule>
  </conditionalFormatting>
  <conditionalFormatting sqref="R18 AC18">
    <cfRule type="cellIs" dxfId="1360" priority="32" operator="lessThan">
      <formula>0.8</formula>
    </cfRule>
  </conditionalFormatting>
  <conditionalFormatting sqref="O52">
    <cfRule type="cellIs" dxfId="1359" priority="22" operator="greaterThan">
      <formula>0</formula>
    </cfRule>
  </conditionalFormatting>
  <conditionalFormatting sqref="P52">
    <cfRule type="cellIs" dxfId="1358" priority="26" operator="lessThan">
      <formula>0</formula>
    </cfRule>
  </conditionalFormatting>
  <conditionalFormatting sqref="Q52">
    <cfRule type="cellIs" dxfId="1357" priority="23" operator="greaterThan">
      <formula>1</formula>
    </cfRule>
    <cfRule type="cellIs" dxfId="1356" priority="24" operator="lessThan">
      <formula>0.8</formula>
    </cfRule>
  </conditionalFormatting>
  <conditionalFormatting sqref="R52 AC52">
    <cfRule type="cellIs" dxfId="1355" priority="27" operator="lessThan">
      <formula>0.8</formula>
    </cfRule>
  </conditionalFormatting>
  <conditionalFormatting sqref="AC52">
    <cfRule type="cellIs" dxfId="1354" priority="25" operator="lessThan">
      <formula>0.8</formula>
    </cfRule>
  </conditionalFormatting>
  <conditionalFormatting sqref="O53">
    <cfRule type="cellIs" dxfId="1353" priority="16" operator="greaterThan">
      <formula>0</formula>
    </cfRule>
  </conditionalFormatting>
  <conditionalFormatting sqref="P53">
    <cfRule type="cellIs" dxfId="1352" priority="20" operator="lessThan">
      <formula>0</formula>
    </cfRule>
  </conditionalFormatting>
  <conditionalFormatting sqref="Q53">
    <cfRule type="cellIs" dxfId="1351" priority="17" operator="greaterThan">
      <formula>1</formula>
    </cfRule>
    <cfRule type="cellIs" dxfId="1350" priority="18" operator="lessThan">
      <formula>0.8</formula>
    </cfRule>
  </conditionalFormatting>
  <conditionalFormatting sqref="R53 AC53">
    <cfRule type="cellIs" dxfId="1349" priority="21" operator="lessThan">
      <formula>0.8</formula>
    </cfRule>
  </conditionalFormatting>
  <conditionalFormatting sqref="AC53">
    <cfRule type="cellIs" dxfId="1348" priority="19" operator="lessThan">
      <formula>0.8</formula>
    </cfRule>
  </conditionalFormatting>
  <conditionalFormatting sqref="R26 AC26">
    <cfRule type="cellIs" dxfId="1347" priority="15" operator="lessThan">
      <formula>0.8</formula>
    </cfRule>
  </conditionalFormatting>
  <conditionalFormatting sqref="AC26">
    <cfRule type="cellIs" dxfId="1346" priority="14" operator="lessThan">
      <formula>0.8</formula>
    </cfRule>
  </conditionalFormatting>
  <conditionalFormatting sqref="O61">
    <cfRule type="cellIs" dxfId="1345" priority="9" operator="greaterThan">
      <formula>0</formula>
    </cfRule>
  </conditionalFormatting>
  <conditionalFormatting sqref="P61 AA61">
    <cfRule type="cellIs" dxfId="1344" priority="12" operator="lessThan">
      <formula>0</formula>
    </cfRule>
  </conditionalFormatting>
  <conditionalFormatting sqref="Q61 AB61">
    <cfRule type="cellIs" dxfId="1343" priority="10" operator="greaterThan">
      <formula>1</formula>
    </cfRule>
    <cfRule type="cellIs" dxfId="1342" priority="11" operator="lessThan">
      <formula>0.8</formula>
    </cfRule>
  </conditionalFormatting>
  <conditionalFormatting sqref="R61 AC61">
    <cfRule type="cellIs" dxfId="1341" priority="13" operator="lessThan">
      <formula>0.8</formula>
    </cfRule>
  </conditionalFormatting>
  <conditionalFormatting sqref="P8">
    <cfRule type="cellIs" dxfId="1340" priority="8" operator="lessThan">
      <formula>0</formula>
    </cfRule>
  </conditionalFormatting>
  <conditionalFormatting sqref="P19">
    <cfRule type="cellIs" dxfId="1339" priority="7" operator="lessThan">
      <formula>0</formula>
    </cfRule>
  </conditionalFormatting>
  <conditionalFormatting sqref="P28">
    <cfRule type="cellIs" dxfId="1338" priority="6" operator="lessThan">
      <formula>0</formula>
    </cfRule>
  </conditionalFormatting>
  <conditionalFormatting sqref="P35">
    <cfRule type="cellIs" dxfId="1337" priority="5" operator="lessThan">
      <formula>0</formula>
    </cfRule>
  </conditionalFormatting>
  <conditionalFormatting sqref="P54">
    <cfRule type="cellIs" dxfId="1336" priority="4" operator="lessThan">
      <formula>0</formula>
    </cfRule>
  </conditionalFormatting>
  <conditionalFormatting sqref="P59">
    <cfRule type="cellIs" dxfId="1335" priority="3" operator="lessThan">
      <formula>0</formula>
    </cfRule>
  </conditionalFormatting>
  <conditionalFormatting sqref="P65">
    <cfRule type="cellIs" dxfId="1334" priority="2" operator="lessThan">
      <formula>0</formula>
    </cfRule>
  </conditionalFormatting>
  <conditionalFormatting sqref="P73">
    <cfRule type="cellIs" dxfId="1333" priority="1" operator="lessThan">
      <formula>0</formula>
    </cfRule>
  </conditionalFormatting>
  <dataValidations count="1">
    <dataValidation type="list" allowBlank="1" showInputMessage="1" showErrorMessage="1" sqref="Z8 Z64 Y5:Z7 Y8:Y64 Z10:Z60 Y65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264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24" t="s">
        <v>89</v>
      </c>
      <c r="C3" s="421" t="str">
        <f>TEXT('0716 4度C'!A2,"yyyy.mm.ddaaaa")</f>
        <v>2025.07.16星期三</v>
      </c>
      <c r="D3" s="421"/>
      <c r="E3" s="224" t="s">
        <v>248</v>
      </c>
      <c r="F3" s="422">
        <f>'0716 4度C'!D1</f>
        <v>163166</v>
      </c>
      <c r="G3" s="422"/>
      <c r="H3" s="224" t="s">
        <v>90</v>
      </c>
      <c r="I3" s="423">
        <f>'0716 4度C'!F1</f>
        <v>5543126.6999999993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267</v>
      </c>
      <c r="D4" s="424"/>
      <c r="E4" s="425" t="s">
        <v>791</v>
      </c>
      <c r="F4" s="425"/>
      <c r="G4" s="425" t="s">
        <v>269</v>
      </c>
      <c r="H4" s="425"/>
      <c r="I4" s="425" t="s">
        <v>792</v>
      </c>
      <c r="J4" s="425"/>
      <c r="L4" s="33"/>
      <c r="M4" s="33"/>
      <c r="N4" s="33"/>
    </row>
    <row r="5" spans="2:17" ht="28.5" customHeight="1">
      <c r="B5" s="424"/>
      <c r="C5" s="424" t="s">
        <v>793</v>
      </c>
      <c r="D5" s="424"/>
      <c r="E5" s="424" t="s">
        <v>130</v>
      </c>
      <c r="F5" s="424"/>
      <c r="G5" s="426" t="s">
        <v>657</v>
      </c>
      <c r="H5" s="426"/>
      <c r="I5" s="427" t="s">
        <v>794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140.79969243180241</v>
      </c>
      <c r="F6" s="424">
        <f>AVERAGE(D27:O27,D13:J13)</f>
        <v>143.59133844503617</v>
      </c>
      <c r="G6" s="429">
        <f>AVERAGE(D13:J13)</f>
        <v>143.59133844503617</v>
      </c>
      <c r="H6" s="429"/>
      <c r="I6" s="429">
        <f>AVERAGE(K13:M13)</f>
        <v>134.28585173425697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127.68369722725474</v>
      </c>
      <c r="F7" s="434">
        <f>AVERAGE(D28:O28,D14:J14)</f>
        <v>130.32323129108562</v>
      </c>
      <c r="G7" s="435">
        <f>AVERAGE(D14:J14)</f>
        <v>130.32323129108562</v>
      </c>
      <c r="H7" s="435"/>
      <c r="I7" s="435">
        <f>AVERAGE(K14:M14)</f>
        <v>121.52478441164938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0.90643485723340533</v>
      </c>
      <c r="F8" s="432">
        <f>AVERAGE(D15:J15,D29:O29)</f>
        <v>0.90705874084316684</v>
      </c>
      <c r="G8" s="437">
        <f>AVERAGE(D15:J15)</f>
        <v>0.90705874084316684</v>
      </c>
      <c r="H8" s="437"/>
      <c r="I8" s="437">
        <f>AVERAGE(K15:M15)</f>
        <v>0.90497912881062825</v>
      </c>
      <c r="J8" s="437"/>
      <c r="K8" s="34" t="s">
        <v>795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252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452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796</v>
      </c>
      <c r="E12" s="42" t="s">
        <v>86</v>
      </c>
      <c r="F12" s="42" t="s">
        <v>797</v>
      </c>
      <c r="G12" s="42" t="s">
        <v>798</v>
      </c>
      <c r="H12" s="42" t="s">
        <v>799</v>
      </c>
      <c r="I12" s="42" t="s">
        <v>800</v>
      </c>
      <c r="J12" s="43" t="s">
        <v>280</v>
      </c>
      <c r="K12" s="41" t="s">
        <v>801</v>
      </c>
      <c r="L12" s="42" t="s">
        <v>457</v>
      </c>
      <c r="M12" s="43" t="s">
        <v>281</v>
      </c>
    </row>
    <row r="13" spans="2:17" ht="40.15" customHeight="1">
      <c r="B13" s="447" t="s">
        <v>114</v>
      </c>
      <c r="C13" s="44" t="s">
        <v>802</v>
      </c>
      <c r="D13" s="45">
        <f>SUMIFS('0716 4度C'!$K:$K,'0716 4度C'!$A:$A,"燴飯線",'0716 4度C'!$B:$B,"平均")</f>
        <v>105.88235294117646</v>
      </c>
      <c r="E13" s="46">
        <f>SUMIFS('0716 4度C'!$K:$K,'0716 4度C'!$A:$A,"沙拉線一線",'0716 4度C'!$B:$B,"平均")</f>
        <v>81.081081081081081</v>
      </c>
      <c r="F13" s="47">
        <f>SUMIFS('0716 4度C'!$K:$K,'0716 4度C'!$A:$A,"沙拉線二線",'0716 4度C'!$B:$B,"平均")</f>
        <v>80.702127659574472</v>
      </c>
      <c r="G13" s="47">
        <f>SUMIFS('0716 4度C'!$K:$K,'0716 4度C'!$A:$A,"沙拉線三線",'0716 4度C'!$B:$B,"平均")</f>
        <v>103.99999999999999</v>
      </c>
      <c r="H13" s="47">
        <f>SUMIFS('0716 4度C'!$K:$K,'0716 4度C'!$A:$A,"自動包裝線",'0716 4度C'!$B:$B,"平均")</f>
        <v>300</v>
      </c>
      <c r="I13" s="47">
        <f>SUMIFS('0716 4度C'!$K:$K,'0716 4度C'!$A:$A,"涼麵一線",'0716 4度C'!$B:$B,"平均")</f>
        <v>89.552238805970148</v>
      </c>
      <c r="J13" s="48">
        <f>SUMIFS('0716 4度C'!$K:$K,'0716 4度C'!$A:$A,"三明治四線",'0716 4度C'!$B:$B,"平均")</f>
        <v>243.92156862745099</v>
      </c>
      <c r="K13" s="49">
        <f>SUMIFS('0716 4度C'!$K:$K,'0716 4度C'!$A:$A,"三明治一線",'0716 4度C'!$B:$B,"平均")</f>
        <v>138.46153846153848</v>
      </c>
      <c r="L13" s="50">
        <f>SUMIFS('0716 4度C'!$K:$K,'0716 4度C'!$A:$A,"三明治二線",'0716 4度C'!$B:$B,"平均")</f>
        <v>127.81065088757396</v>
      </c>
      <c r="M13" s="48">
        <f>SUMIFS('0716 4度C'!$K:$K,'0716 4度C'!$A:$A,"自動包裝二線",'0716 4度C'!$B:$B,"平均")</f>
        <v>136.58536585365852</v>
      </c>
    </row>
    <row r="14" spans="2:17" ht="39.6" customHeight="1">
      <c r="B14" s="447"/>
      <c r="C14" s="51" t="s">
        <v>803</v>
      </c>
      <c r="D14" s="52">
        <f>SUMIFS('0716 4度C'!$N:$N,'0716 4度C'!$A:$A,"燴飯線",'0716 4度C'!$B:$B,"平均")</f>
        <v>95.745664672401347</v>
      </c>
      <c r="E14" s="53">
        <f>SUMIFS('0716 4度C'!$N:$N,'0716 4度C'!$A:$A,"沙拉線一線",'0716 4度C'!$B:$B,"平均")</f>
        <v>73.148605132878004</v>
      </c>
      <c r="F14" s="53">
        <f>SUMIFS('0716 4度C'!$N:$N,'0716 4度C'!$A:$A,"沙拉線二線",'0716 4度C'!$B:$B,"平均")</f>
        <v>73.070454390527232</v>
      </c>
      <c r="G14" s="53">
        <f>SUMIFS('0716 4度C'!$N:$N,'0716 4度C'!$A:$A,"沙拉線三線",'0716 4度C'!$B:$B,"平均")</f>
        <v>95.058379537659278</v>
      </c>
      <c r="H14" s="53">
        <f>SUMIFS('0716 4度C'!$N:$N,'0716 4度C'!$A:$A,"自動包裝線",'0716 4度C'!$B:$B,"平均")</f>
        <v>272.16047072251769</v>
      </c>
      <c r="I14" s="53">
        <f>SUMIFS('0716 4度C'!$N:$N,'0716 4度C'!$A:$A,"涼麵一線",'0716 4度C'!$B:$B,"平均")</f>
        <v>81.193755794894813</v>
      </c>
      <c r="J14" s="54">
        <f>SUMIFS('0716 4度C'!$N:$N,'0716 4度C'!$A:$A,"三明治四線",'0716 4度C'!$B:$B,"平均")</f>
        <v>221.88528878672096</v>
      </c>
      <c r="K14" s="55">
        <f>SUMIFS('0716 4度C'!$N:$N,'0716 4度C'!$A:$A,"三明治一線",'0716 4度C'!$B:$B,"平均")</f>
        <v>125.06623106658918</v>
      </c>
      <c r="L14" s="56">
        <f>SUMIFS('0716 4度C'!$N:$N,'0716 4度C'!$A:$A,"三明治二線",'0716 4度C'!$B:$B,"平均")</f>
        <v>115.66733241331808</v>
      </c>
      <c r="M14" s="54">
        <f>SUMIFS('0716 4度C'!$N:$N,'0716 4度C'!$A:$A,"自動包裝二線",'0716 4度C'!$B:$B,"平均")</f>
        <v>123.8407897550409</v>
      </c>
    </row>
    <row r="15" spans="2:17" ht="40.15" customHeight="1">
      <c r="B15" s="447"/>
      <c r="C15" s="57" t="s">
        <v>804</v>
      </c>
      <c r="D15" s="58">
        <f>D14/D13</f>
        <v>0.90426461079490161</v>
      </c>
      <c r="E15" s="59">
        <f t="shared" ref="E15:M15" si="0">E14/E13</f>
        <v>0.90216612997216206</v>
      </c>
      <c r="F15" s="59">
        <f t="shared" si="0"/>
        <v>0.9054340512403849</v>
      </c>
      <c r="G15" s="59">
        <f t="shared" si="0"/>
        <v>0.91402288016980082</v>
      </c>
      <c r="H15" s="59">
        <f>H14/H13</f>
        <v>0.907201569075059</v>
      </c>
      <c r="I15" s="59">
        <f>I14/I13</f>
        <v>0.90666360637632537</v>
      </c>
      <c r="J15" s="60">
        <f>J14/J13</f>
        <v>0.90965833827353448</v>
      </c>
      <c r="K15" s="58">
        <f>K14/K13</f>
        <v>0.90325611325869948</v>
      </c>
      <c r="L15" s="59">
        <f>L14/L13</f>
        <v>0.90498977675234982</v>
      </c>
      <c r="M15" s="60">
        <f t="shared" si="0"/>
        <v>0.90669149642083535</v>
      </c>
    </row>
    <row r="16" spans="2:17" ht="17.25" customHeight="1">
      <c r="B16" s="430" t="s">
        <v>805</v>
      </c>
      <c r="C16" s="223" t="s">
        <v>806</v>
      </c>
      <c r="D16" s="61">
        <f>VLOOKUP("燴飯線",'0716 4度C'!$A:$T,19,0)</f>
        <v>0.70833333333333337</v>
      </c>
      <c r="E16" s="24">
        <f>VLOOKUP("沙拉線一線",'0716 4度C'!$A:$T,19,0)</f>
        <v>0.13055555555555556</v>
      </c>
      <c r="F16" s="24">
        <f>VLOOKUP("沙拉線二線",'0716 4度C'!$A:$T,19,0)</f>
        <v>0.25</v>
      </c>
      <c r="G16" s="24">
        <f>VLOOKUP("沙拉線三線",'0716 4度C'!$A:$T,19,0)</f>
        <v>0.16666666666666666</v>
      </c>
      <c r="H16" s="24">
        <f>VLOOKUP("自動包裝線",'0716 4度C'!$A:$T,19,0)</f>
        <v>0.20833333333333334</v>
      </c>
      <c r="I16" s="24">
        <f>VLOOKUP("涼麵一線",'0716 4度C'!$A:$T,19,0)</f>
        <v>0.29305555555555557</v>
      </c>
      <c r="J16" s="62">
        <f>VLOOKUP("三明治四線",'0716 4度C'!$A:$T,19,0)</f>
        <v>0.25069444444444444</v>
      </c>
      <c r="K16" s="63">
        <f>VLOOKUP("三明治一線",'0716 4度C'!$A:$T,19,0)</f>
        <v>0.125</v>
      </c>
      <c r="L16" s="64">
        <f>VLOOKUP("三明治二線",'0716 4度C'!$A:$T,19,0)</f>
        <v>8.3333333333333329E-2</v>
      </c>
      <c r="M16" s="65">
        <f>VLOOKUP("自動包裝二線",'0716 4度C'!$A:$T,19,0)</f>
        <v>0.125</v>
      </c>
    </row>
    <row r="17" spans="2:13" ht="17.25" customHeight="1">
      <c r="B17" s="431"/>
      <c r="C17" s="223" t="s">
        <v>807</v>
      </c>
      <c r="D17" s="63">
        <f>LOOKUP(2,1/(('0716 4度C'!$A:$A="燴飯線")*('0716 4度C'!$T:$T&lt;&gt;"")),'0716 4度C'!$T:$T)</f>
        <v>0.86111111111111116</v>
      </c>
      <c r="E17" s="24">
        <f>LOOKUP(2,1/(('0716 4度C'!$A:$A="沙拉線一線")*('0716 4度C'!$T:$T&lt;&gt;"")),'0716 4度C'!$T:$T)</f>
        <v>0.62361111111111089</v>
      </c>
      <c r="F17" s="24">
        <f>LOOKUP(2,1/(('0716 4度C'!$A:$A="沙拉線二線")*('0716 4度C'!$T:$T&lt;&gt;"")),'0716 4度C'!$T:$T)</f>
        <v>0.82708333333333339</v>
      </c>
      <c r="G17" s="24">
        <f>LOOKUP(2,1/(('0716 4度C'!$A:$A="沙拉線三線")*('0716 4度C'!$T:$T&lt;&gt;"")),'0716 4度C'!$T:$T)</f>
        <v>0.81458333333333333</v>
      </c>
      <c r="H17" s="24">
        <f>LOOKUP(2,1/(('0716 4度C'!$A:$A="自動包裝線")*('0716 4度C'!$T:$T&lt;&gt;"")),'0716 4度C'!$T:$T)</f>
        <v>0.63888888888888884</v>
      </c>
      <c r="I17" s="24">
        <f>LOOKUP(2,1/(('0716 4度C'!$A:$A="涼麵一線")*('0716 4度C'!$T:$T&lt;&gt;"")),'0716 4度C'!$T:$T)</f>
        <v>0.8173611111111112</v>
      </c>
      <c r="J17" s="62">
        <f>LOOKUP(2,1/(('0716 4度C'!$A:$A="三明治四線")*('0716 4度C'!$T:$T&lt;&gt;"")),'0716 4度C'!$T:$T)</f>
        <v>0.49236111111111103</v>
      </c>
      <c r="K17" s="61">
        <f>LOOKUP(2,1/(('0716 4度C'!$A:$A="三明治一線")*('0716 4度C'!$T:$T&lt;&gt;"")),'0716 4度C'!$T:$T)</f>
        <v>0.63472222222222219</v>
      </c>
      <c r="L17" s="24">
        <f>LOOKUP(2,1/(('0716 4度C'!$A:$A="三明治二線")*('0716 4度C'!$T:$T&lt;&gt;"")),'0716 4度C'!$T:$T)</f>
        <v>0.67569444444444415</v>
      </c>
      <c r="M17" s="62">
        <f>LOOKUP(2,1/(('0716 4度C'!$A:$A="自動包裝二線")*('0716 4度C'!$T:$T&lt;&gt;"")),'0716 4度C'!$T:$T)</f>
        <v>0.6381944444444444</v>
      </c>
    </row>
    <row r="18" spans="2:13" ht="17.25" customHeight="1">
      <c r="B18" s="431" t="s">
        <v>808</v>
      </c>
      <c r="C18" s="446"/>
      <c r="D18" s="66">
        <f>SUMIFS('0716 4度C'!$I:$I,'0716 4度C'!$A:$A,"燴飯線",'0716 4度C'!$B:$B,"平均")</f>
        <v>17</v>
      </c>
      <c r="E18" s="67">
        <f>SUMIFS('0716 4度C'!$I:$I,'0716 4度C'!$A:$A,"沙拉線一線",'0716 4度C'!$B:$B,"平均")</f>
        <v>18.5</v>
      </c>
      <c r="F18" s="67">
        <f>SUMIFS('0716 4度C'!$I:$I,'0716 4度C'!$A:$A,"沙拉線二線",'0716 4度C'!$B:$B,"平均")</f>
        <v>18.8</v>
      </c>
      <c r="G18" s="67">
        <f>SUMIFS('0716 4度C'!$I:$I,'0716 4度C'!$A:$A,"沙拉線三線",'0716 4度C'!$B:$B,"平均")</f>
        <v>16.666666666666668</v>
      </c>
      <c r="H18" s="67">
        <f>SUMIFS('0716 4度C'!$I:$I,'0716 4度C'!$A:$A,"自動包裝線",'0716 4度C'!$B:$B,"平均")</f>
        <v>10</v>
      </c>
      <c r="I18" s="67">
        <f>SUMIFS('0716 4度C'!$I:$I,'0716 4度C'!$A:$A,"涼麵一線",'0716 4度C'!$B:$B,"平均")</f>
        <v>16.75</v>
      </c>
      <c r="J18" s="68">
        <f>SUMIFS('0716 4度C'!$I:$I,'0716 4度C'!$A:$A,"三明治四線",'0716 4度C'!$B:$B,"平均")</f>
        <v>10.199999999999999</v>
      </c>
      <c r="K18" s="66">
        <f>SUMIFS('0716 4度C'!$I:$I,'0716 4度C'!$A:$A,"三明治一線",'0716 4度C'!$B:$B,"平均")</f>
        <v>17.333333333333332</v>
      </c>
      <c r="L18" s="67">
        <f>SUMIFS('0716 4度C'!$I:$I,'0716 4度C'!$A:$A,"三明治二線",'0716 4度C'!$B:$B,"平均")</f>
        <v>18.777777777777779</v>
      </c>
      <c r="M18" s="68">
        <f>SUMIFS('0716 4度C'!$I:$I,'0716 4度C'!$A:$A,"自動包裝二線",'0716 4度C'!$B:$B,"平均")</f>
        <v>17.571428571428573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809</v>
      </c>
      <c r="G19" s="70" t="s">
        <v>810</v>
      </c>
      <c r="H19" s="70" t="s">
        <v>52</v>
      </c>
      <c r="I19" s="70" t="s">
        <v>50</v>
      </c>
      <c r="J19" s="71" t="s">
        <v>52</v>
      </c>
      <c r="K19" s="69" t="s">
        <v>811</v>
      </c>
      <c r="L19" s="70" t="s">
        <v>105</v>
      </c>
      <c r="M19" s="71" t="s">
        <v>812</v>
      </c>
    </row>
    <row r="20" spans="2:13" ht="17.25" customHeight="1">
      <c r="B20" s="448" t="s">
        <v>813</v>
      </c>
      <c r="C20" s="449"/>
      <c r="D20" s="69"/>
      <c r="E20" s="70"/>
      <c r="F20" s="70" t="s">
        <v>342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199</v>
      </c>
      <c r="C21" s="451"/>
      <c r="D21" s="72"/>
      <c r="E21" s="73" t="s">
        <v>344</v>
      </c>
      <c r="F21" s="452" t="s">
        <v>260</v>
      </c>
      <c r="G21" s="453"/>
      <c r="H21" s="73" t="s">
        <v>814</v>
      </c>
      <c r="I21" s="73" t="s">
        <v>108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3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5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SUM(F5:F74)</f>
        <v>163166</v>
      </c>
      <c r="E1" s="230" t="s">
        <v>295</v>
      </c>
      <c r="F1" s="1">
        <f>SUM(G5:G74)</f>
        <v>5543126.6999999993</v>
      </c>
      <c r="G1" s="1" t="s">
        <v>815</v>
      </c>
      <c r="H1" s="4">
        <f>L8+L13+L55+L60+L19+L66+L36+L46+L29+L74</f>
        <v>161.59920634920636</v>
      </c>
      <c r="I1" s="454" t="s">
        <v>816</v>
      </c>
      <c r="J1" s="454"/>
      <c r="K1" s="454"/>
      <c r="L1" s="454" t="s">
        <v>817</v>
      </c>
      <c r="M1" s="454"/>
      <c r="N1" s="454"/>
      <c r="O1" s="454" t="s">
        <v>818</v>
      </c>
      <c r="P1" s="454"/>
      <c r="Q1" s="454"/>
      <c r="R1" s="454"/>
      <c r="S1" s="454" t="s">
        <v>300</v>
      </c>
      <c r="T1" s="454"/>
      <c r="U1" s="454"/>
      <c r="V1" s="454"/>
      <c r="W1" s="454"/>
      <c r="X1" s="454"/>
      <c r="Y1" s="454" t="s">
        <v>353</v>
      </c>
      <c r="Z1" s="454"/>
      <c r="AA1" s="454" t="s">
        <v>302</v>
      </c>
      <c r="AB1" s="455"/>
      <c r="AC1" s="455"/>
    </row>
    <row r="2" spans="1:29" ht="26.25" customHeight="1">
      <c r="A2" s="22">
        <v>45854</v>
      </c>
      <c r="B2" s="23" t="s">
        <v>214</v>
      </c>
      <c r="C2" s="2" t="s">
        <v>114</v>
      </c>
      <c r="D2" s="6">
        <f>AVERAGE(N8,N13,N55,N60,N19,N66,N29,N36,N46,N74)</f>
        <v>127.68369722725474</v>
      </c>
      <c r="E2" s="7" t="s">
        <v>0</v>
      </c>
      <c r="F2" s="8">
        <f>F1/D1</f>
        <v>33.972314697915003</v>
      </c>
      <c r="G2" s="1" t="s">
        <v>305</v>
      </c>
      <c r="H2" s="236">
        <f>COUNT(H5:H74)</f>
        <v>10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819</v>
      </c>
      <c r="B3" s="456" t="s">
        <v>116</v>
      </c>
      <c r="C3" s="456" t="s">
        <v>308</v>
      </c>
      <c r="D3" s="456"/>
      <c r="E3" s="457" t="s">
        <v>820</v>
      </c>
      <c r="F3" s="456" t="s">
        <v>821</v>
      </c>
      <c r="G3" s="457" t="s">
        <v>363</v>
      </c>
      <c r="H3" s="463" t="s">
        <v>423</v>
      </c>
      <c r="I3" s="464" t="s">
        <v>822</v>
      </c>
      <c r="J3" s="465" t="s">
        <v>823</v>
      </c>
      <c r="K3" s="459" t="s">
        <v>114</v>
      </c>
      <c r="L3" s="464" t="s">
        <v>76</v>
      </c>
      <c r="M3" s="465" t="s">
        <v>227</v>
      </c>
      <c r="N3" s="459" t="s">
        <v>824</v>
      </c>
      <c r="O3" s="464" t="s">
        <v>825</v>
      </c>
      <c r="P3" s="459" t="s">
        <v>114</v>
      </c>
      <c r="Q3" s="460" t="s">
        <v>316</v>
      </c>
      <c r="R3" s="461" t="s">
        <v>80</v>
      </c>
      <c r="S3" s="462" t="s">
        <v>1</v>
      </c>
      <c r="T3" s="462"/>
      <c r="U3" s="463" t="s">
        <v>2</v>
      </c>
      <c r="V3" s="463" t="s">
        <v>826</v>
      </c>
      <c r="W3" s="456" t="s">
        <v>827</v>
      </c>
      <c r="X3" s="456"/>
      <c r="Y3" s="475" t="s">
        <v>828</v>
      </c>
      <c r="Z3" s="476"/>
      <c r="AA3" s="465" t="s">
        <v>829</v>
      </c>
      <c r="AB3" s="460" t="s">
        <v>316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35" t="s">
        <v>3</v>
      </c>
      <c r="T4" s="235" t="s">
        <v>4</v>
      </c>
      <c r="U4" s="463"/>
      <c r="V4" s="463"/>
      <c r="W4" s="230" t="s">
        <v>232</v>
      </c>
      <c r="X4" s="230" t="s">
        <v>233</v>
      </c>
      <c r="Y4" s="476"/>
      <c r="Z4" s="476"/>
      <c r="AA4" s="465"/>
      <c r="AB4" s="460"/>
      <c r="AC4" s="461"/>
    </row>
    <row r="5" spans="1:29">
      <c r="A5" s="471" t="s">
        <v>830</v>
      </c>
      <c r="B5" s="26" t="s">
        <v>13</v>
      </c>
      <c r="C5" s="472" t="s">
        <v>58</v>
      </c>
      <c r="D5" s="472"/>
      <c r="E5" s="26">
        <v>46.93</v>
      </c>
      <c r="F5" s="235">
        <v>1111</v>
      </c>
      <c r="G5" s="230">
        <f>E5*F5</f>
        <v>52139.23</v>
      </c>
      <c r="H5" s="76" t="s">
        <v>57</v>
      </c>
      <c r="I5" s="233">
        <v>17</v>
      </c>
      <c r="J5" s="18">
        <v>1800</v>
      </c>
      <c r="K5" s="9">
        <f>J5/I5</f>
        <v>105.88235294117646</v>
      </c>
      <c r="L5" s="233">
        <v>17</v>
      </c>
      <c r="M5" s="10">
        <f>F5/V5*60</f>
        <v>1625.8536585365848</v>
      </c>
      <c r="N5" s="9">
        <f>M5/L5</f>
        <v>95.638450502152054</v>
      </c>
      <c r="O5" s="11">
        <f t="shared" ref="O5:O7" si="0">L5-I5</f>
        <v>0</v>
      </c>
      <c r="P5" s="12">
        <f t="shared" ref="P5:P7" si="1">N5-K5</f>
        <v>-10.24390243902441</v>
      </c>
      <c r="Q5" s="231">
        <f>N5/K5</f>
        <v>0.90325203252032504</v>
      </c>
      <c r="R5" s="470">
        <f>Q8</f>
        <v>0.90426461079490161</v>
      </c>
      <c r="S5" s="24">
        <v>0.70833333333333337</v>
      </c>
      <c r="T5" s="24">
        <v>0.7368055555555556</v>
      </c>
      <c r="U5" s="230"/>
      <c r="V5" s="234">
        <f>(T5-S5)*24*60</f>
        <v>41.000000000000014</v>
      </c>
      <c r="W5" s="13"/>
      <c r="X5" s="13"/>
      <c r="Y5" s="456"/>
      <c r="Z5" s="456"/>
      <c r="AA5" s="11">
        <f t="shared" ref="AA5:AA68" si="2">M5-J5</f>
        <v>-174.14634146341518</v>
      </c>
      <c r="AB5" s="231">
        <f t="shared" ref="AB5:AB7" si="3">M5/J5</f>
        <v>0.90325203252032493</v>
      </c>
      <c r="AC5" s="470">
        <f>AB8</f>
        <v>0.90426461079490161</v>
      </c>
    </row>
    <row r="6" spans="1:29">
      <c r="A6" s="464" t="s">
        <v>235</v>
      </c>
      <c r="B6" s="26" t="s">
        <v>13</v>
      </c>
      <c r="C6" s="472" t="s">
        <v>60</v>
      </c>
      <c r="D6" s="472"/>
      <c r="E6" s="26">
        <v>50.49</v>
      </c>
      <c r="F6" s="235">
        <v>2016</v>
      </c>
      <c r="G6" s="230">
        <f t="shared" ref="G6:G7" si="4">E6*F6</f>
        <v>101787.84000000001</v>
      </c>
      <c r="H6" s="76" t="s">
        <v>57</v>
      </c>
      <c r="I6" s="233">
        <v>16</v>
      </c>
      <c r="J6" s="18">
        <v>1800</v>
      </c>
      <c r="K6" s="9">
        <f t="shared" ref="K6:K7" si="5">J6/I6</f>
        <v>112.5</v>
      </c>
      <c r="L6" s="233">
        <v>16</v>
      </c>
      <c r="M6" s="10">
        <f>F6/V6*60</f>
        <v>1634.5945945945932</v>
      </c>
      <c r="N6" s="9">
        <f t="shared" ref="N6:N7" si="6">M6/L6</f>
        <v>102.16216216216208</v>
      </c>
      <c r="O6" s="11">
        <f t="shared" si="0"/>
        <v>0</v>
      </c>
      <c r="P6" s="12">
        <f t="shared" si="1"/>
        <v>-10.337837837837924</v>
      </c>
      <c r="Q6" s="231">
        <f t="shared" ref="Q6:Q7" si="7">N6/K6</f>
        <v>0.90810810810810738</v>
      </c>
      <c r="R6" s="470"/>
      <c r="S6" s="24">
        <v>0.74027777777777781</v>
      </c>
      <c r="T6" s="24">
        <v>0.79166666666666674</v>
      </c>
      <c r="U6" s="230">
        <f>(S6-T5)*24*60</f>
        <v>4.9999999999999822</v>
      </c>
      <c r="V6" s="234">
        <f>(T6-S6)*24*60</f>
        <v>74.000000000000057</v>
      </c>
      <c r="W6" s="14"/>
      <c r="X6" s="14"/>
      <c r="Y6" s="456"/>
      <c r="Z6" s="456"/>
      <c r="AA6" s="11">
        <f t="shared" si="2"/>
        <v>-165.40540540540678</v>
      </c>
      <c r="AB6" s="231">
        <f t="shared" si="3"/>
        <v>0.90810810810810738</v>
      </c>
      <c r="AC6" s="470"/>
    </row>
    <row r="7" spans="1:29">
      <c r="A7" s="464" t="s">
        <v>235</v>
      </c>
      <c r="B7" s="26" t="s">
        <v>13</v>
      </c>
      <c r="C7" s="468" t="s">
        <v>448</v>
      </c>
      <c r="D7" s="469"/>
      <c r="E7" s="26">
        <v>50.67</v>
      </c>
      <c r="F7" s="235">
        <v>2515</v>
      </c>
      <c r="G7" s="230">
        <f t="shared" si="4"/>
        <v>127435.05</v>
      </c>
      <c r="H7" s="76" t="s">
        <v>57</v>
      </c>
      <c r="I7" s="233">
        <v>18</v>
      </c>
      <c r="J7" s="18">
        <v>1800</v>
      </c>
      <c r="K7" s="9">
        <f t="shared" si="5"/>
        <v>100</v>
      </c>
      <c r="L7" s="233">
        <v>18</v>
      </c>
      <c r="M7" s="10">
        <f t="shared" ref="M7" si="8">F7/V7*60</f>
        <v>1622.5806451612905</v>
      </c>
      <c r="N7" s="9">
        <f t="shared" si="6"/>
        <v>90.143369175627242</v>
      </c>
      <c r="O7" s="11">
        <f t="shared" si="0"/>
        <v>0</v>
      </c>
      <c r="P7" s="12">
        <f t="shared" si="1"/>
        <v>-9.8566308243727576</v>
      </c>
      <c r="Q7" s="231">
        <f t="shared" si="7"/>
        <v>0.90143369175627241</v>
      </c>
      <c r="R7" s="470"/>
      <c r="S7" s="24">
        <v>0.79652777777777783</v>
      </c>
      <c r="T7" s="24">
        <v>0.86111111111111116</v>
      </c>
      <c r="U7" s="230">
        <f t="shared" ref="U7" si="9">(S7-T6)*24*60</f>
        <v>6.9999999999999751</v>
      </c>
      <c r="V7" s="234">
        <f t="shared" ref="V7" si="10">(T7-S7)*24*60</f>
        <v>92.999999999999986</v>
      </c>
      <c r="W7" s="14"/>
      <c r="X7" s="14"/>
      <c r="Y7" s="473"/>
      <c r="Z7" s="474"/>
      <c r="AA7" s="11">
        <f t="shared" si="2"/>
        <v>-177.41935483870952</v>
      </c>
      <c r="AB7" s="231">
        <f t="shared" si="3"/>
        <v>0.90143369175627253</v>
      </c>
      <c r="AC7" s="470"/>
    </row>
    <row r="8" spans="1:29">
      <c r="A8" s="464" t="s">
        <v>235</v>
      </c>
      <c r="B8" s="26" t="s">
        <v>831</v>
      </c>
      <c r="C8" s="466"/>
      <c r="D8" s="466"/>
      <c r="E8" s="229"/>
      <c r="F8" s="16"/>
      <c r="G8" s="9"/>
      <c r="H8" s="235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1627.6762994308228</v>
      </c>
      <c r="N8" s="9">
        <f>M8/L8</f>
        <v>95.745664672401347</v>
      </c>
      <c r="O8" s="11">
        <f>L8-I8</f>
        <v>0</v>
      </c>
      <c r="P8" s="12">
        <f>N8-K8</f>
        <v>-10.136688268775117</v>
      </c>
      <c r="Q8" s="231">
        <f>N8/K8</f>
        <v>0.90426461079490161</v>
      </c>
      <c r="R8" s="470"/>
      <c r="S8" s="24"/>
      <c r="T8" s="24"/>
      <c r="U8" s="230"/>
      <c r="V8" s="234"/>
      <c r="W8" s="9"/>
      <c r="X8" s="9"/>
      <c r="Y8" s="456"/>
      <c r="Z8" s="456"/>
      <c r="AA8" s="11">
        <f t="shared" si="2"/>
        <v>-172.32370056917716</v>
      </c>
      <c r="AB8" s="231">
        <f>M8/J8</f>
        <v>0.90426461079490161</v>
      </c>
      <c r="AC8" s="470"/>
    </row>
    <row r="9" spans="1:29" ht="15.75" customHeight="1">
      <c r="A9" s="467" t="s">
        <v>832</v>
      </c>
      <c r="B9" s="26" t="s">
        <v>15</v>
      </c>
      <c r="C9" s="468" t="s">
        <v>16</v>
      </c>
      <c r="D9" s="469"/>
      <c r="E9" s="26">
        <v>39.619999999999997</v>
      </c>
      <c r="F9" s="235">
        <v>4060</v>
      </c>
      <c r="G9" s="230">
        <f t="shared" ref="G9:G12" si="11">E9*F9</f>
        <v>160857.19999999998</v>
      </c>
      <c r="H9" s="76" t="s">
        <v>57</v>
      </c>
      <c r="I9" s="233">
        <v>19</v>
      </c>
      <c r="J9" s="18">
        <v>1500</v>
      </c>
      <c r="K9" s="9">
        <f t="shared" ref="K9:K12" si="12">J9/I9</f>
        <v>78.94736842105263</v>
      </c>
      <c r="L9" s="233">
        <v>19</v>
      </c>
      <c r="M9" s="10">
        <f t="shared" ref="M9:M12" si="13">F9/V9*60</f>
        <v>1353.3333333333339</v>
      </c>
      <c r="N9" s="9">
        <f t="shared" ref="N9:N12" si="14">M9/L9</f>
        <v>71.228070175438631</v>
      </c>
      <c r="O9" s="11">
        <f t="shared" ref="O9:O12" si="15">L9-I9</f>
        <v>0</v>
      </c>
      <c r="P9" s="12">
        <f>N9-K9</f>
        <v>-7.7192982456139987</v>
      </c>
      <c r="Q9" s="231">
        <f>N9/K9</f>
        <v>0.9022222222222227</v>
      </c>
      <c r="R9" s="470">
        <f>Q13</f>
        <v>0.90216612997216206</v>
      </c>
      <c r="S9" s="24">
        <v>0.13055555555555556</v>
      </c>
      <c r="T9" s="24">
        <v>0.25555555555555554</v>
      </c>
      <c r="U9" s="230"/>
      <c r="V9" s="234">
        <f t="shared" ref="V9:V12" si="16">(T9-S9)*24*60</f>
        <v>179.99999999999994</v>
      </c>
      <c r="W9" s="9"/>
      <c r="X9" s="9"/>
      <c r="Y9" s="456"/>
      <c r="Z9" s="456"/>
      <c r="AA9" s="11">
        <f t="shared" si="2"/>
        <v>-146.66666666666606</v>
      </c>
      <c r="AB9" s="231">
        <f>M9/J9</f>
        <v>0.90222222222222259</v>
      </c>
      <c r="AC9" s="470">
        <f>AB13</f>
        <v>0.90216612997216206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35">
        <v>3000</v>
      </c>
      <c r="G10" s="230">
        <f t="shared" si="11"/>
        <v>119399.99999999999</v>
      </c>
      <c r="H10" s="76">
        <v>2</v>
      </c>
      <c r="I10" s="233">
        <v>18</v>
      </c>
      <c r="J10" s="18">
        <v>1500</v>
      </c>
      <c r="K10" s="9">
        <f t="shared" si="12"/>
        <v>83.333333333333329</v>
      </c>
      <c r="L10" s="233">
        <v>18</v>
      </c>
      <c r="M10" s="10">
        <f t="shared" si="13"/>
        <v>1353.3834586466166</v>
      </c>
      <c r="N10" s="9">
        <f t="shared" si="14"/>
        <v>75.187969924812037</v>
      </c>
      <c r="O10" s="11">
        <f t="shared" si="15"/>
        <v>0</v>
      </c>
      <c r="P10" s="12">
        <f t="shared" ref="P10:P12" si="17">N10-K10</f>
        <v>-8.1453634085212911</v>
      </c>
      <c r="Q10" s="231">
        <f t="shared" ref="Q10:Q12" si="18">N10/K10</f>
        <v>0.90225563909774453</v>
      </c>
      <c r="R10" s="470"/>
      <c r="S10" s="24">
        <v>0.2805555555555555</v>
      </c>
      <c r="T10" s="24">
        <v>0.37291666666666662</v>
      </c>
      <c r="U10" s="230">
        <f>(S10-T9)*24*60</f>
        <v>35.99999999999995</v>
      </c>
      <c r="V10" s="234">
        <f t="shared" si="16"/>
        <v>133</v>
      </c>
      <c r="W10" s="14"/>
      <c r="X10" s="14"/>
      <c r="Y10" s="456"/>
      <c r="Z10" s="456"/>
      <c r="AA10" s="11">
        <f t="shared" si="2"/>
        <v>-146.61654135338335</v>
      </c>
      <c r="AB10" s="231">
        <f t="shared" ref="AB10:AB29" si="19">M10/J10</f>
        <v>0.90225563909774442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35">
        <v>4010</v>
      </c>
      <c r="G11" s="230">
        <f t="shared" si="11"/>
        <v>157552.9</v>
      </c>
      <c r="H11" s="76" t="s">
        <v>57</v>
      </c>
      <c r="I11" s="233">
        <v>19</v>
      </c>
      <c r="J11" s="18">
        <v>1500</v>
      </c>
      <c r="K11" s="9">
        <f t="shared" si="12"/>
        <v>78.94736842105263</v>
      </c>
      <c r="L11" s="233">
        <v>19</v>
      </c>
      <c r="M11" s="10">
        <f t="shared" si="13"/>
        <v>1351.6853932584274</v>
      </c>
      <c r="N11" s="9">
        <f t="shared" si="14"/>
        <v>71.141336487285656</v>
      </c>
      <c r="O11" s="11">
        <f t="shared" si="15"/>
        <v>0</v>
      </c>
      <c r="P11" s="12">
        <f t="shared" si="17"/>
        <v>-7.8060319337669739</v>
      </c>
      <c r="Q11" s="231">
        <f t="shared" si="18"/>
        <v>0.90112359550561838</v>
      </c>
      <c r="R11" s="470"/>
      <c r="S11" s="24">
        <v>0.38263888888888881</v>
      </c>
      <c r="T11" s="24">
        <v>0.50624999999999987</v>
      </c>
      <c r="U11" s="230">
        <f t="shared" ref="U11:U12" si="20">(S11-T10)*24*60</f>
        <v>13.99999999999995</v>
      </c>
      <c r="V11" s="234">
        <f t="shared" si="16"/>
        <v>177.99999999999991</v>
      </c>
      <c r="W11" s="14"/>
      <c r="X11" s="14"/>
      <c r="Y11" s="456"/>
      <c r="Z11" s="456"/>
      <c r="AA11" s="11">
        <f t="shared" si="2"/>
        <v>-148.31460674157256</v>
      </c>
      <c r="AB11" s="231">
        <f t="shared" si="19"/>
        <v>0.90112359550561827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35">
        <v>2506</v>
      </c>
      <c r="G12" s="230">
        <f t="shared" si="11"/>
        <v>99738.799999999988</v>
      </c>
      <c r="H12" s="76" t="s">
        <v>57</v>
      </c>
      <c r="I12" s="233">
        <v>18</v>
      </c>
      <c r="J12" s="18">
        <v>1500</v>
      </c>
      <c r="K12" s="9">
        <f t="shared" si="12"/>
        <v>83.333333333333329</v>
      </c>
      <c r="L12" s="233">
        <v>18</v>
      </c>
      <c r="M12" s="10">
        <f t="shared" si="13"/>
        <v>1354.5945945945955</v>
      </c>
      <c r="N12" s="9">
        <f t="shared" si="14"/>
        <v>75.255255255255307</v>
      </c>
      <c r="O12" s="11">
        <f t="shared" si="15"/>
        <v>0</v>
      </c>
      <c r="P12" s="12">
        <f t="shared" si="17"/>
        <v>-8.0780780780780219</v>
      </c>
      <c r="Q12" s="231">
        <f t="shared" si="18"/>
        <v>0.90306306306306372</v>
      </c>
      <c r="R12" s="470"/>
      <c r="S12" s="24">
        <v>0.54652777777777761</v>
      </c>
      <c r="T12" s="24">
        <v>0.62361111111111089</v>
      </c>
      <c r="U12" s="230">
        <f t="shared" si="20"/>
        <v>57.999999999999957</v>
      </c>
      <c r="V12" s="234">
        <f t="shared" si="16"/>
        <v>110.99999999999993</v>
      </c>
      <c r="W12" s="14"/>
      <c r="X12" s="14"/>
      <c r="Y12" s="456"/>
      <c r="Z12" s="456"/>
      <c r="AA12" s="11">
        <f t="shared" si="2"/>
        <v>-145.40540540540451</v>
      </c>
      <c r="AB12" s="231">
        <f t="shared" si="19"/>
        <v>0.90306306306306361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229"/>
      <c r="F13" s="18"/>
      <c r="G13" s="10"/>
      <c r="H13" s="235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1353.2491949582432</v>
      </c>
      <c r="N13" s="9">
        <f>M13/L13</f>
        <v>73.148605132878004</v>
      </c>
      <c r="O13" s="11">
        <f>L13-I13</f>
        <v>0</v>
      </c>
      <c r="P13" s="12">
        <f>N13-K13</f>
        <v>-7.9324759482030771</v>
      </c>
      <c r="Q13" s="231">
        <f>N13/K13</f>
        <v>0.90216612997216206</v>
      </c>
      <c r="R13" s="470"/>
      <c r="S13" s="24"/>
      <c r="T13" s="24"/>
      <c r="U13" s="9"/>
      <c r="V13" s="234"/>
      <c r="W13" s="9"/>
      <c r="X13" s="9"/>
      <c r="Y13" s="456"/>
      <c r="Z13" s="456"/>
      <c r="AA13" s="11">
        <f t="shared" si="2"/>
        <v>-146.75080504175685</v>
      </c>
      <c r="AB13" s="231">
        <f t="shared" si="19"/>
        <v>0.90216612997216206</v>
      </c>
      <c r="AC13" s="470"/>
    </row>
    <row r="14" spans="1:29" ht="16.5" customHeight="1">
      <c r="A14" s="480" t="s">
        <v>833</v>
      </c>
      <c r="B14" s="235" t="s">
        <v>18</v>
      </c>
      <c r="C14" s="477" t="s">
        <v>19</v>
      </c>
      <c r="D14" s="477"/>
      <c r="E14" s="26">
        <v>41</v>
      </c>
      <c r="F14" s="235">
        <v>1731</v>
      </c>
      <c r="G14" s="230">
        <f t="shared" ref="G14:G18" si="21">E14*F14</f>
        <v>70971</v>
      </c>
      <c r="H14" s="76" t="s">
        <v>57</v>
      </c>
      <c r="I14" s="233">
        <v>26</v>
      </c>
      <c r="J14" s="18">
        <v>1286</v>
      </c>
      <c r="K14" s="9">
        <f>J14/I14</f>
        <v>49.46153846153846</v>
      </c>
      <c r="L14" s="233">
        <v>26</v>
      </c>
      <c r="M14" s="10">
        <f>F14/V14*60</f>
        <v>1166.9662921348315</v>
      </c>
      <c r="N14" s="9">
        <f t="shared" ref="N14:N28" si="22">M14/L14</f>
        <v>44.883318928262753</v>
      </c>
      <c r="O14" s="11">
        <f t="shared" ref="O14" si="23">L14-I14</f>
        <v>0</v>
      </c>
      <c r="P14" s="12">
        <f t="shared" ref="P14" si="24">N14-K14</f>
        <v>-4.578219533275707</v>
      </c>
      <c r="Q14" s="231">
        <f>N14/K14</f>
        <v>0.90743879637234182</v>
      </c>
      <c r="R14" s="470">
        <f>Q19</f>
        <v>0.9054340512403849</v>
      </c>
      <c r="S14" s="24">
        <v>0.25</v>
      </c>
      <c r="T14" s="24">
        <v>0.31180555555555556</v>
      </c>
      <c r="U14" s="230"/>
      <c r="V14" s="234">
        <f>(T14-S14)*24*60</f>
        <v>89</v>
      </c>
      <c r="W14" s="15"/>
      <c r="X14" s="15"/>
      <c r="Y14" s="456"/>
      <c r="Z14" s="456"/>
      <c r="AA14" s="11">
        <f t="shared" si="2"/>
        <v>-119.03370786516848</v>
      </c>
      <c r="AB14" s="231">
        <f t="shared" si="19"/>
        <v>0.90743879637234182</v>
      </c>
      <c r="AC14" s="470">
        <f>AB19</f>
        <v>0.90543405124038501</v>
      </c>
    </row>
    <row r="15" spans="1:29" ht="16.5" customHeight="1">
      <c r="A15" s="481" t="s">
        <v>6</v>
      </c>
      <c r="B15" s="235" t="s">
        <v>15</v>
      </c>
      <c r="C15" s="477" t="s">
        <v>68</v>
      </c>
      <c r="D15" s="477"/>
      <c r="E15" s="26">
        <v>39.29</v>
      </c>
      <c r="F15" s="235">
        <v>2053</v>
      </c>
      <c r="G15" s="230">
        <f t="shared" si="21"/>
        <v>80662.37</v>
      </c>
      <c r="H15" s="76" t="s">
        <v>57</v>
      </c>
      <c r="I15" s="233">
        <v>18</v>
      </c>
      <c r="J15" s="18">
        <v>1500</v>
      </c>
      <c r="K15" s="9">
        <f>J15/I15</f>
        <v>83.333333333333329</v>
      </c>
      <c r="L15" s="233">
        <v>18</v>
      </c>
      <c r="M15" s="10">
        <f>F15/V15*60</f>
        <v>1353.6263736263736</v>
      </c>
      <c r="N15" s="9">
        <f t="shared" si="22"/>
        <v>75.201465201465197</v>
      </c>
      <c r="O15" s="11">
        <f>L15-I15</f>
        <v>0</v>
      </c>
      <c r="P15" s="12">
        <f>N15-K15</f>
        <v>-8.1318681318681314</v>
      </c>
      <c r="Q15" s="231">
        <f>N15/K15</f>
        <v>0.90241758241758241</v>
      </c>
      <c r="R15" s="470"/>
      <c r="S15" s="24">
        <v>0.31874999999999998</v>
      </c>
      <c r="T15" s="24">
        <v>0.38194444444444442</v>
      </c>
      <c r="U15" s="230">
        <f>(S15-T14)*24*60</f>
        <v>9.9999999999999645</v>
      </c>
      <c r="V15" s="234">
        <f>(T15-S15)*24*60</f>
        <v>91</v>
      </c>
      <c r="W15" s="14"/>
      <c r="X15" s="14"/>
      <c r="Y15" s="456"/>
      <c r="Z15" s="456"/>
      <c r="AA15" s="11">
        <f t="shared" si="2"/>
        <v>-146.37362637362639</v>
      </c>
      <c r="AB15" s="231">
        <f t="shared" si="19"/>
        <v>0.90241758241758241</v>
      </c>
      <c r="AC15" s="470"/>
    </row>
    <row r="16" spans="1:29" ht="16.5" customHeight="1">
      <c r="A16" s="481" t="s">
        <v>6</v>
      </c>
      <c r="B16" s="235" t="s">
        <v>15</v>
      </c>
      <c r="C16" s="477" t="s">
        <v>54</v>
      </c>
      <c r="D16" s="477"/>
      <c r="E16" s="26">
        <v>39.29</v>
      </c>
      <c r="F16" s="235">
        <v>3220</v>
      </c>
      <c r="G16" s="230">
        <f t="shared" si="21"/>
        <v>126513.8</v>
      </c>
      <c r="H16" s="76" t="s">
        <v>57</v>
      </c>
      <c r="I16" s="233">
        <v>17</v>
      </c>
      <c r="J16" s="18">
        <v>1500</v>
      </c>
      <c r="K16" s="9">
        <f t="shared" ref="K16:K18" si="25">J16/I16</f>
        <v>88.235294117647058</v>
      </c>
      <c r="L16" s="233">
        <v>17</v>
      </c>
      <c r="M16" s="10">
        <f t="shared" ref="M16:M18" si="26">F16/V16*60</f>
        <v>1360.5633802816906</v>
      </c>
      <c r="N16" s="9">
        <f t="shared" si="22"/>
        <v>80.03314001657003</v>
      </c>
      <c r="O16" s="11">
        <f t="shared" ref="O16:O18" si="27">L16-I16</f>
        <v>0</v>
      </c>
      <c r="P16" s="12">
        <f t="shared" ref="P16:P18" si="28">N16-K16</f>
        <v>-8.2021541010770278</v>
      </c>
      <c r="Q16" s="231">
        <f t="shared" ref="Q16:Q28" si="29">N16/K16</f>
        <v>0.907042253521127</v>
      </c>
      <c r="R16" s="470"/>
      <c r="S16" s="24">
        <v>0.38888888888888884</v>
      </c>
      <c r="T16" s="24">
        <v>0.48749999999999993</v>
      </c>
      <c r="U16" s="230">
        <f t="shared" ref="U16:U18" si="30">(S16-T15)*24*60</f>
        <v>9.9999999999999645</v>
      </c>
      <c r="V16" s="234">
        <f t="shared" ref="V16:V18" si="31">(T16-S16)*24*60</f>
        <v>141.99999999999997</v>
      </c>
      <c r="W16" s="14"/>
      <c r="X16" s="14"/>
      <c r="Y16" s="456"/>
      <c r="Z16" s="456"/>
      <c r="AA16" s="11">
        <f t="shared" si="2"/>
        <v>-139.43661971830943</v>
      </c>
      <c r="AB16" s="231">
        <f t="shared" si="19"/>
        <v>0.907042253521127</v>
      </c>
      <c r="AC16" s="470"/>
    </row>
    <row r="17" spans="1:29" ht="16.5" customHeight="1">
      <c r="A17" s="481" t="s">
        <v>6</v>
      </c>
      <c r="B17" s="235" t="s">
        <v>13</v>
      </c>
      <c r="C17" s="477" t="s">
        <v>63</v>
      </c>
      <c r="D17" s="477"/>
      <c r="E17" s="26">
        <v>50.98</v>
      </c>
      <c r="F17" s="235">
        <v>2440</v>
      </c>
      <c r="G17" s="230">
        <f t="shared" si="21"/>
        <v>124391.2</v>
      </c>
      <c r="H17" s="76" t="s">
        <v>57</v>
      </c>
      <c r="I17" s="233">
        <v>17</v>
      </c>
      <c r="J17" s="18">
        <v>1800</v>
      </c>
      <c r="K17" s="9">
        <f t="shared" si="25"/>
        <v>105.88235294117646</v>
      </c>
      <c r="L17" s="233">
        <v>17</v>
      </c>
      <c r="M17" s="10">
        <f t="shared" si="26"/>
        <v>1626.6666666666667</v>
      </c>
      <c r="N17" s="9">
        <f t="shared" si="22"/>
        <v>95.686274509803923</v>
      </c>
      <c r="O17" s="11">
        <f t="shared" si="27"/>
        <v>0</v>
      </c>
      <c r="P17" s="12">
        <f t="shared" si="28"/>
        <v>-10.196078431372541</v>
      </c>
      <c r="Q17" s="231">
        <f t="shared" si="29"/>
        <v>0.90370370370370379</v>
      </c>
      <c r="R17" s="470"/>
      <c r="S17" s="24">
        <v>0.70833333333333337</v>
      </c>
      <c r="T17" s="24">
        <v>0.77083333333333337</v>
      </c>
      <c r="U17" s="230">
        <f t="shared" si="30"/>
        <v>318.00000000000017</v>
      </c>
      <c r="V17" s="234">
        <f t="shared" si="31"/>
        <v>90</v>
      </c>
      <c r="W17" s="14"/>
      <c r="X17" s="14"/>
      <c r="Y17" s="456"/>
      <c r="Z17" s="456"/>
      <c r="AA17" s="11">
        <f t="shared" si="2"/>
        <v>-173.33333333333326</v>
      </c>
      <c r="AB17" s="231">
        <f t="shared" si="19"/>
        <v>0.90370370370370379</v>
      </c>
      <c r="AC17" s="470"/>
    </row>
    <row r="18" spans="1:29" ht="16.5" customHeight="1">
      <c r="A18" s="481" t="s">
        <v>6</v>
      </c>
      <c r="B18" s="235" t="s">
        <v>13</v>
      </c>
      <c r="C18" s="477" t="s">
        <v>66</v>
      </c>
      <c r="D18" s="477"/>
      <c r="E18" s="26">
        <v>57.73</v>
      </c>
      <c r="F18" s="235">
        <v>1701</v>
      </c>
      <c r="G18" s="230">
        <f t="shared" si="21"/>
        <v>98198.73</v>
      </c>
      <c r="H18" s="76" t="s">
        <v>57</v>
      </c>
      <c r="I18" s="233">
        <v>16</v>
      </c>
      <c r="J18" s="18">
        <v>1500</v>
      </c>
      <c r="K18" s="9">
        <f t="shared" si="25"/>
        <v>93.75</v>
      </c>
      <c r="L18" s="233">
        <v>16</v>
      </c>
      <c r="M18" s="10">
        <f t="shared" si="26"/>
        <v>1360.7999999999988</v>
      </c>
      <c r="N18" s="9">
        <f t="shared" si="22"/>
        <v>85.049999999999926</v>
      </c>
      <c r="O18" s="11">
        <f t="shared" si="27"/>
        <v>0</v>
      </c>
      <c r="P18" s="12">
        <f t="shared" si="28"/>
        <v>-8.7000000000000739</v>
      </c>
      <c r="Q18" s="231">
        <f t="shared" si="29"/>
        <v>0.90719999999999923</v>
      </c>
      <c r="R18" s="470"/>
      <c r="S18" s="24">
        <v>0.77500000000000002</v>
      </c>
      <c r="T18" s="24">
        <v>0.82708333333333339</v>
      </c>
      <c r="U18" s="230">
        <f t="shared" si="30"/>
        <v>5.9999999999999787</v>
      </c>
      <c r="V18" s="234">
        <f t="shared" si="31"/>
        <v>75.000000000000057</v>
      </c>
      <c r="W18" s="14"/>
      <c r="X18" s="14"/>
      <c r="Y18" s="456"/>
      <c r="Z18" s="456"/>
      <c r="AA18" s="11">
        <f t="shared" si="2"/>
        <v>-139.20000000000118</v>
      </c>
      <c r="AB18" s="231">
        <f t="shared" si="19"/>
        <v>0.90719999999999923</v>
      </c>
      <c r="AC18" s="470"/>
    </row>
    <row r="19" spans="1:29" ht="16.5" customHeight="1">
      <c r="A19" s="481" t="s">
        <v>6</v>
      </c>
      <c r="B19" s="26" t="s">
        <v>81</v>
      </c>
      <c r="C19" s="466"/>
      <c r="D19" s="466"/>
      <c r="E19" s="229"/>
      <c r="F19" s="16"/>
      <c r="G19" s="9"/>
      <c r="H19" s="235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1373.7245425419121</v>
      </c>
      <c r="N19" s="9">
        <f t="shared" si="22"/>
        <v>73.070454390527232</v>
      </c>
      <c r="O19" s="11">
        <f>L19-I19</f>
        <v>0</v>
      </c>
      <c r="P19" s="12">
        <f>N19-K19</f>
        <v>-7.6316732690472406</v>
      </c>
      <c r="Q19" s="231">
        <f t="shared" si="29"/>
        <v>0.9054340512403849</v>
      </c>
      <c r="R19" s="470"/>
      <c r="S19" s="24"/>
      <c r="T19" s="24"/>
      <c r="U19" s="230"/>
      <c r="V19" s="234"/>
      <c r="W19" s="9"/>
      <c r="X19" s="9"/>
      <c r="Y19" s="456"/>
      <c r="Z19" s="456"/>
      <c r="AA19" s="11">
        <f t="shared" si="2"/>
        <v>-143.47545745808793</v>
      </c>
      <c r="AB19" s="231">
        <f t="shared" si="19"/>
        <v>0.90543405124038501</v>
      </c>
      <c r="AC19" s="470"/>
    </row>
    <row r="20" spans="1:29" ht="15.75" customHeight="1">
      <c r="A20" s="478" t="s">
        <v>240</v>
      </c>
      <c r="B20" s="26" t="s">
        <v>21</v>
      </c>
      <c r="C20" s="477" t="s">
        <v>22</v>
      </c>
      <c r="D20" s="477"/>
      <c r="E20" s="26">
        <v>43.14</v>
      </c>
      <c r="F20" s="235">
        <v>1363</v>
      </c>
      <c r="G20" s="230">
        <f t="shared" ref="G20:G28" si="32">E20*F20</f>
        <v>58799.82</v>
      </c>
      <c r="H20" s="76" t="s">
        <v>57</v>
      </c>
      <c r="I20" s="233">
        <v>17</v>
      </c>
      <c r="J20" s="18">
        <v>1200</v>
      </c>
      <c r="K20" s="9">
        <f t="shared" ref="K20:K29" si="33">J20/I20</f>
        <v>70.588235294117652</v>
      </c>
      <c r="L20" s="233">
        <v>17</v>
      </c>
      <c r="M20" s="10">
        <f t="shared" ref="M20:M28" si="34">F20/V20*60</f>
        <v>1090.3999999999996</v>
      </c>
      <c r="N20" s="9">
        <f t="shared" si="22"/>
        <v>64.141176470588221</v>
      </c>
      <c r="O20" s="11">
        <f t="shared" ref="O20:O28" si="35">L20-I20</f>
        <v>0</v>
      </c>
      <c r="P20" s="12">
        <f t="shared" ref="P20:P28" si="36">N20-K20</f>
        <v>-6.4470588235294315</v>
      </c>
      <c r="Q20" s="231">
        <f t="shared" si="29"/>
        <v>0.9086666666666664</v>
      </c>
      <c r="R20" s="470">
        <f>Q29</f>
        <v>0.91402288016980082</v>
      </c>
      <c r="S20" s="24">
        <v>0.16666666666666666</v>
      </c>
      <c r="T20" s="24">
        <v>0.21875</v>
      </c>
      <c r="U20" s="230"/>
      <c r="V20" s="234">
        <f>(T20-S20)*24*60</f>
        <v>75.000000000000014</v>
      </c>
      <c r="W20" s="15"/>
      <c r="X20" s="15"/>
      <c r="Y20" s="456"/>
      <c r="Z20" s="456"/>
      <c r="AA20" s="11">
        <f t="shared" si="2"/>
        <v>-109.60000000000036</v>
      </c>
      <c r="AB20" s="231">
        <f t="shared" si="19"/>
        <v>0.9086666666666664</v>
      </c>
      <c r="AC20" s="470">
        <f>AB29</f>
        <v>0.91402288016980093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35">
        <v>2850</v>
      </c>
      <c r="G21" s="230">
        <f t="shared" si="32"/>
        <v>164530.5</v>
      </c>
      <c r="H21" s="76" t="s">
        <v>57</v>
      </c>
      <c r="I21" s="233">
        <v>16</v>
      </c>
      <c r="J21" s="18">
        <v>1800</v>
      </c>
      <c r="K21" s="9">
        <f t="shared" si="33"/>
        <v>112.5</v>
      </c>
      <c r="L21" s="233">
        <v>16</v>
      </c>
      <c r="M21" s="10">
        <f t="shared" si="34"/>
        <v>1628.5714285714282</v>
      </c>
      <c r="N21" s="9">
        <f t="shared" si="22"/>
        <v>101.78571428571426</v>
      </c>
      <c r="O21" s="11">
        <f t="shared" si="35"/>
        <v>0</v>
      </c>
      <c r="P21" s="12">
        <f t="shared" si="36"/>
        <v>-10.714285714285737</v>
      </c>
      <c r="Q21" s="231">
        <f t="shared" si="29"/>
        <v>0.90476190476190455</v>
      </c>
      <c r="R21" s="470"/>
      <c r="S21" s="24">
        <v>0.23680555555555555</v>
      </c>
      <c r="T21" s="24">
        <v>0.30972222222222223</v>
      </c>
      <c r="U21" s="230">
        <f>(S21-T20)*24*60</f>
        <v>25.999999999999986</v>
      </c>
      <c r="V21" s="234">
        <f t="shared" ref="V21:V28" si="37">(T21-S21)*24*60</f>
        <v>105.00000000000003</v>
      </c>
      <c r="W21" s="14"/>
      <c r="X21" s="230"/>
      <c r="Y21" s="456"/>
      <c r="Z21" s="456"/>
      <c r="AA21" s="11">
        <f t="shared" si="2"/>
        <v>-171.42857142857179</v>
      </c>
      <c r="AB21" s="231">
        <f t="shared" si="19"/>
        <v>0.90476190476190455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35">
        <v>1799</v>
      </c>
      <c r="G22" s="230">
        <f t="shared" si="32"/>
        <v>96570.319999999992</v>
      </c>
      <c r="H22" s="76" t="s">
        <v>57</v>
      </c>
      <c r="I22" s="233">
        <v>17</v>
      </c>
      <c r="J22" s="18">
        <v>1800</v>
      </c>
      <c r="K22" s="9">
        <f t="shared" si="33"/>
        <v>105.88235294117646</v>
      </c>
      <c r="L22" s="233">
        <v>17</v>
      </c>
      <c r="M22" s="10">
        <f t="shared" si="34"/>
        <v>1635.4545454545455</v>
      </c>
      <c r="N22" s="9">
        <f t="shared" si="22"/>
        <v>96.203208556149733</v>
      </c>
      <c r="O22" s="11">
        <f t="shared" si="35"/>
        <v>0</v>
      </c>
      <c r="P22" s="12">
        <f t="shared" si="36"/>
        <v>-9.6791443850267314</v>
      </c>
      <c r="Q22" s="231">
        <f t="shared" si="29"/>
        <v>0.90858585858585861</v>
      </c>
      <c r="R22" s="470"/>
      <c r="S22" s="24">
        <v>0.31458333333333333</v>
      </c>
      <c r="T22" s="24">
        <v>0.36041666666666666</v>
      </c>
      <c r="U22" s="230">
        <f t="shared" ref="U22:U28" si="38">(S22-T21)*24*60</f>
        <v>6.9999999999999751</v>
      </c>
      <c r="V22" s="234">
        <f t="shared" si="37"/>
        <v>66</v>
      </c>
      <c r="W22" s="14"/>
      <c r="X22" s="230"/>
      <c r="Y22" s="456"/>
      <c r="Z22" s="456"/>
      <c r="AA22" s="11">
        <f t="shared" si="2"/>
        <v>-164.5454545454545</v>
      </c>
      <c r="AB22" s="231">
        <f t="shared" si="19"/>
        <v>0.90858585858585861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35">
        <v>1191</v>
      </c>
      <c r="G23" s="230">
        <f t="shared" si="32"/>
        <v>60347.97</v>
      </c>
      <c r="H23" s="76" t="s">
        <v>57</v>
      </c>
      <c r="I23" s="233">
        <v>16</v>
      </c>
      <c r="J23" s="18">
        <v>1800</v>
      </c>
      <c r="K23" s="9">
        <f t="shared" si="33"/>
        <v>112.5</v>
      </c>
      <c r="L23" s="233">
        <v>16</v>
      </c>
      <c r="M23" s="10">
        <f t="shared" si="34"/>
        <v>1624.090909090909</v>
      </c>
      <c r="N23" s="9">
        <f t="shared" si="22"/>
        <v>101.50568181818181</v>
      </c>
      <c r="O23" s="11">
        <f t="shared" si="35"/>
        <v>0</v>
      </c>
      <c r="P23" s="12">
        <f t="shared" si="36"/>
        <v>-10.994318181818187</v>
      </c>
      <c r="Q23" s="231">
        <f t="shared" si="29"/>
        <v>0.90227272727272723</v>
      </c>
      <c r="R23" s="470"/>
      <c r="S23" s="24">
        <v>0.36527777777777776</v>
      </c>
      <c r="T23" s="24">
        <v>0.39583333333333331</v>
      </c>
      <c r="U23" s="230">
        <f t="shared" si="38"/>
        <v>6.9999999999999751</v>
      </c>
      <c r="V23" s="234">
        <f t="shared" si="37"/>
        <v>44</v>
      </c>
      <c r="W23" s="14"/>
      <c r="X23" s="230"/>
      <c r="Y23" s="456"/>
      <c r="Z23" s="456"/>
      <c r="AA23" s="11">
        <f t="shared" si="2"/>
        <v>-175.90909090909099</v>
      </c>
      <c r="AB23" s="231">
        <f t="shared" si="19"/>
        <v>0.90227272727272723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55.56</v>
      </c>
      <c r="F24" s="235">
        <v>4000</v>
      </c>
      <c r="G24" s="230">
        <f t="shared" si="32"/>
        <v>222240</v>
      </c>
      <c r="H24" s="76">
        <v>2</v>
      </c>
      <c r="I24" s="233">
        <v>19</v>
      </c>
      <c r="J24" s="18">
        <v>1800</v>
      </c>
      <c r="K24" s="9">
        <f t="shared" si="33"/>
        <v>94.736842105263165</v>
      </c>
      <c r="L24" s="233">
        <v>19</v>
      </c>
      <c r="M24" s="10">
        <f t="shared" si="34"/>
        <v>1621.6216216216212</v>
      </c>
      <c r="N24" s="9">
        <f t="shared" si="22"/>
        <v>85.348506401137954</v>
      </c>
      <c r="O24" s="11">
        <f t="shared" si="35"/>
        <v>0</v>
      </c>
      <c r="P24" s="12">
        <f t="shared" si="36"/>
        <v>-9.3883357041252111</v>
      </c>
      <c r="Q24" s="231">
        <f t="shared" si="29"/>
        <v>0.90090090090090058</v>
      </c>
      <c r="R24" s="470"/>
      <c r="S24" s="24">
        <v>0.39930555555555552</v>
      </c>
      <c r="T24" s="24">
        <v>0.50208333333333333</v>
      </c>
      <c r="U24" s="230">
        <f t="shared" si="38"/>
        <v>4.9999999999999822</v>
      </c>
      <c r="V24" s="234">
        <f t="shared" si="37"/>
        <v>148.00000000000003</v>
      </c>
      <c r="W24" s="14"/>
      <c r="X24" s="230"/>
      <c r="Y24" s="456"/>
      <c r="Z24" s="456"/>
      <c r="AA24" s="11">
        <f t="shared" si="2"/>
        <v>-178.37837837837878</v>
      </c>
      <c r="AB24" s="231">
        <f t="shared" si="19"/>
        <v>0.90090090090090069</v>
      </c>
      <c r="AC24" s="470"/>
    </row>
    <row r="25" spans="1:29" ht="15.75" customHeight="1">
      <c r="A25" s="479" t="s">
        <v>7</v>
      </c>
      <c r="B25" s="26" t="s">
        <v>13</v>
      </c>
      <c r="C25" s="477" t="s">
        <v>784</v>
      </c>
      <c r="D25" s="477"/>
      <c r="E25" s="26">
        <v>55.56</v>
      </c>
      <c r="F25" s="235">
        <v>1615</v>
      </c>
      <c r="G25" s="230">
        <f t="shared" si="32"/>
        <v>89729.400000000009</v>
      </c>
      <c r="H25" s="76" t="s">
        <v>57</v>
      </c>
      <c r="I25" s="233">
        <v>19</v>
      </c>
      <c r="J25" s="18">
        <v>1800</v>
      </c>
      <c r="K25" s="9">
        <f t="shared" si="33"/>
        <v>94.736842105263165</v>
      </c>
      <c r="L25" s="233">
        <v>19</v>
      </c>
      <c r="M25" s="10">
        <f t="shared" si="34"/>
        <v>1642.3728813559335</v>
      </c>
      <c r="N25" s="9">
        <f t="shared" si="22"/>
        <v>86.440677966101759</v>
      </c>
      <c r="O25" s="11">
        <f t="shared" si="35"/>
        <v>0</v>
      </c>
      <c r="P25" s="12">
        <f t="shared" si="36"/>
        <v>-8.2961641391614052</v>
      </c>
      <c r="Q25" s="231">
        <f t="shared" si="29"/>
        <v>0.91242937853107409</v>
      </c>
      <c r="R25" s="470"/>
      <c r="S25" s="24">
        <v>0.54374999999999996</v>
      </c>
      <c r="T25" s="24">
        <v>0.58472222222222214</v>
      </c>
      <c r="U25" s="230">
        <f t="shared" si="38"/>
        <v>59.999999999999943</v>
      </c>
      <c r="V25" s="234">
        <f t="shared" si="37"/>
        <v>58.99999999999995</v>
      </c>
      <c r="W25" s="14"/>
      <c r="X25" s="15"/>
      <c r="Y25" s="456"/>
      <c r="Z25" s="456"/>
      <c r="AA25" s="11">
        <f t="shared" si="2"/>
        <v>-157.62711864406651</v>
      </c>
      <c r="AB25" s="231">
        <f t="shared" si="19"/>
        <v>0.9124293785310742</v>
      </c>
      <c r="AC25" s="470"/>
    </row>
    <row r="26" spans="1:29" ht="15.75" customHeight="1">
      <c r="A26" s="479" t="s">
        <v>7</v>
      </c>
      <c r="B26" s="26" t="s">
        <v>13</v>
      </c>
      <c r="C26" s="477" t="s">
        <v>59</v>
      </c>
      <c r="D26" s="477"/>
      <c r="E26" s="26">
        <v>50.92</v>
      </c>
      <c r="F26" s="235">
        <v>2753</v>
      </c>
      <c r="G26" s="230">
        <f t="shared" si="32"/>
        <v>140182.76</v>
      </c>
      <c r="H26" s="76" t="s">
        <v>57</v>
      </c>
      <c r="I26" s="233">
        <v>16</v>
      </c>
      <c r="J26" s="18">
        <v>1800</v>
      </c>
      <c r="K26" s="9">
        <f t="shared" si="33"/>
        <v>112.5</v>
      </c>
      <c r="L26" s="233">
        <v>16</v>
      </c>
      <c r="M26" s="10">
        <f t="shared" si="34"/>
        <v>1635.4455445544563</v>
      </c>
      <c r="N26" s="9">
        <f t="shared" si="22"/>
        <v>102.21534653465352</v>
      </c>
      <c r="O26" s="11">
        <f t="shared" si="35"/>
        <v>0</v>
      </c>
      <c r="P26" s="12">
        <f t="shared" si="36"/>
        <v>-10.28465346534648</v>
      </c>
      <c r="Q26" s="231">
        <f t="shared" si="29"/>
        <v>0.90858085808580902</v>
      </c>
      <c r="R26" s="470"/>
      <c r="S26" s="24">
        <v>0.70833333333333337</v>
      </c>
      <c r="T26" s="24">
        <v>0.77847222222222223</v>
      </c>
      <c r="U26" s="230">
        <f t="shared" si="38"/>
        <v>178.00000000000017</v>
      </c>
      <c r="V26" s="234">
        <f t="shared" si="37"/>
        <v>100.99999999999996</v>
      </c>
      <c r="W26" s="14"/>
      <c r="X26" s="15"/>
      <c r="Y26" s="473"/>
      <c r="Z26" s="474"/>
      <c r="AA26" s="11">
        <f t="shared" si="2"/>
        <v>-164.55445544554368</v>
      </c>
      <c r="AB26" s="231">
        <f t="shared" si="19"/>
        <v>0.90858085808580902</v>
      </c>
      <c r="AC26" s="470"/>
    </row>
    <row r="27" spans="1:29" ht="15.75" customHeight="1">
      <c r="A27" s="479" t="s">
        <v>7</v>
      </c>
      <c r="B27" s="26" t="s">
        <v>13</v>
      </c>
      <c r="C27" s="482" t="s">
        <v>62</v>
      </c>
      <c r="D27" s="483"/>
      <c r="E27" s="26">
        <v>53.27</v>
      </c>
      <c r="F27" s="235">
        <v>692</v>
      </c>
      <c r="G27" s="230">
        <f t="shared" si="32"/>
        <v>36862.840000000004</v>
      </c>
      <c r="H27" s="76" t="s">
        <v>57</v>
      </c>
      <c r="I27" s="233">
        <v>15</v>
      </c>
      <c r="J27" s="18">
        <v>1800</v>
      </c>
      <c r="K27" s="9">
        <f t="shared" si="33"/>
        <v>120</v>
      </c>
      <c r="L27" s="233">
        <v>15</v>
      </c>
      <c r="M27" s="10">
        <f t="shared" si="34"/>
        <v>1660.7999999999952</v>
      </c>
      <c r="N27" s="9">
        <f t="shared" si="22"/>
        <v>110.71999999999967</v>
      </c>
      <c r="O27" s="11">
        <f t="shared" si="35"/>
        <v>0</v>
      </c>
      <c r="P27" s="12">
        <f t="shared" si="36"/>
        <v>-9.280000000000328</v>
      </c>
      <c r="Q27" s="231">
        <f t="shared" si="29"/>
        <v>0.92266666666666397</v>
      </c>
      <c r="R27" s="470"/>
      <c r="S27" s="24">
        <v>0.78402777777777777</v>
      </c>
      <c r="T27" s="24">
        <v>0.80138888888888893</v>
      </c>
      <c r="U27" s="230">
        <f t="shared" si="38"/>
        <v>7.9999999999999716</v>
      </c>
      <c r="V27" s="234">
        <f t="shared" si="37"/>
        <v>25.000000000000071</v>
      </c>
      <c r="W27" s="14"/>
      <c r="X27" s="14"/>
      <c r="Y27" s="473"/>
      <c r="Z27" s="474"/>
      <c r="AA27" s="11">
        <f t="shared" si="2"/>
        <v>-139.20000000000482</v>
      </c>
      <c r="AB27" s="231">
        <f t="shared" si="19"/>
        <v>0.92266666666666397</v>
      </c>
      <c r="AC27" s="470"/>
    </row>
    <row r="28" spans="1:29" ht="15.75" customHeight="1">
      <c r="A28" s="479" t="s">
        <v>7</v>
      </c>
      <c r="B28" s="26" t="s">
        <v>13</v>
      </c>
      <c r="C28" s="482" t="s">
        <v>61</v>
      </c>
      <c r="D28" s="483"/>
      <c r="E28" s="26">
        <v>49.91</v>
      </c>
      <c r="F28" s="235">
        <v>344</v>
      </c>
      <c r="G28" s="230">
        <f t="shared" si="32"/>
        <v>17169.039999999997</v>
      </c>
      <c r="H28" s="76" t="s">
        <v>57</v>
      </c>
      <c r="I28" s="233">
        <v>15</v>
      </c>
      <c r="J28" s="18">
        <v>1800</v>
      </c>
      <c r="K28" s="9">
        <f t="shared" si="33"/>
        <v>120</v>
      </c>
      <c r="L28" s="233">
        <v>15</v>
      </c>
      <c r="M28" s="10">
        <f t="shared" si="34"/>
        <v>1720.0000000000061</v>
      </c>
      <c r="N28" s="9">
        <f t="shared" si="22"/>
        <v>114.66666666666707</v>
      </c>
      <c r="O28" s="11">
        <f t="shared" si="35"/>
        <v>0</v>
      </c>
      <c r="P28" s="12">
        <f t="shared" si="36"/>
        <v>-5.3333333333329307</v>
      </c>
      <c r="Q28" s="231">
        <f t="shared" si="29"/>
        <v>0.95555555555555893</v>
      </c>
      <c r="R28" s="470"/>
      <c r="S28" s="24">
        <v>0.80625000000000002</v>
      </c>
      <c r="T28" s="24">
        <v>0.81458333333333333</v>
      </c>
      <c r="U28" s="230">
        <f t="shared" si="38"/>
        <v>6.9999999999999751</v>
      </c>
      <c r="V28" s="234">
        <f t="shared" si="37"/>
        <v>11.999999999999957</v>
      </c>
      <c r="W28" s="14"/>
      <c r="X28" s="14"/>
      <c r="Y28" s="473"/>
      <c r="Z28" s="474"/>
      <c r="AA28" s="11">
        <f t="shared" si="2"/>
        <v>-79.999999999993861</v>
      </c>
      <c r="AB28" s="231">
        <f t="shared" si="19"/>
        <v>0.95555555555555893</v>
      </c>
      <c r="AC28" s="470"/>
    </row>
    <row r="29" spans="1:29" ht="15.75" customHeight="1">
      <c r="A29" s="479" t="s">
        <v>7</v>
      </c>
      <c r="B29" s="26" t="s">
        <v>834</v>
      </c>
      <c r="C29" s="466"/>
      <c r="D29" s="466"/>
      <c r="E29" s="229"/>
      <c r="F29" s="235"/>
      <c r="G29" s="230"/>
      <c r="H29" s="235"/>
      <c r="I29" s="17">
        <v>16.666666666666668</v>
      </c>
      <c r="J29" s="18">
        <v>1733.3333333333333</v>
      </c>
      <c r="K29" s="9">
        <f t="shared" si="33"/>
        <v>103.99999999999999</v>
      </c>
      <c r="L29" s="17">
        <v>16.666666666666668</v>
      </c>
      <c r="M29" s="10">
        <f>AVERAGE(M20:M28)</f>
        <v>1584.3063256276548</v>
      </c>
      <c r="N29" s="9">
        <f>M29/L29</f>
        <v>95.058379537659278</v>
      </c>
      <c r="O29" s="11">
        <f>L29-I29</f>
        <v>0</v>
      </c>
      <c r="P29" s="12">
        <f>N29-K29</f>
        <v>-8.9416204623407083</v>
      </c>
      <c r="Q29" s="231">
        <f>N29/K29</f>
        <v>0.91402288016980082</v>
      </c>
      <c r="R29" s="470"/>
      <c r="S29" s="24"/>
      <c r="T29" s="24"/>
      <c r="U29" s="9"/>
      <c r="V29" s="234"/>
      <c r="W29" s="9"/>
      <c r="X29" s="9"/>
      <c r="Y29" s="456"/>
      <c r="Z29" s="456"/>
      <c r="AA29" s="11">
        <f t="shared" si="2"/>
        <v>-149.02700770567844</v>
      </c>
      <c r="AB29" s="231">
        <f t="shared" si="19"/>
        <v>0.91402288016980093</v>
      </c>
      <c r="AC29" s="470"/>
    </row>
    <row r="30" spans="1:29" ht="15.75" customHeight="1">
      <c r="A30" s="484" t="s">
        <v>241</v>
      </c>
      <c r="B30" s="26" t="s">
        <v>24</v>
      </c>
      <c r="C30" s="477" t="s">
        <v>26</v>
      </c>
      <c r="D30" s="477"/>
      <c r="E30" s="26">
        <v>26.2</v>
      </c>
      <c r="F30" s="235">
        <v>4480</v>
      </c>
      <c r="G30" s="230">
        <f t="shared" ref="G30:G35" si="39">E30*F30</f>
        <v>117376</v>
      </c>
      <c r="H30" s="76" t="s">
        <v>57</v>
      </c>
      <c r="I30" s="233">
        <v>20</v>
      </c>
      <c r="J30" s="18">
        <v>2400</v>
      </c>
      <c r="K30" s="9">
        <f>J30/I30</f>
        <v>120</v>
      </c>
      <c r="L30" s="233">
        <v>20</v>
      </c>
      <c r="M30" s="10">
        <f t="shared" ref="M30:M35" si="40">F30/V30*60</f>
        <v>2167.7419354838703</v>
      </c>
      <c r="N30" s="9">
        <f t="shared" ref="N30:N35" si="41">M30/L30</f>
        <v>108.38709677419351</v>
      </c>
      <c r="O30" s="11">
        <f t="shared" ref="O30:O35" si="42">L30-I30</f>
        <v>0</v>
      </c>
      <c r="P30" s="12">
        <f t="shared" ref="P30:P35" si="43">N30-K30</f>
        <v>-11.612903225806491</v>
      </c>
      <c r="Q30" s="231">
        <f t="shared" ref="Q30:Q35" si="44">N30/K30</f>
        <v>0.90322580645161255</v>
      </c>
      <c r="R30" s="470">
        <f>Q36</f>
        <v>0.90325611325869948</v>
      </c>
      <c r="S30" s="24">
        <v>0.125</v>
      </c>
      <c r="T30" s="24">
        <v>0.21111111111111114</v>
      </c>
      <c r="U30" s="230"/>
      <c r="V30" s="234">
        <f t="shared" ref="V30:V35" si="45">(T30-S30)*24*60</f>
        <v>124.00000000000004</v>
      </c>
      <c r="W30" s="14"/>
      <c r="X30" s="14"/>
      <c r="Y30" s="456"/>
      <c r="Z30" s="456"/>
      <c r="AA30" s="11">
        <f t="shared" si="2"/>
        <v>-232.25806451612971</v>
      </c>
      <c r="AB30" s="231">
        <f>M30/J30</f>
        <v>0.90322580645161266</v>
      </c>
      <c r="AC30" s="470">
        <f>AB36</f>
        <v>0.90325611325869959</v>
      </c>
    </row>
    <row r="31" spans="1:29" ht="15.75" customHeight="1">
      <c r="A31" s="484" t="s">
        <v>8</v>
      </c>
      <c r="B31" s="26" t="s">
        <v>24</v>
      </c>
      <c r="C31" s="477" t="s">
        <v>25</v>
      </c>
      <c r="D31" s="477"/>
      <c r="E31" s="26">
        <v>20.52</v>
      </c>
      <c r="F31" s="235">
        <v>4348</v>
      </c>
      <c r="G31" s="230">
        <f t="shared" si="39"/>
        <v>89220.959999999992</v>
      </c>
      <c r="H31" s="76" t="s">
        <v>57</v>
      </c>
      <c r="I31" s="233">
        <v>18</v>
      </c>
      <c r="J31" s="18">
        <v>2400</v>
      </c>
      <c r="K31" s="9">
        <f t="shared" ref="K31:K36" si="46">J31/I31</f>
        <v>133.33333333333334</v>
      </c>
      <c r="L31" s="233">
        <v>18</v>
      </c>
      <c r="M31" s="10">
        <f t="shared" si="40"/>
        <v>2174</v>
      </c>
      <c r="N31" s="9">
        <f t="shared" si="41"/>
        <v>120.77777777777777</v>
      </c>
      <c r="O31" s="11">
        <f t="shared" si="42"/>
        <v>0</v>
      </c>
      <c r="P31" s="12">
        <f t="shared" si="43"/>
        <v>-12.555555555555571</v>
      </c>
      <c r="Q31" s="231">
        <f t="shared" si="44"/>
        <v>0.90583333333333327</v>
      </c>
      <c r="R31" s="470"/>
      <c r="S31" s="24">
        <v>0.22986111111111115</v>
      </c>
      <c r="T31" s="24">
        <v>0.3131944444444445</v>
      </c>
      <c r="U31" s="230">
        <f>(S31-T30)*24*60</f>
        <v>27.000000000000025</v>
      </c>
      <c r="V31" s="234">
        <f t="shared" si="45"/>
        <v>120</v>
      </c>
      <c r="W31" s="14"/>
      <c r="X31" s="14"/>
      <c r="Y31" s="456"/>
      <c r="Z31" s="456"/>
      <c r="AA31" s="11">
        <f t="shared" si="2"/>
        <v>-226</v>
      </c>
      <c r="AB31" s="231">
        <f t="shared" ref="AB31:AB35" si="47">M31/J31</f>
        <v>0.90583333333333338</v>
      </c>
      <c r="AC31" s="470"/>
    </row>
    <row r="32" spans="1:29" ht="15.75" customHeight="1">
      <c r="A32" s="484" t="s">
        <v>8</v>
      </c>
      <c r="B32" s="26" t="s">
        <v>24</v>
      </c>
      <c r="C32" s="477" t="s">
        <v>513</v>
      </c>
      <c r="D32" s="477"/>
      <c r="E32" s="26">
        <v>31.29</v>
      </c>
      <c r="F32" s="235">
        <v>3500</v>
      </c>
      <c r="G32" s="230">
        <f t="shared" si="39"/>
        <v>109515</v>
      </c>
      <c r="H32" s="76">
        <v>2</v>
      </c>
      <c r="I32" s="233">
        <v>16</v>
      </c>
      <c r="J32" s="18">
        <v>2400</v>
      </c>
      <c r="K32" s="9">
        <f t="shared" si="46"/>
        <v>150</v>
      </c>
      <c r="L32" s="233">
        <v>16</v>
      </c>
      <c r="M32" s="10">
        <f t="shared" si="40"/>
        <v>2164.9484536082482</v>
      </c>
      <c r="N32" s="9">
        <f t="shared" si="41"/>
        <v>135.30927835051551</v>
      </c>
      <c r="O32" s="11">
        <f t="shared" si="42"/>
        <v>0</v>
      </c>
      <c r="P32" s="12">
        <f t="shared" si="43"/>
        <v>-14.690721649484487</v>
      </c>
      <c r="Q32" s="231">
        <f t="shared" si="44"/>
        <v>0.90206185567010344</v>
      </c>
      <c r="R32" s="470"/>
      <c r="S32" s="24">
        <v>0.31666666666666671</v>
      </c>
      <c r="T32" s="24">
        <v>0.3840277777777778</v>
      </c>
      <c r="U32" s="230">
        <f t="shared" ref="U32:U35" si="48">(S32-T31)*24*60</f>
        <v>4.9999999999999822</v>
      </c>
      <c r="V32" s="234">
        <f t="shared" si="45"/>
        <v>96.999999999999972</v>
      </c>
      <c r="W32" s="14"/>
      <c r="X32" s="14"/>
      <c r="Y32" s="456"/>
      <c r="Z32" s="456"/>
      <c r="AA32" s="11">
        <f t="shared" si="2"/>
        <v>-235.0515463917518</v>
      </c>
      <c r="AB32" s="231">
        <f t="shared" si="47"/>
        <v>0.90206185567010344</v>
      </c>
      <c r="AC32" s="470"/>
    </row>
    <row r="33" spans="1:29" ht="15.75" customHeight="1">
      <c r="A33" s="484" t="s">
        <v>8</v>
      </c>
      <c r="B33" s="26" t="s">
        <v>24</v>
      </c>
      <c r="C33" s="477" t="s">
        <v>84</v>
      </c>
      <c r="D33" s="477"/>
      <c r="E33" s="26">
        <v>24.25</v>
      </c>
      <c r="F33" s="235">
        <v>3000</v>
      </c>
      <c r="G33" s="230">
        <f t="shared" si="39"/>
        <v>72750</v>
      </c>
      <c r="H33" s="76">
        <v>2</v>
      </c>
      <c r="I33" s="233">
        <v>18</v>
      </c>
      <c r="J33" s="18">
        <v>2400</v>
      </c>
      <c r="K33" s="9">
        <f t="shared" si="46"/>
        <v>133.33333333333334</v>
      </c>
      <c r="L33" s="233">
        <v>18</v>
      </c>
      <c r="M33" s="10">
        <f t="shared" si="40"/>
        <v>2168.6746987951801</v>
      </c>
      <c r="N33" s="9">
        <f t="shared" si="41"/>
        <v>120.48192771084334</v>
      </c>
      <c r="O33" s="11">
        <f t="shared" si="42"/>
        <v>0</v>
      </c>
      <c r="P33" s="12">
        <f t="shared" si="43"/>
        <v>-12.851405622490006</v>
      </c>
      <c r="Q33" s="231">
        <f t="shared" si="44"/>
        <v>0.90361445783132499</v>
      </c>
      <c r="R33" s="470"/>
      <c r="S33" s="24">
        <v>0.3888888888888889</v>
      </c>
      <c r="T33" s="24">
        <v>0.4465277777777778</v>
      </c>
      <c r="U33" s="230">
        <f t="shared" si="48"/>
        <v>6.9999999999999751</v>
      </c>
      <c r="V33" s="234">
        <f t="shared" si="45"/>
        <v>83.000000000000028</v>
      </c>
      <c r="W33" s="14"/>
      <c r="X33" s="14"/>
      <c r="Y33" s="456"/>
      <c r="Z33" s="456"/>
      <c r="AA33" s="11">
        <f t="shared" si="2"/>
        <v>-231.32530120481988</v>
      </c>
      <c r="AB33" s="231">
        <f t="shared" si="47"/>
        <v>0.9036144578313251</v>
      </c>
      <c r="AC33" s="470"/>
    </row>
    <row r="34" spans="1:29" ht="15.75" customHeight="1">
      <c r="A34" s="484" t="s">
        <v>8</v>
      </c>
      <c r="B34" s="26" t="s">
        <v>24</v>
      </c>
      <c r="C34" s="477" t="s">
        <v>69</v>
      </c>
      <c r="D34" s="477"/>
      <c r="E34" s="26">
        <v>22.35</v>
      </c>
      <c r="F34" s="235">
        <v>2853</v>
      </c>
      <c r="G34" s="230">
        <f t="shared" si="39"/>
        <v>63764.55</v>
      </c>
      <c r="H34" s="76" t="s">
        <v>57</v>
      </c>
      <c r="I34" s="233">
        <v>16</v>
      </c>
      <c r="J34" s="18">
        <v>2400</v>
      </c>
      <c r="K34" s="9">
        <f t="shared" si="46"/>
        <v>150</v>
      </c>
      <c r="L34" s="233">
        <v>16</v>
      </c>
      <c r="M34" s="10">
        <f t="shared" si="40"/>
        <v>2166.8354430379759</v>
      </c>
      <c r="N34" s="9">
        <f t="shared" si="41"/>
        <v>135.42721518987349</v>
      </c>
      <c r="O34" s="11">
        <f t="shared" si="42"/>
        <v>0</v>
      </c>
      <c r="P34" s="12">
        <f t="shared" si="43"/>
        <v>-14.572784810126507</v>
      </c>
      <c r="Q34" s="231">
        <f t="shared" si="44"/>
        <v>0.90284810126582327</v>
      </c>
      <c r="R34" s="470"/>
      <c r="S34" s="24">
        <v>0.4513888888888889</v>
      </c>
      <c r="T34" s="24">
        <v>0.50624999999999998</v>
      </c>
      <c r="U34" s="230">
        <f t="shared" si="48"/>
        <v>6.9999999999999751</v>
      </c>
      <c r="V34" s="234">
        <f t="shared" si="45"/>
        <v>78.999999999999957</v>
      </c>
      <c r="W34" s="14"/>
      <c r="X34" s="14"/>
      <c r="Y34" s="456"/>
      <c r="Z34" s="456"/>
      <c r="AA34" s="11">
        <f t="shared" si="2"/>
        <v>-233.16455696202411</v>
      </c>
      <c r="AB34" s="231">
        <f t="shared" si="47"/>
        <v>0.90284810126582327</v>
      </c>
      <c r="AC34" s="470"/>
    </row>
    <row r="35" spans="1:29" ht="15.75" customHeight="1">
      <c r="A35" s="484" t="s">
        <v>8</v>
      </c>
      <c r="B35" s="26" t="s">
        <v>24</v>
      </c>
      <c r="C35" s="477" t="s">
        <v>513</v>
      </c>
      <c r="D35" s="477"/>
      <c r="E35" s="26">
        <v>31.29</v>
      </c>
      <c r="F35" s="235">
        <v>4618</v>
      </c>
      <c r="G35" s="230">
        <f t="shared" si="39"/>
        <v>144497.22</v>
      </c>
      <c r="H35" s="76" t="s">
        <v>57</v>
      </c>
      <c r="I35" s="233">
        <v>16</v>
      </c>
      <c r="J35" s="18">
        <v>2400</v>
      </c>
      <c r="K35" s="9">
        <f t="shared" si="46"/>
        <v>150</v>
      </c>
      <c r="L35" s="233">
        <v>16</v>
      </c>
      <c r="M35" s="10">
        <f t="shared" si="40"/>
        <v>2164.6874999999995</v>
      </c>
      <c r="N35" s="9">
        <f t="shared" si="41"/>
        <v>135.29296874999997</v>
      </c>
      <c r="O35" s="11">
        <f t="shared" si="42"/>
        <v>0</v>
      </c>
      <c r="P35" s="12">
        <f t="shared" si="43"/>
        <v>-14.707031250000028</v>
      </c>
      <c r="Q35" s="231">
        <f t="shared" si="44"/>
        <v>0.9019531249999998</v>
      </c>
      <c r="R35" s="470"/>
      <c r="S35" s="24">
        <v>0.54583333333333328</v>
      </c>
      <c r="T35" s="24">
        <v>0.63472222222222219</v>
      </c>
      <c r="U35" s="230">
        <f t="shared" si="48"/>
        <v>56.999999999999957</v>
      </c>
      <c r="V35" s="234">
        <f t="shared" si="45"/>
        <v>128.00000000000003</v>
      </c>
      <c r="W35" s="14"/>
      <c r="X35" s="14"/>
      <c r="Y35" s="456"/>
      <c r="Z35" s="456"/>
      <c r="AA35" s="11">
        <f t="shared" si="2"/>
        <v>-235.31250000000045</v>
      </c>
      <c r="AB35" s="231">
        <f t="shared" si="47"/>
        <v>0.9019531249999998</v>
      </c>
      <c r="AC35" s="470"/>
    </row>
    <row r="36" spans="1:29" ht="15.75" customHeight="1">
      <c r="A36" s="484" t="s">
        <v>8</v>
      </c>
      <c r="B36" s="26" t="s">
        <v>831</v>
      </c>
      <c r="C36" s="466"/>
      <c r="D36" s="466"/>
      <c r="E36" s="229"/>
      <c r="F36" s="235"/>
      <c r="G36" s="230"/>
      <c r="H36" s="235"/>
      <c r="I36" s="17">
        <v>17.333333333333332</v>
      </c>
      <c r="J36" s="18">
        <v>2400</v>
      </c>
      <c r="K36" s="9">
        <f t="shared" si="46"/>
        <v>138.46153846153848</v>
      </c>
      <c r="L36" s="17">
        <v>17.333333333333332</v>
      </c>
      <c r="M36" s="10">
        <f>AVERAGE(M30:M35)</f>
        <v>2167.8146718208791</v>
      </c>
      <c r="N36" s="9">
        <f>M36/L36</f>
        <v>125.06623106658918</v>
      </c>
      <c r="O36" s="11">
        <f>L36-I36</f>
        <v>0</v>
      </c>
      <c r="P36" s="12">
        <f>N36-K36</f>
        <v>-13.395307394949299</v>
      </c>
      <c r="Q36" s="231">
        <f>N36/K36</f>
        <v>0.90325611325869948</v>
      </c>
      <c r="R36" s="470"/>
      <c r="S36" s="24"/>
      <c r="T36" s="24"/>
      <c r="U36" s="230"/>
      <c r="V36" s="234"/>
      <c r="W36" s="230"/>
      <c r="X36" s="230"/>
      <c r="Y36" s="456"/>
      <c r="Z36" s="456"/>
      <c r="AA36" s="11">
        <f t="shared" si="2"/>
        <v>-232.18532817912092</v>
      </c>
      <c r="AB36" s="231">
        <f>M36/J36</f>
        <v>0.90325611325869959</v>
      </c>
      <c r="AC36" s="470"/>
    </row>
    <row r="37" spans="1:29" ht="15.75" customHeight="1">
      <c r="A37" s="485" t="s">
        <v>159</v>
      </c>
      <c r="B37" s="26" t="s">
        <v>24</v>
      </c>
      <c r="C37" s="487" t="s">
        <v>29</v>
      </c>
      <c r="D37" s="487"/>
      <c r="E37" s="26">
        <v>26.2</v>
      </c>
      <c r="F37" s="235">
        <v>4000</v>
      </c>
      <c r="G37" s="230">
        <f t="shared" ref="G37:G45" si="49">E37*F37</f>
        <v>104800</v>
      </c>
      <c r="H37" s="76">
        <v>2</v>
      </c>
      <c r="I37" s="233">
        <v>18</v>
      </c>
      <c r="J37" s="18">
        <v>2400</v>
      </c>
      <c r="K37" s="9">
        <f>J37/I37</f>
        <v>133.33333333333334</v>
      </c>
      <c r="L37" s="233">
        <v>18</v>
      </c>
      <c r="M37" s="10">
        <f>F37/V37*60</f>
        <v>2162.1621621621625</v>
      </c>
      <c r="N37" s="9">
        <f>M37/L37</f>
        <v>120.12012012012013</v>
      </c>
      <c r="O37" s="11">
        <f t="shared" ref="O37:O45" si="50">L37-I37</f>
        <v>0</v>
      </c>
      <c r="P37" s="12">
        <f t="shared" ref="P37:P55" si="51">N37-K37</f>
        <v>-13.213213213213209</v>
      </c>
      <c r="Q37" s="231">
        <f t="shared" ref="Q37:Q50" si="52">N37/K37</f>
        <v>0.90090090090090091</v>
      </c>
      <c r="R37" s="470">
        <f>Q46</f>
        <v>0.90498977675234982</v>
      </c>
      <c r="S37" s="24">
        <v>8.3333333333333329E-2</v>
      </c>
      <c r="T37" s="24">
        <v>0.16041666666666665</v>
      </c>
      <c r="U37" s="230"/>
      <c r="V37" s="234">
        <f t="shared" ref="V37:V45" si="53">(T37-S37)*24*60</f>
        <v>110.99999999999997</v>
      </c>
      <c r="W37" s="15"/>
      <c r="X37" s="15"/>
      <c r="Y37" s="456"/>
      <c r="Z37" s="456"/>
      <c r="AA37" s="11">
        <f t="shared" si="2"/>
        <v>-237.83783783783747</v>
      </c>
      <c r="AB37" s="231">
        <f>M37/J37</f>
        <v>0.90090090090090102</v>
      </c>
      <c r="AC37" s="470">
        <f>AB46</f>
        <v>0.90498977675234982</v>
      </c>
    </row>
    <row r="38" spans="1:29" ht="15.75" customHeight="1">
      <c r="A38" s="485" t="s">
        <v>159</v>
      </c>
      <c r="B38" s="26" t="s">
        <v>24</v>
      </c>
      <c r="C38" s="487" t="s">
        <v>31</v>
      </c>
      <c r="D38" s="487"/>
      <c r="E38" s="26">
        <v>24.45</v>
      </c>
      <c r="F38" s="235">
        <v>2431</v>
      </c>
      <c r="G38" s="230">
        <f t="shared" si="49"/>
        <v>59437.95</v>
      </c>
      <c r="H38" s="76" t="s">
        <v>57</v>
      </c>
      <c r="I38" s="233">
        <v>20</v>
      </c>
      <c r="J38" s="18">
        <v>2400</v>
      </c>
      <c r="K38" s="9">
        <f t="shared" ref="K38:K54" si="54">J38/I38</f>
        <v>120</v>
      </c>
      <c r="L38" s="233">
        <v>20</v>
      </c>
      <c r="M38" s="10">
        <f t="shared" ref="M38:M45" si="55">F38/V38*60</f>
        <v>2177.0149253731342</v>
      </c>
      <c r="N38" s="9">
        <f t="shared" ref="N38:N45" si="56">M38/L38</f>
        <v>108.85074626865671</v>
      </c>
      <c r="O38" s="11">
        <f t="shared" si="50"/>
        <v>0</v>
      </c>
      <c r="P38" s="12">
        <f t="shared" si="51"/>
        <v>-11.149253731343293</v>
      </c>
      <c r="Q38" s="231">
        <f t="shared" si="52"/>
        <v>0.90708955223880594</v>
      </c>
      <c r="R38" s="470"/>
      <c r="S38" s="24">
        <v>0.17986111111111108</v>
      </c>
      <c r="T38" s="24">
        <v>0.22638888888888886</v>
      </c>
      <c r="U38" s="230">
        <f>(S38-T37)*24*60</f>
        <v>27.999999999999979</v>
      </c>
      <c r="V38" s="234">
        <f t="shared" si="53"/>
        <v>67</v>
      </c>
      <c r="W38" s="230"/>
      <c r="X38" s="230"/>
      <c r="Y38" s="456"/>
      <c r="Z38" s="456"/>
      <c r="AA38" s="11">
        <f t="shared" si="2"/>
        <v>-222.98507462686575</v>
      </c>
      <c r="AB38" s="231">
        <f t="shared" ref="AB38:AB66" si="57">M38/J38</f>
        <v>0.90708955223880594</v>
      </c>
      <c r="AC38" s="470"/>
    </row>
    <row r="39" spans="1:29">
      <c r="A39" s="486" t="s">
        <v>159</v>
      </c>
      <c r="B39" s="26" t="s">
        <v>24</v>
      </c>
      <c r="C39" s="487" t="s">
        <v>32</v>
      </c>
      <c r="D39" s="487"/>
      <c r="E39" s="26">
        <v>26.2</v>
      </c>
      <c r="F39" s="235">
        <v>2936</v>
      </c>
      <c r="G39" s="230">
        <f t="shared" si="49"/>
        <v>76923.199999999997</v>
      </c>
      <c r="H39" s="76" t="s">
        <v>57</v>
      </c>
      <c r="I39" s="233">
        <v>20</v>
      </c>
      <c r="J39" s="18">
        <v>2400</v>
      </c>
      <c r="K39" s="9">
        <f t="shared" si="54"/>
        <v>120</v>
      </c>
      <c r="L39" s="233">
        <v>20</v>
      </c>
      <c r="M39" s="10">
        <f t="shared" si="55"/>
        <v>2174.8148148148152</v>
      </c>
      <c r="N39" s="9">
        <f t="shared" si="56"/>
        <v>108.74074074074076</v>
      </c>
      <c r="O39" s="11">
        <f t="shared" si="50"/>
        <v>0</v>
      </c>
      <c r="P39" s="12">
        <f t="shared" si="51"/>
        <v>-11.259259259259238</v>
      </c>
      <c r="Q39" s="231">
        <f t="shared" si="52"/>
        <v>0.906172839506173</v>
      </c>
      <c r="R39" s="470"/>
      <c r="S39" s="24">
        <v>0.23055555555555554</v>
      </c>
      <c r="T39" s="24">
        <v>0.28680555555555554</v>
      </c>
      <c r="U39" s="230">
        <f t="shared" ref="U39:U45" si="58">(S39-T38)*24*60</f>
        <v>6.0000000000000187</v>
      </c>
      <c r="V39" s="234">
        <f t="shared" si="53"/>
        <v>80.999999999999986</v>
      </c>
      <c r="W39" s="230"/>
      <c r="X39" s="230"/>
      <c r="Y39" s="456"/>
      <c r="Z39" s="456"/>
      <c r="AA39" s="11">
        <f t="shared" si="2"/>
        <v>-225.18518518518476</v>
      </c>
      <c r="AB39" s="231">
        <f t="shared" si="57"/>
        <v>0.906172839506173</v>
      </c>
      <c r="AC39" s="470"/>
    </row>
    <row r="40" spans="1:29">
      <c r="A40" s="486" t="s">
        <v>159</v>
      </c>
      <c r="B40" s="26" t="s">
        <v>24</v>
      </c>
      <c r="C40" s="487" t="s">
        <v>30</v>
      </c>
      <c r="D40" s="487"/>
      <c r="E40" s="26">
        <v>26.39</v>
      </c>
      <c r="F40" s="235">
        <v>3500</v>
      </c>
      <c r="G40" s="230">
        <f t="shared" si="49"/>
        <v>92365</v>
      </c>
      <c r="H40" s="76">
        <v>2</v>
      </c>
      <c r="I40" s="233">
        <v>19</v>
      </c>
      <c r="J40" s="18">
        <v>2400</v>
      </c>
      <c r="K40" s="9">
        <f t="shared" si="54"/>
        <v>126.31578947368421</v>
      </c>
      <c r="L40" s="233">
        <v>19</v>
      </c>
      <c r="M40" s="10">
        <f t="shared" si="55"/>
        <v>2164.9484536082482</v>
      </c>
      <c r="N40" s="9">
        <f t="shared" si="56"/>
        <v>113.94465545306569</v>
      </c>
      <c r="O40" s="11">
        <f t="shared" si="50"/>
        <v>0</v>
      </c>
      <c r="P40" s="12">
        <f t="shared" si="51"/>
        <v>-12.371134020618513</v>
      </c>
      <c r="Q40" s="231">
        <f t="shared" si="52"/>
        <v>0.90206185567010344</v>
      </c>
      <c r="R40" s="470"/>
      <c r="S40" s="24">
        <v>0.29166666666666663</v>
      </c>
      <c r="T40" s="24">
        <v>0.35902777777777772</v>
      </c>
      <c r="U40" s="230">
        <f t="shared" si="58"/>
        <v>6.9999999999999751</v>
      </c>
      <c r="V40" s="234">
        <f t="shared" si="53"/>
        <v>96.999999999999972</v>
      </c>
      <c r="W40" s="14"/>
      <c r="X40" s="14"/>
      <c r="Y40" s="456"/>
      <c r="Z40" s="456"/>
      <c r="AA40" s="11">
        <f t="shared" si="2"/>
        <v>-235.0515463917518</v>
      </c>
      <c r="AB40" s="231">
        <f t="shared" si="57"/>
        <v>0.90206185567010344</v>
      </c>
      <c r="AC40" s="470"/>
    </row>
    <row r="41" spans="1:29">
      <c r="A41" s="486" t="s">
        <v>159</v>
      </c>
      <c r="B41" s="26" t="s">
        <v>24</v>
      </c>
      <c r="C41" s="487" t="s">
        <v>27</v>
      </c>
      <c r="D41" s="487"/>
      <c r="E41" s="26">
        <v>20.52</v>
      </c>
      <c r="F41" s="235">
        <v>3173</v>
      </c>
      <c r="G41" s="230">
        <f t="shared" si="49"/>
        <v>65109.96</v>
      </c>
      <c r="H41" s="76" t="s">
        <v>57</v>
      </c>
      <c r="I41" s="233">
        <v>18</v>
      </c>
      <c r="J41" s="18">
        <v>2400</v>
      </c>
      <c r="K41" s="9">
        <f t="shared" si="54"/>
        <v>133.33333333333334</v>
      </c>
      <c r="L41" s="233">
        <v>18</v>
      </c>
      <c r="M41" s="10">
        <f t="shared" si="55"/>
        <v>2163.409090909091</v>
      </c>
      <c r="N41" s="9">
        <f t="shared" si="56"/>
        <v>120.18939393939394</v>
      </c>
      <c r="O41" s="11">
        <f t="shared" si="50"/>
        <v>0</v>
      </c>
      <c r="P41" s="12">
        <f t="shared" si="51"/>
        <v>-13.143939393939405</v>
      </c>
      <c r="Q41" s="231">
        <f t="shared" si="52"/>
        <v>0.9014204545454545</v>
      </c>
      <c r="R41" s="470"/>
      <c r="S41" s="24">
        <v>0.36458333333333326</v>
      </c>
      <c r="T41" s="24">
        <v>0.42569444444444438</v>
      </c>
      <c r="U41" s="230">
        <f t="shared" si="58"/>
        <v>7.9999999999999716</v>
      </c>
      <c r="V41" s="234">
        <f t="shared" si="53"/>
        <v>88</v>
      </c>
      <c r="W41" s="14"/>
      <c r="X41" s="14"/>
      <c r="Y41" s="456"/>
      <c r="Z41" s="456"/>
      <c r="AA41" s="11">
        <f t="shared" si="2"/>
        <v>-236.59090909090901</v>
      </c>
      <c r="AB41" s="231">
        <f t="shared" si="57"/>
        <v>0.90142045454545461</v>
      </c>
      <c r="AC41" s="470"/>
    </row>
    <row r="42" spans="1:29">
      <c r="A42" s="486" t="s">
        <v>159</v>
      </c>
      <c r="B42" s="26" t="s">
        <v>24</v>
      </c>
      <c r="C42" s="487" t="s">
        <v>55</v>
      </c>
      <c r="D42" s="487"/>
      <c r="E42" s="26">
        <v>26.2</v>
      </c>
      <c r="F42" s="235">
        <v>4123</v>
      </c>
      <c r="G42" s="230">
        <f t="shared" si="49"/>
        <v>108022.59999999999</v>
      </c>
      <c r="H42" s="76" t="s">
        <v>57</v>
      </c>
      <c r="I42" s="233">
        <v>19</v>
      </c>
      <c r="J42" s="18">
        <v>2400</v>
      </c>
      <c r="K42" s="9">
        <f t="shared" si="54"/>
        <v>126.31578947368421</v>
      </c>
      <c r="L42" s="233">
        <v>19</v>
      </c>
      <c r="M42" s="10">
        <f t="shared" si="55"/>
        <v>2170.0000000000014</v>
      </c>
      <c r="N42" s="9">
        <f t="shared" si="56"/>
        <v>114.21052631578955</v>
      </c>
      <c r="O42" s="11">
        <f t="shared" si="50"/>
        <v>0</v>
      </c>
      <c r="P42" s="12">
        <f t="shared" si="51"/>
        <v>-12.105263157894655</v>
      </c>
      <c r="Q42" s="231">
        <f t="shared" si="52"/>
        <v>0.90416666666666734</v>
      </c>
      <c r="R42" s="470"/>
      <c r="S42" s="24">
        <v>0.42986111111111103</v>
      </c>
      <c r="T42" s="24">
        <v>0.50902777777777763</v>
      </c>
      <c r="U42" s="230">
        <f t="shared" si="58"/>
        <v>5.9999999999999787</v>
      </c>
      <c r="V42" s="234">
        <f t="shared" si="53"/>
        <v>113.99999999999991</v>
      </c>
      <c r="W42" s="14"/>
      <c r="X42" s="14"/>
      <c r="Y42" s="456"/>
      <c r="Z42" s="456"/>
      <c r="AA42" s="11">
        <f t="shared" si="2"/>
        <v>-229.99999999999864</v>
      </c>
      <c r="AB42" s="231">
        <f t="shared" si="57"/>
        <v>0.90416666666666723</v>
      </c>
      <c r="AC42" s="470"/>
    </row>
    <row r="43" spans="1:29">
      <c r="A43" s="486" t="s">
        <v>159</v>
      </c>
      <c r="B43" s="26" t="s">
        <v>24</v>
      </c>
      <c r="C43" s="487" t="s">
        <v>84</v>
      </c>
      <c r="D43" s="487"/>
      <c r="E43" s="26">
        <v>24.25</v>
      </c>
      <c r="F43" s="235">
        <v>2338</v>
      </c>
      <c r="G43" s="230">
        <f t="shared" si="49"/>
        <v>56696.5</v>
      </c>
      <c r="H43" s="76" t="s">
        <v>57</v>
      </c>
      <c r="I43" s="233">
        <v>18</v>
      </c>
      <c r="J43" s="18">
        <v>2400</v>
      </c>
      <c r="K43" s="9">
        <f t="shared" si="54"/>
        <v>133.33333333333334</v>
      </c>
      <c r="L43" s="233">
        <v>18</v>
      </c>
      <c r="M43" s="10">
        <f t="shared" si="55"/>
        <v>2191.8750000000027</v>
      </c>
      <c r="N43" s="9">
        <f t="shared" si="56"/>
        <v>121.77083333333348</v>
      </c>
      <c r="O43" s="11">
        <f t="shared" si="50"/>
        <v>0</v>
      </c>
      <c r="P43" s="12">
        <f t="shared" si="51"/>
        <v>-11.562499999999858</v>
      </c>
      <c r="Q43" s="231">
        <f t="shared" si="52"/>
        <v>0.91328125000000104</v>
      </c>
      <c r="R43" s="470"/>
      <c r="S43" s="24">
        <v>0.54999999999999982</v>
      </c>
      <c r="T43" s="24">
        <v>0.59444444444444422</v>
      </c>
      <c r="U43" s="230">
        <f t="shared" si="58"/>
        <v>58.99999999999995</v>
      </c>
      <c r="V43" s="234">
        <f t="shared" si="53"/>
        <v>63.999999999999929</v>
      </c>
      <c r="W43" s="14"/>
      <c r="X43" s="14"/>
      <c r="Y43" s="473"/>
      <c r="Z43" s="474"/>
      <c r="AA43" s="11">
        <f t="shared" si="2"/>
        <v>-208.12499999999727</v>
      </c>
      <c r="AB43" s="231">
        <f t="shared" si="57"/>
        <v>0.91328125000000115</v>
      </c>
      <c r="AC43" s="470"/>
    </row>
    <row r="44" spans="1:29">
      <c r="A44" s="486" t="s">
        <v>159</v>
      </c>
      <c r="B44" s="26" t="s">
        <v>24</v>
      </c>
      <c r="C44" s="487" t="s">
        <v>29</v>
      </c>
      <c r="D44" s="487"/>
      <c r="E44" s="26">
        <v>26.2</v>
      </c>
      <c r="F44" s="235">
        <v>1987</v>
      </c>
      <c r="G44" s="230">
        <f t="shared" si="49"/>
        <v>52059.4</v>
      </c>
      <c r="H44" s="76" t="s">
        <v>57</v>
      </c>
      <c r="I44" s="233">
        <v>18</v>
      </c>
      <c r="J44" s="18">
        <v>2400</v>
      </c>
      <c r="K44" s="9">
        <f t="shared" si="54"/>
        <v>133.33333333333334</v>
      </c>
      <c r="L44" s="233">
        <v>18</v>
      </c>
      <c r="M44" s="10">
        <f t="shared" si="55"/>
        <v>2167.6363636363653</v>
      </c>
      <c r="N44" s="9">
        <f t="shared" si="56"/>
        <v>120.42424242424252</v>
      </c>
      <c r="O44" s="11">
        <f t="shared" si="50"/>
        <v>0</v>
      </c>
      <c r="P44" s="12">
        <f t="shared" si="51"/>
        <v>-12.909090909090821</v>
      </c>
      <c r="Q44" s="231">
        <f t="shared" si="52"/>
        <v>0.90318181818181886</v>
      </c>
      <c r="R44" s="470"/>
      <c r="S44" s="24">
        <v>0.59999999999999976</v>
      </c>
      <c r="T44" s="24">
        <v>0.63819444444444418</v>
      </c>
      <c r="U44" s="230">
        <f t="shared" si="58"/>
        <v>7.9999999999999716</v>
      </c>
      <c r="V44" s="234">
        <f t="shared" si="53"/>
        <v>54.999999999999964</v>
      </c>
      <c r="W44" s="14"/>
      <c r="X44" s="14"/>
      <c r="Y44" s="473"/>
      <c r="Z44" s="474"/>
      <c r="AA44" s="11">
        <f t="shared" si="2"/>
        <v>-232.36363636363467</v>
      </c>
      <c r="AB44" s="231">
        <f t="shared" si="57"/>
        <v>0.90318181818181886</v>
      </c>
      <c r="AC44" s="470"/>
    </row>
    <row r="45" spans="1:29">
      <c r="A45" s="486" t="s">
        <v>159</v>
      </c>
      <c r="B45" s="26" t="s">
        <v>24</v>
      </c>
      <c r="C45" s="487" t="s">
        <v>30</v>
      </c>
      <c r="D45" s="487"/>
      <c r="E45" s="26">
        <v>26.39</v>
      </c>
      <c r="F45" s="235">
        <v>1777</v>
      </c>
      <c r="G45" s="230">
        <f t="shared" si="49"/>
        <v>46895.03</v>
      </c>
      <c r="H45" s="76" t="s">
        <v>57</v>
      </c>
      <c r="I45" s="233">
        <v>19</v>
      </c>
      <c r="J45" s="18">
        <v>2400</v>
      </c>
      <c r="K45" s="9">
        <f t="shared" si="54"/>
        <v>126.31578947368421</v>
      </c>
      <c r="L45" s="233">
        <v>19</v>
      </c>
      <c r="M45" s="10">
        <f t="shared" si="55"/>
        <v>2175.9183673469392</v>
      </c>
      <c r="N45" s="9">
        <f t="shared" si="56"/>
        <v>114.52201933404943</v>
      </c>
      <c r="O45" s="11">
        <f t="shared" si="50"/>
        <v>0</v>
      </c>
      <c r="P45" s="12">
        <f t="shared" si="51"/>
        <v>-11.793770139634773</v>
      </c>
      <c r="Q45" s="231">
        <f t="shared" si="52"/>
        <v>0.90663265306122476</v>
      </c>
      <c r="R45" s="470"/>
      <c r="S45" s="24">
        <v>0.64166666666666639</v>
      </c>
      <c r="T45" s="24">
        <v>0.67569444444444415</v>
      </c>
      <c r="U45" s="230">
        <f t="shared" si="58"/>
        <v>4.9999999999999822</v>
      </c>
      <c r="V45" s="234">
        <f t="shared" si="53"/>
        <v>48.999999999999986</v>
      </c>
      <c r="W45" s="14"/>
      <c r="X45" s="14"/>
      <c r="Y45" s="473"/>
      <c r="Z45" s="474"/>
      <c r="AA45" s="11">
        <f t="shared" si="2"/>
        <v>-224.08163265306075</v>
      </c>
      <c r="AB45" s="231">
        <f t="shared" si="57"/>
        <v>0.90663265306122465</v>
      </c>
      <c r="AC45" s="470"/>
    </row>
    <row r="46" spans="1:29">
      <c r="A46" s="486" t="s">
        <v>159</v>
      </c>
      <c r="B46" s="16" t="s">
        <v>81</v>
      </c>
      <c r="C46" s="466"/>
      <c r="D46" s="466"/>
      <c r="E46" s="229"/>
      <c r="F46" s="16"/>
      <c r="G46" s="9"/>
      <c r="H46" s="235"/>
      <c r="I46" s="17">
        <v>18.777777777777779</v>
      </c>
      <c r="J46" s="18">
        <v>2400</v>
      </c>
      <c r="K46" s="9">
        <f t="shared" si="54"/>
        <v>127.81065088757396</v>
      </c>
      <c r="L46" s="17">
        <v>18.777777777777779</v>
      </c>
      <c r="M46" s="10">
        <f>AVERAGE(M37:M45)</f>
        <v>2171.9754642056396</v>
      </c>
      <c r="N46" s="9">
        <f>M46/L46</f>
        <v>115.66733241331808</v>
      </c>
      <c r="O46" s="11">
        <f>L46-I46</f>
        <v>0</v>
      </c>
      <c r="P46" s="12">
        <f t="shared" si="51"/>
        <v>-12.143318474255878</v>
      </c>
      <c r="Q46" s="231">
        <f t="shared" si="52"/>
        <v>0.90498977675234982</v>
      </c>
      <c r="R46" s="470"/>
      <c r="S46" s="24"/>
      <c r="T46" s="24"/>
      <c r="U46" s="9"/>
      <c r="V46" s="234"/>
      <c r="W46" s="9"/>
      <c r="X46" s="9"/>
      <c r="Y46" s="456"/>
      <c r="Z46" s="456"/>
      <c r="AA46" s="11">
        <f t="shared" si="2"/>
        <v>-228.02453579436042</v>
      </c>
      <c r="AB46" s="231">
        <f t="shared" si="57"/>
        <v>0.90498977675234982</v>
      </c>
      <c r="AC46" s="470"/>
    </row>
    <row r="47" spans="1:29" ht="15.75" customHeight="1">
      <c r="A47" s="488" t="s">
        <v>244</v>
      </c>
      <c r="B47" s="26" t="s">
        <v>33</v>
      </c>
      <c r="C47" s="491" t="s">
        <v>34</v>
      </c>
      <c r="D47" s="492"/>
      <c r="E47" s="26">
        <v>27.17</v>
      </c>
      <c r="F47" s="235">
        <v>2400</v>
      </c>
      <c r="G47" s="230">
        <f t="shared" ref="G47:G54" si="59">E47*F47</f>
        <v>65208.000000000007</v>
      </c>
      <c r="H47" s="76">
        <v>2</v>
      </c>
      <c r="I47" s="233">
        <v>10</v>
      </c>
      <c r="J47" s="18">
        <v>3000</v>
      </c>
      <c r="K47" s="9">
        <f t="shared" si="54"/>
        <v>300</v>
      </c>
      <c r="L47" s="233">
        <v>10</v>
      </c>
      <c r="M47" s="10">
        <f t="shared" ref="M47:M48" si="60">F47/V47*60</f>
        <v>2716.9811320754711</v>
      </c>
      <c r="N47" s="10">
        <f t="shared" ref="N47:N55" si="61">M47/L47</f>
        <v>271.69811320754712</v>
      </c>
      <c r="O47" s="11">
        <f t="shared" ref="O47:O55" si="62">L47-I47</f>
        <v>0</v>
      </c>
      <c r="P47" s="12">
        <f t="shared" si="51"/>
        <v>-28.301886792452876</v>
      </c>
      <c r="Q47" s="231">
        <f t="shared" si="52"/>
        <v>0.90566037735849036</v>
      </c>
      <c r="R47" s="493">
        <f>Q55</f>
        <v>0.907201569075059</v>
      </c>
      <c r="S47" s="24">
        <v>0.20833333333333334</v>
      </c>
      <c r="T47" s="24">
        <v>0.24513888888888891</v>
      </c>
      <c r="U47" s="15"/>
      <c r="V47" s="234">
        <f t="shared" ref="V47:V54" si="63">(T47-S47)*24*60</f>
        <v>53.000000000000014</v>
      </c>
      <c r="W47" s="230"/>
      <c r="X47" s="230"/>
      <c r="Y47" s="473"/>
      <c r="Z47" s="474"/>
      <c r="AA47" s="11">
        <f t="shared" si="2"/>
        <v>-283.01886792452888</v>
      </c>
      <c r="AB47" s="231">
        <f t="shared" si="57"/>
        <v>0.90566037735849036</v>
      </c>
      <c r="AC47" s="493">
        <f>AB55</f>
        <v>0.90720156907505889</v>
      </c>
    </row>
    <row r="48" spans="1:29" ht="15.75" customHeight="1">
      <c r="A48" s="489" t="s">
        <v>9</v>
      </c>
      <c r="B48" s="26" t="s">
        <v>33</v>
      </c>
      <c r="C48" s="491" t="s">
        <v>35</v>
      </c>
      <c r="D48" s="492"/>
      <c r="E48" s="26">
        <v>21.13</v>
      </c>
      <c r="F48" s="235">
        <v>4819</v>
      </c>
      <c r="G48" s="230">
        <f t="shared" si="59"/>
        <v>101825.47</v>
      </c>
      <c r="H48" s="76" t="s">
        <v>57</v>
      </c>
      <c r="I48" s="233">
        <v>10</v>
      </c>
      <c r="J48" s="18">
        <v>3000</v>
      </c>
      <c r="K48" s="9">
        <f t="shared" si="54"/>
        <v>300</v>
      </c>
      <c r="L48" s="233">
        <v>10</v>
      </c>
      <c r="M48" s="10">
        <f t="shared" si="60"/>
        <v>2702.2429906542052</v>
      </c>
      <c r="N48" s="10">
        <f t="shared" si="61"/>
        <v>270.2242990654205</v>
      </c>
      <c r="O48" s="11">
        <f t="shared" si="62"/>
        <v>0</v>
      </c>
      <c r="P48" s="12">
        <f t="shared" si="51"/>
        <v>-29.775700934579504</v>
      </c>
      <c r="Q48" s="231">
        <f t="shared" si="52"/>
        <v>0.90074766355140168</v>
      </c>
      <c r="R48" s="494"/>
      <c r="S48" s="24">
        <v>0.25</v>
      </c>
      <c r="T48" s="24">
        <v>0.32430555555555557</v>
      </c>
      <c r="U48" s="230">
        <f>(S48-T47)*24*60</f>
        <v>6.9999999999999751</v>
      </c>
      <c r="V48" s="234">
        <f t="shared" si="63"/>
        <v>107.00000000000001</v>
      </c>
      <c r="W48" s="14"/>
      <c r="X48" s="14"/>
      <c r="Y48" s="473"/>
      <c r="Z48" s="474"/>
      <c r="AA48" s="11">
        <f t="shared" si="2"/>
        <v>-297.75700934579481</v>
      </c>
      <c r="AB48" s="231">
        <f t="shared" si="57"/>
        <v>0.90074766355140168</v>
      </c>
      <c r="AC48" s="494"/>
    </row>
    <row r="49" spans="1:29" ht="15.75" customHeight="1">
      <c r="A49" s="489" t="s">
        <v>9</v>
      </c>
      <c r="B49" s="26" t="s">
        <v>33</v>
      </c>
      <c r="C49" s="491" t="s">
        <v>43</v>
      </c>
      <c r="D49" s="492"/>
      <c r="E49" s="26">
        <v>35.119999999999997</v>
      </c>
      <c r="F49" s="235">
        <v>2600</v>
      </c>
      <c r="G49" s="230">
        <f t="shared" si="59"/>
        <v>91312</v>
      </c>
      <c r="H49" s="76">
        <v>2</v>
      </c>
      <c r="I49" s="233">
        <v>10</v>
      </c>
      <c r="J49" s="18">
        <v>3000</v>
      </c>
      <c r="K49" s="9">
        <f t="shared" si="54"/>
        <v>300</v>
      </c>
      <c r="L49" s="233">
        <v>10</v>
      </c>
      <c r="M49" s="10">
        <f>F49/V49*60</f>
        <v>2736.8421052631566</v>
      </c>
      <c r="N49" s="10">
        <f t="shared" si="61"/>
        <v>273.68421052631567</v>
      </c>
      <c r="O49" s="11">
        <f t="shared" si="62"/>
        <v>0</v>
      </c>
      <c r="P49" s="12">
        <f t="shared" si="51"/>
        <v>-26.315789473684333</v>
      </c>
      <c r="Q49" s="231">
        <f t="shared" si="52"/>
        <v>0.91228070175438558</v>
      </c>
      <c r="R49" s="494"/>
      <c r="S49" s="24">
        <v>0.3298611111111111</v>
      </c>
      <c r="T49" s="24">
        <v>0.36944444444444446</v>
      </c>
      <c r="U49" s="230">
        <f t="shared" ref="U49:U54" si="64">(S49-T48)*24*60</f>
        <v>7.9999999999999716</v>
      </c>
      <c r="V49" s="234">
        <f t="shared" si="63"/>
        <v>57.000000000000036</v>
      </c>
      <c r="W49" s="14"/>
      <c r="X49" s="14"/>
      <c r="Y49" s="473"/>
      <c r="Z49" s="474"/>
      <c r="AA49" s="11">
        <f t="shared" si="2"/>
        <v>-263.15789473684345</v>
      </c>
      <c r="AB49" s="231">
        <f t="shared" si="57"/>
        <v>0.91228070175438547</v>
      </c>
      <c r="AC49" s="494"/>
    </row>
    <row r="50" spans="1:29" ht="15.75" customHeight="1">
      <c r="A50" s="489" t="s">
        <v>9</v>
      </c>
      <c r="B50" s="26" t="s">
        <v>33</v>
      </c>
      <c r="C50" s="491" t="s">
        <v>67</v>
      </c>
      <c r="D50" s="492"/>
      <c r="E50" s="26">
        <v>40.18</v>
      </c>
      <c r="F50" s="235">
        <v>2572</v>
      </c>
      <c r="G50" s="230">
        <f t="shared" si="59"/>
        <v>103342.96</v>
      </c>
      <c r="H50" s="76" t="s">
        <v>57</v>
      </c>
      <c r="I50" s="233">
        <v>10</v>
      </c>
      <c r="J50" s="18">
        <v>3000</v>
      </c>
      <c r="K50" s="9">
        <f t="shared" si="54"/>
        <v>300</v>
      </c>
      <c r="L50" s="233">
        <v>10</v>
      </c>
      <c r="M50" s="10">
        <f t="shared" ref="M50:M54" si="65">F50/V50*60</f>
        <v>2707.3684210526335</v>
      </c>
      <c r="N50" s="10">
        <f t="shared" si="61"/>
        <v>270.73684210526335</v>
      </c>
      <c r="O50" s="11">
        <f t="shared" si="62"/>
        <v>0</v>
      </c>
      <c r="P50" s="12">
        <f t="shared" si="51"/>
        <v>-29.263157894736651</v>
      </c>
      <c r="Q50" s="231">
        <f t="shared" si="52"/>
        <v>0.90245614035087784</v>
      </c>
      <c r="R50" s="494"/>
      <c r="S50" s="24">
        <v>0.375</v>
      </c>
      <c r="T50" s="24">
        <v>0.4145833333333333</v>
      </c>
      <c r="U50" s="230">
        <f t="shared" si="64"/>
        <v>7.9999999999999716</v>
      </c>
      <c r="V50" s="234">
        <f t="shared" si="63"/>
        <v>56.999999999999957</v>
      </c>
      <c r="W50" s="14"/>
      <c r="X50" s="14"/>
      <c r="Y50" s="473"/>
      <c r="Z50" s="474"/>
      <c r="AA50" s="11">
        <f t="shared" si="2"/>
        <v>-292.63157894736651</v>
      </c>
      <c r="AB50" s="231">
        <f t="shared" si="57"/>
        <v>0.90245614035087784</v>
      </c>
      <c r="AC50" s="494"/>
    </row>
    <row r="51" spans="1:29" ht="15.75" customHeight="1">
      <c r="A51" s="489" t="s">
        <v>9</v>
      </c>
      <c r="B51" s="26" t="s">
        <v>33</v>
      </c>
      <c r="C51" s="491" t="s">
        <v>73</v>
      </c>
      <c r="D51" s="492"/>
      <c r="E51" s="26">
        <v>28.5</v>
      </c>
      <c r="F51" s="235">
        <v>2001</v>
      </c>
      <c r="G51" s="230">
        <f t="shared" si="59"/>
        <v>57028.5</v>
      </c>
      <c r="H51" s="76" t="s">
        <v>57</v>
      </c>
      <c r="I51" s="233">
        <v>10</v>
      </c>
      <c r="J51" s="18">
        <v>3000</v>
      </c>
      <c r="K51" s="9">
        <f t="shared" si="54"/>
        <v>300</v>
      </c>
      <c r="L51" s="233">
        <v>10</v>
      </c>
      <c r="M51" s="10">
        <f t="shared" si="65"/>
        <v>2728.6363636363635</v>
      </c>
      <c r="N51" s="10">
        <f t="shared" si="61"/>
        <v>272.86363636363637</v>
      </c>
      <c r="O51" s="11">
        <f t="shared" si="62"/>
        <v>0</v>
      </c>
      <c r="P51" s="12">
        <f t="shared" si="51"/>
        <v>-27.136363636363626</v>
      </c>
      <c r="Q51" s="231">
        <f>N51/K51</f>
        <v>0.90954545454545455</v>
      </c>
      <c r="R51" s="494"/>
      <c r="S51" s="24">
        <v>0.41874999999999996</v>
      </c>
      <c r="T51" s="24">
        <v>0.44930555555555551</v>
      </c>
      <c r="U51" s="230">
        <f t="shared" si="64"/>
        <v>5.9999999999999787</v>
      </c>
      <c r="V51" s="234">
        <f t="shared" si="63"/>
        <v>44</v>
      </c>
      <c r="W51" s="14"/>
      <c r="X51" s="14"/>
      <c r="Y51" s="473"/>
      <c r="Z51" s="474"/>
      <c r="AA51" s="11">
        <f t="shared" si="2"/>
        <v>-271.36363636363649</v>
      </c>
      <c r="AB51" s="231">
        <f t="shared" si="57"/>
        <v>0.90954545454545455</v>
      </c>
      <c r="AC51" s="494"/>
    </row>
    <row r="52" spans="1:29" ht="15.75" customHeight="1">
      <c r="A52" s="489" t="s">
        <v>9</v>
      </c>
      <c r="B52" s="26" t="s">
        <v>33</v>
      </c>
      <c r="C52" s="491" t="s">
        <v>511</v>
      </c>
      <c r="D52" s="492"/>
      <c r="E52" s="26">
        <v>35.869999999999997</v>
      </c>
      <c r="F52" s="235">
        <v>3858</v>
      </c>
      <c r="G52" s="230">
        <f t="shared" si="59"/>
        <v>138386.46</v>
      </c>
      <c r="H52" s="76" t="s">
        <v>57</v>
      </c>
      <c r="I52" s="233">
        <v>10</v>
      </c>
      <c r="J52" s="18">
        <v>3000</v>
      </c>
      <c r="K52" s="9">
        <f t="shared" si="54"/>
        <v>300</v>
      </c>
      <c r="L52" s="233">
        <v>10</v>
      </c>
      <c r="M52" s="10">
        <f t="shared" si="65"/>
        <v>2723.2941176470586</v>
      </c>
      <c r="N52" s="10">
        <f t="shared" si="61"/>
        <v>272.32941176470587</v>
      </c>
      <c r="O52" s="11">
        <f t="shared" si="62"/>
        <v>0</v>
      </c>
      <c r="P52" s="12">
        <f t="shared" si="51"/>
        <v>-27.670588235294133</v>
      </c>
      <c r="Q52" s="231">
        <f t="shared" ref="Q52:Q55" si="66">N52/K52</f>
        <v>0.90776470588235292</v>
      </c>
      <c r="R52" s="494"/>
      <c r="S52" s="24">
        <v>0.45277777777777772</v>
      </c>
      <c r="T52" s="24">
        <v>0.51180555555555551</v>
      </c>
      <c r="U52" s="230">
        <f t="shared" si="64"/>
        <v>4.9999999999999822</v>
      </c>
      <c r="V52" s="234">
        <f t="shared" si="63"/>
        <v>85.000000000000014</v>
      </c>
      <c r="W52" s="14"/>
      <c r="X52" s="14"/>
      <c r="Y52" s="473"/>
      <c r="Z52" s="474"/>
      <c r="AA52" s="11">
        <f t="shared" si="2"/>
        <v>-276.70588235294144</v>
      </c>
      <c r="AB52" s="231">
        <f t="shared" si="57"/>
        <v>0.90776470588235281</v>
      </c>
      <c r="AC52" s="494"/>
    </row>
    <row r="53" spans="1:29" ht="15.75" customHeight="1">
      <c r="A53" s="489" t="s">
        <v>9</v>
      </c>
      <c r="B53" s="26" t="s">
        <v>33</v>
      </c>
      <c r="C53" s="491" t="s">
        <v>34</v>
      </c>
      <c r="D53" s="492"/>
      <c r="E53" s="26">
        <v>27.17</v>
      </c>
      <c r="F53" s="235">
        <v>3516</v>
      </c>
      <c r="G53" s="230">
        <f t="shared" si="59"/>
        <v>95529.72</v>
      </c>
      <c r="H53" s="76" t="s">
        <v>57</v>
      </c>
      <c r="I53" s="233">
        <v>10</v>
      </c>
      <c r="J53" s="18">
        <v>3000</v>
      </c>
      <c r="K53" s="9">
        <f t="shared" si="54"/>
        <v>300</v>
      </c>
      <c r="L53" s="233">
        <v>10</v>
      </c>
      <c r="M53" s="10">
        <f t="shared" si="65"/>
        <v>2704.6153846153829</v>
      </c>
      <c r="N53" s="10">
        <f t="shared" si="61"/>
        <v>270.46153846153828</v>
      </c>
      <c r="O53" s="11">
        <f t="shared" si="62"/>
        <v>0</v>
      </c>
      <c r="P53" s="12">
        <f t="shared" si="51"/>
        <v>-29.538461538461718</v>
      </c>
      <c r="Q53" s="231">
        <f t="shared" si="66"/>
        <v>0.90153846153846096</v>
      </c>
      <c r="R53" s="494"/>
      <c r="S53" s="24">
        <v>0.55138888888888882</v>
      </c>
      <c r="T53" s="24">
        <v>0.60555555555555551</v>
      </c>
      <c r="U53" s="230">
        <f t="shared" si="64"/>
        <v>56.999999999999957</v>
      </c>
      <c r="V53" s="234">
        <f t="shared" si="63"/>
        <v>78.000000000000043</v>
      </c>
      <c r="W53" s="14"/>
      <c r="X53" s="14"/>
      <c r="Y53" s="473"/>
      <c r="Z53" s="474"/>
      <c r="AA53" s="11">
        <f t="shared" si="2"/>
        <v>-295.38461538461706</v>
      </c>
      <c r="AB53" s="231">
        <f t="shared" si="57"/>
        <v>0.90153846153846096</v>
      </c>
      <c r="AC53" s="494"/>
    </row>
    <row r="54" spans="1:29" ht="15.75" customHeight="1">
      <c r="A54" s="489" t="s">
        <v>9</v>
      </c>
      <c r="B54" s="26" t="s">
        <v>33</v>
      </c>
      <c r="C54" s="491" t="s">
        <v>43</v>
      </c>
      <c r="D54" s="492"/>
      <c r="E54" s="26">
        <v>35.119999999999997</v>
      </c>
      <c r="F54" s="235">
        <v>1927</v>
      </c>
      <c r="G54" s="230">
        <f t="shared" si="59"/>
        <v>67676.239999999991</v>
      </c>
      <c r="H54" s="76" t="s">
        <v>57</v>
      </c>
      <c r="I54" s="233">
        <v>10</v>
      </c>
      <c r="J54" s="18">
        <v>3000</v>
      </c>
      <c r="K54" s="9">
        <f t="shared" si="54"/>
        <v>300</v>
      </c>
      <c r="L54" s="233">
        <v>10</v>
      </c>
      <c r="M54" s="10">
        <f t="shared" si="65"/>
        <v>2752.8571428571418</v>
      </c>
      <c r="N54" s="10">
        <f t="shared" si="61"/>
        <v>275.28571428571416</v>
      </c>
      <c r="O54" s="11">
        <f t="shared" si="62"/>
        <v>0</v>
      </c>
      <c r="P54" s="12">
        <f t="shared" si="51"/>
        <v>-24.714285714285836</v>
      </c>
      <c r="Q54" s="231">
        <f t="shared" si="66"/>
        <v>0.91761904761904722</v>
      </c>
      <c r="R54" s="494"/>
      <c r="S54" s="24">
        <v>0.60972222222222217</v>
      </c>
      <c r="T54" s="24">
        <v>0.63888888888888884</v>
      </c>
      <c r="U54" s="230">
        <f t="shared" si="64"/>
        <v>5.9999999999999787</v>
      </c>
      <c r="V54" s="234">
        <f t="shared" si="63"/>
        <v>42.000000000000014</v>
      </c>
      <c r="W54" s="14"/>
      <c r="X54" s="14"/>
      <c r="Y54" s="473"/>
      <c r="Z54" s="474"/>
      <c r="AA54" s="11">
        <f t="shared" si="2"/>
        <v>-247.14285714285825</v>
      </c>
      <c r="AB54" s="231">
        <f t="shared" si="57"/>
        <v>0.91761904761904722</v>
      </c>
      <c r="AC54" s="494"/>
    </row>
    <row r="55" spans="1:29" ht="15.75" customHeight="1">
      <c r="A55" s="490" t="s">
        <v>9</v>
      </c>
      <c r="B55" s="26" t="s">
        <v>81</v>
      </c>
      <c r="C55" s="497"/>
      <c r="D55" s="498"/>
      <c r="E55" s="232"/>
      <c r="F55" s="235"/>
      <c r="G55" s="230"/>
      <c r="H55" s="235"/>
      <c r="I55" s="17">
        <v>10</v>
      </c>
      <c r="J55" s="18">
        <v>3000</v>
      </c>
      <c r="K55" s="9">
        <f>J55/I55</f>
        <v>300</v>
      </c>
      <c r="L55" s="17">
        <v>10</v>
      </c>
      <c r="M55" s="10">
        <f>AVERAGE(M47:M54)</f>
        <v>2721.6047072251768</v>
      </c>
      <c r="N55" s="9">
        <f t="shared" si="61"/>
        <v>272.16047072251769</v>
      </c>
      <c r="O55" s="11">
        <f t="shared" si="62"/>
        <v>0</v>
      </c>
      <c r="P55" s="12">
        <f t="shared" si="51"/>
        <v>-27.839529277482313</v>
      </c>
      <c r="Q55" s="231">
        <f t="shared" si="66"/>
        <v>0.907201569075059</v>
      </c>
      <c r="R55" s="495"/>
      <c r="S55" s="24"/>
      <c r="T55" s="24"/>
      <c r="U55" s="230"/>
      <c r="V55" s="234"/>
      <c r="W55" s="14"/>
      <c r="X55" s="14"/>
      <c r="Y55" s="473"/>
      <c r="Z55" s="474"/>
      <c r="AA55" s="11">
        <f t="shared" si="2"/>
        <v>-278.39529277482325</v>
      </c>
      <c r="AB55" s="231">
        <f t="shared" si="57"/>
        <v>0.90720156907505889</v>
      </c>
      <c r="AC55" s="495"/>
    </row>
    <row r="56" spans="1:29" ht="15.75" customHeight="1">
      <c r="A56" s="461" t="s">
        <v>443</v>
      </c>
      <c r="B56" s="26" t="s">
        <v>15</v>
      </c>
      <c r="C56" s="487" t="s">
        <v>20</v>
      </c>
      <c r="D56" s="487"/>
      <c r="E56" s="26">
        <v>46</v>
      </c>
      <c r="F56" s="27">
        <v>3007</v>
      </c>
      <c r="G56" s="230">
        <f t="shared" ref="G56:G59" si="67">E56*F56</f>
        <v>138322</v>
      </c>
      <c r="H56" s="76" t="s">
        <v>57</v>
      </c>
      <c r="I56" s="233">
        <v>17</v>
      </c>
      <c r="J56" s="18">
        <v>1500</v>
      </c>
      <c r="K56" s="9">
        <f t="shared" ref="K56:K59" si="68">J56/I56</f>
        <v>88.235294117647058</v>
      </c>
      <c r="L56" s="233">
        <v>17</v>
      </c>
      <c r="M56" s="10">
        <f t="shared" ref="M56:M59" si="69">F56/V56*60</f>
        <v>1356.5413533834587</v>
      </c>
      <c r="N56" s="10">
        <f>M56/L56</f>
        <v>79.796550199026981</v>
      </c>
      <c r="O56" s="11">
        <f>L56-I56</f>
        <v>0</v>
      </c>
      <c r="P56" s="12">
        <f>N56-K56</f>
        <v>-8.4387439186200766</v>
      </c>
      <c r="Q56" s="231">
        <f>N56/K56</f>
        <v>0.90436090225563914</v>
      </c>
      <c r="R56" s="470">
        <f>Q60</f>
        <v>0.90666360637632537</v>
      </c>
      <c r="S56" s="24">
        <v>0.29305555555555557</v>
      </c>
      <c r="T56" s="24">
        <v>0.38541666666666669</v>
      </c>
      <c r="U56" s="15"/>
      <c r="V56" s="234">
        <f t="shared" ref="V56:V59" si="70">(T56-S56)*24*60</f>
        <v>133</v>
      </c>
      <c r="W56" s="15"/>
      <c r="X56" s="15"/>
      <c r="Y56" s="456"/>
      <c r="Z56" s="456"/>
      <c r="AA56" s="11">
        <f t="shared" si="2"/>
        <v>-143.45864661654127</v>
      </c>
      <c r="AB56" s="231">
        <f t="shared" si="57"/>
        <v>0.90436090225563914</v>
      </c>
      <c r="AC56" s="470">
        <f>AB60</f>
        <v>0.90666360637632537</v>
      </c>
    </row>
    <row r="57" spans="1:29" ht="15.75" customHeight="1">
      <c r="A57" s="461" t="s">
        <v>10</v>
      </c>
      <c r="B57" s="26" t="s">
        <v>15</v>
      </c>
      <c r="C57" s="487" t="s">
        <v>75</v>
      </c>
      <c r="D57" s="487"/>
      <c r="E57" s="26">
        <v>46</v>
      </c>
      <c r="F57" s="27">
        <v>3632</v>
      </c>
      <c r="G57" s="230">
        <f t="shared" si="67"/>
        <v>167072</v>
      </c>
      <c r="H57" s="76" t="s">
        <v>57</v>
      </c>
      <c r="I57" s="233">
        <v>18</v>
      </c>
      <c r="J57" s="18">
        <v>1500</v>
      </c>
      <c r="K57" s="9">
        <f t="shared" si="68"/>
        <v>83.333333333333329</v>
      </c>
      <c r="L57" s="233">
        <v>18</v>
      </c>
      <c r="M57" s="10">
        <f t="shared" si="69"/>
        <v>1353.5403726708075</v>
      </c>
      <c r="N57" s="10">
        <f t="shared" ref="N57:N59" si="71">M57/L57</f>
        <v>75.196687370600415</v>
      </c>
      <c r="O57" s="11">
        <f t="shared" ref="O57:O59" si="72">L57-I57</f>
        <v>0</v>
      </c>
      <c r="P57" s="12">
        <f t="shared" ref="P57:P59" si="73">N57-K57</f>
        <v>-8.1366459627329135</v>
      </c>
      <c r="Q57" s="231">
        <f t="shared" ref="Q57:Q59" si="74">N57/K57</f>
        <v>0.90236024844720508</v>
      </c>
      <c r="R57" s="470"/>
      <c r="S57" s="24">
        <v>0.3888888888888889</v>
      </c>
      <c r="T57" s="24">
        <v>0.50069444444444444</v>
      </c>
      <c r="U57" s="230">
        <f t="shared" ref="U57:U59" si="75">(S57-T56)*24*60</f>
        <v>4.9999999999999822</v>
      </c>
      <c r="V57" s="234">
        <f t="shared" si="70"/>
        <v>161</v>
      </c>
      <c r="W57" s="14"/>
      <c r="X57" s="14"/>
      <c r="Y57" s="456"/>
      <c r="Z57" s="456"/>
      <c r="AA57" s="11">
        <f t="shared" si="2"/>
        <v>-146.45962732919247</v>
      </c>
      <c r="AB57" s="231">
        <f t="shared" si="57"/>
        <v>0.90236024844720497</v>
      </c>
      <c r="AC57" s="470"/>
    </row>
    <row r="58" spans="1:29" ht="15.75" customHeight="1">
      <c r="A58" s="461" t="s">
        <v>10</v>
      </c>
      <c r="B58" s="26" t="s">
        <v>13</v>
      </c>
      <c r="C58" s="491" t="s">
        <v>65</v>
      </c>
      <c r="D58" s="492"/>
      <c r="E58" s="26">
        <v>55.56</v>
      </c>
      <c r="F58" s="27">
        <v>1939</v>
      </c>
      <c r="G58" s="230">
        <f t="shared" si="67"/>
        <v>107730.84000000001</v>
      </c>
      <c r="H58" s="76" t="s">
        <v>57</v>
      </c>
      <c r="I58" s="233">
        <v>17</v>
      </c>
      <c r="J58" s="18">
        <v>1500</v>
      </c>
      <c r="K58" s="9">
        <f t="shared" si="68"/>
        <v>88.235294117647058</v>
      </c>
      <c r="L58" s="233">
        <v>17</v>
      </c>
      <c r="M58" s="10">
        <f t="shared" si="69"/>
        <v>1368.705882352941</v>
      </c>
      <c r="N58" s="10">
        <f t="shared" si="71"/>
        <v>80.512110726643584</v>
      </c>
      <c r="O58" s="11">
        <f t="shared" si="72"/>
        <v>0</v>
      </c>
      <c r="P58" s="12">
        <f t="shared" si="73"/>
        <v>-7.7231833910034737</v>
      </c>
      <c r="Q58" s="231">
        <f t="shared" si="74"/>
        <v>0.91247058823529392</v>
      </c>
      <c r="R58" s="470"/>
      <c r="S58" s="24">
        <v>0.70833333333333337</v>
      </c>
      <c r="T58" s="24">
        <v>0.76736111111111116</v>
      </c>
      <c r="U58" s="230">
        <f t="shared" si="75"/>
        <v>299.00000000000006</v>
      </c>
      <c r="V58" s="234">
        <f t="shared" si="70"/>
        <v>85.000000000000014</v>
      </c>
      <c r="W58" s="14"/>
      <c r="X58" s="14"/>
      <c r="Y58" s="227"/>
      <c r="Z58" s="228"/>
      <c r="AA58" s="11">
        <f t="shared" si="2"/>
        <v>-131.29411764705901</v>
      </c>
      <c r="AB58" s="231">
        <f t="shared" si="57"/>
        <v>0.91247058823529403</v>
      </c>
      <c r="AC58" s="470"/>
    </row>
    <row r="59" spans="1:29" ht="15.75" customHeight="1">
      <c r="A59" s="461" t="s">
        <v>10</v>
      </c>
      <c r="B59" s="26" t="s">
        <v>13</v>
      </c>
      <c r="C59" s="225" t="s">
        <v>64</v>
      </c>
      <c r="D59" s="226"/>
      <c r="E59" s="26">
        <v>55.32</v>
      </c>
      <c r="F59" s="27">
        <v>1520</v>
      </c>
      <c r="G59" s="230">
        <f t="shared" si="67"/>
        <v>84086.399999999994</v>
      </c>
      <c r="H59" s="76" t="s">
        <v>57</v>
      </c>
      <c r="I59" s="233">
        <v>15</v>
      </c>
      <c r="J59" s="18">
        <v>1500</v>
      </c>
      <c r="K59" s="9">
        <f t="shared" si="68"/>
        <v>100</v>
      </c>
      <c r="L59" s="233">
        <v>15</v>
      </c>
      <c r="M59" s="10">
        <f t="shared" si="69"/>
        <v>1361.1940298507445</v>
      </c>
      <c r="N59" s="10">
        <f t="shared" si="71"/>
        <v>90.746268656716296</v>
      </c>
      <c r="O59" s="11">
        <f t="shared" si="72"/>
        <v>0</v>
      </c>
      <c r="P59" s="12">
        <f t="shared" si="73"/>
        <v>-9.2537313432837038</v>
      </c>
      <c r="Q59" s="231">
        <f t="shared" si="74"/>
        <v>0.907462686567163</v>
      </c>
      <c r="R59" s="470"/>
      <c r="S59" s="24">
        <v>0.77083333333333337</v>
      </c>
      <c r="T59" s="24">
        <v>0.8173611111111112</v>
      </c>
      <c r="U59" s="230">
        <f t="shared" si="75"/>
        <v>4.9999999999999822</v>
      </c>
      <c r="V59" s="234">
        <f t="shared" si="70"/>
        <v>67.000000000000085</v>
      </c>
      <c r="W59" s="14"/>
      <c r="X59" s="14"/>
      <c r="Y59" s="227"/>
      <c r="Z59" s="228"/>
      <c r="AA59" s="11">
        <f t="shared" si="2"/>
        <v>-138.80597014925547</v>
      </c>
      <c r="AB59" s="231">
        <f t="shared" si="57"/>
        <v>0.907462686567163</v>
      </c>
      <c r="AC59" s="470"/>
    </row>
    <row r="60" spans="1:29">
      <c r="A60" s="496" t="s">
        <v>10</v>
      </c>
      <c r="B60" s="26" t="s">
        <v>81</v>
      </c>
      <c r="C60" s="466"/>
      <c r="D60" s="466"/>
      <c r="E60" s="229"/>
      <c r="F60" s="16"/>
      <c r="G60" s="9"/>
      <c r="H60" s="235"/>
      <c r="I60" s="17">
        <v>16.75</v>
      </c>
      <c r="J60" s="18">
        <v>1500</v>
      </c>
      <c r="K60" s="9">
        <f>J60/I60</f>
        <v>89.552238805970148</v>
      </c>
      <c r="L60" s="17">
        <v>16.75</v>
      </c>
      <c r="M60" s="10">
        <f>AVERAGE(M56:M59)</f>
        <v>1359.995409564488</v>
      </c>
      <c r="N60" s="9">
        <f>M60/L60</f>
        <v>81.193755794894813</v>
      </c>
      <c r="O60" s="11">
        <f>L60-I60</f>
        <v>0</v>
      </c>
      <c r="P60" s="12">
        <f>N60-K60</f>
        <v>-8.3584830110753359</v>
      </c>
      <c r="Q60" s="231">
        <f>N60/K60</f>
        <v>0.90666360637632537</v>
      </c>
      <c r="R60" s="470"/>
      <c r="S60" s="25"/>
      <c r="T60" s="24"/>
      <c r="U60" s="9"/>
      <c r="V60" s="234"/>
      <c r="W60" s="9"/>
      <c r="X60" s="9"/>
      <c r="Y60" s="456"/>
      <c r="Z60" s="456"/>
      <c r="AA60" s="11">
        <f t="shared" si="2"/>
        <v>-140.004590435512</v>
      </c>
      <c r="AB60" s="231">
        <f t="shared" si="57"/>
        <v>0.90666360637632537</v>
      </c>
      <c r="AC60" s="470"/>
    </row>
    <row r="61" spans="1:29" ht="15.75" customHeight="1">
      <c r="A61" s="499" t="s">
        <v>246</v>
      </c>
      <c r="B61" s="235" t="s">
        <v>33</v>
      </c>
      <c r="C61" s="487" t="s">
        <v>36</v>
      </c>
      <c r="D61" s="487"/>
      <c r="E61" s="26">
        <v>26.78</v>
      </c>
      <c r="F61" s="27">
        <v>2631</v>
      </c>
      <c r="G61" s="230">
        <f t="shared" ref="G61:G65" si="76">E61*F61</f>
        <v>70458.180000000008</v>
      </c>
      <c r="H61" s="76" t="s">
        <v>57</v>
      </c>
      <c r="I61" s="233">
        <v>10</v>
      </c>
      <c r="J61" s="18">
        <v>3000</v>
      </c>
      <c r="K61" s="9">
        <f t="shared" ref="K61:K65" si="77">J61/I61</f>
        <v>300</v>
      </c>
      <c r="L61" s="17">
        <v>10</v>
      </c>
      <c r="M61" s="10">
        <f t="shared" ref="M61:M65" si="78">F61/V61*60</f>
        <v>2721.7241379310331</v>
      </c>
      <c r="N61" s="9">
        <f>M61/L61</f>
        <v>272.17241379310332</v>
      </c>
      <c r="O61" s="11">
        <f t="shared" ref="O61:O65" si="79">L61-I61</f>
        <v>0</v>
      </c>
      <c r="P61" s="12">
        <f t="shared" ref="P61:P65" si="80">N61-K61</f>
        <v>-27.827586206896683</v>
      </c>
      <c r="Q61" s="231">
        <f>N61/K61</f>
        <v>0.90724137931034443</v>
      </c>
      <c r="R61" s="470">
        <f>Q66</f>
        <v>0.90965833827353448</v>
      </c>
      <c r="S61" s="24">
        <v>0.25069444444444444</v>
      </c>
      <c r="T61" s="24">
        <v>0.29097222222222224</v>
      </c>
      <c r="U61" s="230"/>
      <c r="V61" s="234">
        <f t="shared" ref="V61:V65" si="81">(T61-S61)*24*60</f>
        <v>58.000000000000036</v>
      </c>
      <c r="W61" s="15"/>
      <c r="X61" s="15"/>
      <c r="Y61" s="456"/>
      <c r="Z61" s="456"/>
      <c r="AA61" s="11">
        <f t="shared" si="2"/>
        <v>-278.27586206896694</v>
      </c>
      <c r="AB61" s="231">
        <f t="shared" si="57"/>
        <v>0.90724137931034432</v>
      </c>
      <c r="AC61" s="470">
        <f>AB66</f>
        <v>0.90965833827353448</v>
      </c>
    </row>
    <row r="62" spans="1:29" ht="15.75" customHeight="1">
      <c r="A62" s="499" t="s">
        <v>11</v>
      </c>
      <c r="B62" s="235" t="s">
        <v>33</v>
      </c>
      <c r="C62" s="487" t="s">
        <v>42</v>
      </c>
      <c r="D62" s="487"/>
      <c r="E62" s="26">
        <v>35.369999999999997</v>
      </c>
      <c r="F62" s="27">
        <v>1855</v>
      </c>
      <c r="G62" s="230">
        <f t="shared" si="76"/>
        <v>65611.349999999991</v>
      </c>
      <c r="H62" s="76" t="s">
        <v>57</v>
      </c>
      <c r="I62" s="233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2714.6341463414624</v>
      </c>
      <c r="N62" s="9">
        <f t="shared" ref="N62:N65" si="82">M62/L62</f>
        <v>271.46341463414626</v>
      </c>
      <c r="O62" s="11">
        <f t="shared" si="79"/>
        <v>0</v>
      </c>
      <c r="P62" s="12">
        <f t="shared" si="80"/>
        <v>-28.536585365853739</v>
      </c>
      <c r="Q62" s="231">
        <f t="shared" ref="Q62:Q65" si="83">N62/K62</f>
        <v>0.9048780487804875</v>
      </c>
      <c r="R62" s="470"/>
      <c r="S62" s="24">
        <v>0.29444444444444445</v>
      </c>
      <c r="T62" s="24">
        <v>0.32291666666666669</v>
      </c>
      <c r="U62" s="230">
        <f>(S62-T61)*24*60</f>
        <v>4.9999999999999822</v>
      </c>
      <c r="V62" s="234">
        <f t="shared" si="81"/>
        <v>41.000000000000014</v>
      </c>
      <c r="W62" s="230"/>
      <c r="X62" s="230"/>
      <c r="Y62" s="456"/>
      <c r="Z62" s="456"/>
      <c r="AA62" s="11">
        <f t="shared" si="2"/>
        <v>-285.36585365853762</v>
      </c>
      <c r="AB62" s="231">
        <f t="shared" si="57"/>
        <v>0.9048780487804875</v>
      </c>
      <c r="AC62" s="470"/>
    </row>
    <row r="63" spans="1:29" ht="15.75" customHeight="1">
      <c r="A63" s="499" t="s">
        <v>11</v>
      </c>
      <c r="B63" s="235" t="s">
        <v>33</v>
      </c>
      <c r="C63" s="487" t="s">
        <v>41</v>
      </c>
      <c r="D63" s="487"/>
      <c r="E63" s="26">
        <v>34.35</v>
      </c>
      <c r="F63" s="27">
        <v>1556</v>
      </c>
      <c r="G63" s="230">
        <f t="shared" si="76"/>
        <v>53448.600000000006</v>
      </c>
      <c r="H63" s="76" t="s">
        <v>57</v>
      </c>
      <c r="I63" s="233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2745.8823529411798</v>
      </c>
      <c r="N63" s="9">
        <f t="shared" si="82"/>
        <v>274.58823529411796</v>
      </c>
      <c r="O63" s="11">
        <f t="shared" si="79"/>
        <v>0</v>
      </c>
      <c r="P63" s="12">
        <f t="shared" si="80"/>
        <v>-25.411764705882035</v>
      </c>
      <c r="Q63" s="231">
        <f t="shared" si="83"/>
        <v>0.91529411764705992</v>
      </c>
      <c r="R63" s="470"/>
      <c r="S63" s="24">
        <v>0.32847222222222222</v>
      </c>
      <c r="T63" s="24">
        <v>0.3520833333333333</v>
      </c>
      <c r="U63" s="230">
        <f t="shared" ref="U63:U65" si="84">(S63-T62)*24*60</f>
        <v>7.9999999999999716</v>
      </c>
      <c r="V63" s="234">
        <f t="shared" si="81"/>
        <v>33.999999999999957</v>
      </c>
      <c r="W63" s="230"/>
      <c r="X63" s="230"/>
      <c r="Y63" s="456"/>
      <c r="Z63" s="456"/>
      <c r="AA63" s="11">
        <f t="shared" si="2"/>
        <v>-254.11764705882024</v>
      </c>
      <c r="AB63" s="231">
        <f t="shared" si="57"/>
        <v>0.91529411764705992</v>
      </c>
      <c r="AC63" s="470"/>
    </row>
    <row r="64" spans="1:29" ht="15.75" customHeight="1">
      <c r="A64" s="499" t="s">
        <v>11</v>
      </c>
      <c r="B64" s="235" t="s">
        <v>15</v>
      </c>
      <c r="C64" s="487" t="s">
        <v>39</v>
      </c>
      <c r="D64" s="487"/>
      <c r="E64" s="26">
        <v>26.97</v>
      </c>
      <c r="F64" s="27">
        <v>3161</v>
      </c>
      <c r="G64" s="230">
        <f t="shared" si="76"/>
        <v>85252.17</v>
      </c>
      <c r="H64" s="76" t="s">
        <v>57</v>
      </c>
      <c r="I64" s="233">
        <v>8</v>
      </c>
      <c r="J64" s="18">
        <v>1440</v>
      </c>
      <c r="K64" s="9">
        <f t="shared" si="77"/>
        <v>180</v>
      </c>
      <c r="L64" s="17">
        <v>8</v>
      </c>
      <c r="M64" s="10">
        <f t="shared" si="78"/>
        <v>1308.0000000000002</v>
      </c>
      <c r="N64" s="9">
        <f t="shared" si="82"/>
        <v>163.50000000000003</v>
      </c>
      <c r="O64" s="11">
        <f t="shared" si="79"/>
        <v>0</v>
      </c>
      <c r="P64" s="12">
        <f t="shared" si="80"/>
        <v>-16.499999999999972</v>
      </c>
      <c r="Q64" s="231">
        <f t="shared" si="83"/>
        <v>0.90833333333333344</v>
      </c>
      <c r="R64" s="470"/>
      <c r="S64" s="24">
        <v>0.3569444444444444</v>
      </c>
      <c r="T64" s="24">
        <v>0.45763888888888882</v>
      </c>
      <c r="U64" s="230">
        <f t="shared" si="84"/>
        <v>6.9999999999999751</v>
      </c>
      <c r="V64" s="234">
        <f t="shared" si="81"/>
        <v>144.99999999999997</v>
      </c>
      <c r="W64" s="230"/>
      <c r="X64" s="230"/>
      <c r="Y64" s="456"/>
      <c r="Z64" s="456"/>
      <c r="AA64" s="11">
        <f t="shared" si="2"/>
        <v>-131.99999999999977</v>
      </c>
      <c r="AB64" s="231">
        <f t="shared" si="57"/>
        <v>0.90833333333333344</v>
      </c>
      <c r="AC64" s="470"/>
    </row>
    <row r="65" spans="1:29">
      <c r="A65" s="500" t="s">
        <v>11</v>
      </c>
      <c r="B65" s="235" t="s">
        <v>33</v>
      </c>
      <c r="C65" s="487" t="s">
        <v>40</v>
      </c>
      <c r="D65" s="487"/>
      <c r="E65" s="26">
        <v>35.119999999999997</v>
      </c>
      <c r="F65" s="27">
        <v>1339</v>
      </c>
      <c r="G65" s="230">
        <f t="shared" si="76"/>
        <v>47025.679999999993</v>
      </c>
      <c r="H65" s="76" t="s">
        <v>57</v>
      </c>
      <c r="I65" s="233">
        <v>13</v>
      </c>
      <c r="J65" s="18">
        <v>2000</v>
      </c>
      <c r="K65" s="9">
        <f t="shared" si="77"/>
        <v>153.84615384615384</v>
      </c>
      <c r="L65" s="17">
        <v>13</v>
      </c>
      <c r="M65" s="10">
        <f t="shared" si="78"/>
        <v>1825.909090909091</v>
      </c>
      <c r="N65" s="9">
        <f t="shared" si="82"/>
        <v>140.45454545454547</v>
      </c>
      <c r="O65" s="11">
        <f t="shared" si="79"/>
        <v>0</v>
      </c>
      <c r="P65" s="12">
        <f t="shared" si="80"/>
        <v>-13.391608391608372</v>
      </c>
      <c r="Q65" s="231">
        <f t="shared" si="83"/>
        <v>0.91295454545454557</v>
      </c>
      <c r="R65" s="470"/>
      <c r="S65" s="24">
        <v>0.46180555555555547</v>
      </c>
      <c r="T65" s="24">
        <v>0.49236111111111103</v>
      </c>
      <c r="U65" s="230">
        <f t="shared" si="84"/>
        <v>5.9999999999999787</v>
      </c>
      <c r="V65" s="234">
        <f t="shared" si="81"/>
        <v>44</v>
      </c>
      <c r="W65" s="14"/>
      <c r="X65" s="14"/>
      <c r="Y65" s="456"/>
      <c r="Z65" s="456"/>
      <c r="AA65" s="11">
        <f t="shared" si="2"/>
        <v>-174.09090909090901</v>
      </c>
      <c r="AB65" s="231">
        <f t="shared" si="57"/>
        <v>0.91295454545454546</v>
      </c>
      <c r="AC65" s="470"/>
    </row>
    <row r="66" spans="1:29">
      <c r="A66" s="500" t="s">
        <v>11</v>
      </c>
      <c r="B66" s="26" t="s">
        <v>81</v>
      </c>
      <c r="C66" s="466"/>
      <c r="D66" s="466"/>
      <c r="E66" s="229"/>
      <c r="F66" s="16"/>
      <c r="G66" s="9"/>
      <c r="H66" s="235"/>
      <c r="I66" s="17">
        <v>10.199999999999999</v>
      </c>
      <c r="J66" s="18">
        <v>2488</v>
      </c>
      <c r="K66" s="9">
        <f>J66/I66</f>
        <v>243.92156862745099</v>
      </c>
      <c r="L66" s="17">
        <v>10.199999999999999</v>
      </c>
      <c r="M66" s="10">
        <f>AVERAGE(M61:M65)</f>
        <v>2263.2299456245537</v>
      </c>
      <c r="N66" s="9">
        <f>M66/L66</f>
        <v>221.88528878672096</v>
      </c>
      <c r="O66" s="11">
        <f>L66-I66</f>
        <v>0</v>
      </c>
      <c r="P66" s="12">
        <f>N66-K66</f>
        <v>-22.036279840730032</v>
      </c>
      <c r="Q66" s="231">
        <f>N66/K66</f>
        <v>0.90965833827353448</v>
      </c>
      <c r="R66" s="470"/>
      <c r="S66" s="24"/>
      <c r="T66" s="24"/>
      <c r="U66" s="9"/>
      <c r="V66" s="234"/>
      <c r="W66" s="9"/>
      <c r="X66" s="9"/>
      <c r="Y66" s="456"/>
      <c r="Z66" s="456"/>
      <c r="AA66" s="11">
        <f t="shared" si="2"/>
        <v>-224.77005437544631</v>
      </c>
      <c r="AB66" s="231">
        <f t="shared" si="57"/>
        <v>0.90965833827353448</v>
      </c>
      <c r="AC66" s="470"/>
    </row>
    <row r="67" spans="1:29" ht="15.75" customHeight="1">
      <c r="A67" s="467" t="s">
        <v>247</v>
      </c>
      <c r="B67" s="235" t="s">
        <v>24</v>
      </c>
      <c r="C67" s="487" t="s">
        <v>83</v>
      </c>
      <c r="D67" s="487"/>
      <c r="E67" s="26">
        <v>32.03</v>
      </c>
      <c r="F67" s="235">
        <v>1664</v>
      </c>
      <c r="G67" s="230">
        <f t="shared" ref="G67:G73" si="85">E67*F67</f>
        <v>53297.919999999998</v>
      </c>
      <c r="H67" s="76" t="s">
        <v>57</v>
      </c>
      <c r="I67" s="233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2170.4347826086955</v>
      </c>
      <c r="N67" s="9">
        <f t="shared" ref="N67:N73" si="87">M67/L67</f>
        <v>114.23340961098397</v>
      </c>
      <c r="O67" s="11">
        <f t="shared" ref="O67:O73" si="88">L67-I67</f>
        <v>0</v>
      </c>
      <c r="P67" s="12">
        <f t="shared" ref="P67:P73" si="89">N67-K67</f>
        <v>-12.082379862700236</v>
      </c>
      <c r="Q67" s="231">
        <f>N67/K67</f>
        <v>0.90434782608695641</v>
      </c>
      <c r="R67" s="470">
        <f>Q74</f>
        <v>0.90669149642083535</v>
      </c>
      <c r="S67" s="24">
        <v>0.125</v>
      </c>
      <c r="T67" s="24">
        <v>0.15694444444444444</v>
      </c>
      <c r="U67" s="15"/>
      <c r="V67" s="234">
        <f t="shared" ref="V67:V73" si="90">(T67-S67)*24*60</f>
        <v>46</v>
      </c>
      <c r="W67" s="14"/>
      <c r="X67" s="14"/>
      <c r="Y67" s="456"/>
      <c r="Z67" s="456"/>
      <c r="AA67" s="11">
        <f t="shared" si="2"/>
        <v>-229.56521739130449</v>
      </c>
      <c r="AB67" s="231">
        <f>M67/J67</f>
        <v>0.90434782608695652</v>
      </c>
      <c r="AC67" s="470">
        <f>AB74</f>
        <v>0.90669149642083524</v>
      </c>
    </row>
    <row r="68" spans="1:29" ht="15.75" customHeight="1">
      <c r="A68" s="467" t="s">
        <v>12</v>
      </c>
      <c r="B68" s="235" t="s">
        <v>24</v>
      </c>
      <c r="C68" s="487" t="s">
        <v>56</v>
      </c>
      <c r="D68" s="487"/>
      <c r="E68" s="26">
        <v>20.2</v>
      </c>
      <c r="F68" s="235">
        <v>2630</v>
      </c>
      <c r="G68" s="230">
        <f t="shared" si="85"/>
        <v>53126</v>
      </c>
      <c r="H68" s="76" t="s">
        <v>57</v>
      </c>
      <c r="I68" s="233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3" si="91">F68/V68*60</f>
        <v>2191.666666666667</v>
      </c>
      <c r="N68" s="9">
        <f t="shared" si="87"/>
        <v>115.35087719298247</v>
      </c>
      <c r="O68" s="11">
        <f t="shared" si="88"/>
        <v>0</v>
      </c>
      <c r="P68" s="12">
        <f t="shared" si="89"/>
        <v>-10.964912280701739</v>
      </c>
      <c r="Q68" s="231">
        <f t="shared" ref="Q68:Q74" si="92">N68/K68</f>
        <v>0.91319444444444453</v>
      </c>
      <c r="R68" s="470"/>
      <c r="S68" s="24">
        <v>0.17708333333333334</v>
      </c>
      <c r="T68" s="24">
        <v>0.22708333333333333</v>
      </c>
      <c r="U68" s="230">
        <f>(S68-T67)*24*60</f>
        <v>29.000000000000018</v>
      </c>
      <c r="V68" s="234">
        <f t="shared" si="90"/>
        <v>71.999999999999986</v>
      </c>
      <c r="W68" s="14"/>
      <c r="X68" s="14"/>
      <c r="Y68" s="456"/>
      <c r="Z68" s="456"/>
      <c r="AA68" s="11">
        <f t="shared" si="2"/>
        <v>-208.33333333333303</v>
      </c>
      <c r="AB68" s="231">
        <f t="shared" ref="AB68:AB74" si="93">M68/J68</f>
        <v>0.91319444444444453</v>
      </c>
      <c r="AC68" s="470"/>
    </row>
    <row r="69" spans="1:29" ht="15.75" customHeight="1">
      <c r="A69" s="467" t="s">
        <v>12</v>
      </c>
      <c r="B69" s="235" t="s">
        <v>24</v>
      </c>
      <c r="C69" s="487" t="s">
        <v>45</v>
      </c>
      <c r="D69" s="487"/>
      <c r="E69" s="26">
        <v>19.02</v>
      </c>
      <c r="F69" s="235">
        <v>5500</v>
      </c>
      <c r="G69" s="230">
        <f t="shared" si="85"/>
        <v>104610</v>
      </c>
      <c r="H69" s="76">
        <v>2</v>
      </c>
      <c r="I69" s="233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2171.0526315789471</v>
      </c>
      <c r="N69" s="9">
        <f t="shared" si="87"/>
        <v>144.73684210526315</v>
      </c>
      <c r="O69" s="11">
        <f t="shared" si="88"/>
        <v>0</v>
      </c>
      <c r="P69" s="12">
        <f t="shared" si="89"/>
        <v>-15.26315789473685</v>
      </c>
      <c r="Q69" s="231">
        <f t="shared" si="92"/>
        <v>0.90460526315789469</v>
      </c>
      <c r="R69" s="470"/>
      <c r="S69" s="24">
        <v>0.23055555555555554</v>
      </c>
      <c r="T69" s="24">
        <v>0.33611111111111108</v>
      </c>
      <c r="U69" s="230">
        <f t="shared" ref="U69:U73" si="94">(S69-T68)*24*60</f>
        <v>4.9999999999999822</v>
      </c>
      <c r="V69" s="234">
        <f t="shared" si="90"/>
        <v>152</v>
      </c>
      <c r="W69" s="14"/>
      <c r="X69" s="14"/>
      <c r="Y69" s="456"/>
      <c r="Z69" s="456"/>
      <c r="AA69" s="11">
        <f t="shared" ref="AA69:AA74" si="95">M69-J69</f>
        <v>-228.94736842105294</v>
      </c>
      <c r="AB69" s="231">
        <f t="shared" si="93"/>
        <v>0.90460526315789458</v>
      </c>
      <c r="AC69" s="470"/>
    </row>
    <row r="70" spans="1:29" ht="15.75" customHeight="1">
      <c r="A70" s="467" t="s">
        <v>12</v>
      </c>
      <c r="B70" s="235" t="s">
        <v>24</v>
      </c>
      <c r="C70" s="487" t="s">
        <v>46</v>
      </c>
      <c r="D70" s="487"/>
      <c r="E70" s="26">
        <v>25</v>
      </c>
      <c r="F70" s="235">
        <v>4258</v>
      </c>
      <c r="G70" s="230">
        <f t="shared" si="85"/>
        <v>106450</v>
      </c>
      <c r="H70" s="76" t="s">
        <v>57</v>
      </c>
      <c r="I70" s="233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2165.0847457627119</v>
      </c>
      <c r="N70" s="9">
        <f t="shared" si="87"/>
        <v>144.33898305084747</v>
      </c>
      <c r="O70" s="11">
        <f t="shared" si="88"/>
        <v>0</v>
      </c>
      <c r="P70" s="12">
        <f t="shared" si="89"/>
        <v>-15.661016949152526</v>
      </c>
      <c r="Q70" s="231">
        <f t="shared" si="92"/>
        <v>0.90211864406779674</v>
      </c>
      <c r="R70" s="470"/>
      <c r="S70" s="24">
        <v>0.34097222222222218</v>
      </c>
      <c r="T70" s="24">
        <v>0.42291666666666661</v>
      </c>
      <c r="U70" s="230">
        <f t="shared" si="94"/>
        <v>6.9999999999999751</v>
      </c>
      <c r="V70" s="234">
        <f t="shared" si="90"/>
        <v>117.99999999999999</v>
      </c>
      <c r="W70" s="14"/>
      <c r="X70" s="14"/>
      <c r="Y70" s="456"/>
      <c r="Z70" s="456"/>
      <c r="AA70" s="11">
        <f t="shared" si="95"/>
        <v>-234.91525423728808</v>
      </c>
      <c r="AB70" s="231">
        <f t="shared" si="93"/>
        <v>0.90211864406779663</v>
      </c>
      <c r="AC70" s="470"/>
    </row>
    <row r="71" spans="1:29" ht="15.75" customHeight="1">
      <c r="A71" s="467" t="s">
        <v>12</v>
      </c>
      <c r="B71" s="235" t="s">
        <v>24</v>
      </c>
      <c r="C71" s="487" t="s">
        <v>510</v>
      </c>
      <c r="D71" s="487"/>
      <c r="E71" s="26">
        <v>28.51</v>
      </c>
      <c r="F71" s="235">
        <v>3000</v>
      </c>
      <c r="G71" s="230">
        <f t="shared" si="85"/>
        <v>85530</v>
      </c>
      <c r="H71" s="76">
        <v>2</v>
      </c>
      <c r="I71" s="233">
        <v>20</v>
      </c>
      <c r="J71" s="18">
        <v>2400</v>
      </c>
      <c r="K71" s="9">
        <f t="shared" ref="K71:K74" si="96">J71/I71</f>
        <v>120</v>
      </c>
      <c r="L71" s="17">
        <v>20</v>
      </c>
      <c r="M71" s="10">
        <f t="shared" si="91"/>
        <v>2168.6746987951801</v>
      </c>
      <c r="N71" s="9">
        <f t="shared" si="87"/>
        <v>108.43373493975901</v>
      </c>
      <c r="O71" s="11">
        <f t="shared" si="88"/>
        <v>0</v>
      </c>
      <c r="P71" s="12">
        <f t="shared" si="89"/>
        <v>-11.566265060240994</v>
      </c>
      <c r="Q71" s="231">
        <f t="shared" si="92"/>
        <v>0.9036144578313251</v>
      </c>
      <c r="R71" s="470"/>
      <c r="S71" s="24">
        <v>0.42638888888888882</v>
      </c>
      <c r="T71" s="24">
        <v>0.48402777777777772</v>
      </c>
      <c r="U71" s="230">
        <f t="shared" si="94"/>
        <v>4.9999999999999822</v>
      </c>
      <c r="V71" s="234">
        <f t="shared" si="90"/>
        <v>83.000000000000028</v>
      </c>
      <c r="W71" s="14"/>
      <c r="X71" s="14"/>
      <c r="Y71" s="456"/>
      <c r="Z71" s="456"/>
      <c r="AA71" s="11">
        <f t="shared" si="95"/>
        <v>-231.32530120481988</v>
      </c>
      <c r="AB71" s="231">
        <f t="shared" si="93"/>
        <v>0.9036144578313251</v>
      </c>
      <c r="AC71" s="470"/>
    </row>
    <row r="72" spans="1:29" ht="15.75" customHeight="1">
      <c r="A72" s="467" t="s">
        <v>12</v>
      </c>
      <c r="B72" s="235" t="s">
        <v>24</v>
      </c>
      <c r="C72" s="487" t="s">
        <v>510</v>
      </c>
      <c r="D72" s="487"/>
      <c r="E72" s="26">
        <v>28.51</v>
      </c>
      <c r="F72" s="235">
        <v>2737</v>
      </c>
      <c r="G72" s="230">
        <f t="shared" si="85"/>
        <v>78031.87000000001</v>
      </c>
      <c r="H72" s="76" t="s">
        <v>57</v>
      </c>
      <c r="I72" s="233">
        <v>20</v>
      </c>
      <c r="J72" s="18">
        <v>2400</v>
      </c>
      <c r="K72" s="9">
        <f t="shared" si="96"/>
        <v>120</v>
      </c>
      <c r="L72" s="17">
        <v>20</v>
      </c>
      <c r="M72" s="10">
        <f t="shared" si="91"/>
        <v>2189.5999999999981</v>
      </c>
      <c r="N72" s="9">
        <f t="shared" si="87"/>
        <v>109.4799999999999</v>
      </c>
      <c r="O72" s="11">
        <f t="shared" si="88"/>
        <v>0</v>
      </c>
      <c r="P72" s="12">
        <f t="shared" si="89"/>
        <v>-10.520000000000095</v>
      </c>
      <c r="Q72" s="231">
        <f t="shared" si="92"/>
        <v>0.91233333333333255</v>
      </c>
      <c r="R72" s="470"/>
      <c r="S72" s="24">
        <v>0.52430555555555547</v>
      </c>
      <c r="T72" s="24">
        <v>0.57638888888888884</v>
      </c>
      <c r="U72" s="230">
        <f t="shared" si="94"/>
        <v>57.999999999999957</v>
      </c>
      <c r="V72" s="234">
        <f t="shared" si="90"/>
        <v>75.000000000000057</v>
      </c>
      <c r="W72" s="14"/>
      <c r="X72" s="14"/>
      <c r="Y72" s="456"/>
      <c r="Z72" s="456"/>
      <c r="AA72" s="11">
        <f t="shared" si="95"/>
        <v>-210.40000000000191</v>
      </c>
      <c r="AB72" s="231">
        <f t="shared" si="93"/>
        <v>0.91233333333333255</v>
      </c>
      <c r="AC72" s="470"/>
    </row>
    <row r="73" spans="1:29" ht="15.75" customHeight="1">
      <c r="A73" s="467" t="s">
        <v>12</v>
      </c>
      <c r="B73" s="235" t="s">
        <v>24</v>
      </c>
      <c r="C73" s="491" t="s">
        <v>45</v>
      </c>
      <c r="D73" s="492"/>
      <c r="E73" s="26">
        <v>19.02</v>
      </c>
      <c r="F73" s="235">
        <v>3010</v>
      </c>
      <c r="G73" s="230">
        <f t="shared" si="85"/>
        <v>57250.2</v>
      </c>
      <c r="H73" s="76" t="s">
        <v>57</v>
      </c>
      <c r="I73" s="233">
        <v>15</v>
      </c>
      <c r="J73" s="18">
        <v>2400</v>
      </c>
      <c r="K73" s="9">
        <f t="shared" si="96"/>
        <v>160</v>
      </c>
      <c r="L73" s="17">
        <v>15</v>
      </c>
      <c r="M73" s="10">
        <f t="shared" si="91"/>
        <v>2175.9036144578304</v>
      </c>
      <c r="N73" s="9">
        <f t="shared" si="87"/>
        <v>145.06024096385536</v>
      </c>
      <c r="O73" s="11">
        <f t="shared" si="88"/>
        <v>0</v>
      </c>
      <c r="P73" s="12">
        <f t="shared" si="89"/>
        <v>-14.939759036144636</v>
      </c>
      <c r="Q73" s="231">
        <f t="shared" si="92"/>
        <v>0.906626506024096</v>
      </c>
      <c r="R73" s="470"/>
      <c r="S73" s="24">
        <v>0.58055555555555549</v>
      </c>
      <c r="T73" s="24">
        <v>0.6381944444444444</v>
      </c>
      <c r="U73" s="230">
        <f t="shared" si="94"/>
        <v>5.9999999999999787</v>
      </c>
      <c r="V73" s="234">
        <f t="shared" si="90"/>
        <v>83.000000000000028</v>
      </c>
      <c r="W73" s="14"/>
      <c r="X73" s="14"/>
      <c r="Y73" s="473"/>
      <c r="Z73" s="474"/>
      <c r="AA73" s="11">
        <f t="shared" si="95"/>
        <v>-224.09638554216963</v>
      </c>
      <c r="AB73" s="231">
        <f t="shared" si="93"/>
        <v>0.906626506024096</v>
      </c>
      <c r="AC73" s="470"/>
    </row>
    <row r="74" spans="1:29" ht="16.5" customHeight="1">
      <c r="A74" s="501" t="s">
        <v>12</v>
      </c>
      <c r="B74" s="26" t="s">
        <v>81</v>
      </c>
      <c r="C74" s="466"/>
      <c r="D74" s="466"/>
      <c r="E74" s="229"/>
      <c r="F74" s="16"/>
      <c r="G74" s="9"/>
      <c r="H74" s="235"/>
      <c r="I74" s="17">
        <v>17.571428571428573</v>
      </c>
      <c r="J74" s="18">
        <v>2400</v>
      </c>
      <c r="K74" s="9">
        <f t="shared" si="96"/>
        <v>136.58536585365852</v>
      </c>
      <c r="L74" s="17">
        <v>17.571428571428573</v>
      </c>
      <c r="M74" s="10">
        <f>AVERAGE(M67:M73)</f>
        <v>2176.0595914100045</v>
      </c>
      <c r="N74" s="9">
        <f>M74/L74</f>
        <v>123.8407897550409</v>
      </c>
      <c r="O74" s="11">
        <f>L74-I74</f>
        <v>0</v>
      </c>
      <c r="P74" s="12">
        <f>N74-K74</f>
        <v>-12.744576098617614</v>
      </c>
      <c r="Q74" s="231">
        <f t="shared" si="92"/>
        <v>0.90669149642083535</v>
      </c>
      <c r="R74" s="470"/>
      <c r="S74" s="24"/>
      <c r="T74" s="24"/>
      <c r="U74" s="9"/>
      <c r="V74" s="234"/>
      <c r="W74" s="9"/>
      <c r="X74" s="9"/>
      <c r="Y74" s="456"/>
      <c r="Z74" s="456"/>
      <c r="AA74" s="11">
        <f t="shared" si="95"/>
        <v>-223.94040858999551</v>
      </c>
      <c r="AB74" s="231">
        <f t="shared" si="93"/>
        <v>0.90669149642083524</v>
      </c>
      <c r="AC74" s="470"/>
    </row>
    <row r="75" spans="1:29">
      <c r="D75" s="19"/>
      <c r="E75" s="19"/>
    </row>
  </sheetData>
  <mergeCells count="198">
    <mergeCell ref="AC67:AC74"/>
    <mergeCell ref="C68:D68"/>
    <mergeCell ref="Y68:Z68"/>
    <mergeCell ref="C69:D69"/>
    <mergeCell ref="Y69:Z69"/>
    <mergeCell ref="C70:D70"/>
    <mergeCell ref="Y70:Z70"/>
    <mergeCell ref="C71:D71"/>
    <mergeCell ref="Y71:Z71"/>
    <mergeCell ref="C72:D72"/>
    <mergeCell ref="A67:A74"/>
    <mergeCell ref="C67:D67"/>
    <mergeCell ref="R67:R74"/>
    <mergeCell ref="Y67:Z67"/>
    <mergeCell ref="Y72:Z72"/>
    <mergeCell ref="A61:A66"/>
    <mergeCell ref="C61:D61"/>
    <mergeCell ref="R61:R66"/>
    <mergeCell ref="Y61:Z61"/>
    <mergeCell ref="C73:D73"/>
    <mergeCell ref="Y73:Z73"/>
    <mergeCell ref="C74:D74"/>
    <mergeCell ref="Y74:Z74"/>
    <mergeCell ref="AC61:AC66"/>
    <mergeCell ref="C62:D62"/>
    <mergeCell ref="Y62:Z62"/>
    <mergeCell ref="C63:D63"/>
    <mergeCell ref="Y63:Z63"/>
    <mergeCell ref="C64:D64"/>
    <mergeCell ref="AC56:AC60"/>
    <mergeCell ref="C57:D57"/>
    <mergeCell ref="Y57:Z57"/>
    <mergeCell ref="C58:D58"/>
    <mergeCell ref="C60:D60"/>
    <mergeCell ref="Y60:Z60"/>
    <mergeCell ref="Y64:Z64"/>
    <mergeCell ref="C65:D65"/>
    <mergeCell ref="Y65:Z65"/>
    <mergeCell ref="C66:D66"/>
    <mergeCell ref="Y66:Z66"/>
    <mergeCell ref="A56:A60"/>
    <mergeCell ref="C56:D56"/>
    <mergeCell ref="R56:R60"/>
    <mergeCell ref="Y56:Z56"/>
    <mergeCell ref="Y50:Z50"/>
    <mergeCell ref="C51:D51"/>
    <mergeCell ref="Y51:Z51"/>
    <mergeCell ref="C52:D52"/>
    <mergeCell ref="Y52:Z52"/>
    <mergeCell ref="C53:D53"/>
    <mergeCell ref="Y53:Z53"/>
    <mergeCell ref="A47:A55"/>
    <mergeCell ref="C47:D47"/>
    <mergeCell ref="R47:R55"/>
    <mergeCell ref="Y47:Z47"/>
    <mergeCell ref="AC47:AC55"/>
    <mergeCell ref="C48:D48"/>
    <mergeCell ref="Y48:Z48"/>
    <mergeCell ref="C49:D49"/>
    <mergeCell ref="Y49:Z49"/>
    <mergeCell ref="C50:D50"/>
    <mergeCell ref="C44:D44"/>
    <mergeCell ref="Y44:Z44"/>
    <mergeCell ref="C45:D45"/>
    <mergeCell ref="Y45:Z45"/>
    <mergeCell ref="C46:D46"/>
    <mergeCell ref="Y46:Z46"/>
    <mergeCell ref="AC37:AC46"/>
    <mergeCell ref="C54:D54"/>
    <mergeCell ref="Y54:Z54"/>
    <mergeCell ref="C55:D55"/>
    <mergeCell ref="Y55:Z55"/>
    <mergeCell ref="Y40:Z40"/>
    <mergeCell ref="C41:D41"/>
    <mergeCell ref="Y41:Z41"/>
    <mergeCell ref="C42:D42"/>
    <mergeCell ref="Y42:Z42"/>
    <mergeCell ref="C43:D43"/>
    <mergeCell ref="Y43:Z43"/>
    <mergeCell ref="A37:A46"/>
    <mergeCell ref="C37:D37"/>
    <mergeCell ref="R37:R46"/>
    <mergeCell ref="Y37:Z37"/>
    <mergeCell ref="C38:D38"/>
    <mergeCell ref="Y38:Z38"/>
    <mergeCell ref="C39:D39"/>
    <mergeCell ref="Y39:Z39"/>
    <mergeCell ref="C40:D40"/>
    <mergeCell ref="A30:A36"/>
    <mergeCell ref="C30:D30"/>
    <mergeCell ref="R30:R36"/>
    <mergeCell ref="Y30:Z30"/>
    <mergeCell ref="Y35:Z35"/>
    <mergeCell ref="C36:D36"/>
    <mergeCell ref="Y36:Z36"/>
    <mergeCell ref="AC30:AC36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AC20:AC29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A20:A29"/>
    <mergeCell ref="C20:D20"/>
    <mergeCell ref="R20:R29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2 O74 O5:O9 O13:O15 O55:O61 O19:O52">
    <cfRule type="cellIs" dxfId="1331" priority="59" operator="greaterThan">
      <formula>0</formula>
    </cfRule>
  </conditionalFormatting>
  <conditionalFormatting sqref="P5:P7 P64:P65 AA64:AA65 P67:P72 P30:P35 P61 P9 P13:P15 P20:P28 P56:P59 P37:P52 AA5:AA61 AA67:AA74">
    <cfRule type="cellIs" dxfId="1330" priority="63" operator="lessThan">
      <formula>0</formula>
    </cfRule>
  </conditionalFormatting>
  <conditionalFormatting sqref="AB64:AB65 Q64:Q72 Q74 Q5:Q9 Q13:Q15 Q55:Q61 Q19:Q52 AB5:AB61 AB67:AB74">
    <cfRule type="cellIs" dxfId="1329" priority="60" operator="greaterThan">
      <formula>1</formula>
    </cfRule>
    <cfRule type="cellIs" dxfId="1328" priority="61" operator="lessThan">
      <formula>0.8</formula>
    </cfRule>
  </conditionalFormatting>
  <conditionalFormatting sqref="AC14:AC15 R14:R15 AC64 R64:R72 R19:R25 AC19:AC25 R29:R44 AC29:AC44 R74 AC5:AC9 R5:R9 R46:R52 AC46:AC52 AC55:AC61 R55:R61">
    <cfRule type="cellIs" dxfId="1327" priority="65" operator="lessThan">
      <formula>0.8</formula>
    </cfRule>
  </conditionalFormatting>
  <conditionalFormatting sqref="AC47">
    <cfRule type="cellIs" dxfId="1326" priority="67" operator="lessThan">
      <formula>0.8</formula>
    </cfRule>
  </conditionalFormatting>
  <conditionalFormatting sqref="AC20:AC25">
    <cfRule type="cellIs" dxfId="1325" priority="64" operator="lessThan">
      <formula>0.8</formula>
    </cfRule>
  </conditionalFormatting>
  <conditionalFormatting sqref="AC30">
    <cfRule type="cellIs" dxfId="1324" priority="66" operator="lessThan">
      <formula>0.8</formula>
    </cfRule>
  </conditionalFormatting>
  <conditionalFormatting sqref="AC37:AC44">
    <cfRule type="cellIs" dxfId="1323" priority="62" operator="lessThan">
      <formula>0.8</formula>
    </cfRule>
  </conditionalFormatting>
  <conditionalFormatting sqref="AA66">
    <cfRule type="cellIs" dxfId="1322" priority="58" operator="lessThan">
      <formula>0</formula>
    </cfRule>
  </conditionalFormatting>
  <conditionalFormatting sqref="AB66">
    <cfRule type="cellIs" dxfId="1321" priority="56" operator="greaterThan">
      <formula>1</formula>
    </cfRule>
    <cfRule type="cellIs" dxfId="1320" priority="57" operator="lessThan">
      <formula>0.8</formula>
    </cfRule>
  </conditionalFormatting>
  <conditionalFormatting sqref="O16:O17">
    <cfRule type="cellIs" dxfId="1319" priority="51" operator="greaterThan">
      <formula>0</formula>
    </cfRule>
  </conditionalFormatting>
  <conditionalFormatting sqref="P16:P17">
    <cfRule type="cellIs" dxfId="1318" priority="54" operator="lessThan">
      <formula>0</formula>
    </cfRule>
  </conditionalFormatting>
  <conditionalFormatting sqref="Q16:Q17">
    <cfRule type="cellIs" dxfId="1317" priority="52" operator="greaterThan">
      <formula>1</formula>
    </cfRule>
    <cfRule type="cellIs" dxfId="1316" priority="53" operator="lessThan">
      <formula>0.8</formula>
    </cfRule>
  </conditionalFormatting>
  <conditionalFormatting sqref="R16:R17 AC16:AC17">
    <cfRule type="cellIs" dxfId="1315" priority="55" operator="lessThan">
      <formula>0.8</formula>
    </cfRule>
  </conditionalFormatting>
  <conditionalFormatting sqref="O10:O12">
    <cfRule type="cellIs" dxfId="1314" priority="47" operator="greaterThan">
      <formula>0</formula>
    </cfRule>
  </conditionalFormatting>
  <conditionalFormatting sqref="P10:P12">
    <cfRule type="cellIs" dxfId="1313" priority="50" operator="lessThan">
      <formula>0</formula>
    </cfRule>
  </conditionalFormatting>
  <conditionalFormatting sqref="Q10:Q12">
    <cfRule type="cellIs" dxfId="1312" priority="48" operator="greaterThan">
      <formula>1</formula>
    </cfRule>
    <cfRule type="cellIs" dxfId="1311" priority="49" operator="lessThan">
      <formula>0.8</formula>
    </cfRule>
  </conditionalFormatting>
  <conditionalFormatting sqref="AC27 R27">
    <cfRule type="cellIs" dxfId="1310" priority="46" operator="lessThan">
      <formula>0.8</formula>
    </cfRule>
  </conditionalFormatting>
  <conditionalFormatting sqref="R45 AC45">
    <cfRule type="cellIs" dxfId="1309" priority="45" operator="lessThan">
      <formula>0.8</formula>
    </cfRule>
  </conditionalFormatting>
  <conditionalFormatting sqref="AC45">
    <cfRule type="cellIs" dxfId="1308" priority="44" operator="lessThan">
      <formula>0.8</formula>
    </cfRule>
  </conditionalFormatting>
  <conditionalFormatting sqref="O63">
    <cfRule type="cellIs" dxfId="1307" priority="39" operator="greaterThan">
      <formula>0</formula>
    </cfRule>
  </conditionalFormatting>
  <conditionalFormatting sqref="P63 AA63">
    <cfRule type="cellIs" dxfId="1306" priority="42" operator="lessThan">
      <formula>0</formula>
    </cfRule>
  </conditionalFormatting>
  <conditionalFormatting sqref="Q63 AB63">
    <cfRule type="cellIs" dxfId="1305" priority="40" operator="greaterThan">
      <formula>1</formula>
    </cfRule>
    <cfRule type="cellIs" dxfId="1304" priority="41" operator="lessThan">
      <formula>0.8</formula>
    </cfRule>
  </conditionalFormatting>
  <conditionalFormatting sqref="R63 AC63">
    <cfRule type="cellIs" dxfId="1303" priority="43" operator="lessThan">
      <formula>0.8</formula>
    </cfRule>
  </conditionalFormatting>
  <conditionalFormatting sqref="O73">
    <cfRule type="cellIs" dxfId="1302" priority="34" operator="greaterThan">
      <formula>0</formula>
    </cfRule>
  </conditionalFormatting>
  <conditionalFormatting sqref="P73">
    <cfRule type="cellIs" dxfId="1301" priority="37" operator="lessThan">
      <formula>0</formula>
    </cfRule>
  </conditionalFormatting>
  <conditionalFormatting sqref="Q73">
    <cfRule type="cellIs" dxfId="1300" priority="35" operator="greaterThan">
      <formula>1</formula>
    </cfRule>
    <cfRule type="cellIs" dxfId="1299" priority="36" operator="lessThan">
      <formula>0.8</formula>
    </cfRule>
  </conditionalFormatting>
  <conditionalFormatting sqref="R73">
    <cfRule type="cellIs" dxfId="1298" priority="38" operator="lessThan">
      <formula>0.8</formula>
    </cfRule>
  </conditionalFormatting>
  <conditionalFormatting sqref="O18">
    <cfRule type="cellIs" dxfId="1297" priority="29" operator="greaterThan">
      <formula>0</formula>
    </cfRule>
  </conditionalFormatting>
  <conditionalFormatting sqref="P18">
    <cfRule type="cellIs" dxfId="1296" priority="32" operator="lessThan">
      <formula>0</formula>
    </cfRule>
  </conditionalFormatting>
  <conditionalFormatting sqref="Q18">
    <cfRule type="cellIs" dxfId="1295" priority="30" operator="greaterThan">
      <formula>1</formula>
    </cfRule>
    <cfRule type="cellIs" dxfId="1294" priority="31" operator="lessThan">
      <formula>0.8</formula>
    </cfRule>
  </conditionalFormatting>
  <conditionalFormatting sqref="R18 AC18">
    <cfRule type="cellIs" dxfId="1293" priority="33" operator="lessThan">
      <formula>0.8</formula>
    </cfRule>
  </conditionalFormatting>
  <conditionalFormatting sqref="O53">
    <cfRule type="cellIs" dxfId="1292" priority="23" operator="greaterThan">
      <formula>0</formula>
    </cfRule>
  </conditionalFormatting>
  <conditionalFormatting sqref="P53">
    <cfRule type="cellIs" dxfId="1291" priority="27" operator="lessThan">
      <formula>0</formula>
    </cfRule>
  </conditionalFormatting>
  <conditionalFormatting sqref="Q53">
    <cfRule type="cellIs" dxfId="1290" priority="24" operator="greaterThan">
      <formula>1</formula>
    </cfRule>
    <cfRule type="cellIs" dxfId="1289" priority="25" operator="lessThan">
      <formula>0.8</formula>
    </cfRule>
  </conditionalFormatting>
  <conditionalFormatting sqref="R53 AC53">
    <cfRule type="cellIs" dxfId="1288" priority="28" operator="lessThan">
      <formula>0.8</formula>
    </cfRule>
  </conditionalFormatting>
  <conditionalFormatting sqref="AC53">
    <cfRule type="cellIs" dxfId="1287" priority="26" operator="lessThan">
      <formula>0.8</formula>
    </cfRule>
  </conditionalFormatting>
  <conditionalFormatting sqref="O54">
    <cfRule type="cellIs" dxfId="1286" priority="17" operator="greaterThan">
      <formula>0</formula>
    </cfRule>
  </conditionalFormatting>
  <conditionalFormatting sqref="P54">
    <cfRule type="cellIs" dxfId="1285" priority="21" operator="lessThan">
      <formula>0</formula>
    </cfRule>
  </conditionalFormatting>
  <conditionalFormatting sqref="Q54">
    <cfRule type="cellIs" dxfId="1284" priority="18" operator="greaterThan">
      <formula>1</formula>
    </cfRule>
    <cfRule type="cellIs" dxfId="1283" priority="19" operator="lessThan">
      <formula>0.8</formula>
    </cfRule>
  </conditionalFormatting>
  <conditionalFormatting sqref="R54 AC54">
    <cfRule type="cellIs" dxfId="1282" priority="22" operator="lessThan">
      <formula>0.8</formula>
    </cfRule>
  </conditionalFormatting>
  <conditionalFormatting sqref="AC54">
    <cfRule type="cellIs" dxfId="1281" priority="20" operator="lessThan">
      <formula>0.8</formula>
    </cfRule>
  </conditionalFormatting>
  <conditionalFormatting sqref="AC28 R28">
    <cfRule type="cellIs" dxfId="1280" priority="16" operator="lessThan">
      <formula>0.8</formula>
    </cfRule>
  </conditionalFormatting>
  <conditionalFormatting sqref="R26 AC26">
    <cfRule type="cellIs" dxfId="1279" priority="15" operator="lessThan">
      <formula>0.8</formula>
    </cfRule>
  </conditionalFormatting>
  <conditionalFormatting sqref="AC26">
    <cfRule type="cellIs" dxfId="1278" priority="14" operator="lessThan">
      <formula>0.8</formula>
    </cfRule>
  </conditionalFormatting>
  <conditionalFormatting sqref="O62">
    <cfRule type="cellIs" dxfId="1277" priority="9" operator="greaterThan">
      <formula>0</formula>
    </cfRule>
  </conditionalFormatting>
  <conditionalFormatting sqref="P62 AA62">
    <cfRule type="cellIs" dxfId="1276" priority="12" operator="lessThan">
      <formula>0</formula>
    </cfRule>
  </conditionalFormatting>
  <conditionalFormatting sqref="Q62 AB62">
    <cfRule type="cellIs" dxfId="1275" priority="10" operator="greaterThan">
      <formula>1</formula>
    </cfRule>
    <cfRule type="cellIs" dxfId="1274" priority="11" operator="lessThan">
      <formula>0.8</formula>
    </cfRule>
  </conditionalFormatting>
  <conditionalFormatting sqref="R62 AC62">
    <cfRule type="cellIs" dxfId="1273" priority="13" operator="lessThan">
      <formula>0.8</formula>
    </cfRule>
  </conditionalFormatting>
  <conditionalFormatting sqref="P8">
    <cfRule type="cellIs" dxfId="1272" priority="8" operator="lessThan">
      <formula>0</formula>
    </cfRule>
  </conditionalFormatting>
  <conditionalFormatting sqref="P19">
    <cfRule type="cellIs" dxfId="1271" priority="7" operator="lessThan">
      <formula>0</formula>
    </cfRule>
  </conditionalFormatting>
  <conditionalFormatting sqref="P29">
    <cfRule type="cellIs" dxfId="1270" priority="6" operator="lessThan">
      <formula>0</formula>
    </cfRule>
  </conditionalFormatting>
  <conditionalFormatting sqref="P36">
    <cfRule type="cellIs" dxfId="1269" priority="5" operator="lessThan">
      <formula>0</formula>
    </cfRule>
  </conditionalFormatting>
  <conditionalFormatting sqref="P55">
    <cfRule type="cellIs" dxfId="1268" priority="4" operator="lessThan">
      <formula>0</formula>
    </cfRule>
  </conditionalFormatting>
  <conditionalFormatting sqref="P60">
    <cfRule type="cellIs" dxfId="1267" priority="3" operator="lessThan">
      <formula>0</formula>
    </cfRule>
  </conditionalFormatting>
  <conditionalFormatting sqref="P66">
    <cfRule type="cellIs" dxfId="1266" priority="2" operator="lessThan">
      <formula>0</formula>
    </cfRule>
  </conditionalFormatting>
  <conditionalFormatting sqref="P74">
    <cfRule type="cellIs" dxfId="1265" priority="1" operator="lessThan">
      <formula>0</formula>
    </cfRule>
  </conditionalFormatting>
  <dataValidations count="1">
    <dataValidation type="list" allowBlank="1" showInputMessage="1" showErrorMessage="1" sqref="Z8 Z65 Y5:Z7 Y8:Y65 Z10:Z61 Y66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3" sqref="B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165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210" t="s">
        <v>89</v>
      </c>
      <c r="C3" s="421" t="str">
        <f>TEXT('0715 4度C'!A2,"yyyy.mm.ddaaaa")</f>
        <v>2025.07.15星期二</v>
      </c>
      <c r="D3" s="421"/>
      <c r="E3" s="210" t="s">
        <v>744</v>
      </c>
      <c r="F3" s="422">
        <f>'0715 4度C'!D1</f>
        <v>176958</v>
      </c>
      <c r="G3" s="422"/>
      <c r="H3" s="210" t="s">
        <v>745</v>
      </c>
      <c r="I3" s="423">
        <f>'0715 4度C'!F1</f>
        <v>6058133.0799999991</v>
      </c>
      <c r="J3" s="423"/>
      <c r="K3" s="31"/>
      <c r="L3" s="32"/>
      <c r="M3" s="33"/>
      <c r="N3" s="33"/>
    </row>
    <row r="4" spans="2:17" ht="28.5" customHeight="1">
      <c r="B4" s="424" t="s">
        <v>746</v>
      </c>
      <c r="C4" s="424" t="s">
        <v>128</v>
      </c>
      <c r="D4" s="424"/>
      <c r="E4" s="425" t="s">
        <v>92</v>
      </c>
      <c r="F4" s="425"/>
      <c r="G4" s="425" t="s">
        <v>129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747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140.38011201222199</v>
      </c>
      <c r="F6" s="424">
        <f>AVERAGE(D27:O27,D13:J13)</f>
        <v>143.59133844503617</v>
      </c>
      <c r="G6" s="429">
        <f>AVERAGE(D13:J13)</f>
        <v>143.59133844503617</v>
      </c>
      <c r="H6" s="429"/>
      <c r="I6" s="429">
        <f>AVERAGE(K13:M13)</f>
        <v>132.88725033565558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127.49817709147275</v>
      </c>
      <c r="F7" s="434">
        <f>AVERAGE(D28:O28,D14:J14)</f>
        <v>130.53152316227593</v>
      </c>
      <c r="G7" s="435">
        <f>AVERAGE(D14:J14)</f>
        <v>130.53152316227593</v>
      </c>
      <c r="H7" s="435"/>
      <c r="I7" s="435">
        <f>AVERAGE(K14:M14)</f>
        <v>120.4203695929321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0.90748929415648438</v>
      </c>
      <c r="F8" s="432">
        <f>AVERAGE(D15:J15,D29:O29)</f>
        <v>0.90805695066989145</v>
      </c>
      <c r="G8" s="437">
        <f>AVERAGE(D15:J15)</f>
        <v>0.90805695066989145</v>
      </c>
      <c r="H8" s="437"/>
      <c r="I8" s="437">
        <f>AVERAGE(K15:M15)</f>
        <v>0.90616476229186793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748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749</v>
      </c>
      <c r="E12" s="42" t="s">
        <v>86</v>
      </c>
      <c r="F12" s="42" t="s">
        <v>750</v>
      </c>
      <c r="G12" s="42" t="s">
        <v>99</v>
      </c>
      <c r="H12" s="42" t="s">
        <v>100</v>
      </c>
      <c r="I12" s="42" t="s">
        <v>101</v>
      </c>
      <c r="J12" s="43" t="s">
        <v>751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87</v>
      </c>
      <c r="D13" s="45">
        <f>SUMIFS('0715 4度C'!$K:$K,'0715 4度C'!$A:$A,"燴飯線",'0715 4度C'!$B:$B,"平均")</f>
        <v>105.88235294117646</v>
      </c>
      <c r="E13" s="46">
        <f>SUMIFS('0715 4度C'!$K:$K,'0715 4度C'!$A:$A,"沙拉線一線",'0715 4度C'!$B:$B,"平均")</f>
        <v>81.081081081081081</v>
      </c>
      <c r="F13" s="47">
        <f>SUMIFS('0715 4度C'!$K:$K,'0715 4度C'!$A:$A,"沙拉線二線",'0715 4度C'!$B:$B,"平均")</f>
        <v>80.702127659574472</v>
      </c>
      <c r="G13" s="47">
        <f>SUMIFS('0715 4度C'!$K:$K,'0715 4度C'!$A:$A,"沙拉線三線",'0715 4度C'!$B:$B,"平均")</f>
        <v>103.99999999999999</v>
      </c>
      <c r="H13" s="47">
        <f>SUMIFS('0715 4度C'!$K:$K,'0715 4度C'!$A:$A,"自動包裝線",'0715 4度C'!$B:$B,"平均")</f>
        <v>300</v>
      </c>
      <c r="I13" s="47">
        <f>SUMIFS('0715 4度C'!$K:$K,'0715 4度C'!$A:$A,"涼麵一線",'0715 4度C'!$B:$B,"平均")</f>
        <v>89.552238805970148</v>
      </c>
      <c r="J13" s="48">
        <f>SUMIFS('0715 4度C'!$K:$K,'0715 4度C'!$A:$A,"三明治四線",'0715 4度C'!$B:$B,"平均")</f>
        <v>243.92156862745099</v>
      </c>
      <c r="K13" s="49">
        <f>SUMIFS('0715 4度C'!$K:$K,'0715 4度C'!$A:$A,"三明治一線",'0715 4度C'!$B:$B,"平均")</f>
        <v>134.26573426573427</v>
      </c>
      <c r="L13" s="50">
        <f>SUMIFS('0715 4度C'!$K:$K,'0715 4度C'!$A:$A,"三明治二線",'0715 4度C'!$B:$B,"平均")</f>
        <v>127.81065088757396</v>
      </c>
      <c r="M13" s="48">
        <f>SUMIFS('0715 4度C'!$K:$K,'0715 4度C'!$A:$A,"自動包裝二線",'0715 4度C'!$B:$B,"平均")</f>
        <v>136.58536585365852</v>
      </c>
    </row>
    <row r="14" spans="2:17" ht="39.6" customHeight="1">
      <c r="B14" s="447"/>
      <c r="C14" s="51" t="s">
        <v>752</v>
      </c>
      <c r="D14" s="52">
        <f>SUMIFS('0715 4度C'!$N:$N,'0715 4度C'!$A:$A,"燴飯線",'0715 4度C'!$B:$B,"平均")</f>
        <v>96.271366142568681</v>
      </c>
      <c r="E14" s="53">
        <f>SUMIFS('0715 4度C'!$N:$N,'0715 4度C'!$A:$A,"沙拉線一線",'0715 4度C'!$B:$B,"平均")</f>
        <v>73.500413205228554</v>
      </c>
      <c r="F14" s="53">
        <f>SUMIFS('0715 4度C'!$N:$N,'0715 4度C'!$A:$A,"沙拉線二線",'0715 4度C'!$B:$B,"平均")</f>
        <v>73.163378610551078</v>
      </c>
      <c r="G14" s="53">
        <f>SUMIFS('0715 4度C'!$N:$N,'0715 4度C'!$A:$A,"沙拉線三線",'0715 4度C'!$B:$B,"平均")</f>
        <v>94.649499774114119</v>
      </c>
      <c r="H14" s="53">
        <f>SUMIFS('0715 4度C'!$N:$N,'0715 4度C'!$A:$A,"自動包裝線",'0715 4度C'!$B:$B,"平均")</f>
        <v>273.27484141086404</v>
      </c>
      <c r="I14" s="53">
        <f>SUMIFS('0715 4度C'!$N:$N,'0715 4度C'!$A:$A,"涼麵一線",'0715 4度C'!$B:$B,"平均")</f>
        <v>80.860135449101065</v>
      </c>
      <c r="J14" s="54">
        <f>SUMIFS('0715 4度C'!$N:$N,'0715 4度C'!$A:$A,"三明治四線",'0715 4度C'!$B:$B,"平均")</f>
        <v>222.0010275435038</v>
      </c>
      <c r="K14" s="55">
        <f>SUMIFS('0715 4度C'!$N:$N,'0715 4度C'!$A:$A,"三明治一線",'0715 4度C'!$B:$B,"平均")</f>
        <v>121.59934536324248</v>
      </c>
      <c r="L14" s="56">
        <f>SUMIFS('0715 4度C'!$N:$N,'0715 4度C'!$A:$A,"三明治二線",'0715 4度C'!$B:$B,"平均")</f>
        <v>115.71975364989144</v>
      </c>
      <c r="M14" s="54">
        <f>SUMIFS('0715 4度C'!$N:$N,'0715 4度C'!$A:$A,"自動包裝二線",'0715 4度C'!$B:$B,"平均")</f>
        <v>123.94200976566239</v>
      </c>
    </row>
    <row r="15" spans="2:17" ht="40.15" customHeight="1">
      <c r="B15" s="447"/>
      <c r="C15" s="57" t="s">
        <v>753</v>
      </c>
      <c r="D15" s="58">
        <f>D14/D13</f>
        <v>0.90922956912425978</v>
      </c>
      <c r="E15" s="59">
        <f t="shared" ref="E15:M15" si="0">E14/E13</f>
        <v>0.90650509619781883</v>
      </c>
      <c r="F15" s="59">
        <f t="shared" si="0"/>
        <v>0.90658549820614298</v>
      </c>
      <c r="G15" s="59">
        <f t="shared" si="0"/>
        <v>0.91009134398186664</v>
      </c>
      <c r="H15" s="59">
        <f>H14/H13</f>
        <v>0.91091613803621352</v>
      </c>
      <c r="I15" s="59">
        <f>I14/I13</f>
        <v>0.90293817918162855</v>
      </c>
      <c r="J15" s="60">
        <f>J14/J13</f>
        <v>0.91013282996130973</v>
      </c>
      <c r="K15" s="58">
        <f>K14/K13</f>
        <v>0.90566179098664967</v>
      </c>
      <c r="L15" s="59">
        <f>L14/L13</f>
        <v>0.90539992439035444</v>
      </c>
      <c r="M15" s="60">
        <f t="shared" si="0"/>
        <v>0.90743257149859979</v>
      </c>
    </row>
    <row r="16" spans="2:17" ht="17.25" customHeight="1">
      <c r="B16" s="430" t="s">
        <v>754</v>
      </c>
      <c r="C16" s="209" t="s">
        <v>755</v>
      </c>
      <c r="D16" s="61">
        <f>VLOOKUP("燴飯線",'0715 4度C'!$A:$T,19,0)</f>
        <v>0.70833333333333337</v>
      </c>
      <c r="E16" s="24">
        <f>VLOOKUP("沙拉線一線",'0715 4度C'!$A:$T,19,0)</f>
        <v>0.13055555555555556</v>
      </c>
      <c r="F16" s="24">
        <f>VLOOKUP("沙拉線二線",'0715 4度C'!$A:$T,19,0)</f>
        <v>0.25</v>
      </c>
      <c r="G16" s="24">
        <f>VLOOKUP("沙拉線三線",'0715 4度C'!$A:$T,19,0)</f>
        <v>0.16666666666666666</v>
      </c>
      <c r="H16" s="24">
        <f>VLOOKUP("自動包裝線",'0715 4度C'!$A:$T,19,0)</f>
        <v>0.20833333333333334</v>
      </c>
      <c r="I16" s="24">
        <f>VLOOKUP("涼麵一線",'0715 4度C'!$A:$T,19,0)</f>
        <v>0.29305555555555557</v>
      </c>
      <c r="J16" s="62">
        <f>VLOOKUP("三明治四線",'0715 4度C'!$A:$T,19,0)</f>
        <v>0.25069444444444444</v>
      </c>
      <c r="K16" s="63">
        <f>VLOOKUP("三明治一線",'0715 4度C'!$A:$T,19,0)</f>
        <v>0.125</v>
      </c>
      <c r="L16" s="64">
        <f>VLOOKUP("三明治二線",'0715 4度C'!$A:$T,19,0)</f>
        <v>8.3333333333333329E-2</v>
      </c>
      <c r="M16" s="65">
        <f>VLOOKUP("自動包裝二線",'0715 4度C'!$A:$T,19,0)</f>
        <v>0.125</v>
      </c>
    </row>
    <row r="17" spans="2:13" ht="17.25" customHeight="1">
      <c r="B17" s="431"/>
      <c r="C17" s="209" t="s">
        <v>192</v>
      </c>
      <c r="D17" s="63">
        <f>LOOKUP(2,1/(('0715 4度C'!$A:$A="燴飯線")*('0715 4度C'!$T:$T&lt;&gt;"")),'0715 4度C'!$T:$T)</f>
        <v>0.87361111111111112</v>
      </c>
      <c r="E17" s="24">
        <f>LOOKUP(2,1/(('0715 4度C'!$A:$A="沙拉線一線")*('0715 4度C'!$T:$T&lt;&gt;"")),'0715 4度C'!$T:$T)</f>
        <v>0.63611111111111107</v>
      </c>
      <c r="F17" s="24">
        <f>LOOKUP(2,1/(('0715 4度C'!$A:$A="沙拉線二線")*('0715 4度C'!$T:$T&lt;&gt;"")),'0715 4度C'!$T:$T)</f>
        <v>0.83819444444444446</v>
      </c>
      <c r="G17" s="24">
        <f>LOOKUP(2,1/(('0715 4度C'!$A:$A="沙拉線三線")*('0715 4度C'!$T:$T&lt;&gt;"")),'0715 4度C'!$T:$T)</f>
        <v>0.82708333333333339</v>
      </c>
      <c r="H17" s="24">
        <f>LOOKUP(2,1/(('0715 4度C'!$A:$A="自動包裝線")*('0715 4度C'!$T:$T&lt;&gt;"")),'0715 4度C'!$T:$T)</f>
        <v>0.64444444444444438</v>
      </c>
      <c r="I17" s="24">
        <f>LOOKUP(2,1/(('0715 4度C'!$A:$A="涼麵一線")*('0715 4度C'!$T:$T&lt;&gt;"")),'0715 4度C'!$T:$T)</f>
        <v>0.84027777777777779</v>
      </c>
      <c r="J17" s="62">
        <f>LOOKUP(2,1/(('0715 4度C'!$A:$A="三明治四線")*('0715 4度C'!$T:$T&lt;&gt;"")),'0715 4度C'!$T:$T)</f>
        <v>0.48888888888888887</v>
      </c>
      <c r="K17" s="61">
        <f>LOOKUP(2,1/(('0715 4度C'!$A:$A="三明治一線")*('0715 4度C'!$T:$T&lt;&gt;"")),'0715 4度C'!$T:$T)</f>
        <v>0.7041666666666665</v>
      </c>
      <c r="L17" s="24">
        <f>LOOKUP(2,1/(('0715 4度C'!$A:$A="三明治二線")*('0715 4度C'!$T:$T&lt;&gt;"")),'0715 4度C'!$T:$T)</f>
        <v>0.71180555555555536</v>
      </c>
      <c r="M17" s="62">
        <f>LOOKUP(2,1/(('0715 4度C'!$A:$A="自動包裝二線")*('0715 4度C'!$T:$T&lt;&gt;"")),'0715 4度C'!$T:$T)</f>
        <v>0.67291666666666661</v>
      </c>
    </row>
    <row r="18" spans="2:13" ht="17.25" customHeight="1">
      <c r="B18" s="431" t="s">
        <v>341</v>
      </c>
      <c r="C18" s="446"/>
      <c r="D18" s="66">
        <f>SUMIFS('0715 4度C'!$I:$I,'0715 4度C'!$A:$A,"燴飯線",'0715 4度C'!$B:$B,"平均")</f>
        <v>17</v>
      </c>
      <c r="E18" s="67">
        <f>SUMIFS('0715 4度C'!$I:$I,'0715 4度C'!$A:$A,"沙拉線一線",'0715 4度C'!$B:$B,"平均")</f>
        <v>18.5</v>
      </c>
      <c r="F18" s="67">
        <f>SUMIFS('0715 4度C'!$I:$I,'0715 4度C'!$A:$A,"沙拉線二線",'0715 4度C'!$B:$B,"平均")</f>
        <v>18.8</v>
      </c>
      <c r="G18" s="67">
        <f>SUMIFS('0715 4度C'!$I:$I,'0715 4度C'!$A:$A,"沙拉線三線",'0715 4度C'!$B:$B,"平均")</f>
        <v>16.666666666666668</v>
      </c>
      <c r="H18" s="67">
        <f>SUMIFS('0715 4度C'!$I:$I,'0715 4度C'!$A:$A,"自動包裝線",'0715 4度C'!$B:$B,"平均")</f>
        <v>10</v>
      </c>
      <c r="I18" s="67">
        <f>SUMIFS('0715 4度C'!$I:$I,'0715 4度C'!$A:$A,"涼麵一線",'0715 4度C'!$B:$B,"平均")</f>
        <v>16.75</v>
      </c>
      <c r="J18" s="68">
        <f>SUMIFS('0715 4度C'!$I:$I,'0715 4度C'!$A:$A,"三明治四線",'0715 4度C'!$B:$B,"平均")</f>
        <v>10.199999999999999</v>
      </c>
      <c r="K18" s="66">
        <f>SUMIFS('0715 4度C'!$I:$I,'0715 4度C'!$A:$A,"三明治一線",'0715 4度C'!$B:$B,"平均")</f>
        <v>17.875</v>
      </c>
      <c r="L18" s="67">
        <f>SUMIFS('0715 4度C'!$I:$I,'0715 4度C'!$A:$A,"三明治二線",'0715 4度C'!$B:$B,"平均")</f>
        <v>18.777777777777779</v>
      </c>
      <c r="M18" s="68">
        <f>SUMIFS('0715 4度C'!$I:$I,'0715 4度C'!$A:$A,"自動包裝二線",'0715 4度C'!$B:$B,"平均")</f>
        <v>17.571428571428573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756</v>
      </c>
      <c r="L19" s="70" t="s">
        <v>757</v>
      </c>
      <c r="M19" s="71" t="s">
        <v>756</v>
      </c>
    </row>
    <row r="20" spans="2:13" ht="17.25" customHeight="1">
      <c r="B20" s="448" t="s">
        <v>758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759</v>
      </c>
      <c r="F21" s="452" t="s">
        <v>201</v>
      </c>
      <c r="G21" s="453"/>
      <c r="H21" s="73" t="s">
        <v>107</v>
      </c>
      <c r="I21" s="73" t="s">
        <v>760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2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7"/>
  <sheetViews>
    <sheetView zoomScale="80" zoomScaleNormal="80" workbookViewId="0">
      <pane ySplit="4" topLeftCell="A5" activePane="bottomLeft" state="frozen"/>
      <selection activeCell="AO33" activeCellId="2" sqref="AO26 AO28:AO31 AO33:AO35"/>
      <selection pane="bottomLeft" activeCell="B6" sqref="B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761</v>
      </c>
      <c r="D1" s="3">
        <f>SUM(F5:F76)</f>
        <v>176958</v>
      </c>
      <c r="E1" s="216" t="s">
        <v>762</v>
      </c>
      <c r="F1" s="1">
        <f>SUM(G5:G76)</f>
        <v>6058133.0799999991</v>
      </c>
      <c r="G1" s="1" t="s">
        <v>111</v>
      </c>
      <c r="H1" s="4">
        <f>L8+L13+L57+L62+L19+L68+L38+L48+L29+L76</f>
        <v>162.14087301587301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763</v>
      </c>
      <c r="T1" s="454"/>
      <c r="U1" s="454"/>
      <c r="V1" s="454"/>
      <c r="W1" s="454"/>
      <c r="X1" s="454"/>
      <c r="Y1" s="454" t="s">
        <v>764</v>
      </c>
      <c r="Z1" s="454"/>
      <c r="AA1" s="454" t="s">
        <v>765</v>
      </c>
      <c r="AB1" s="455"/>
      <c r="AC1" s="455"/>
    </row>
    <row r="2" spans="1:29" ht="26.25" customHeight="1">
      <c r="A2" s="22">
        <v>45853</v>
      </c>
      <c r="B2" s="23" t="s">
        <v>74</v>
      </c>
      <c r="C2" s="2" t="s">
        <v>114</v>
      </c>
      <c r="D2" s="6">
        <f>AVERAGE(N8,N13,N57,N62,N19,N68,N29,N38,N48,N76)</f>
        <v>127.49817709147274</v>
      </c>
      <c r="E2" s="7" t="s">
        <v>0</v>
      </c>
      <c r="F2" s="8">
        <f>F1/D1</f>
        <v>34.234864092044432</v>
      </c>
      <c r="G2" s="1" t="s">
        <v>146</v>
      </c>
      <c r="H2" s="222">
        <f>COUNT(H5:H76)</f>
        <v>12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766</v>
      </c>
      <c r="B3" s="456" t="s">
        <v>767</v>
      </c>
      <c r="C3" s="456" t="s">
        <v>768</v>
      </c>
      <c r="D3" s="456"/>
      <c r="E3" s="457" t="s">
        <v>769</v>
      </c>
      <c r="F3" s="456" t="s">
        <v>770</v>
      </c>
      <c r="G3" s="457" t="s">
        <v>222</v>
      </c>
      <c r="H3" s="463" t="s">
        <v>119</v>
      </c>
      <c r="I3" s="464" t="s">
        <v>76</v>
      </c>
      <c r="J3" s="465" t="s">
        <v>771</v>
      </c>
      <c r="K3" s="459" t="s">
        <v>114</v>
      </c>
      <c r="L3" s="464" t="s">
        <v>76</v>
      </c>
      <c r="M3" s="465" t="s">
        <v>771</v>
      </c>
      <c r="N3" s="459" t="s">
        <v>114</v>
      </c>
      <c r="O3" s="464" t="s">
        <v>772</v>
      </c>
      <c r="P3" s="459" t="s">
        <v>114</v>
      </c>
      <c r="Q3" s="460" t="s">
        <v>773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774</v>
      </c>
      <c r="X3" s="456"/>
      <c r="Y3" s="475" t="s">
        <v>775</v>
      </c>
      <c r="Z3" s="476"/>
      <c r="AA3" s="465" t="s">
        <v>149</v>
      </c>
      <c r="AB3" s="460" t="s">
        <v>776</v>
      </c>
      <c r="AC3" s="461" t="s">
        <v>777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21" t="s">
        <v>3</v>
      </c>
      <c r="T4" s="221" t="s">
        <v>4</v>
      </c>
      <c r="U4" s="463"/>
      <c r="V4" s="463"/>
      <c r="W4" s="216" t="s">
        <v>778</v>
      </c>
      <c r="X4" s="216" t="s">
        <v>233</v>
      </c>
      <c r="Y4" s="476"/>
      <c r="Z4" s="476"/>
      <c r="AA4" s="465"/>
      <c r="AB4" s="460"/>
      <c r="AC4" s="461"/>
    </row>
    <row r="5" spans="1:29">
      <c r="A5" s="471" t="s">
        <v>153</v>
      </c>
      <c r="B5" s="26" t="s">
        <v>13</v>
      </c>
      <c r="C5" s="472" t="s">
        <v>58</v>
      </c>
      <c r="D5" s="472"/>
      <c r="E5" s="26">
        <v>46.93</v>
      </c>
      <c r="F5" s="221">
        <v>1175</v>
      </c>
      <c r="G5" s="216">
        <f>E5*F5</f>
        <v>55142.75</v>
      </c>
      <c r="H5" s="76" t="s">
        <v>57</v>
      </c>
      <c r="I5" s="219">
        <v>17</v>
      </c>
      <c r="J5" s="18">
        <v>1800</v>
      </c>
      <c r="K5" s="9">
        <f>J5/I5</f>
        <v>105.88235294117646</v>
      </c>
      <c r="L5" s="219">
        <v>17</v>
      </c>
      <c r="M5" s="10">
        <f>F5/V5*60</f>
        <v>1639.5348837209301</v>
      </c>
      <c r="N5" s="9">
        <f>M5/L5</f>
        <v>96.443228454172356</v>
      </c>
      <c r="O5" s="11">
        <f t="shared" ref="O5:O7" si="0">L5-I5</f>
        <v>0</v>
      </c>
      <c r="P5" s="12">
        <f t="shared" ref="P5:P7" si="1">N5-K5</f>
        <v>-9.4391244870041078</v>
      </c>
      <c r="Q5" s="217">
        <f>N5/K5</f>
        <v>0.91085271317829453</v>
      </c>
      <c r="R5" s="470">
        <f>Q8</f>
        <v>0.90922956912425978</v>
      </c>
      <c r="S5" s="24">
        <v>0.70833333333333337</v>
      </c>
      <c r="T5" s="24">
        <v>0.73819444444444449</v>
      </c>
      <c r="U5" s="216"/>
      <c r="V5" s="220">
        <f>(T5-S5)*24*60</f>
        <v>43.000000000000007</v>
      </c>
      <c r="W5" s="13"/>
      <c r="X5" s="13"/>
      <c r="Y5" s="456"/>
      <c r="Z5" s="456"/>
      <c r="AA5" s="11">
        <f t="shared" ref="AA5:AA68" si="2">M5-J5</f>
        <v>-160.46511627906989</v>
      </c>
      <c r="AB5" s="217">
        <f t="shared" ref="AB5:AB7" si="3">M5/J5</f>
        <v>0.91085271317829453</v>
      </c>
      <c r="AC5" s="470">
        <f>AB8</f>
        <v>0.90922956912425978</v>
      </c>
    </row>
    <row r="6" spans="1:29">
      <c r="A6" s="464" t="s">
        <v>779</v>
      </c>
      <c r="B6" s="26" t="s">
        <v>13</v>
      </c>
      <c r="C6" s="472" t="s">
        <v>60</v>
      </c>
      <c r="D6" s="472"/>
      <c r="E6" s="26">
        <v>50.49</v>
      </c>
      <c r="F6" s="221">
        <v>2127</v>
      </c>
      <c r="G6" s="216">
        <f t="shared" ref="G6:G7" si="4">E6*F6</f>
        <v>107392.23000000001</v>
      </c>
      <c r="H6" s="76" t="s">
        <v>57</v>
      </c>
      <c r="I6" s="219">
        <v>16</v>
      </c>
      <c r="J6" s="18">
        <v>1800</v>
      </c>
      <c r="K6" s="9">
        <f t="shared" ref="K6:K7" si="5">J6/I6</f>
        <v>112.5</v>
      </c>
      <c r="L6" s="219">
        <v>16</v>
      </c>
      <c r="M6" s="10">
        <f>F6/V6*60</f>
        <v>1636.1538461538453</v>
      </c>
      <c r="N6" s="9">
        <f t="shared" ref="N6:N7" si="6">M6/L6</f>
        <v>102.25961538461533</v>
      </c>
      <c r="O6" s="11">
        <f t="shared" si="0"/>
        <v>0</v>
      </c>
      <c r="P6" s="12">
        <f t="shared" si="1"/>
        <v>-10.24038461538467</v>
      </c>
      <c r="Q6" s="217">
        <f t="shared" ref="Q6:Q7" si="7">N6/K6</f>
        <v>0.90897435897435852</v>
      </c>
      <c r="R6" s="470"/>
      <c r="S6" s="24">
        <v>0.74236111111111114</v>
      </c>
      <c r="T6" s="24">
        <v>0.79652777777777783</v>
      </c>
      <c r="U6" s="216">
        <f>(S6-T5)*24*60</f>
        <v>5.9999999999999787</v>
      </c>
      <c r="V6" s="220">
        <f>(T6-S6)*24*60</f>
        <v>78.000000000000043</v>
      </c>
      <c r="W6" s="14"/>
      <c r="X6" s="14"/>
      <c r="Y6" s="456"/>
      <c r="Z6" s="456"/>
      <c r="AA6" s="11">
        <f t="shared" si="2"/>
        <v>-163.84615384615472</v>
      </c>
      <c r="AB6" s="217">
        <f t="shared" si="3"/>
        <v>0.90897435897435852</v>
      </c>
      <c r="AC6" s="470"/>
    </row>
    <row r="7" spans="1:29">
      <c r="A7" s="464" t="s">
        <v>153</v>
      </c>
      <c r="B7" s="26" t="s">
        <v>13</v>
      </c>
      <c r="C7" s="468" t="s">
        <v>448</v>
      </c>
      <c r="D7" s="469"/>
      <c r="E7" s="26">
        <v>50.67</v>
      </c>
      <c r="F7" s="221">
        <v>2887</v>
      </c>
      <c r="G7" s="216">
        <f t="shared" si="4"/>
        <v>146284.29</v>
      </c>
      <c r="H7" s="76" t="s">
        <v>57</v>
      </c>
      <c r="I7" s="219">
        <v>18</v>
      </c>
      <c r="J7" s="18">
        <v>1800</v>
      </c>
      <c r="K7" s="9">
        <f t="shared" si="5"/>
        <v>100</v>
      </c>
      <c r="L7" s="219">
        <v>18</v>
      </c>
      <c r="M7" s="10">
        <f t="shared" ref="M7" si="8">F7/V7*60</f>
        <v>1634.1509433962271</v>
      </c>
      <c r="N7" s="9">
        <f t="shared" si="6"/>
        <v>90.786163522012615</v>
      </c>
      <c r="O7" s="11">
        <f t="shared" si="0"/>
        <v>0</v>
      </c>
      <c r="P7" s="12">
        <f t="shared" si="1"/>
        <v>-9.2138364779873854</v>
      </c>
      <c r="Q7" s="217">
        <f t="shared" si="7"/>
        <v>0.9078616352201262</v>
      </c>
      <c r="R7" s="470"/>
      <c r="S7" s="24">
        <v>0.8</v>
      </c>
      <c r="T7" s="24">
        <v>0.87361111111111112</v>
      </c>
      <c r="U7" s="216">
        <f t="shared" ref="U7" si="9">(S7-T6)*24*60</f>
        <v>4.9999999999999822</v>
      </c>
      <c r="V7" s="220">
        <f t="shared" ref="V7" si="10">(T7-S7)*24*60</f>
        <v>105.99999999999994</v>
      </c>
      <c r="W7" s="14"/>
      <c r="X7" s="14"/>
      <c r="Y7" s="473"/>
      <c r="Z7" s="474"/>
      <c r="AA7" s="11">
        <f t="shared" si="2"/>
        <v>-165.84905660377285</v>
      </c>
      <c r="AB7" s="217">
        <f t="shared" si="3"/>
        <v>0.9078616352201262</v>
      </c>
      <c r="AC7" s="470"/>
    </row>
    <row r="8" spans="1:29">
      <c r="A8" s="464" t="s">
        <v>780</v>
      </c>
      <c r="B8" s="26" t="s">
        <v>781</v>
      </c>
      <c r="C8" s="466"/>
      <c r="D8" s="466"/>
      <c r="E8" s="215"/>
      <c r="F8" s="16"/>
      <c r="G8" s="9"/>
      <c r="H8" s="221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1636.6132244236676</v>
      </c>
      <c r="N8" s="9">
        <f>M8/L8</f>
        <v>96.271366142568681</v>
      </c>
      <c r="O8" s="11">
        <f>L8-I8</f>
        <v>0</v>
      </c>
      <c r="P8" s="12">
        <f>N8-K8</f>
        <v>-9.610986798607783</v>
      </c>
      <c r="Q8" s="217">
        <f>N8/K8</f>
        <v>0.90922956912425978</v>
      </c>
      <c r="R8" s="470"/>
      <c r="S8" s="24"/>
      <c r="T8" s="24"/>
      <c r="U8" s="216"/>
      <c r="V8" s="220"/>
      <c r="W8" s="9"/>
      <c r="X8" s="9"/>
      <c r="Y8" s="456"/>
      <c r="Z8" s="456"/>
      <c r="AA8" s="11">
        <f t="shared" si="2"/>
        <v>-163.38677557633241</v>
      </c>
      <c r="AB8" s="217">
        <f>M8/J8</f>
        <v>0.90922956912425978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221">
        <v>4386</v>
      </c>
      <c r="G9" s="216">
        <f t="shared" ref="G9:G12" si="11">E9*F9</f>
        <v>173773.31999999998</v>
      </c>
      <c r="H9" s="76" t="s">
        <v>57</v>
      </c>
      <c r="I9" s="219">
        <v>19</v>
      </c>
      <c r="J9" s="18">
        <v>1500</v>
      </c>
      <c r="K9" s="9">
        <f t="shared" ref="K9:K12" si="12">J9/I9</f>
        <v>78.94736842105263</v>
      </c>
      <c r="L9" s="219">
        <v>19</v>
      </c>
      <c r="M9" s="10">
        <f t="shared" ref="M9:M12" si="13">F9/V9*60</f>
        <v>1356.4948453608249</v>
      </c>
      <c r="N9" s="9">
        <f t="shared" ref="N9:N12" si="14">M9/L9</f>
        <v>71.394465545306574</v>
      </c>
      <c r="O9" s="11">
        <f t="shared" ref="O9:O12" si="15">L9-I9</f>
        <v>0</v>
      </c>
      <c r="P9" s="12">
        <f>N9-K9</f>
        <v>-7.5529028757460566</v>
      </c>
      <c r="Q9" s="217">
        <f>N9/K9</f>
        <v>0.90432989690721666</v>
      </c>
      <c r="R9" s="470">
        <f>Q13</f>
        <v>0.90650509619781883</v>
      </c>
      <c r="S9" s="24">
        <v>0.13055555555555556</v>
      </c>
      <c r="T9" s="24">
        <v>0.26527777777777778</v>
      </c>
      <c r="U9" s="216"/>
      <c r="V9" s="220">
        <f t="shared" ref="V9:V12" si="16">(T9-S9)*24*60</f>
        <v>194</v>
      </c>
      <c r="W9" s="9"/>
      <c r="X9" s="9"/>
      <c r="Y9" s="456"/>
      <c r="Z9" s="456"/>
      <c r="AA9" s="11">
        <f t="shared" si="2"/>
        <v>-143.50515463917509</v>
      </c>
      <c r="AB9" s="217">
        <f>M9/J9</f>
        <v>0.90432989690721666</v>
      </c>
      <c r="AC9" s="470">
        <f>AB13</f>
        <v>0.90650509619781894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21">
        <v>3000</v>
      </c>
      <c r="G10" s="216">
        <f t="shared" si="11"/>
        <v>119399.99999999999</v>
      </c>
      <c r="H10" s="76">
        <v>2</v>
      </c>
      <c r="I10" s="219">
        <v>18</v>
      </c>
      <c r="J10" s="18">
        <v>1500</v>
      </c>
      <c r="K10" s="9">
        <f t="shared" si="12"/>
        <v>83.333333333333329</v>
      </c>
      <c r="L10" s="219">
        <v>18</v>
      </c>
      <c r="M10" s="10">
        <f t="shared" si="13"/>
        <v>1363.6363636363635</v>
      </c>
      <c r="N10" s="9">
        <f t="shared" si="14"/>
        <v>75.757575757575751</v>
      </c>
      <c r="O10" s="11">
        <f t="shared" si="15"/>
        <v>0</v>
      </c>
      <c r="P10" s="12">
        <f t="shared" ref="P10:P12" si="17">N10-K10</f>
        <v>-7.5757575757575779</v>
      </c>
      <c r="Q10" s="217">
        <f t="shared" ref="Q10:Q12" si="18">N10/K10</f>
        <v>0.90909090909090906</v>
      </c>
      <c r="R10" s="470"/>
      <c r="S10" s="24">
        <v>0.28819444444444442</v>
      </c>
      <c r="T10" s="24">
        <v>0.37986111111111109</v>
      </c>
      <c r="U10" s="216">
        <f>(S10-T9)*24*60</f>
        <v>32.999999999999964</v>
      </c>
      <c r="V10" s="220">
        <f t="shared" si="16"/>
        <v>132</v>
      </c>
      <c r="W10" s="14"/>
      <c r="X10" s="14"/>
      <c r="Y10" s="456"/>
      <c r="Z10" s="456"/>
      <c r="AA10" s="11">
        <f t="shared" si="2"/>
        <v>-136.36363636363649</v>
      </c>
      <c r="AB10" s="217">
        <f t="shared" ref="AB10:AB29" si="19">M10/J10</f>
        <v>0.90909090909090906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21">
        <v>3686</v>
      </c>
      <c r="G11" s="216">
        <f t="shared" si="11"/>
        <v>144822.94</v>
      </c>
      <c r="H11" s="76" t="s">
        <v>57</v>
      </c>
      <c r="I11" s="219">
        <v>19</v>
      </c>
      <c r="J11" s="18">
        <v>1500</v>
      </c>
      <c r="K11" s="9">
        <f t="shared" si="12"/>
        <v>78.94736842105263</v>
      </c>
      <c r="L11" s="219">
        <v>19</v>
      </c>
      <c r="M11" s="10">
        <f t="shared" si="13"/>
        <v>1356.8098159509198</v>
      </c>
      <c r="N11" s="9">
        <f t="shared" si="14"/>
        <v>71.411042944785251</v>
      </c>
      <c r="O11" s="11">
        <f t="shared" si="15"/>
        <v>0</v>
      </c>
      <c r="P11" s="12">
        <f t="shared" si="17"/>
        <v>-7.536325476267379</v>
      </c>
      <c r="Q11" s="217">
        <f t="shared" si="18"/>
        <v>0.90453987730061325</v>
      </c>
      <c r="R11" s="470"/>
      <c r="S11" s="24">
        <v>0.38958333333333328</v>
      </c>
      <c r="T11" s="24">
        <v>0.50277777777777777</v>
      </c>
      <c r="U11" s="216">
        <f t="shared" ref="U11:U12" si="20">(S11-T10)*24*60</f>
        <v>13.99999999999995</v>
      </c>
      <c r="V11" s="220">
        <f t="shared" si="16"/>
        <v>163.00000000000006</v>
      </c>
      <c r="W11" s="14"/>
      <c r="X11" s="14"/>
      <c r="Y11" s="456"/>
      <c r="Z11" s="456"/>
      <c r="AA11" s="11">
        <f t="shared" si="2"/>
        <v>-143.19018404908024</v>
      </c>
      <c r="AB11" s="217">
        <f t="shared" si="19"/>
        <v>0.90453987730061314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221">
        <v>3042</v>
      </c>
      <c r="G12" s="216">
        <f t="shared" si="11"/>
        <v>121071.59999999999</v>
      </c>
      <c r="H12" s="76" t="s">
        <v>57</v>
      </c>
      <c r="I12" s="219">
        <v>18</v>
      </c>
      <c r="J12" s="18">
        <v>1500</v>
      </c>
      <c r="K12" s="9">
        <f t="shared" si="12"/>
        <v>83.333333333333329</v>
      </c>
      <c r="L12" s="219">
        <v>18</v>
      </c>
      <c r="M12" s="10">
        <f t="shared" si="13"/>
        <v>1362.0895522388059</v>
      </c>
      <c r="N12" s="9">
        <f t="shared" si="14"/>
        <v>75.671641791044777</v>
      </c>
      <c r="O12" s="11">
        <f t="shared" si="15"/>
        <v>0</v>
      </c>
      <c r="P12" s="12">
        <f t="shared" si="17"/>
        <v>-7.6616915422885512</v>
      </c>
      <c r="Q12" s="217">
        <f t="shared" si="18"/>
        <v>0.90805970149253734</v>
      </c>
      <c r="R12" s="470"/>
      <c r="S12" s="24">
        <v>0.54305555555555551</v>
      </c>
      <c r="T12" s="24">
        <v>0.63611111111111107</v>
      </c>
      <c r="U12" s="216">
        <f t="shared" si="20"/>
        <v>57.999999999999957</v>
      </c>
      <c r="V12" s="220">
        <f t="shared" si="16"/>
        <v>134</v>
      </c>
      <c r="W12" s="14"/>
      <c r="X12" s="14"/>
      <c r="Y12" s="456"/>
      <c r="Z12" s="456"/>
      <c r="AA12" s="11">
        <f t="shared" si="2"/>
        <v>-137.91044776119406</v>
      </c>
      <c r="AB12" s="217">
        <f t="shared" si="19"/>
        <v>0.90805970149253734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215"/>
      <c r="F13" s="18"/>
      <c r="G13" s="10"/>
      <c r="H13" s="221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1359.7576442967284</v>
      </c>
      <c r="N13" s="9">
        <f>M13/L13</f>
        <v>73.500413205228554</v>
      </c>
      <c r="O13" s="11">
        <f>L13-I13</f>
        <v>0</v>
      </c>
      <c r="P13" s="12">
        <f>N13-K13</f>
        <v>-7.5806678758525265</v>
      </c>
      <c r="Q13" s="217">
        <f>N13/K13</f>
        <v>0.90650509619781883</v>
      </c>
      <c r="R13" s="470"/>
      <c r="S13" s="24"/>
      <c r="T13" s="24"/>
      <c r="U13" s="9"/>
      <c r="V13" s="220"/>
      <c r="W13" s="9"/>
      <c r="X13" s="9"/>
      <c r="Y13" s="456"/>
      <c r="Z13" s="456"/>
      <c r="AA13" s="11">
        <f t="shared" si="2"/>
        <v>-140.24235570327164</v>
      </c>
      <c r="AB13" s="217">
        <f t="shared" si="19"/>
        <v>0.90650509619781894</v>
      </c>
      <c r="AC13" s="470"/>
    </row>
    <row r="14" spans="1:29" ht="16.5" customHeight="1">
      <c r="A14" s="480" t="s">
        <v>782</v>
      </c>
      <c r="B14" s="221" t="s">
        <v>18</v>
      </c>
      <c r="C14" s="477" t="s">
        <v>19</v>
      </c>
      <c r="D14" s="477"/>
      <c r="E14" s="26">
        <v>41</v>
      </c>
      <c r="F14" s="221">
        <v>1647</v>
      </c>
      <c r="G14" s="216">
        <f t="shared" ref="G14:G18" si="21">E14*F14</f>
        <v>67527</v>
      </c>
      <c r="H14" s="76" t="s">
        <v>57</v>
      </c>
      <c r="I14" s="219">
        <v>26</v>
      </c>
      <c r="J14" s="18">
        <v>1286</v>
      </c>
      <c r="K14" s="9">
        <f>J14/I14</f>
        <v>49.46153846153846</v>
      </c>
      <c r="L14" s="219">
        <v>26</v>
      </c>
      <c r="M14" s="10">
        <f>F14/V14*60</f>
        <v>1162.5882352941173</v>
      </c>
      <c r="N14" s="9">
        <f t="shared" ref="N14:N28" si="22">M14/L14</f>
        <v>44.714932126696823</v>
      </c>
      <c r="O14" s="11">
        <f t="shared" ref="O14" si="23">L14-I14</f>
        <v>0</v>
      </c>
      <c r="P14" s="12">
        <f t="shared" ref="P14" si="24">N14-K14</f>
        <v>-4.746606334841637</v>
      </c>
      <c r="Q14" s="217">
        <f>N14/K14</f>
        <v>0.90403439758485027</v>
      </c>
      <c r="R14" s="470">
        <f>Q19</f>
        <v>0.90658549820614298</v>
      </c>
      <c r="S14" s="24">
        <v>0.25</v>
      </c>
      <c r="T14" s="24">
        <v>0.30902777777777779</v>
      </c>
      <c r="U14" s="216"/>
      <c r="V14" s="220">
        <f>(T14-S14)*24*60</f>
        <v>85.000000000000014</v>
      </c>
      <c r="W14" s="15"/>
      <c r="X14" s="15"/>
      <c r="Y14" s="456"/>
      <c r="Z14" s="456"/>
      <c r="AA14" s="11">
        <f t="shared" si="2"/>
        <v>-123.41176470588266</v>
      </c>
      <c r="AB14" s="217">
        <f t="shared" si="19"/>
        <v>0.90403439758485016</v>
      </c>
      <c r="AC14" s="470">
        <f>AB19</f>
        <v>0.90658549820614309</v>
      </c>
    </row>
    <row r="15" spans="1:29" ht="16.5" customHeight="1">
      <c r="A15" s="481" t="s">
        <v>6</v>
      </c>
      <c r="B15" s="221" t="s">
        <v>15</v>
      </c>
      <c r="C15" s="477" t="s">
        <v>68</v>
      </c>
      <c r="D15" s="477"/>
      <c r="E15" s="26">
        <v>39.29</v>
      </c>
      <c r="F15" s="221">
        <v>2128</v>
      </c>
      <c r="G15" s="216">
        <f t="shared" si="21"/>
        <v>83609.119999999995</v>
      </c>
      <c r="H15" s="76" t="s">
        <v>57</v>
      </c>
      <c r="I15" s="219">
        <v>18</v>
      </c>
      <c r="J15" s="18">
        <v>1500</v>
      </c>
      <c r="K15" s="9">
        <f>J15/I15</f>
        <v>83.333333333333329</v>
      </c>
      <c r="L15" s="219">
        <v>18</v>
      </c>
      <c r="M15" s="10">
        <f>F15/V15*60</f>
        <v>1358.2978723404258</v>
      </c>
      <c r="N15" s="9">
        <f t="shared" si="22"/>
        <v>75.460992907801426</v>
      </c>
      <c r="O15" s="11">
        <f>L15-I15</f>
        <v>0</v>
      </c>
      <c r="P15" s="12">
        <f>N15-K15</f>
        <v>-7.8723404255319025</v>
      </c>
      <c r="Q15" s="217">
        <f>N15/K15</f>
        <v>0.90553191489361717</v>
      </c>
      <c r="R15" s="470"/>
      <c r="S15" s="24">
        <v>0.31805555555555554</v>
      </c>
      <c r="T15" s="24">
        <v>0.3833333333333333</v>
      </c>
      <c r="U15" s="216">
        <f>(S15-T14)*24*60</f>
        <v>12.999999999999954</v>
      </c>
      <c r="V15" s="220">
        <f>(T15-S15)*24*60</f>
        <v>93.999999999999986</v>
      </c>
      <c r="W15" s="14"/>
      <c r="X15" s="14"/>
      <c r="Y15" s="456"/>
      <c r="Z15" s="456"/>
      <c r="AA15" s="11">
        <f t="shared" si="2"/>
        <v>-141.70212765957422</v>
      </c>
      <c r="AB15" s="217">
        <f t="shared" si="19"/>
        <v>0.90553191489361717</v>
      </c>
      <c r="AC15" s="470"/>
    </row>
    <row r="16" spans="1:29" ht="16.5" customHeight="1">
      <c r="A16" s="481" t="s">
        <v>6</v>
      </c>
      <c r="B16" s="221" t="s">
        <v>15</v>
      </c>
      <c r="C16" s="477" t="s">
        <v>54</v>
      </c>
      <c r="D16" s="477"/>
      <c r="E16" s="26">
        <v>39.29</v>
      </c>
      <c r="F16" s="221">
        <v>3396</v>
      </c>
      <c r="G16" s="216">
        <f t="shared" si="21"/>
        <v>133428.84</v>
      </c>
      <c r="H16" s="76" t="s">
        <v>57</v>
      </c>
      <c r="I16" s="219">
        <v>17</v>
      </c>
      <c r="J16" s="18">
        <v>1500</v>
      </c>
      <c r="K16" s="9">
        <f t="shared" ref="K16:K18" si="25">J16/I16</f>
        <v>88.235294117647058</v>
      </c>
      <c r="L16" s="219">
        <v>17</v>
      </c>
      <c r="M16" s="10">
        <f t="shared" ref="M16:M18" si="26">F16/V16*60</f>
        <v>1358.3999999999999</v>
      </c>
      <c r="N16" s="9">
        <f t="shared" si="22"/>
        <v>79.905882352941163</v>
      </c>
      <c r="O16" s="11">
        <f t="shared" ref="O16:O18" si="27">L16-I16</f>
        <v>0</v>
      </c>
      <c r="P16" s="12">
        <f t="shared" ref="P16:P18" si="28">N16-K16</f>
        <v>-8.3294117647058954</v>
      </c>
      <c r="Q16" s="217">
        <f t="shared" ref="Q16:Q28" si="29">N16/K16</f>
        <v>0.90559999999999985</v>
      </c>
      <c r="R16" s="470"/>
      <c r="S16" s="24">
        <v>0.39444444444444438</v>
      </c>
      <c r="T16" s="24">
        <v>0.49861111111111106</v>
      </c>
      <c r="U16" s="216">
        <f t="shared" ref="U16:U18" si="30">(S16-T15)*24*60</f>
        <v>15.999999999999943</v>
      </c>
      <c r="V16" s="220">
        <f t="shared" ref="V16:V18" si="31">(T16-S16)*24*60</f>
        <v>150.00000000000003</v>
      </c>
      <c r="W16" s="14"/>
      <c r="X16" s="14"/>
      <c r="Y16" s="456"/>
      <c r="Z16" s="456"/>
      <c r="AA16" s="11">
        <f t="shared" si="2"/>
        <v>-141.60000000000014</v>
      </c>
      <c r="AB16" s="217">
        <f t="shared" si="19"/>
        <v>0.90559999999999996</v>
      </c>
      <c r="AC16" s="470"/>
    </row>
    <row r="17" spans="1:29" ht="16.5" customHeight="1">
      <c r="A17" s="481" t="s">
        <v>6</v>
      </c>
      <c r="B17" s="221" t="s">
        <v>13</v>
      </c>
      <c r="C17" s="477" t="s">
        <v>63</v>
      </c>
      <c r="D17" s="477"/>
      <c r="E17" s="26">
        <v>50.98</v>
      </c>
      <c r="F17" s="221">
        <v>2783</v>
      </c>
      <c r="G17" s="216">
        <f t="shared" si="21"/>
        <v>141877.34</v>
      </c>
      <c r="H17" s="76" t="s">
        <v>57</v>
      </c>
      <c r="I17" s="219">
        <v>17</v>
      </c>
      <c r="J17" s="18">
        <v>1800</v>
      </c>
      <c r="K17" s="9">
        <f t="shared" si="25"/>
        <v>105.88235294117646</v>
      </c>
      <c r="L17" s="219">
        <v>17</v>
      </c>
      <c r="M17" s="10">
        <f t="shared" si="26"/>
        <v>1637.0588235294124</v>
      </c>
      <c r="N17" s="9">
        <f t="shared" si="22"/>
        <v>96.297577854671317</v>
      </c>
      <c r="O17" s="11">
        <f t="shared" si="27"/>
        <v>0</v>
      </c>
      <c r="P17" s="12">
        <f t="shared" si="28"/>
        <v>-9.5847750865051466</v>
      </c>
      <c r="Q17" s="217">
        <f t="shared" si="29"/>
        <v>0.90947712418300697</v>
      </c>
      <c r="R17" s="470"/>
      <c r="S17" s="24">
        <v>0.70833333333333337</v>
      </c>
      <c r="T17" s="24">
        <v>0.77916666666666667</v>
      </c>
      <c r="U17" s="216">
        <f t="shared" si="30"/>
        <v>302.00000000000011</v>
      </c>
      <c r="V17" s="220">
        <f t="shared" si="31"/>
        <v>101.99999999999996</v>
      </c>
      <c r="W17" s="14"/>
      <c r="X17" s="14"/>
      <c r="Y17" s="456"/>
      <c r="Z17" s="456"/>
      <c r="AA17" s="11">
        <f t="shared" si="2"/>
        <v>-162.94117647058761</v>
      </c>
      <c r="AB17" s="217">
        <f t="shared" si="19"/>
        <v>0.90947712418300686</v>
      </c>
      <c r="AC17" s="470"/>
    </row>
    <row r="18" spans="1:29" ht="16.5" customHeight="1">
      <c r="A18" s="481" t="s">
        <v>6</v>
      </c>
      <c r="B18" s="221" t="s">
        <v>13</v>
      </c>
      <c r="C18" s="477" t="s">
        <v>66</v>
      </c>
      <c r="D18" s="477"/>
      <c r="E18" s="26">
        <v>57.73</v>
      </c>
      <c r="F18" s="221">
        <v>1792</v>
      </c>
      <c r="G18" s="216">
        <f t="shared" si="21"/>
        <v>103452.15999999999</v>
      </c>
      <c r="H18" s="76" t="s">
        <v>57</v>
      </c>
      <c r="I18" s="219">
        <v>16</v>
      </c>
      <c r="J18" s="18">
        <v>1500</v>
      </c>
      <c r="K18" s="9">
        <f t="shared" si="25"/>
        <v>93.75</v>
      </c>
      <c r="L18" s="219">
        <v>16</v>
      </c>
      <c r="M18" s="10">
        <f t="shared" si="26"/>
        <v>1361.0126582278474</v>
      </c>
      <c r="N18" s="9">
        <f t="shared" si="22"/>
        <v>85.063291139240462</v>
      </c>
      <c r="O18" s="11">
        <f t="shared" si="27"/>
        <v>0</v>
      </c>
      <c r="P18" s="12">
        <f t="shared" si="28"/>
        <v>-8.6867088607595377</v>
      </c>
      <c r="Q18" s="217">
        <f t="shared" si="29"/>
        <v>0.90734177215189826</v>
      </c>
      <c r="R18" s="470"/>
      <c r="S18" s="24">
        <v>0.78333333333333333</v>
      </c>
      <c r="T18" s="24">
        <v>0.83819444444444446</v>
      </c>
      <c r="U18" s="216">
        <f t="shared" si="30"/>
        <v>5.9999999999999787</v>
      </c>
      <c r="V18" s="220">
        <f t="shared" si="31"/>
        <v>79.000000000000043</v>
      </c>
      <c r="W18" s="14"/>
      <c r="X18" s="14"/>
      <c r="Y18" s="456"/>
      <c r="Z18" s="456"/>
      <c r="AA18" s="11">
        <f t="shared" si="2"/>
        <v>-138.9873417721526</v>
      </c>
      <c r="AB18" s="217">
        <f t="shared" si="19"/>
        <v>0.90734177215189826</v>
      </c>
      <c r="AC18" s="470"/>
    </row>
    <row r="19" spans="1:29" ht="16.5" customHeight="1">
      <c r="A19" s="481" t="s">
        <v>6</v>
      </c>
      <c r="B19" s="26" t="s">
        <v>781</v>
      </c>
      <c r="C19" s="466"/>
      <c r="D19" s="466"/>
      <c r="E19" s="215"/>
      <c r="F19" s="16"/>
      <c r="G19" s="9"/>
      <c r="H19" s="221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1375.4715178783604</v>
      </c>
      <c r="N19" s="9">
        <f t="shared" si="22"/>
        <v>73.163378610551078</v>
      </c>
      <c r="O19" s="11">
        <f>L19-I19</f>
        <v>0</v>
      </c>
      <c r="P19" s="12">
        <f>N19-K19</f>
        <v>-7.5387490490233944</v>
      </c>
      <c r="Q19" s="217">
        <f t="shared" si="29"/>
        <v>0.90658549820614298</v>
      </c>
      <c r="R19" s="470"/>
      <c r="S19" s="24"/>
      <c r="T19" s="24"/>
      <c r="U19" s="216"/>
      <c r="V19" s="220"/>
      <c r="W19" s="9"/>
      <c r="X19" s="9"/>
      <c r="Y19" s="456"/>
      <c r="Z19" s="456"/>
      <c r="AA19" s="11">
        <f t="shared" si="2"/>
        <v>-141.72848212163967</v>
      </c>
      <c r="AB19" s="217">
        <f t="shared" si="19"/>
        <v>0.90658549820614309</v>
      </c>
      <c r="AC19" s="470"/>
    </row>
    <row r="20" spans="1:29" ht="15.75" customHeight="1">
      <c r="A20" s="478" t="s">
        <v>783</v>
      </c>
      <c r="B20" s="26" t="s">
        <v>21</v>
      </c>
      <c r="C20" s="477" t="s">
        <v>22</v>
      </c>
      <c r="D20" s="477"/>
      <c r="E20" s="26">
        <v>43.14</v>
      </c>
      <c r="F20" s="221">
        <v>1319</v>
      </c>
      <c r="G20" s="216">
        <f t="shared" ref="G20:G28" si="32">E20*F20</f>
        <v>56901.66</v>
      </c>
      <c r="H20" s="76" t="s">
        <v>57</v>
      </c>
      <c r="I20" s="219">
        <v>17</v>
      </c>
      <c r="J20" s="18">
        <v>1200</v>
      </c>
      <c r="K20" s="9">
        <f t="shared" ref="K20:K29" si="33">J20/I20</f>
        <v>70.588235294117652</v>
      </c>
      <c r="L20" s="219">
        <v>17</v>
      </c>
      <c r="M20" s="10">
        <f t="shared" ref="M20:M28" si="34">F20/V20*60</f>
        <v>1084.1095890410961</v>
      </c>
      <c r="N20" s="9">
        <f t="shared" si="22"/>
        <v>63.771152296535064</v>
      </c>
      <c r="O20" s="11">
        <f t="shared" ref="O20:O28" si="35">L20-I20</f>
        <v>0</v>
      </c>
      <c r="P20" s="12">
        <f t="shared" ref="P20:P28" si="36">N20-K20</f>
        <v>-6.8170829975825882</v>
      </c>
      <c r="Q20" s="217">
        <f t="shared" si="29"/>
        <v>0.90342465753424672</v>
      </c>
      <c r="R20" s="470">
        <f>Q29</f>
        <v>0.91009134398186664</v>
      </c>
      <c r="S20" s="24">
        <v>0.16666666666666666</v>
      </c>
      <c r="T20" s="24">
        <v>0.21736111111111109</v>
      </c>
      <c r="U20" s="216"/>
      <c r="V20" s="220">
        <f>(T20-S20)*24*60</f>
        <v>72.999999999999986</v>
      </c>
      <c r="W20" s="15"/>
      <c r="X20" s="15"/>
      <c r="Y20" s="456"/>
      <c r="Z20" s="456"/>
      <c r="AA20" s="11">
        <f t="shared" si="2"/>
        <v>-115.89041095890389</v>
      </c>
      <c r="AB20" s="217">
        <f t="shared" si="19"/>
        <v>0.90342465753424672</v>
      </c>
      <c r="AC20" s="470">
        <f>AB29</f>
        <v>0.91009134398186664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221">
        <v>3029</v>
      </c>
      <c r="G21" s="216">
        <f t="shared" si="32"/>
        <v>174864.16999999998</v>
      </c>
      <c r="H21" s="76" t="s">
        <v>57</v>
      </c>
      <c r="I21" s="219">
        <v>16</v>
      </c>
      <c r="J21" s="18">
        <v>1800</v>
      </c>
      <c r="K21" s="9">
        <f t="shared" si="33"/>
        <v>112.5</v>
      </c>
      <c r="L21" s="219">
        <v>16</v>
      </c>
      <c r="M21" s="10">
        <f t="shared" si="34"/>
        <v>1637.2972972972973</v>
      </c>
      <c r="N21" s="9">
        <f t="shared" si="22"/>
        <v>102.33108108108108</v>
      </c>
      <c r="O21" s="11">
        <f t="shared" si="35"/>
        <v>0</v>
      </c>
      <c r="P21" s="12">
        <f t="shared" si="36"/>
        <v>-10.168918918918919</v>
      </c>
      <c r="Q21" s="217">
        <f t="shared" si="29"/>
        <v>0.90960960960960957</v>
      </c>
      <c r="R21" s="470"/>
      <c r="S21" s="24">
        <v>0.23472222222222217</v>
      </c>
      <c r="T21" s="24">
        <v>0.3118055555555555</v>
      </c>
      <c r="U21" s="216">
        <f>(S21-T20)*24*60</f>
        <v>24.99999999999995</v>
      </c>
      <c r="V21" s="220">
        <f t="shared" ref="V21:V28" si="37">(T21-S21)*24*60</f>
        <v>111</v>
      </c>
      <c r="W21" s="14"/>
      <c r="X21" s="216"/>
      <c r="Y21" s="456"/>
      <c r="Z21" s="456"/>
      <c r="AA21" s="11">
        <f t="shared" si="2"/>
        <v>-162.70270270270271</v>
      </c>
      <c r="AB21" s="217">
        <f t="shared" si="19"/>
        <v>0.90960960960960957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221">
        <v>2012</v>
      </c>
      <c r="G22" s="216">
        <f t="shared" si="32"/>
        <v>108004.16</v>
      </c>
      <c r="H22" s="76" t="s">
        <v>57</v>
      </c>
      <c r="I22" s="219">
        <v>17</v>
      </c>
      <c r="J22" s="18">
        <v>1800</v>
      </c>
      <c r="K22" s="9">
        <f t="shared" si="33"/>
        <v>105.88235294117646</v>
      </c>
      <c r="L22" s="219">
        <v>17</v>
      </c>
      <c r="M22" s="10">
        <f t="shared" si="34"/>
        <v>1631.3513513513519</v>
      </c>
      <c r="N22" s="9">
        <f t="shared" si="22"/>
        <v>95.961844197138348</v>
      </c>
      <c r="O22" s="11">
        <f t="shared" si="35"/>
        <v>0</v>
      </c>
      <c r="P22" s="12">
        <f t="shared" si="36"/>
        <v>-9.9205087440381163</v>
      </c>
      <c r="Q22" s="217">
        <f t="shared" si="29"/>
        <v>0.90630630630630671</v>
      </c>
      <c r="R22" s="470"/>
      <c r="S22" s="24">
        <v>0.3166666666666666</v>
      </c>
      <c r="T22" s="24">
        <v>0.36805555555555547</v>
      </c>
      <c r="U22" s="216">
        <f t="shared" ref="U22:U28" si="38">(S22-T21)*24*60</f>
        <v>6.9999999999999751</v>
      </c>
      <c r="V22" s="220">
        <f t="shared" si="37"/>
        <v>73.999999999999972</v>
      </c>
      <c r="W22" s="14"/>
      <c r="X22" s="216"/>
      <c r="Y22" s="456"/>
      <c r="Z22" s="456"/>
      <c r="AA22" s="11">
        <f t="shared" si="2"/>
        <v>-168.64864864864808</v>
      </c>
      <c r="AB22" s="217">
        <f t="shared" si="19"/>
        <v>0.9063063063063066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221">
        <v>1240</v>
      </c>
      <c r="G23" s="216">
        <f t="shared" si="32"/>
        <v>62830.8</v>
      </c>
      <c r="H23" s="76" t="s">
        <v>57</v>
      </c>
      <c r="I23" s="219">
        <v>16</v>
      </c>
      <c r="J23" s="18">
        <v>1800</v>
      </c>
      <c r="K23" s="9">
        <f t="shared" si="33"/>
        <v>112.5</v>
      </c>
      <c r="L23" s="219">
        <v>16</v>
      </c>
      <c r="M23" s="10">
        <f t="shared" si="34"/>
        <v>1653.3333333333335</v>
      </c>
      <c r="N23" s="9">
        <f t="shared" si="22"/>
        <v>103.33333333333334</v>
      </c>
      <c r="O23" s="11">
        <f t="shared" si="35"/>
        <v>0</v>
      </c>
      <c r="P23" s="12">
        <f t="shared" si="36"/>
        <v>-9.1666666666666572</v>
      </c>
      <c r="Q23" s="217">
        <f t="shared" si="29"/>
        <v>0.91851851851851862</v>
      </c>
      <c r="R23" s="470"/>
      <c r="S23" s="24">
        <v>0.37361111111111101</v>
      </c>
      <c r="T23" s="24">
        <v>0.40486111111111101</v>
      </c>
      <c r="U23" s="216">
        <f t="shared" si="38"/>
        <v>7.9999999999999716</v>
      </c>
      <c r="V23" s="220">
        <f t="shared" si="37"/>
        <v>45</v>
      </c>
      <c r="W23" s="14"/>
      <c r="X23" s="216"/>
      <c r="Y23" s="456"/>
      <c r="Z23" s="456"/>
      <c r="AA23" s="11">
        <f t="shared" si="2"/>
        <v>-146.66666666666652</v>
      </c>
      <c r="AB23" s="217">
        <f t="shared" si="19"/>
        <v>0.91851851851851862</v>
      </c>
      <c r="AC23" s="470"/>
    </row>
    <row r="24" spans="1:29" ht="15.75" customHeight="1">
      <c r="A24" s="479" t="s">
        <v>7</v>
      </c>
      <c r="B24" s="26" t="s">
        <v>13</v>
      </c>
      <c r="C24" s="477" t="s">
        <v>784</v>
      </c>
      <c r="D24" s="477"/>
      <c r="E24" s="26">
        <v>55.56</v>
      </c>
      <c r="F24" s="221">
        <v>4000</v>
      </c>
      <c r="G24" s="216">
        <f t="shared" si="32"/>
        <v>222240</v>
      </c>
      <c r="H24" s="76">
        <v>2</v>
      </c>
      <c r="I24" s="219">
        <v>19</v>
      </c>
      <c r="J24" s="18">
        <v>1800</v>
      </c>
      <c r="K24" s="9">
        <f t="shared" si="33"/>
        <v>94.736842105263165</v>
      </c>
      <c r="L24" s="219">
        <v>19</v>
      </c>
      <c r="M24" s="10">
        <f t="shared" si="34"/>
        <v>1621.6216216216224</v>
      </c>
      <c r="N24" s="9">
        <f t="shared" si="22"/>
        <v>85.348506401138025</v>
      </c>
      <c r="O24" s="11">
        <f t="shared" si="35"/>
        <v>0</v>
      </c>
      <c r="P24" s="12">
        <f t="shared" si="36"/>
        <v>-9.3883357041251401</v>
      </c>
      <c r="Q24" s="217">
        <f t="shared" si="29"/>
        <v>0.90090090090090136</v>
      </c>
      <c r="R24" s="470"/>
      <c r="S24" s="24">
        <v>0.41041666666666654</v>
      </c>
      <c r="T24" s="24">
        <v>0.51319444444444429</v>
      </c>
      <c r="U24" s="216">
        <f t="shared" si="38"/>
        <v>7.9999999999999716</v>
      </c>
      <c r="V24" s="220">
        <f t="shared" si="37"/>
        <v>147.99999999999994</v>
      </c>
      <c r="W24" s="14"/>
      <c r="X24" s="216"/>
      <c r="Y24" s="456"/>
      <c r="Z24" s="456"/>
      <c r="AA24" s="11">
        <f t="shared" si="2"/>
        <v>-178.37837837837765</v>
      </c>
      <c r="AB24" s="217">
        <f t="shared" si="19"/>
        <v>0.90090090090090136</v>
      </c>
      <c r="AC24" s="470"/>
    </row>
    <row r="25" spans="1:29" ht="15.75" customHeight="1">
      <c r="A25" s="479" t="s">
        <v>7</v>
      </c>
      <c r="B25" s="26" t="s">
        <v>13</v>
      </c>
      <c r="C25" s="477" t="s">
        <v>784</v>
      </c>
      <c r="D25" s="477"/>
      <c r="E25" s="26">
        <v>55.56</v>
      </c>
      <c r="F25" s="221">
        <v>4976</v>
      </c>
      <c r="G25" s="216">
        <f t="shared" si="32"/>
        <v>276466.56</v>
      </c>
      <c r="H25" s="76" t="s">
        <v>57</v>
      </c>
      <c r="I25" s="219">
        <v>19</v>
      </c>
      <c r="J25" s="18">
        <v>1800</v>
      </c>
      <c r="K25" s="9">
        <f t="shared" si="33"/>
        <v>94.736842105263165</v>
      </c>
      <c r="L25" s="219">
        <v>19</v>
      </c>
      <c r="M25" s="10">
        <f t="shared" si="34"/>
        <v>1631.4754098360656</v>
      </c>
      <c r="N25" s="9">
        <f t="shared" si="22"/>
        <v>85.867126833477144</v>
      </c>
      <c r="O25" s="11">
        <f t="shared" si="35"/>
        <v>0</v>
      </c>
      <c r="P25" s="12">
        <f t="shared" si="36"/>
        <v>-8.8697152717860206</v>
      </c>
      <c r="Q25" s="217">
        <f t="shared" si="29"/>
        <v>0.90637522768670309</v>
      </c>
      <c r="R25" s="470"/>
      <c r="S25" s="24">
        <v>0.55347222222222203</v>
      </c>
      <c r="T25" s="24">
        <v>0.68055555555555536</v>
      </c>
      <c r="U25" s="216">
        <f t="shared" si="38"/>
        <v>57.999999999999957</v>
      </c>
      <c r="V25" s="220">
        <f t="shared" si="37"/>
        <v>183</v>
      </c>
      <c r="W25" s="14"/>
      <c r="X25" s="15"/>
      <c r="Y25" s="456"/>
      <c r="Z25" s="456"/>
      <c r="AA25" s="11">
        <f t="shared" si="2"/>
        <v>-168.52459016393436</v>
      </c>
      <c r="AB25" s="217">
        <f t="shared" si="19"/>
        <v>0.90637522768670309</v>
      </c>
      <c r="AC25" s="470"/>
    </row>
    <row r="26" spans="1:29" ht="15.75" customHeight="1">
      <c r="A26" s="479" t="s">
        <v>7</v>
      </c>
      <c r="B26" s="26" t="s">
        <v>13</v>
      </c>
      <c r="C26" s="477" t="s">
        <v>59</v>
      </c>
      <c r="D26" s="477"/>
      <c r="E26" s="26">
        <v>50.92</v>
      </c>
      <c r="F26" s="221">
        <v>2995</v>
      </c>
      <c r="G26" s="216">
        <f t="shared" si="32"/>
        <v>152505.4</v>
      </c>
      <c r="H26" s="76" t="s">
        <v>57</v>
      </c>
      <c r="I26" s="219">
        <v>16</v>
      </c>
      <c r="J26" s="18">
        <v>1800</v>
      </c>
      <c r="K26" s="9">
        <f t="shared" si="33"/>
        <v>112.5</v>
      </c>
      <c r="L26" s="219">
        <v>16</v>
      </c>
      <c r="M26" s="10">
        <f t="shared" si="34"/>
        <v>1633.6363636363646</v>
      </c>
      <c r="N26" s="9">
        <f t="shared" si="22"/>
        <v>102.10227272727279</v>
      </c>
      <c r="O26" s="11">
        <f t="shared" si="35"/>
        <v>0</v>
      </c>
      <c r="P26" s="12">
        <f t="shared" si="36"/>
        <v>-10.397727272727209</v>
      </c>
      <c r="Q26" s="217">
        <f t="shared" si="29"/>
        <v>0.90757575757575815</v>
      </c>
      <c r="R26" s="470"/>
      <c r="S26" s="24">
        <v>0.70833333333333337</v>
      </c>
      <c r="T26" s="24">
        <v>0.78472222222222221</v>
      </c>
      <c r="U26" s="216">
        <f t="shared" si="38"/>
        <v>40.000000000000341</v>
      </c>
      <c r="V26" s="220">
        <f t="shared" si="37"/>
        <v>109.99999999999993</v>
      </c>
      <c r="W26" s="14"/>
      <c r="X26" s="15"/>
      <c r="Y26" s="473"/>
      <c r="Z26" s="474"/>
      <c r="AA26" s="11">
        <f t="shared" si="2"/>
        <v>-166.36363636363535</v>
      </c>
      <c r="AB26" s="217">
        <f t="shared" si="19"/>
        <v>0.90757575757575815</v>
      </c>
      <c r="AC26" s="470"/>
    </row>
    <row r="27" spans="1:29" ht="15.75" customHeight="1">
      <c r="A27" s="479" t="s">
        <v>7</v>
      </c>
      <c r="B27" s="26" t="s">
        <v>13</v>
      </c>
      <c r="C27" s="482" t="s">
        <v>62</v>
      </c>
      <c r="D27" s="483"/>
      <c r="E27" s="26">
        <v>53.27</v>
      </c>
      <c r="F27" s="221">
        <v>679</v>
      </c>
      <c r="G27" s="216">
        <f t="shared" si="32"/>
        <v>36170.33</v>
      </c>
      <c r="H27" s="76" t="s">
        <v>57</v>
      </c>
      <c r="I27" s="219">
        <v>15</v>
      </c>
      <c r="J27" s="18">
        <v>1800</v>
      </c>
      <c r="K27" s="9">
        <f t="shared" si="33"/>
        <v>120</v>
      </c>
      <c r="L27" s="219">
        <v>15</v>
      </c>
      <c r="M27" s="10">
        <f t="shared" si="34"/>
        <v>1629.5999999999954</v>
      </c>
      <c r="N27" s="9">
        <f t="shared" si="22"/>
        <v>108.63999999999969</v>
      </c>
      <c r="O27" s="11">
        <f t="shared" si="35"/>
        <v>0</v>
      </c>
      <c r="P27" s="12">
        <f t="shared" si="36"/>
        <v>-11.360000000000312</v>
      </c>
      <c r="Q27" s="217">
        <f t="shared" si="29"/>
        <v>0.90533333333333077</v>
      </c>
      <c r="R27" s="470"/>
      <c r="S27" s="24">
        <v>0.78819444444444442</v>
      </c>
      <c r="T27" s="24">
        <v>0.80555555555555558</v>
      </c>
      <c r="U27" s="216">
        <f t="shared" si="38"/>
        <v>4.9999999999999822</v>
      </c>
      <c r="V27" s="220">
        <f t="shared" si="37"/>
        <v>25.000000000000071</v>
      </c>
      <c r="W27" s="14"/>
      <c r="X27" s="14"/>
      <c r="Y27" s="473"/>
      <c r="Z27" s="474"/>
      <c r="AA27" s="11">
        <f t="shared" si="2"/>
        <v>-170.40000000000464</v>
      </c>
      <c r="AB27" s="217">
        <f t="shared" si="19"/>
        <v>0.90533333333333077</v>
      </c>
      <c r="AC27" s="470"/>
    </row>
    <row r="28" spans="1:29" ht="15.75" customHeight="1">
      <c r="A28" s="479" t="s">
        <v>7</v>
      </c>
      <c r="B28" s="26" t="s">
        <v>13</v>
      </c>
      <c r="C28" s="482" t="s">
        <v>61</v>
      </c>
      <c r="D28" s="483"/>
      <c r="E28" s="26">
        <v>49.91</v>
      </c>
      <c r="F28" s="221">
        <v>670</v>
      </c>
      <c r="G28" s="216">
        <f t="shared" si="32"/>
        <v>33439.699999999997</v>
      </c>
      <c r="H28" s="76" t="s">
        <v>57</v>
      </c>
      <c r="I28" s="219">
        <v>15</v>
      </c>
      <c r="J28" s="18">
        <v>1800</v>
      </c>
      <c r="K28" s="9">
        <f t="shared" si="33"/>
        <v>120</v>
      </c>
      <c r="L28" s="219">
        <v>15</v>
      </c>
      <c r="M28" s="10">
        <f t="shared" si="34"/>
        <v>1674.9999999999948</v>
      </c>
      <c r="N28" s="9">
        <f t="shared" si="22"/>
        <v>111.66666666666632</v>
      </c>
      <c r="O28" s="11">
        <f t="shared" si="35"/>
        <v>0</v>
      </c>
      <c r="P28" s="12">
        <f t="shared" si="36"/>
        <v>-8.3333333333336839</v>
      </c>
      <c r="Q28" s="217">
        <f t="shared" si="29"/>
        <v>0.93055555555555258</v>
      </c>
      <c r="R28" s="470"/>
      <c r="S28" s="24">
        <v>0.81041666666666667</v>
      </c>
      <c r="T28" s="24">
        <v>0.82708333333333339</v>
      </c>
      <c r="U28" s="216">
        <f t="shared" si="38"/>
        <v>6.9999999999999751</v>
      </c>
      <c r="V28" s="220">
        <f t="shared" si="37"/>
        <v>24.000000000000075</v>
      </c>
      <c r="W28" s="14"/>
      <c r="X28" s="14"/>
      <c r="Y28" s="473"/>
      <c r="Z28" s="474"/>
      <c r="AA28" s="11">
        <f t="shared" si="2"/>
        <v>-125.00000000000523</v>
      </c>
      <c r="AB28" s="217">
        <f t="shared" si="19"/>
        <v>0.93055555555555269</v>
      </c>
      <c r="AC28" s="470"/>
    </row>
    <row r="29" spans="1:29" ht="15.75" customHeight="1">
      <c r="A29" s="479" t="s">
        <v>7</v>
      </c>
      <c r="B29" s="26" t="s">
        <v>781</v>
      </c>
      <c r="C29" s="466"/>
      <c r="D29" s="466"/>
      <c r="E29" s="215"/>
      <c r="F29" s="221"/>
      <c r="G29" s="216"/>
      <c r="H29" s="221"/>
      <c r="I29" s="17">
        <v>16.666666666666668</v>
      </c>
      <c r="J29" s="18">
        <v>1733.3333333333333</v>
      </c>
      <c r="K29" s="9">
        <f t="shared" si="33"/>
        <v>103.99999999999999</v>
      </c>
      <c r="L29" s="17">
        <v>16.666666666666668</v>
      </c>
      <c r="M29" s="10">
        <f>AVERAGE(M20:M28)</f>
        <v>1577.4916629019021</v>
      </c>
      <c r="N29" s="9">
        <f>M29/L29</f>
        <v>94.649499774114119</v>
      </c>
      <c r="O29" s="11">
        <f>L29-I29</f>
        <v>0</v>
      </c>
      <c r="P29" s="12">
        <f>N29-K29</f>
        <v>-9.3505002258858667</v>
      </c>
      <c r="Q29" s="217">
        <f>N29/K29</f>
        <v>0.91009134398186664</v>
      </c>
      <c r="R29" s="470"/>
      <c r="S29" s="24"/>
      <c r="T29" s="24"/>
      <c r="U29" s="9"/>
      <c r="V29" s="220"/>
      <c r="W29" s="9"/>
      <c r="X29" s="9"/>
      <c r="Y29" s="456"/>
      <c r="Z29" s="456"/>
      <c r="AA29" s="11">
        <f t="shared" si="2"/>
        <v>-155.84167043143111</v>
      </c>
      <c r="AB29" s="217">
        <f t="shared" si="19"/>
        <v>0.91009134398186664</v>
      </c>
      <c r="AC29" s="470"/>
    </row>
    <row r="30" spans="1:29" ht="15.75" customHeight="1">
      <c r="A30" s="484" t="s">
        <v>785</v>
      </c>
      <c r="B30" s="26" t="s">
        <v>24</v>
      </c>
      <c r="C30" s="477" t="s">
        <v>26</v>
      </c>
      <c r="D30" s="477"/>
      <c r="E30" s="26">
        <v>26.2</v>
      </c>
      <c r="F30" s="221">
        <v>3000</v>
      </c>
      <c r="G30" s="216">
        <f t="shared" ref="G30:G37" si="39">E30*F30</f>
        <v>78600</v>
      </c>
      <c r="H30" s="76">
        <v>2</v>
      </c>
      <c r="I30" s="219">
        <v>20</v>
      </c>
      <c r="J30" s="18">
        <v>2400</v>
      </c>
      <c r="K30" s="9">
        <f>J30/I30</f>
        <v>120</v>
      </c>
      <c r="L30" s="219">
        <v>20</v>
      </c>
      <c r="M30" s="10">
        <f t="shared" ref="M30:M37" si="40">F30/V30*60</f>
        <v>2168.674698795181</v>
      </c>
      <c r="N30" s="9">
        <f t="shared" ref="N30:N37" si="41">M30/L30</f>
        <v>108.43373493975905</v>
      </c>
      <c r="O30" s="11">
        <f t="shared" ref="O30:O37" si="42">L30-I30</f>
        <v>0</v>
      </c>
      <c r="P30" s="12">
        <f t="shared" ref="P30:P37" si="43">N30-K30</f>
        <v>-11.566265060240951</v>
      </c>
      <c r="Q30" s="217">
        <f t="shared" ref="Q30:Q37" si="44">N30/K30</f>
        <v>0.90361445783132543</v>
      </c>
      <c r="R30" s="470">
        <f>Q38</f>
        <v>0.90566179098664967</v>
      </c>
      <c r="S30" s="24">
        <v>0.125</v>
      </c>
      <c r="T30" s="24">
        <v>0.18263888888888888</v>
      </c>
      <c r="U30" s="216"/>
      <c r="V30" s="220">
        <f t="shared" ref="V30:V37" si="45">(T30-S30)*24*60</f>
        <v>82.999999999999986</v>
      </c>
      <c r="W30" s="14"/>
      <c r="X30" s="14"/>
      <c r="Y30" s="456"/>
      <c r="Z30" s="456"/>
      <c r="AA30" s="11">
        <f t="shared" si="2"/>
        <v>-231.32530120481897</v>
      </c>
      <c r="AB30" s="217">
        <f>M30/J30</f>
        <v>0.90361445783132543</v>
      </c>
      <c r="AC30" s="470">
        <f>AB38</f>
        <v>0.90566179098664978</v>
      </c>
    </row>
    <row r="31" spans="1:29" ht="15.75" customHeight="1">
      <c r="A31" s="484" t="s">
        <v>8</v>
      </c>
      <c r="B31" s="26" t="s">
        <v>24</v>
      </c>
      <c r="C31" s="477" t="s">
        <v>25</v>
      </c>
      <c r="D31" s="477"/>
      <c r="E31" s="26">
        <v>20.52</v>
      </c>
      <c r="F31" s="221">
        <v>5047</v>
      </c>
      <c r="G31" s="216">
        <f t="shared" si="39"/>
        <v>103564.44</v>
      </c>
      <c r="H31" s="76" t="s">
        <v>57</v>
      </c>
      <c r="I31" s="219">
        <v>18</v>
      </c>
      <c r="J31" s="18">
        <v>2400</v>
      </c>
      <c r="K31" s="9">
        <f t="shared" ref="K31:K38" si="46">J31/I31</f>
        <v>133.33333333333334</v>
      </c>
      <c r="L31" s="219">
        <v>18</v>
      </c>
      <c r="M31" s="10">
        <f t="shared" si="40"/>
        <v>2163.0000000000005</v>
      </c>
      <c r="N31" s="9">
        <f t="shared" si="41"/>
        <v>120.16666666666669</v>
      </c>
      <c r="O31" s="11">
        <f t="shared" si="42"/>
        <v>0</v>
      </c>
      <c r="P31" s="12">
        <f t="shared" si="43"/>
        <v>-13.166666666666657</v>
      </c>
      <c r="Q31" s="217">
        <f t="shared" si="44"/>
        <v>0.90125000000000011</v>
      </c>
      <c r="R31" s="470"/>
      <c r="S31" s="24">
        <v>0.2013888888888889</v>
      </c>
      <c r="T31" s="24">
        <v>0.2986111111111111</v>
      </c>
      <c r="U31" s="216">
        <f>(S31-T30)*24*60</f>
        <v>27.000000000000025</v>
      </c>
      <c r="V31" s="220">
        <f t="shared" si="45"/>
        <v>139.99999999999997</v>
      </c>
      <c r="W31" s="14"/>
      <c r="X31" s="14"/>
      <c r="Y31" s="456"/>
      <c r="Z31" s="456"/>
      <c r="AA31" s="11">
        <f t="shared" si="2"/>
        <v>-236.99999999999955</v>
      </c>
      <c r="AB31" s="217">
        <f t="shared" ref="AB31:AB37" si="47">M31/J31</f>
        <v>0.90125000000000022</v>
      </c>
      <c r="AC31" s="470"/>
    </row>
    <row r="32" spans="1:29" ht="15.75" customHeight="1">
      <c r="A32" s="484" t="s">
        <v>8</v>
      </c>
      <c r="B32" s="26" t="s">
        <v>24</v>
      </c>
      <c r="C32" s="477" t="s">
        <v>513</v>
      </c>
      <c r="D32" s="477"/>
      <c r="E32" s="26">
        <v>31.29</v>
      </c>
      <c r="F32" s="221">
        <v>3500</v>
      </c>
      <c r="G32" s="216">
        <f t="shared" si="39"/>
        <v>109515</v>
      </c>
      <c r="H32" s="76">
        <v>2</v>
      </c>
      <c r="I32" s="219">
        <v>16</v>
      </c>
      <c r="J32" s="18">
        <v>2400</v>
      </c>
      <c r="K32" s="9">
        <f t="shared" si="46"/>
        <v>150</v>
      </c>
      <c r="L32" s="219">
        <v>16</v>
      </c>
      <c r="M32" s="10">
        <f t="shared" si="40"/>
        <v>2164.9484536082482</v>
      </c>
      <c r="N32" s="9">
        <f t="shared" si="41"/>
        <v>135.30927835051551</v>
      </c>
      <c r="O32" s="11">
        <f t="shared" si="42"/>
        <v>0</v>
      </c>
      <c r="P32" s="12">
        <f t="shared" si="43"/>
        <v>-14.690721649484487</v>
      </c>
      <c r="Q32" s="217">
        <f t="shared" si="44"/>
        <v>0.90206185567010344</v>
      </c>
      <c r="R32" s="470"/>
      <c r="S32" s="24">
        <v>0.30208333333333331</v>
      </c>
      <c r="T32" s="24">
        <v>0.36944444444444441</v>
      </c>
      <c r="U32" s="216">
        <f t="shared" ref="U32:U37" si="48">(S32-T31)*24*60</f>
        <v>4.9999999999999822</v>
      </c>
      <c r="V32" s="220">
        <f t="shared" si="45"/>
        <v>96.999999999999972</v>
      </c>
      <c r="W32" s="14"/>
      <c r="X32" s="14"/>
      <c r="Y32" s="456"/>
      <c r="Z32" s="456"/>
      <c r="AA32" s="11">
        <f t="shared" si="2"/>
        <v>-235.0515463917518</v>
      </c>
      <c r="AB32" s="217">
        <f t="shared" si="47"/>
        <v>0.90206185567010344</v>
      </c>
      <c r="AC32" s="470"/>
    </row>
    <row r="33" spans="1:29" ht="15.75" customHeight="1">
      <c r="A33" s="484" t="s">
        <v>8</v>
      </c>
      <c r="B33" s="26" t="s">
        <v>24</v>
      </c>
      <c r="C33" s="477" t="s">
        <v>84</v>
      </c>
      <c r="D33" s="477"/>
      <c r="E33" s="26">
        <v>24.25</v>
      </c>
      <c r="F33" s="221">
        <v>3000</v>
      </c>
      <c r="G33" s="216">
        <f t="shared" si="39"/>
        <v>72750</v>
      </c>
      <c r="H33" s="76">
        <v>2</v>
      </c>
      <c r="I33" s="219">
        <v>18</v>
      </c>
      <c r="J33" s="18">
        <v>2400</v>
      </c>
      <c r="K33" s="9">
        <f t="shared" si="46"/>
        <v>133.33333333333334</v>
      </c>
      <c r="L33" s="219">
        <v>18</v>
      </c>
      <c r="M33" s="10">
        <f t="shared" si="40"/>
        <v>2168.6746987951801</v>
      </c>
      <c r="N33" s="9">
        <f t="shared" si="41"/>
        <v>120.48192771084334</v>
      </c>
      <c r="O33" s="11">
        <f t="shared" si="42"/>
        <v>0</v>
      </c>
      <c r="P33" s="12">
        <f t="shared" si="43"/>
        <v>-12.851405622490006</v>
      </c>
      <c r="Q33" s="217">
        <f t="shared" si="44"/>
        <v>0.90361445783132499</v>
      </c>
      <c r="R33" s="470"/>
      <c r="S33" s="24">
        <v>0.37291666666666662</v>
      </c>
      <c r="T33" s="24">
        <v>0.43055555555555552</v>
      </c>
      <c r="U33" s="216">
        <f t="shared" si="48"/>
        <v>4.9999999999999822</v>
      </c>
      <c r="V33" s="220">
        <f t="shared" si="45"/>
        <v>83.000000000000028</v>
      </c>
      <c r="W33" s="14"/>
      <c r="X33" s="14"/>
      <c r="Y33" s="456"/>
      <c r="Z33" s="456"/>
      <c r="AA33" s="11">
        <f t="shared" si="2"/>
        <v>-231.32530120481988</v>
      </c>
      <c r="AB33" s="217">
        <f t="shared" si="47"/>
        <v>0.9036144578313251</v>
      </c>
      <c r="AC33" s="470"/>
    </row>
    <row r="34" spans="1:29" ht="15.75" customHeight="1">
      <c r="A34" s="484" t="s">
        <v>8</v>
      </c>
      <c r="B34" s="26" t="s">
        <v>24</v>
      </c>
      <c r="C34" s="477" t="s">
        <v>69</v>
      </c>
      <c r="D34" s="477"/>
      <c r="E34" s="26">
        <v>22.35</v>
      </c>
      <c r="F34" s="221">
        <v>2975</v>
      </c>
      <c r="G34" s="216">
        <f t="shared" si="39"/>
        <v>66491.25</v>
      </c>
      <c r="H34" s="76" t="s">
        <v>57</v>
      </c>
      <c r="I34" s="219">
        <v>16</v>
      </c>
      <c r="J34" s="18">
        <v>2400</v>
      </c>
      <c r="K34" s="9">
        <f t="shared" si="46"/>
        <v>150</v>
      </c>
      <c r="L34" s="219">
        <v>16</v>
      </c>
      <c r="M34" s="10">
        <f t="shared" si="40"/>
        <v>2176.8292682926822</v>
      </c>
      <c r="N34" s="9">
        <f t="shared" si="41"/>
        <v>136.05182926829264</v>
      </c>
      <c r="O34" s="11">
        <f t="shared" si="42"/>
        <v>0</v>
      </c>
      <c r="P34" s="12">
        <f t="shared" si="43"/>
        <v>-13.948170731707364</v>
      </c>
      <c r="Q34" s="217">
        <f t="shared" si="44"/>
        <v>0.90701219512195086</v>
      </c>
      <c r="R34" s="470"/>
      <c r="S34" s="24">
        <v>0.43472222222222218</v>
      </c>
      <c r="T34" s="24">
        <v>0.49166666666666664</v>
      </c>
      <c r="U34" s="216">
        <f t="shared" si="48"/>
        <v>5.9999999999999787</v>
      </c>
      <c r="V34" s="220">
        <f t="shared" si="45"/>
        <v>82.000000000000028</v>
      </c>
      <c r="W34" s="14"/>
      <c r="X34" s="14"/>
      <c r="Y34" s="456"/>
      <c r="Z34" s="456"/>
      <c r="AA34" s="11">
        <f t="shared" si="2"/>
        <v>-223.17073170731783</v>
      </c>
      <c r="AB34" s="217">
        <f t="shared" si="47"/>
        <v>0.90701219512195086</v>
      </c>
      <c r="AC34" s="470"/>
    </row>
    <row r="35" spans="1:29" ht="15.75" customHeight="1">
      <c r="A35" s="484" t="s">
        <v>8</v>
      </c>
      <c r="B35" s="26" t="s">
        <v>24</v>
      </c>
      <c r="C35" s="477" t="s">
        <v>513</v>
      </c>
      <c r="D35" s="477"/>
      <c r="E35" s="26">
        <v>31.29</v>
      </c>
      <c r="F35" s="221">
        <v>4848</v>
      </c>
      <c r="G35" s="216">
        <f t="shared" si="39"/>
        <v>151693.91999999998</v>
      </c>
      <c r="H35" s="76" t="s">
        <v>57</v>
      </c>
      <c r="I35" s="219">
        <v>16</v>
      </c>
      <c r="J35" s="18">
        <v>2400</v>
      </c>
      <c r="K35" s="9">
        <f t="shared" si="46"/>
        <v>150</v>
      </c>
      <c r="L35" s="219">
        <v>16</v>
      </c>
      <c r="M35" s="10">
        <f t="shared" si="40"/>
        <v>2170.7462686567164</v>
      </c>
      <c r="N35" s="9">
        <f t="shared" si="41"/>
        <v>135.67164179104478</v>
      </c>
      <c r="O35" s="11">
        <f t="shared" si="42"/>
        <v>0</v>
      </c>
      <c r="P35" s="12">
        <f t="shared" si="43"/>
        <v>-14.328358208955223</v>
      </c>
      <c r="Q35" s="217">
        <f t="shared" si="44"/>
        <v>0.90447761194029852</v>
      </c>
      <c r="R35" s="470"/>
      <c r="S35" s="24">
        <v>0.53055555555555545</v>
      </c>
      <c r="T35" s="24">
        <v>0.62361111111111101</v>
      </c>
      <c r="U35" s="216">
        <f t="shared" si="48"/>
        <v>55.999999999999879</v>
      </c>
      <c r="V35" s="220">
        <f t="shared" si="45"/>
        <v>134</v>
      </c>
      <c r="W35" s="14"/>
      <c r="X35" s="14"/>
      <c r="Y35" s="456"/>
      <c r="Z35" s="456"/>
      <c r="AA35" s="11">
        <f t="shared" si="2"/>
        <v>-229.25373134328356</v>
      </c>
      <c r="AB35" s="217">
        <f t="shared" si="47"/>
        <v>0.90447761194029852</v>
      </c>
      <c r="AC35" s="470"/>
    </row>
    <row r="36" spans="1:29" ht="15.75" customHeight="1">
      <c r="A36" s="484" t="s">
        <v>8</v>
      </c>
      <c r="B36" s="26" t="s">
        <v>24</v>
      </c>
      <c r="C36" s="477" t="s">
        <v>26</v>
      </c>
      <c r="D36" s="477"/>
      <c r="E36" s="26">
        <v>26.2</v>
      </c>
      <c r="F36" s="221">
        <v>1928</v>
      </c>
      <c r="G36" s="216">
        <f t="shared" si="39"/>
        <v>50513.599999999999</v>
      </c>
      <c r="H36" s="76" t="s">
        <v>57</v>
      </c>
      <c r="I36" s="219">
        <v>20</v>
      </c>
      <c r="J36" s="18">
        <v>2400</v>
      </c>
      <c r="K36" s="9">
        <f t="shared" si="46"/>
        <v>120</v>
      </c>
      <c r="L36" s="219">
        <v>20</v>
      </c>
      <c r="M36" s="10">
        <f t="shared" si="40"/>
        <v>2182.6415094339636</v>
      </c>
      <c r="N36" s="9">
        <f t="shared" si="41"/>
        <v>109.13207547169819</v>
      </c>
      <c r="O36" s="11">
        <f t="shared" si="42"/>
        <v>0</v>
      </c>
      <c r="P36" s="12">
        <f t="shared" si="43"/>
        <v>-10.867924528301813</v>
      </c>
      <c r="Q36" s="217">
        <f t="shared" si="44"/>
        <v>0.90943396226415152</v>
      </c>
      <c r="R36" s="470"/>
      <c r="S36" s="24">
        <v>0.62916666666666654</v>
      </c>
      <c r="T36" s="24">
        <v>0.66597222222222208</v>
      </c>
      <c r="U36" s="216">
        <f t="shared" si="48"/>
        <v>7.9999999999999716</v>
      </c>
      <c r="V36" s="220">
        <f t="shared" si="45"/>
        <v>52.999999999999972</v>
      </c>
      <c r="W36" s="14"/>
      <c r="X36" s="14"/>
      <c r="Y36" s="456"/>
      <c r="Z36" s="456"/>
      <c r="AA36" s="11">
        <f t="shared" si="2"/>
        <v>-217.35849056603638</v>
      </c>
      <c r="AB36" s="217">
        <f t="shared" si="47"/>
        <v>0.90943396226415152</v>
      </c>
      <c r="AC36" s="470"/>
    </row>
    <row r="37" spans="1:29" ht="15.75" customHeight="1">
      <c r="A37" s="484" t="s">
        <v>8</v>
      </c>
      <c r="B37" s="26" t="s">
        <v>24</v>
      </c>
      <c r="C37" s="477" t="s">
        <v>55</v>
      </c>
      <c r="D37" s="477"/>
      <c r="E37" s="26">
        <v>26.2</v>
      </c>
      <c r="F37" s="221">
        <v>1718</v>
      </c>
      <c r="G37" s="216">
        <f t="shared" si="39"/>
        <v>45011.6</v>
      </c>
      <c r="H37" s="76" t="s">
        <v>57</v>
      </c>
      <c r="I37" s="219">
        <v>19</v>
      </c>
      <c r="J37" s="18">
        <v>2400</v>
      </c>
      <c r="K37" s="9">
        <f t="shared" si="46"/>
        <v>126.31578947368421</v>
      </c>
      <c r="L37" s="219">
        <v>19</v>
      </c>
      <c r="M37" s="10">
        <f t="shared" si="40"/>
        <v>2193.1914893617027</v>
      </c>
      <c r="N37" s="9">
        <f t="shared" si="41"/>
        <v>115.43113101903698</v>
      </c>
      <c r="O37" s="11">
        <f t="shared" si="42"/>
        <v>0</v>
      </c>
      <c r="P37" s="12">
        <f t="shared" si="43"/>
        <v>-10.884658454647223</v>
      </c>
      <c r="Q37" s="217">
        <f t="shared" si="44"/>
        <v>0.91382978723404285</v>
      </c>
      <c r="R37" s="470"/>
      <c r="S37" s="24">
        <v>0.67152777777777761</v>
      </c>
      <c r="T37" s="24">
        <v>0.7041666666666665</v>
      </c>
      <c r="U37" s="216">
        <f t="shared" si="48"/>
        <v>7.9999999999999716</v>
      </c>
      <c r="V37" s="220">
        <f t="shared" si="45"/>
        <v>46.999999999999993</v>
      </c>
      <c r="W37" s="14"/>
      <c r="X37" s="14"/>
      <c r="Y37" s="456"/>
      <c r="Z37" s="456"/>
      <c r="AA37" s="11">
        <f t="shared" si="2"/>
        <v>-206.80851063829732</v>
      </c>
      <c r="AB37" s="217">
        <f t="shared" si="47"/>
        <v>0.91382978723404273</v>
      </c>
      <c r="AC37" s="470"/>
    </row>
    <row r="38" spans="1:29" ht="15.75" customHeight="1">
      <c r="A38" s="484" t="s">
        <v>8</v>
      </c>
      <c r="B38" s="26" t="s">
        <v>786</v>
      </c>
      <c r="C38" s="466"/>
      <c r="D38" s="466"/>
      <c r="E38" s="215"/>
      <c r="F38" s="221"/>
      <c r="G38" s="216"/>
      <c r="H38" s="221"/>
      <c r="I38" s="17">
        <v>17.875</v>
      </c>
      <c r="J38" s="18">
        <v>2400</v>
      </c>
      <c r="K38" s="9">
        <f t="shared" si="46"/>
        <v>134.26573426573427</v>
      </c>
      <c r="L38" s="17">
        <v>17.875</v>
      </c>
      <c r="M38" s="10">
        <f>AVERAGE(M30:M37)</f>
        <v>2173.5882983679594</v>
      </c>
      <c r="N38" s="9">
        <f>M38/L38</f>
        <v>121.59934536324248</v>
      </c>
      <c r="O38" s="11">
        <f>L38-I38</f>
        <v>0</v>
      </c>
      <c r="P38" s="12">
        <f>N38-K38</f>
        <v>-12.666388902491789</v>
      </c>
      <c r="Q38" s="217">
        <f>N38/K38</f>
        <v>0.90566179098664967</v>
      </c>
      <c r="R38" s="470"/>
      <c r="S38" s="24"/>
      <c r="T38" s="24"/>
      <c r="U38" s="216"/>
      <c r="V38" s="220"/>
      <c r="W38" s="216"/>
      <c r="X38" s="216"/>
      <c r="Y38" s="456"/>
      <c r="Z38" s="456"/>
      <c r="AA38" s="11">
        <f t="shared" si="2"/>
        <v>-226.4117016320406</v>
      </c>
      <c r="AB38" s="217">
        <f>M38/J38</f>
        <v>0.90566179098664978</v>
      </c>
      <c r="AC38" s="470"/>
    </row>
    <row r="39" spans="1:29" ht="15.75" customHeight="1">
      <c r="A39" s="485" t="s">
        <v>787</v>
      </c>
      <c r="B39" s="26" t="s">
        <v>24</v>
      </c>
      <c r="C39" s="487" t="s">
        <v>29</v>
      </c>
      <c r="D39" s="487"/>
      <c r="E39" s="26">
        <v>26.2</v>
      </c>
      <c r="F39" s="221">
        <v>4000</v>
      </c>
      <c r="G39" s="216">
        <f t="shared" ref="G39:G47" si="49">E39*F39</f>
        <v>104800</v>
      </c>
      <c r="H39" s="76">
        <v>2</v>
      </c>
      <c r="I39" s="219">
        <v>18</v>
      </c>
      <c r="J39" s="18">
        <v>2400</v>
      </c>
      <c r="K39" s="9">
        <f>J39/I39</f>
        <v>133.33333333333334</v>
      </c>
      <c r="L39" s="219">
        <v>18</v>
      </c>
      <c r="M39" s="10">
        <f>F39/V39*60</f>
        <v>2162.1621621621625</v>
      </c>
      <c r="N39" s="9">
        <f>M39/L39</f>
        <v>120.12012012012013</v>
      </c>
      <c r="O39" s="11">
        <f t="shared" ref="O39:O47" si="50">L39-I39</f>
        <v>0</v>
      </c>
      <c r="P39" s="12">
        <f t="shared" ref="P39:P57" si="51">N39-K39</f>
        <v>-13.213213213213209</v>
      </c>
      <c r="Q39" s="217">
        <f t="shared" ref="Q39:Q52" si="52">N39/K39</f>
        <v>0.90090090090090091</v>
      </c>
      <c r="R39" s="470">
        <f>Q48</f>
        <v>0.90539992439035444</v>
      </c>
      <c r="S39" s="24">
        <v>8.3333333333333329E-2</v>
      </c>
      <c r="T39" s="24">
        <v>0.16041666666666665</v>
      </c>
      <c r="U39" s="216"/>
      <c r="V39" s="220">
        <f t="shared" ref="V39:V47" si="53">(T39-S39)*24*60</f>
        <v>110.99999999999997</v>
      </c>
      <c r="W39" s="15"/>
      <c r="X39" s="15"/>
      <c r="Y39" s="456"/>
      <c r="Z39" s="456"/>
      <c r="AA39" s="11">
        <f t="shared" si="2"/>
        <v>-237.83783783783747</v>
      </c>
      <c r="AB39" s="217">
        <f>M39/J39</f>
        <v>0.90090090090090102</v>
      </c>
      <c r="AC39" s="470">
        <f>AB48</f>
        <v>0.90539992439035433</v>
      </c>
    </row>
    <row r="40" spans="1:29" ht="15.75" customHeight="1">
      <c r="A40" s="485" t="s">
        <v>788</v>
      </c>
      <c r="B40" s="26" t="s">
        <v>24</v>
      </c>
      <c r="C40" s="487" t="s">
        <v>31</v>
      </c>
      <c r="D40" s="487"/>
      <c r="E40" s="26">
        <v>24.45</v>
      </c>
      <c r="F40" s="221">
        <v>2541</v>
      </c>
      <c r="G40" s="216">
        <f t="shared" si="49"/>
        <v>62127.45</v>
      </c>
      <c r="H40" s="76" t="s">
        <v>57</v>
      </c>
      <c r="I40" s="219">
        <v>20</v>
      </c>
      <c r="J40" s="18">
        <v>2400</v>
      </c>
      <c r="K40" s="9">
        <f t="shared" ref="K40:K56" si="54">J40/I40</f>
        <v>120</v>
      </c>
      <c r="L40" s="219">
        <v>20</v>
      </c>
      <c r="M40" s="10">
        <f t="shared" ref="M40:M47" si="55">F40/V40*60</f>
        <v>2178.0000000000005</v>
      </c>
      <c r="N40" s="9">
        <f t="shared" ref="N40:N47" si="56">M40/L40</f>
        <v>108.90000000000002</v>
      </c>
      <c r="O40" s="11">
        <f t="shared" si="50"/>
        <v>0</v>
      </c>
      <c r="P40" s="12">
        <f t="shared" si="51"/>
        <v>-11.09999999999998</v>
      </c>
      <c r="Q40" s="217">
        <f t="shared" si="52"/>
        <v>0.9075000000000002</v>
      </c>
      <c r="R40" s="470"/>
      <c r="S40" s="24">
        <v>0.17916666666666664</v>
      </c>
      <c r="T40" s="24">
        <v>0.22777777777777775</v>
      </c>
      <c r="U40" s="216">
        <f>(S40-T39)*24*60</f>
        <v>26.999999999999986</v>
      </c>
      <c r="V40" s="220">
        <f t="shared" si="53"/>
        <v>69.999999999999986</v>
      </c>
      <c r="W40" s="216"/>
      <c r="X40" s="216"/>
      <c r="Y40" s="456"/>
      <c r="Z40" s="456"/>
      <c r="AA40" s="11">
        <f t="shared" si="2"/>
        <v>-221.99999999999955</v>
      </c>
      <c r="AB40" s="217">
        <f t="shared" ref="AB40:AB68" si="57">M40/J40</f>
        <v>0.9075000000000002</v>
      </c>
      <c r="AC40" s="470"/>
    </row>
    <row r="41" spans="1:29">
      <c r="A41" s="486" t="s">
        <v>789</v>
      </c>
      <c r="B41" s="26" t="s">
        <v>24</v>
      </c>
      <c r="C41" s="487" t="s">
        <v>32</v>
      </c>
      <c r="D41" s="487"/>
      <c r="E41" s="26">
        <v>26.2</v>
      </c>
      <c r="F41" s="221">
        <v>3151</v>
      </c>
      <c r="G41" s="216">
        <f t="shared" si="49"/>
        <v>82556.2</v>
      </c>
      <c r="H41" s="76" t="s">
        <v>57</v>
      </c>
      <c r="I41" s="219">
        <v>20</v>
      </c>
      <c r="J41" s="18">
        <v>2400</v>
      </c>
      <c r="K41" s="9">
        <f t="shared" si="54"/>
        <v>120</v>
      </c>
      <c r="L41" s="219">
        <v>20</v>
      </c>
      <c r="M41" s="10">
        <f t="shared" si="55"/>
        <v>2173.1034482758628</v>
      </c>
      <c r="N41" s="9">
        <f t="shared" si="56"/>
        <v>108.65517241379314</v>
      </c>
      <c r="O41" s="11">
        <f t="shared" si="50"/>
        <v>0</v>
      </c>
      <c r="P41" s="12">
        <f t="shared" si="51"/>
        <v>-11.344827586206861</v>
      </c>
      <c r="Q41" s="217">
        <f t="shared" si="52"/>
        <v>0.90545977011494283</v>
      </c>
      <c r="R41" s="470"/>
      <c r="S41" s="24">
        <v>0.23333333333333331</v>
      </c>
      <c r="T41" s="24">
        <v>0.29374999999999996</v>
      </c>
      <c r="U41" s="216">
        <f t="shared" ref="U41:U47" si="58">(S41-T40)*24*60</f>
        <v>8.0000000000000107</v>
      </c>
      <c r="V41" s="220">
        <f t="shared" si="53"/>
        <v>86.999999999999972</v>
      </c>
      <c r="W41" s="216"/>
      <c r="X41" s="216"/>
      <c r="Y41" s="456"/>
      <c r="Z41" s="456"/>
      <c r="AA41" s="11">
        <f t="shared" si="2"/>
        <v>-226.89655172413723</v>
      </c>
      <c r="AB41" s="217">
        <f t="shared" si="57"/>
        <v>0.90545977011494283</v>
      </c>
      <c r="AC41" s="470"/>
    </row>
    <row r="42" spans="1:29">
      <c r="A42" s="486" t="s">
        <v>787</v>
      </c>
      <c r="B42" s="26" t="s">
        <v>24</v>
      </c>
      <c r="C42" s="487" t="s">
        <v>30</v>
      </c>
      <c r="D42" s="487"/>
      <c r="E42" s="26">
        <v>26.39</v>
      </c>
      <c r="F42" s="221">
        <v>3500</v>
      </c>
      <c r="G42" s="216">
        <f t="shared" si="49"/>
        <v>92365</v>
      </c>
      <c r="H42" s="76">
        <v>2</v>
      </c>
      <c r="I42" s="219">
        <v>19</v>
      </c>
      <c r="J42" s="18">
        <v>2400</v>
      </c>
      <c r="K42" s="9">
        <f t="shared" si="54"/>
        <v>126.31578947368421</v>
      </c>
      <c r="L42" s="219">
        <v>19</v>
      </c>
      <c r="M42" s="10">
        <f t="shared" si="55"/>
        <v>2164.9484536082482</v>
      </c>
      <c r="N42" s="9">
        <f t="shared" si="56"/>
        <v>113.94465545306569</v>
      </c>
      <c r="O42" s="11">
        <f t="shared" si="50"/>
        <v>0</v>
      </c>
      <c r="P42" s="12">
        <f t="shared" si="51"/>
        <v>-12.371134020618513</v>
      </c>
      <c r="Q42" s="217">
        <f t="shared" si="52"/>
        <v>0.90206185567010344</v>
      </c>
      <c r="R42" s="470"/>
      <c r="S42" s="24">
        <v>0.29861111111111105</v>
      </c>
      <c r="T42" s="24">
        <v>0.36597222222222214</v>
      </c>
      <c r="U42" s="216">
        <f t="shared" si="58"/>
        <v>6.9999999999999751</v>
      </c>
      <c r="V42" s="220">
        <f t="shared" si="53"/>
        <v>96.999999999999972</v>
      </c>
      <c r="W42" s="14"/>
      <c r="X42" s="14"/>
      <c r="Y42" s="456"/>
      <c r="Z42" s="456"/>
      <c r="AA42" s="11">
        <f t="shared" si="2"/>
        <v>-235.0515463917518</v>
      </c>
      <c r="AB42" s="217">
        <f t="shared" si="57"/>
        <v>0.90206185567010344</v>
      </c>
      <c r="AC42" s="470"/>
    </row>
    <row r="43" spans="1:29">
      <c r="A43" s="486" t="s">
        <v>787</v>
      </c>
      <c r="B43" s="26" t="s">
        <v>24</v>
      </c>
      <c r="C43" s="487" t="s">
        <v>27</v>
      </c>
      <c r="D43" s="487"/>
      <c r="E43" s="26">
        <v>20.52</v>
      </c>
      <c r="F43" s="221">
        <v>3572</v>
      </c>
      <c r="G43" s="216">
        <f t="shared" si="49"/>
        <v>73297.440000000002</v>
      </c>
      <c r="H43" s="76" t="s">
        <v>57</v>
      </c>
      <c r="I43" s="219">
        <v>18</v>
      </c>
      <c r="J43" s="18">
        <v>2400</v>
      </c>
      <c r="K43" s="9">
        <f t="shared" si="54"/>
        <v>133.33333333333334</v>
      </c>
      <c r="L43" s="219">
        <v>18</v>
      </c>
      <c r="M43" s="10">
        <f t="shared" si="55"/>
        <v>2164.8484848484854</v>
      </c>
      <c r="N43" s="9">
        <f t="shared" si="56"/>
        <v>120.26936026936031</v>
      </c>
      <c r="O43" s="11">
        <f t="shared" si="50"/>
        <v>0</v>
      </c>
      <c r="P43" s="12">
        <f t="shared" si="51"/>
        <v>-13.063973063973037</v>
      </c>
      <c r="Q43" s="217">
        <f t="shared" si="52"/>
        <v>0.90202020202020228</v>
      </c>
      <c r="R43" s="470"/>
      <c r="S43" s="24">
        <v>0.37152777777777768</v>
      </c>
      <c r="T43" s="24">
        <v>0.44027777777777766</v>
      </c>
      <c r="U43" s="216">
        <f t="shared" si="58"/>
        <v>7.9999999999999716</v>
      </c>
      <c r="V43" s="220">
        <f t="shared" si="53"/>
        <v>98.999999999999972</v>
      </c>
      <c r="W43" s="14"/>
      <c r="X43" s="14"/>
      <c r="Y43" s="456"/>
      <c r="Z43" s="456"/>
      <c r="AA43" s="11">
        <f t="shared" si="2"/>
        <v>-235.15151515151456</v>
      </c>
      <c r="AB43" s="217">
        <f t="shared" si="57"/>
        <v>0.90202020202020228</v>
      </c>
      <c r="AC43" s="470"/>
    </row>
    <row r="44" spans="1:29">
      <c r="A44" s="486" t="s">
        <v>787</v>
      </c>
      <c r="B44" s="26" t="s">
        <v>24</v>
      </c>
      <c r="C44" s="487" t="s">
        <v>55</v>
      </c>
      <c r="D44" s="487"/>
      <c r="E44" s="26">
        <v>26.2</v>
      </c>
      <c r="F44" s="221">
        <v>2700</v>
      </c>
      <c r="G44" s="216">
        <f t="shared" si="49"/>
        <v>70740</v>
      </c>
      <c r="H44" s="76">
        <v>2</v>
      </c>
      <c r="I44" s="219">
        <v>19</v>
      </c>
      <c r="J44" s="18">
        <v>2400</v>
      </c>
      <c r="K44" s="9">
        <f t="shared" si="54"/>
        <v>126.31578947368421</v>
      </c>
      <c r="L44" s="219">
        <v>19</v>
      </c>
      <c r="M44" s="10">
        <f t="shared" si="55"/>
        <v>2189.1891891891901</v>
      </c>
      <c r="N44" s="9">
        <f t="shared" si="56"/>
        <v>115.22048364153632</v>
      </c>
      <c r="O44" s="11">
        <f t="shared" si="50"/>
        <v>0</v>
      </c>
      <c r="P44" s="12">
        <f t="shared" si="51"/>
        <v>-11.095305832147886</v>
      </c>
      <c r="Q44" s="217">
        <f t="shared" si="52"/>
        <v>0.91216216216216262</v>
      </c>
      <c r="R44" s="470"/>
      <c r="S44" s="24">
        <v>0.44374999999999987</v>
      </c>
      <c r="T44" s="24">
        <v>0.49513888888888874</v>
      </c>
      <c r="U44" s="216">
        <f t="shared" si="58"/>
        <v>4.9999999999999822</v>
      </c>
      <c r="V44" s="220">
        <f t="shared" si="53"/>
        <v>73.999999999999972</v>
      </c>
      <c r="W44" s="14"/>
      <c r="X44" s="14"/>
      <c r="Y44" s="456"/>
      <c r="Z44" s="456"/>
      <c r="AA44" s="11">
        <f t="shared" si="2"/>
        <v>-210.81081081080993</v>
      </c>
      <c r="AB44" s="217">
        <f t="shared" si="57"/>
        <v>0.9121621621621625</v>
      </c>
      <c r="AC44" s="470"/>
    </row>
    <row r="45" spans="1:29">
      <c r="A45" s="486" t="s">
        <v>787</v>
      </c>
      <c r="B45" s="26" t="s">
        <v>24</v>
      </c>
      <c r="C45" s="487" t="s">
        <v>84</v>
      </c>
      <c r="D45" s="487"/>
      <c r="E45" s="26">
        <v>24.25</v>
      </c>
      <c r="F45" s="221">
        <v>3177</v>
      </c>
      <c r="G45" s="216">
        <f t="shared" si="49"/>
        <v>77042.25</v>
      </c>
      <c r="H45" s="76" t="s">
        <v>57</v>
      </c>
      <c r="I45" s="219">
        <v>18</v>
      </c>
      <c r="J45" s="18">
        <v>2400</v>
      </c>
      <c r="K45" s="9">
        <f t="shared" si="54"/>
        <v>133.33333333333334</v>
      </c>
      <c r="L45" s="219">
        <v>18</v>
      </c>
      <c r="M45" s="10">
        <f t="shared" si="55"/>
        <v>2166.1363636363635</v>
      </c>
      <c r="N45" s="9">
        <f t="shared" si="56"/>
        <v>120.34090909090908</v>
      </c>
      <c r="O45" s="11">
        <f t="shared" si="50"/>
        <v>0</v>
      </c>
      <c r="P45" s="12">
        <f t="shared" si="51"/>
        <v>-12.992424242424264</v>
      </c>
      <c r="Q45" s="217">
        <f t="shared" si="52"/>
        <v>0.90255681818181799</v>
      </c>
      <c r="R45" s="470"/>
      <c r="S45" s="24">
        <v>0.53541666666666643</v>
      </c>
      <c r="T45" s="24">
        <v>0.59652777777777755</v>
      </c>
      <c r="U45" s="216">
        <f t="shared" si="58"/>
        <v>57.999999999999872</v>
      </c>
      <c r="V45" s="220">
        <f t="shared" si="53"/>
        <v>88</v>
      </c>
      <c r="W45" s="14"/>
      <c r="X45" s="14"/>
      <c r="Y45" s="473"/>
      <c r="Z45" s="474"/>
      <c r="AA45" s="11">
        <f t="shared" si="2"/>
        <v>-233.86363636363649</v>
      </c>
      <c r="AB45" s="217">
        <f t="shared" si="57"/>
        <v>0.9025568181818181</v>
      </c>
      <c r="AC45" s="470"/>
    </row>
    <row r="46" spans="1:29">
      <c r="A46" s="486" t="s">
        <v>787</v>
      </c>
      <c r="B46" s="26" t="s">
        <v>24</v>
      </c>
      <c r="C46" s="487" t="s">
        <v>29</v>
      </c>
      <c r="D46" s="487"/>
      <c r="E46" s="26">
        <v>26.2</v>
      </c>
      <c r="F46" s="221">
        <v>2971</v>
      </c>
      <c r="G46" s="216">
        <f t="shared" si="49"/>
        <v>77840.2</v>
      </c>
      <c r="H46" s="76" t="s">
        <v>57</v>
      </c>
      <c r="I46" s="219">
        <v>18</v>
      </c>
      <c r="J46" s="18">
        <v>2400</v>
      </c>
      <c r="K46" s="9">
        <f t="shared" si="54"/>
        <v>133.33333333333334</v>
      </c>
      <c r="L46" s="219">
        <v>18</v>
      </c>
      <c r="M46" s="10">
        <f t="shared" si="55"/>
        <v>2173.9024390243894</v>
      </c>
      <c r="N46" s="9">
        <f t="shared" si="56"/>
        <v>120.77235772357719</v>
      </c>
      <c r="O46" s="11">
        <f t="shared" si="50"/>
        <v>0</v>
      </c>
      <c r="P46" s="12">
        <f t="shared" si="51"/>
        <v>-12.560975609756156</v>
      </c>
      <c r="Q46" s="217">
        <f t="shared" si="52"/>
        <v>0.9057926829268288</v>
      </c>
      <c r="R46" s="470"/>
      <c r="S46" s="24">
        <v>0.60138888888888864</v>
      </c>
      <c r="T46" s="24">
        <v>0.6583333333333331</v>
      </c>
      <c r="U46" s="216">
        <f t="shared" si="58"/>
        <v>6.9999999999999751</v>
      </c>
      <c r="V46" s="220">
        <f t="shared" si="53"/>
        <v>82.000000000000028</v>
      </c>
      <c r="W46" s="14"/>
      <c r="X46" s="14"/>
      <c r="Y46" s="473"/>
      <c r="Z46" s="474"/>
      <c r="AA46" s="11">
        <f t="shared" si="2"/>
        <v>-226.09756097561058</v>
      </c>
      <c r="AB46" s="217">
        <f t="shared" si="57"/>
        <v>0.90579268292682891</v>
      </c>
      <c r="AC46" s="470"/>
    </row>
    <row r="47" spans="1:29">
      <c r="A47" s="486" t="s">
        <v>788</v>
      </c>
      <c r="B47" s="26" t="s">
        <v>24</v>
      </c>
      <c r="C47" s="487" t="s">
        <v>30</v>
      </c>
      <c r="D47" s="487"/>
      <c r="E47" s="26">
        <v>26.39</v>
      </c>
      <c r="F47" s="221">
        <v>2512</v>
      </c>
      <c r="G47" s="216">
        <f t="shared" si="49"/>
        <v>66291.680000000008</v>
      </c>
      <c r="H47" s="76" t="s">
        <v>57</v>
      </c>
      <c r="I47" s="219">
        <v>19</v>
      </c>
      <c r="J47" s="18">
        <v>2400</v>
      </c>
      <c r="K47" s="9">
        <f t="shared" si="54"/>
        <v>126.31578947368421</v>
      </c>
      <c r="L47" s="219">
        <v>19</v>
      </c>
      <c r="M47" s="10">
        <f t="shared" si="55"/>
        <v>2184.3478260869542</v>
      </c>
      <c r="N47" s="9">
        <f t="shared" si="56"/>
        <v>114.96567505720812</v>
      </c>
      <c r="O47" s="11">
        <f t="shared" si="50"/>
        <v>0</v>
      </c>
      <c r="P47" s="12">
        <f t="shared" si="51"/>
        <v>-11.350114416476089</v>
      </c>
      <c r="Q47" s="217">
        <f t="shared" si="52"/>
        <v>0.910144927536231</v>
      </c>
      <c r="R47" s="470"/>
      <c r="S47" s="24">
        <v>0.66388888888888864</v>
      </c>
      <c r="T47" s="24">
        <v>0.71180555555555536</v>
      </c>
      <c r="U47" s="216">
        <f t="shared" si="58"/>
        <v>7.9999999999999716</v>
      </c>
      <c r="V47" s="220">
        <f t="shared" si="53"/>
        <v>69.000000000000071</v>
      </c>
      <c r="W47" s="14"/>
      <c r="X47" s="14"/>
      <c r="Y47" s="473"/>
      <c r="Z47" s="474"/>
      <c r="AA47" s="11">
        <f t="shared" si="2"/>
        <v>-215.65217391304577</v>
      </c>
      <c r="AB47" s="217">
        <f t="shared" si="57"/>
        <v>0.91014492753623089</v>
      </c>
      <c r="AC47" s="470"/>
    </row>
    <row r="48" spans="1:29">
      <c r="A48" s="486" t="s">
        <v>789</v>
      </c>
      <c r="B48" s="16" t="s">
        <v>786</v>
      </c>
      <c r="C48" s="466"/>
      <c r="D48" s="466"/>
      <c r="E48" s="215"/>
      <c r="F48" s="16"/>
      <c r="G48" s="9"/>
      <c r="H48" s="221"/>
      <c r="I48" s="17">
        <v>18.777777777777779</v>
      </c>
      <c r="J48" s="18">
        <v>2400</v>
      </c>
      <c r="K48" s="9">
        <f t="shared" si="54"/>
        <v>127.81065088757396</v>
      </c>
      <c r="L48" s="17">
        <v>18.777777777777779</v>
      </c>
      <c r="M48" s="10">
        <f>AVERAGE(M39:M47)</f>
        <v>2172.9598185368504</v>
      </c>
      <c r="N48" s="9">
        <f>M48/L48</f>
        <v>115.71975364989144</v>
      </c>
      <c r="O48" s="11">
        <f>L48-I48</f>
        <v>0</v>
      </c>
      <c r="P48" s="12">
        <f t="shared" si="51"/>
        <v>-12.090897237682512</v>
      </c>
      <c r="Q48" s="217">
        <f t="shared" si="52"/>
        <v>0.90539992439035444</v>
      </c>
      <c r="R48" s="470"/>
      <c r="S48" s="24"/>
      <c r="T48" s="24"/>
      <c r="U48" s="9"/>
      <c r="V48" s="220"/>
      <c r="W48" s="9"/>
      <c r="X48" s="9"/>
      <c r="Y48" s="456"/>
      <c r="Z48" s="456"/>
      <c r="AA48" s="11">
        <f t="shared" si="2"/>
        <v>-227.04018146314957</v>
      </c>
      <c r="AB48" s="217">
        <f t="shared" si="57"/>
        <v>0.90539992439035433</v>
      </c>
      <c r="AC48" s="470"/>
    </row>
    <row r="49" spans="1:29" ht="15.75" customHeight="1">
      <c r="A49" s="488" t="s">
        <v>162</v>
      </c>
      <c r="B49" s="26" t="s">
        <v>33</v>
      </c>
      <c r="C49" s="491" t="s">
        <v>34</v>
      </c>
      <c r="D49" s="492"/>
      <c r="E49" s="26">
        <v>27.17</v>
      </c>
      <c r="F49" s="221">
        <v>2800</v>
      </c>
      <c r="G49" s="216">
        <f t="shared" ref="G49:G56" si="59">E49*F49</f>
        <v>76076</v>
      </c>
      <c r="H49" s="76">
        <v>2</v>
      </c>
      <c r="I49" s="219">
        <v>10</v>
      </c>
      <c r="J49" s="18">
        <v>3000</v>
      </c>
      <c r="K49" s="9">
        <f t="shared" si="54"/>
        <v>300</v>
      </c>
      <c r="L49" s="219">
        <v>10</v>
      </c>
      <c r="M49" s="10">
        <f t="shared" ref="M49:M50" si="60">F49/V49*60</f>
        <v>2709.6774193548399</v>
      </c>
      <c r="N49" s="10">
        <f t="shared" ref="N49:N57" si="61">M49/L49</f>
        <v>270.96774193548401</v>
      </c>
      <c r="O49" s="11">
        <f t="shared" ref="O49:O57" si="62">L49-I49</f>
        <v>0</v>
      </c>
      <c r="P49" s="12">
        <f t="shared" si="51"/>
        <v>-29.032258064515986</v>
      </c>
      <c r="Q49" s="217">
        <f t="shared" si="52"/>
        <v>0.90322580645161343</v>
      </c>
      <c r="R49" s="493">
        <f>Q57</f>
        <v>0.91091613803621352</v>
      </c>
      <c r="S49" s="24">
        <v>0.20833333333333334</v>
      </c>
      <c r="T49" s="24">
        <v>0.25138888888888888</v>
      </c>
      <c r="U49" s="15"/>
      <c r="V49" s="220">
        <f t="shared" ref="V49:V56" si="63">(T49-S49)*24*60</f>
        <v>61.999999999999979</v>
      </c>
      <c r="W49" s="216"/>
      <c r="X49" s="216"/>
      <c r="Y49" s="473"/>
      <c r="Z49" s="474"/>
      <c r="AA49" s="11">
        <f t="shared" si="2"/>
        <v>-290.32258064516009</v>
      </c>
      <c r="AB49" s="217">
        <f t="shared" si="57"/>
        <v>0.90322580645161332</v>
      </c>
      <c r="AC49" s="493">
        <f>AB57</f>
        <v>0.91091613803621352</v>
      </c>
    </row>
    <row r="50" spans="1:29" ht="15.75" customHeight="1">
      <c r="A50" s="489" t="s">
        <v>9</v>
      </c>
      <c r="B50" s="26" t="s">
        <v>33</v>
      </c>
      <c r="C50" s="491" t="s">
        <v>35</v>
      </c>
      <c r="D50" s="492"/>
      <c r="E50" s="26">
        <v>21.13</v>
      </c>
      <c r="F50" s="221">
        <v>4968</v>
      </c>
      <c r="G50" s="216">
        <f t="shared" si="59"/>
        <v>104973.84</v>
      </c>
      <c r="H50" s="76" t="s">
        <v>57</v>
      </c>
      <c r="I50" s="219">
        <v>10</v>
      </c>
      <c r="J50" s="18">
        <v>3000</v>
      </c>
      <c r="K50" s="9">
        <f t="shared" si="54"/>
        <v>300</v>
      </c>
      <c r="L50" s="219">
        <v>10</v>
      </c>
      <c r="M50" s="10">
        <f t="shared" si="60"/>
        <v>2709.8181818181815</v>
      </c>
      <c r="N50" s="10">
        <f t="shared" si="61"/>
        <v>270.98181818181814</v>
      </c>
      <c r="O50" s="11">
        <f t="shared" si="62"/>
        <v>0</v>
      </c>
      <c r="P50" s="12">
        <f t="shared" si="51"/>
        <v>-29.018181818181858</v>
      </c>
      <c r="Q50" s="217">
        <f t="shared" si="52"/>
        <v>0.90327272727272712</v>
      </c>
      <c r="R50" s="494"/>
      <c r="S50" s="24">
        <v>0.25555555555555554</v>
      </c>
      <c r="T50" s="24">
        <v>0.33194444444444443</v>
      </c>
      <c r="U50" s="216">
        <f>(S50-T49)*24*60</f>
        <v>5.9999999999999787</v>
      </c>
      <c r="V50" s="220">
        <f t="shared" si="63"/>
        <v>110.00000000000001</v>
      </c>
      <c r="W50" s="14"/>
      <c r="X50" s="14"/>
      <c r="Y50" s="473"/>
      <c r="Z50" s="474"/>
      <c r="AA50" s="11">
        <f t="shared" si="2"/>
        <v>-290.18181818181847</v>
      </c>
      <c r="AB50" s="217">
        <f t="shared" si="57"/>
        <v>0.90327272727272723</v>
      </c>
      <c r="AC50" s="494"/>
    </row>
    <row r="51" spans="1:29" ht="15.75" customHeight="1">
      <c r="A51" s="489" t="s">
        <v>9</v>
      </c>
      <c r="B51" s="26" t="s">
        <v>33</v>
      </c>
      <c r="C51" s="491" t="s">
        <v>43</v>
      </c>
      <c r="D51" s="492"/>
      <c r="E51" s="26">
        <v>35.119999999999997</v>
      </c>
      <c r="F51" s="221">
        <v>3000</v>
      </c>
      <c r="G51" s="216">
        <f t="shared" si="59"/>
        <v>105359.99999999999</v>
      </c>
      <c r="H51" s="76">
        <v>2</v>
      </c>
      <c r="I51" s="219">
        <v>10</v>
      </c>
      <c r="J51" s="18">
        <v>3000</v>
      </c>
      <c r="K51" s="9">
        <f t="shared" si="54"/>
        <v>300</v>
      </c>
      <c r="L51" s="219">
        <v>10</v>
      </c>
      <c r="M51" s="10">
        <f>F51/V51*60</f>
        <v>2727.272727272727</v>
      </c>
      <c r="N51" s="10">
        <f t="shared" si="61"/>
        <v>272.72727272727269</v>
      </c>
      <c r="O51" s="11">
        <f t="shared" si="62"/>
        <v>0</v>
      </c>
      <c r="P51" s="12">
        <f t="shared" si="51"/>
        <v>-27.272727272727309</v>
      </c>
      <c r="Q51" s="217">
        <f t="shared" si="52"/>
        <v>0.90909090909090895</v>
      </c>
      <c r="R51" s="494"/>
      <c r="S51" s="24">
        <v>0.33611111111111108</v>
      </c>
      <c r="T51" s="24">
        <v>0.38194444444444442</v>
      </c>
      <c r="U51" s="216">
        <f t="shared" ref="U51:U56" si="64">(S51-T50)*24*60</f>
        <v>5.9999999999999787</v>
      </c>
      <c r="V51" s="220">
        <f t="shared" si="63"/>
        <v>66</v>
      </c>
      <c r="W51" s="14"/>
      <c r="X51" s="14"/>
      <c r="Y51" s="473"/>
      <c r="Z51" s="474"/>
      <c r="AA51" s="11">
        <f t="shared" si="2"/>
        <v>-272.72727272727298</v>
      </c>
      <c r="AB51" s="217">
        <f t="shared" si="57"/>
        <v>0.90909090909090906</v>
      </c>
      <c r="AC51" s="494"/>
    </row>
    <row r="52" spans="1:29" ht="15.75" customHeight="1">
      <c r="A52" s="489" t="s">
        <v>9</v>
      </c>
      <c r="B52" s="26" t="s">
        <v>33</v>
      </c>
      <c r="C52" s="491" t="s">
        <v>67</v>
      </c>
      <c r="D52" s="492"/>
      <c r="E52" s="26">
        <v>40.18</v>
      </c>
      <c r="F52" s="221">
        <v>2679</v>
      </c>
      <c r="G52" s="216">
        <f t="shared" si="59"/>
        <v>107642.22</v>
      </c>
      <c r="H52" s="76" t="s">
        <v>57</v>
      </c>
      <c r="I52" s="219">
        <v>10</v>
      </c>
      <c r="J52" s="18">
        <v>3000</v>
      </c>
      <c r="K52" s="9">
        <f t="shared" si="54"/>
        <v>300</v>
      </c>
      <c r="L52" s="219">
        <v>10</v>
      </c>
      <c r="M52" s="10">
        <f t="shared" ref="M52:M56" si="65">F52/V52*60</f>
        <v>2724.4067796610157</v>
      </c>
      <c r="N52" s="10">
        <f t="shared" si="61"/>
        <v>272.44067796610159</v>
      </c>
      <c r="O52" s="11">
        <f t="shared" si="62"/>
        <v>0</v>
      </c>
      <c r="P52" s="12">
        <f t="shared" si="51"/>
        <v>-27.559322033898411</v>
      </c>
      <c r="Q52" s="217">
        <f t="shared" si="52"/>
        <v>0.90813559322033865</v>
      </c>
      <c r="R52" s="494"/>
      <c r="S52" s="24">
        <v>0.38749999999999996</v>
      </c>
      <c r="T52" s="24">
        <v>0.4284722222222222</v>
      </c>
      <c r="U52" s="216">
        <f t="shared" si="64"/>
        <v>7.9999999999999716</v>
      </c>
      <c r="V52" s="220">
        <f t="shared" si="63"/>
        <v>59.000000000000028</v>
      </c>
      <c r="W52" s="14"/>
      <c r="X52" s="14"/>
      <c r="Y52" s="473"/>
      <c r="Z52" s="474"/>
      <c r="AA52" s="11">
        <f t="shared" si="2"/>
        <v>-275.59322033898434</v>
      </c>
      <c r="AB52" s="217">
        <f t="shared" si="57"/>
        <v>0.90813559322033854</v>
      </c>
      <c r="AC52" s="494"/>
    </row>
    <row r="53" spans="1:29" ht="15.75" customHeight="1">
      <c r="A53" s="489" t="s">
        <v>9</v>
      </c>
      <c r="B53" s="26" t="s">
        <v>33</v>
      </c>
      <c r="C53" s="491" t="s">
        <v>73</v>
      </c>
      <c r="D53" s="492"/>
      <c r="E53" s="26">
        <v>28.5</v>
      </c>
      <c r="F53" s="221">
        <v>1891</v>
      </c>
      <c r="G53" s="216">
        <f t="shared" si="59"/>
        <v>53893.5</v>
      </c>
      <c r="H53" s="76" t="s">
        <v>57</v>
      </c>
      <c r="I53" s="219">
        <v>10</v>
      </c>
      <c r="J53" s="18">
        <v>3000</v>
      </c>
      <c r="K53" s="9">
        <f t="shared" si="54"/>
        <v>300</v>
      </c>
      <c r="L53" s="219">
        <v>10</v>
      </c>
      <c r="M53" s="10">
        <f t="shared" si="65"/>
        <v>2767.3170731707305</v>
      </c>
      <c r="N53" s="10">
        <f t="shared" si="61"/>
        <v>276.73170731707307</v>
      </c>
      <c r="O53" s="11">
        <f t="shared" si="62"/>
        <v>0</v>
      </c>
      <c r="P53" s="12">
        <f t="shared" si="51"/>
        <v>-23.268292682926926</v>
      </c>
      <c r="Q53" s="217">
        <f>N53/K53</f>
        <v>0.92243902439024361</v>
      </c>
      <c r="R53" s="494"/>
      <c r="S53" s="24">
        <v>0.43194444444444441</v>
      </c>
      <c r="T53" s="24">
        <v>0.46041666666666664</v>
      </c>
      <c r="U53" s="216">
        <f t="shared" si="64"/>
        <v>4.9999999999999822</v>
      </c>
      <c r="V53" s="220">
        <f t="shared" si="63"/>
        <v>41.000000000000014</v>
      </c>
      <c r="W53" s="14"/>
      <c r="X53" s="14"/>
      <c r="Y53" s="473"/>
      <c r="Z53" s="474"/>
      <c r="AA53" s="11">
        <f t="shared" si="2"/>
        <v>-232.68292682926949</v>
      </c>
      <c r="AB53" s="217">
        <f t="shared" si="57"/>
        <v>0.9224390243902435</v>
      </c>
      <c r="AC53" s="494"/>
    </row>
    <row r="54" spans="1:29" ht="15.75" customHeight="1">
      <c r="A54" s="489" t="s">
        <v>9</v>
      </c>
      <c r="B54" s="26" t="s">
        <v>33</v>
      </c>
      <c r="C54" s="491" t="s">
        <v>511</v>
      </c>
      <c r="D54" s="492"/>
      <c r="E54" s="26">
        <v>35.869999999999997</v>
      </c>
      <c r="F54" s="221">
        <v>3147</v>
      </c>
      <c r="G54" s="216">
        <f t="shared" si="59"/>
        <v>112882.88999999998</v>
      </c>
      <c r="H54" s="76" t="s">
        <v>57</v>
      </c>
      <c r="I54" s="219">
        <v>10</v>
      </c>
      <c r="J54" s="18">
        <v>3000</v>
      </c>
      <c r="K54" s="9">
        <f t="shared" si="54"/>
        <v>300</v>
      </c>
      <c r="L54" s="219">
        <v>10</v>
      </c>
      <c r="M54" s="10">
        <f t="shared" si="65"/>
        <v>2736.521739130435</v>
      </c>
      <c r="N54" s="10">
        <f t="shared" si="61"/>
        <v>273.6521739130435</v>
      </c>
      <c r="O54" s="11">
        <f t="shared" si="62"/>
        <v>0</v>
      </c>
      <c r="P54" s="12">
        <f t="shared" si="51"/>
        <v>-26.347826086956502</v>
      </c>
      <c r="Q54" s="217">
        <f t="shared" ref="Q54:Q57" si="66">N54/K54</f>
        <v>0.91217391304347828</v>
      </c>
      <c r="R54" s="494"/>
      <c r="S54" s="24">
        <v>0.46527777777777773</v>
      </c>
      <c r="T54" s="24">
        <v>0.5131944444444444</v>
      </c>
      <c r="U54" s="216">
        <f t="shared" si="64"/>
        <v>6.9999999999999751</v>
      </c>
      <c r="V54" s="220">
        <f t="shared" si="63"/>
        <v>69</v>
      </c>
      <c r="W54" s="14"/>
      <c r="X54" s="14"/>
      <c r="Y54" s="473"/>
      <c r="Z54" s="474"/>
      <c r="AA54" s="11">
        <f t="shared" si="2"/>
        <v>-263.47826086956502</v>
      </c>
      <c r="AB54" s="217">
        <f t="shared" si="57"/>
        <v>0.91217391304347828</v>
      </c>
      <c r="AC54" s="494"/>
    </row>
    <row r="55" spans="1:29" ht="15.75" customHeight="1">
      <c r="A55" s="489" t="s">
        <v>9</v>
      </c>
      <c r="B55" s="26" t="s">
        <v>33</v>
      </c>
      <c r="C55" s="491" t="s">
        <v>34</v>
      </c>
      <c r="D55" s="492"/>
      <c r="E55" s="26">
        <v>27.17</v>
      </c>
      <c r="F55" s="221">
        <v>3725</v>
      </c>
      <c r="G55" s="216">
        <f t="shared" si="59"/>
        <v>101208.25</v>
      </c>
      <c r="H55" s="76" t="s">
        <v>57</v>
      </c>
      <c r="I55" s="219">
        <v>10</v>
      </c>
      <c r="J55" s="18">
        <v>3000</v>
      </c>
      <c r="K55" s="9">
        <f t="shared" si="54"/>
        <v>300</v>
      </c>
      <c r="L55" s="219">
        <v>10</v>
      </c>
      <c r="M55" s="10">
        <f t="shared" si="65"/>
        <v>2725.60975609756</v>
      </c>
      <c r="N55" s="10">
        <f t="shared" si="61"/>
        <v>272.56097560975599</v>
      </c>
      <c r="O55" s="11">
        <f t="shared" si="62"/>
        <v>0</v>
      </c>
      <c r="P55" s="12">
        <f t="shared" si="51"/>
        <v>-27.439024390244015</v>
      </c>
      <c r="Q55" s="217">
        <f t="shared" si="66"/>
        <v>0.90853658536585324</v>
      </c>
      <c r="R55" s="494"/>
      <c r="S55" s="24">
        <v>0.55138888888888882</v>
      </c>
      <c r="T55" s="24">
        <v>0.60833333333333328</v>
      </c>
      <c r="U55" s="216">
        <f t="shared" si="64"/>
        <v>54.999999999999964</v>
      </c>
      <c r="V55" s="220">
        <f t="shared" si="63"/>
        <v>82.000000000000028</v>
      </c>
      <c r="W55" s="14"/>
      <c r="X55" s="14"/>
      <c r="Y55" s="473"/>
      <c r="Z55" s="474"/>
      <c r="AA55" s="11">
        <f t="shared" si="2"/>
        <v>-274.39024390244003</v>
      </c>
      <c r="AB55" s="217">
        <f t="shared" si="57"/>
        <v>0.90853658536585336</v>
      </c>
      <c r="AC55" s="494"/>
    </row>
    <row r="56" spans="1:29" ht="15.75" customHeight="1">
      <c r="A56" s="489" t="s">
        <v>9</v>
      </c>
      <c r="B56" s="26" t="s">
        <v>33</v>
      </c>
      <c r="C56" s="491" t="s">
        <v>43</v>
      </c>
      <c r="D56" s="492"/>
      <c r="E56" s="26">
        <v>35.119999999999997</v>
      </c>
      <c r="F56" s="221">
        <v>2025</v>
      </c>
      <c r="G56" s="216">
        <f t="shared" si="59"/>
        <v>71118</v>
      </c>
      <c r="H56" s="76" t="s">
        <v>57</v>
      </c>
      <c r="I56" s="219">
        <v>10</v>
      </c>
      <c r="J56" s="18">
        <v>3000</v>
      </c>
      <c r="K56" s="9">
        <f t="shared" si="54"/>
        <v>300</v>
      </c>
      <c r="L56" s="219">
        <v>10</v>
      </c>
      <c r="M56" s="10">
        <f t="shared" si="65"/>
        <v>2761.3636363636365</v>
      </c>
      <c r="N56" s="10">
        <f t="shared" si="61"/>
        <v>276.13636363636363</v>
      </c>
      <c r="O56" s="11">
        <f t="shared" si="62"/>
        <v>0</v>
      </c>
      <c r="P56" s="12">
        <f t="shared" si="51"/>
        <v>-23.863636363636374</v>
      </c>
      <c r="Q56" s="217">
        <f t="shared" si="66"/>
        <v>0.92045454545454541</v>
      </c>
      <c r="R56" s="494"/>
      <c r="S56" s="24">
        <v>0.61388888888888882</v>
      </c>
      <c r="T56" s="24">
        <v>0.64444444444444438</v>
      </c>
      <c r="U56" s="216">
        <f t="shared" si="64"/>
        <v>7.9999999999999716</v>
      </c>
      <c r="V56" s="220">
        <f t="shared" si="63"/>
        <v>44</v>
      </c>
      <c r="W56" s="14"/>
      <c r="X56" s="14"/>
      <c r="Y56" s="473"/>
      <c r="Z56" s="474"/>
      <c r="AA56" s="11">
        <f t="shared" si="2"/>
        <v>-238.63636363636351</v>
      </c>
      <c r="AB56" s="217">
        <f t="shared" si="57"/>
        <v>0.92045454545454553</v>
      </c>
      <c r="AC56" s="494"/>
    </row>
    <row r="57" spans="1:29" ht="15.75" customHeight="1">
      <c r="A57" s="490" t="s">
        <v>9</v>
      </c>
      <c r="B57" s="26" t="s">
        <v>781</v>
      </c>
      <c r="C57" s="497"/>
      <c r="D57" s="498"/>
      <c r="E57" s="218"/>
      <c r="F57" s="221"/>
      <c r="G57" s="216"/>
      <c r="H57" s="221"/>
      <c r="I57" s="17">
        <v>10</v>
      </c>
      <c r="J57" s="18">
        <v>3000</v>
      </c>
      <c r="K57" s="9">
        <f>J57/I57</f>
        <v>300</v>
      </c>
      <c r="L57" s="17">
        <v>10</v>
      </c>
      <c r="M57" s="10">
        <f>AVERAGE(M49:M56)</f>
        <v>2732.7484141086406</v>
      </c>
      <c r="N57" s="9">
        <f t="shared" si="61"/>
        <v>273.27484141086404</v>
      </c>
      <c r="O57" s="11">
        <f t="shared" si="62"/>
        <v>0</v>
      </c>
      <c r="P57" s="12">
        <f t="shared" si="51"/>
        <v>-26.725158589135958</v>
      </c>
      <c r="Q57" s="217">
        <f t="shared" si="66"/>
        <v>0.91091613803621352</v>
      </c>
      <c r="R57" s="495"/>
      <c r="S57" s="24"/>
      <c r="T57" s="24"/>
      <c r="U57" s="216"/>
      <c r="V57" s="220"/>
      <c r="W57" s="14"/>
      <c r="X57" s="14"/>
      <c r="Y57" s="473"/>
      <c r="Z57" s="474"/>
      <c r="AA57" s="11">
        <f t="shared" si="2"/>
        <v>-267.25158589135935</v>
      </c>
      <c r="AB57" s="217">
        <f t="shared" si="57"/>
        <v>0.91091613803621352</v>
      </c>
      <c r="AC57" s="495"/>
    </row>
    <row r="58" spans="1:29" ht="15.75" customHeight="1">
      <c r="A58" s="461" t="s">
        <v>125</v>
      </c>
      <c r="B58" s="26" t="s">
        <v>15</v>
      </c>
      <c r="C58" s="487" t="s">
        <v>20</v>
      </c>
      <c r="D58" s="487"/>
      <c r="E58" s="26">
        <v>46</v>
      </c>
      <c r="F58" s="27">
        <v>3004</v>
      </c>
      <c r="G58" s="216">
        <f t="shared" ref="G58:G61" si="67">E58*F58</f>
        <v>138184</v>
      </c>
      <c r="H58" s="76" t="s">
        <v>57</v>
      </c>
      <c r="I58" s="219">
        <v>17</v>
      </c>
      <c r="J58" s="18">
        <v>1500</v>
      </c>
      <c r="K58" s="9">
        <f t="shared" ref="K58:K61" si="68">J58/I58</f>
        <v>88.235294117647058</v>
      </c>
      <c r="L58" s="219">
        <v>17</v>
      </c>
      <c r="M58" s="10">
        <f t="shared" ref="M58:M61" si="69">F58/V58*60</f>
        <v>1355.187969924812</v>
      </c>
      <c r="N58" s="10">
        <f>M58/L58</f>
        <v>79.716939407341883</v>
      </c>
      <c r="O58" s="11">
        <f>L58-I58</f>
        <v>0</v>
      </c>
      <c r="P58" s="12">
        <f>N58-K58</f>
        <v>-8.5183547103051751</v>
      </c>
      <c r="Q58" s="217">
        <f>N58/K58</f>
        <v>0.90345864661654129</v>
      </c>
      <c r="R58" s="470">
        <f>Q62</f>
        <v>0.90293817918162855</v>
      </c>
      <c r="S58" s="24">
        <v>0.29305555555555557</v>
      </c>
      <c r="T58" s="24">
        <v>0.38541666666666669</v>
      </c>
      <c r="U58" s="15"/>
      <c r="V58" s="220">
        <f t="shared" ref="V58:V61" si="70">(T58-S58)*24*60</f>
        <v>133</v>
      </c>
      <c r="W58" s="15"/>
      <c r="X58" s="15"/>
      <c r="Y58" s="456"/>
      <c r="Z58" s="456"/>
      <c r="AA58" s="11">
        <f t="shared" si="2"/>
        <v>-144.81203007518798</v>
      </c>
      <c r="AB58" s="217">
        <f t="shared" si="57"/>
        <v>0.90345864661654129</v>
      </c>
      <c r="AC58" s="470">
        <f>AB62</f>
        <v>0.90293817918162855</v>
      </c>
    </row>
    <row r="59" spans="1:29" ht="15.75" customHeight="1">
      <c r="A59" s="461" t="s">
        <v>10</v>
      </c>
      <c r="B59" s="26" t="s">
        <v>15</v>
      </c>
      <c r="C59" s="487" t="s">
        <v>75</v>
      </c>
      <c r="D59" s="487"/>
      <c r="E59" s="26">
        <v>46</v>
      </c>
      <c r="F59" s="27">
        <v>3737</v>
      </c>
      <c r="G59" s="216">
        <f t="shared" si="67"/>
        <v>171902</v>
      </c>
      <c r="H59" s="76" t="s">
        <v>57</v>
      </c>
      <c r="I59" s="219">
        <v>18</v>
      </c>
      <c r="J59" s="18">
        <v>1500</v>
      </c>
      <c r="K59" s="9">
        <f t="shared" si="68"/>
        <v>83.333333333333329</v>
      </c>
      <c r="L59" s="219">
        <v>18</v>
      </c>
      <c r="M59" s="10">
        <f t="shared" si="69"/>
        <v>1358.9090909090912</v>
      </c>
      <c r="N59" s="10">
        <f t="shared" ref="N59:N61" si="71">M59/L59</f>
        <v>75.494949494949509</v>
      </c>
      <c r="O59" s="11">
        <f t="shared" ref="O59:O61" si="72">L59-I59</f>
        <v>0</v>
      </c>
      <c r="P59" s="12">
        <f t="shared" ref="P59:P61" si="73">N59-K59</f>
        <v>-7.8383838383838196</v>
      </c>
      <c r="Q59" s="217">
        <f t="shared" ref="Q59:Q61" si="74">N59/K59</f>
        <v>0.90593939393939416</v>
      </c>
      <c r="R59" s="470"/>
      <c r="S59" s="24">
        <v>0.39027777777777778</v>
      </c>
      <c r="T59" s="24">
        <v>0.50486111111111109</v>
      </c>
      <c r="U59" s="216">
        <f t="shared" ref="U59:U61" si="75">(S59-T58)*24*60</f>
        <v>6.9999999999999751</v>
      </c>
      <c r="V59" s="220">
        <f t="shared" si="70"/>
        <v>164.99999999999997</v>
      </c>
      <c r="W59" s="14"/>
      <c r="X59" s="14"/>
      <c r="Y59" s="456"/>
      <c r="Z59" s="456"/>
      <c r="AA59" s="11">
        <f t="shared" si="2"/>
        <v>-141.09090909090878</v>
      </c>
      <c r="AB59" s="217">
        <f t="shared" si="57"/>
        <v>0.90593939393939416</v>
      </c>
      <c r="AC59" s="470"/>
    </row>
    <row r="60" spans="1:29" ht="15.75" customHeight="1">
      <c r="A60" s="461" t="s">
        <v>10</v>
      </c>
      <c r="B60" s="26" t="s">
        <v>13</v>
      </c>
      <c r="C60" s="491" t="s">
        <v>65</v>
      </c>
      <c r="D60" s="492"/>
      <c r="E60" s="26">
        <v>55.56</v>
      </c>
      <c r="F60" s="27">
        <v>2319</v>
      </c>
      <c r="G60" s="216">
        <f t="shared" si="67"/>
        <v>128843.64</v>
      </c>
      <c r="H60" s="76" t="s">
        <v>57</v>
      </c>
      <c r="I60" s="219">
        <v>17</v>
      </c>
      <c r="J60" s="18">
        <v>1500</v>
      </c>
      <c r="K60" s="9">
        <f t="shared" si="68"/>
        <v>88.235294117647058</v>
      </c>
      <c r="L60" s="219">
        <v>17</v>
      </c>
      <c r="M60" s="10">
        <f t="shared" si="69"/>
        <v>1350.8737864077675</v>
      </c>
      <c r="N60" s="10">
        <f t="shared" si="71"/>
        <v>79.463163906339261</v>
      </c>
      <c r="O60" s="11">
        <f t="shared" si="72"/>
        <v>0</v>
      </c>
      <c r="P60" s="12">
        <f t="shared" si="73"/>
        <v>-8.7721302113077968</v>
      </c>
      <c r="Q60" s="217">
        <f t="shared" si="74"/>
        <v>0.90058252427184493</v>
      </c>
      <c r="R60" s="470"/>
      <c r="S60" s="24">
        <v>0.70833333333333337</v>
      </c>
      <c r="T60" s="24">
        <v>0.77986111111111112</v>
      </c>
      <c r="U60" s="216">
        <f t="shared" si="75"/>
        <v>293.00000000000006</v>
      </c>
      <c r="V60" s="220">
        <f t="shared" si="70"/>
        <v>102.99999999999996</v>
      </c>
      <c r="W60" s="14"/>
      <c r="X60" s="14"/>
      <c r="Y60" s="213"/>
      <c r="Z60" s="214"/>
      <c r="AA60" s="11">
        <f t="shared" si="2"/>
        <v>-149.12621359223249</v>
      </c>
      <c r="AB60" s="217">
        <f t="shared" si="57"/>
        <v>0.90058252427184504</v>
      </c>
      <c r="AC60" s="470"/>
    </row>
    <row r="61" spans="1:29" ht="15.75" customHeight="1">
      <c r="A61" s="461" t="s">
        <v>10</v>
      </c>
      <c r="B61" s="26" t="s">
        <v>13</v>
      </c>
      <c r="C61" s="211" t="s">
        <v>64</v>
      </c>
      <c r="D61" s="212"/>
      <c r="E61" s="26">
        <v>55.32</v>
      </c>
      <c r="F61" s="27">
        <v>1781</v>
      </c>
      <c r="G61" s="216">
        <f t="shared" si="67"/>
        <v>98524.92</v>
      </c>
      <c r="H61" s="76" t="s">
        <v>57</v>
      </c>
      <c r="I61" s="219">
        <v>15</v>
      </c>
      <c r="J61" s="18">
        <v>1500</v>
      </c>
      <c r="K61" s="9">
        <f t="shared" si="68"/>
        <v>100</v>
      </c>
      <c r="L61" s="219">
        <v>15</v>
      </c>
      <c r="M61" s="10">
        <f t="shared" si="69"/>
        <v>1352.6582278481005</v>
      </c>
      <c r="N61" s="10">
        <f t="shared" si="71"/>
        <v>90.177215189873365</v>
      </c>
      <c r="O61" s="11">
        <f t="shared" si="72"/>
        <v>0</v>
      </c>
      <c r="P61" s="12">
        <f t="shared" si="73"/>
        <v>-9.8227848101266346</v>
      </c>
      <c r="Q61" s="217">
        <f t="shared" si="74"/>
        <v>0.90177215189873361</v>
      </c>
      <c r="R61" s="470"/>
      <c r="S61" s="24">
        <v>0.78541666666666665</v>
      </c>
      <c r="T61" s="24">
        <v>0.84027777777777779</v>
      </c>
      <c r="U61" s="216">
        <f t="shared" si="75"/>
        <v>7.9999999999999716</v>
      </c>
      <c r="V61" s="220">
        <f t="shared" si="70"/>
        <v>79.000000000000043</v>
      </c>
      <c r="W61" s="14"/>
      <c r="X61" s="14"/>
      <c r="Y61" s="213"/>
      <c r="Z61" s="214"/>
      <c r="AA61" s="11">
        <f t="shared" si="2"/>
        <v>-147.34177215189948</v>
      </c>
      <c r="AB61" s="217">
        <f t="shared" si="57"/>
        <v>0.90177215189873372</v>
      </c>
      <c r="AC61" s="470"/>
    </row>
    <row r="62" spans="1:29">
      <c r="A62" s="496" t="s">
        <v>10</v>
      </c>
      <c r="B62" s="26" t="s">
        <v>781</v>
      </c>
      <c r="C62" s="466"/>
      <c r="D62" s="466"/>
      <c r="E62" s="215"/>
      <c r="F62" s="16"/>
      <c r="G62" s="9"/>
      <c r="H62" s="221"/>
      <c r="I62" s="17">
        <v>16.75</v>
      </c>
      <c r="J62" s="18">
        <v>1500</v>
      </c>
      <c r="K62" s="9">
        <f>J62/I62</f>
        <v>89.552238805970148</v>
      </c>
      <c r="L62" s="17">
        <v>16.75</v>
      </c>
      <c r="M62" s="10">
        <f>AVERAGE(M58:M61)</f>
        <v>1354.4072687724429</v>
      </c>
      <c r="N62" s="9">
        <f>M62/L62</f>
        <v>80.860135449101065</v>
      </c>
      <c r="O62" s="11">
        <f>L62-I62</f>
        <v>0</v>
      </c>
      <c r="P62" s="12">
        <f>N62-K62</f>
        <v>-8.6921033568690831</v>
      </c>
      <c r="Q62" s="217">
        <f>N62/K62</f>
        <v>0.90293817918162855</v>
      </c>
      <c r="R62" s="470"/>
      <c r="S62" s="25"/>
      <c r="T62" s="24"/>
      <c r="U62" s="9"/>
      <c r="V62" s="220"/>
      <c r="W62" s="9"/>
      <c r="X62" s="9"/>
      <c r="Y62" s="456"/>
      <c r="Z62" s="456"/>
      <c r="AA62" s="11">
        <f t="shared" si="2"/>
        <v>-145.59273122755712</v>
      </c>
      <c r="AB62" s="217">
        <f t="shared" si="57"/>
        <v>0.90293817918162855</v>
      </c>
      <c r="AC62" s="470"/>
    </row>
    <row r="63" spans="1:29" ht="15.75" customHeight="1">
      <c r="A63" s="499" t="s">
        <v>163</v>
      </c>
      <c r="B63" s="221" t="s">
        <v>33</v>
      </c>
      <c r="C63" s="487" t="s">
        <v>36</v>
      </c>
      <c r="D63" s="487"/>
      <c r="E63" s="26">
        <v>26.78</v>
      </c>
      <c r="F63" s="27">
        <v>2643</v>
      </c>
      <c r="G63" s="216">
        <f t="shared" ref="G63:G67" si="76">E63*F63</f>
        <v>70779.540000000008</v>
      </c>
      <c r="H63" s="76" t="s">
        <v>57</v>
      </c>
      <c r="I63" s="219">
        <v>10</v>
      </c>
      <c r="J63" s="18">
        <v>3000</v>
      </c>
      <c r="K63" s="9">
        <f t="shared" ref="K63:K67" si="77">J63/I63</f>
        <v>300</v>
      </c>
      <c r="L63" s="17">
        <v>10</v>
      </c>
      <c r="M63" s="10">
        <f t="shared" ref="M63:M67" si="78">F63/V63*60</f>
        <v>2734.137931034481</v>
      </c>
      <c r="N63" s="9">
        <f>M63/L63</f>
        <v>273.41379310344809</v>
      </c>
      <c r="O63" s="11">
        <f t="shared" ref="O63:O67" si="79">L63-I63</f>
        <v>0</v>
      </c>
      <c r="P63" s="12">
        <f t="shared" ref="P63:P67" si="80">N63-K63</f>
        <v>-26.586206896551914</v>
      </c>
      <c r="Q63" s="217">
        <f>N63/K63</f>
        <v>0.911379310344827</v>
      </c>
      <c r="R63" s="470">
        <f>Q68</f>
        <v>0.91013282996130973</v>
      </c>
      <c r="S63" s="24">
        <v>0.25069444444444444</v>
      </c>
      <c r="T63" s="24">
        <v>0.29097222222222224</v>
      </c>
      <c r="U63" s="216"/>
      <c r="V63" s="220">
        <f t="shared" ref="V63:V67" si="81">(T63-S63)*24*60</f>
        <v>58.000000000000036</v>
      </c>
      <c r="W63" s="15"/>
      <c r="X63" s="15"/>
      <c r="Y63" s="456"/>
      <c r="Z63" s="456"/>
      <c r="AA63" s="11">
        <f t="shared" si="2"/>
        <v>-265.86206896551903</v>
      </c>
      <c r="AB63" s="217">
        <f t="shared" si="57"/>
        <v>0.911379310344827</v>
      </c>
      <c r="AC63" s="470">
        <f>AB68</f>
        <v>0.91013282996130973</v>
      </c>
    </row>
    <row r="64" spans="1:29" ht="15.75" customHeight="1">
      <c r="A64" s="499" t="s">
        <v>11</v>
      </c>
      <c r="B64" s="221" t="s">
        <v>33</v>
      </c>
      <c r="C64" s="487" t="s">
        <v>42</v>
      </c>
      <c r="D64" s="487"/>
      <c r="E64" s="26">
        <v>35.369999999999997</v>
      </c>
      <c r="F64" s="27">
        <v>1755</v>
      </c>
      <c r="G64" s="216">
        <f t="shared" si="76"/>
        <v>62074.35</v>
      </c>
      <c r="H64" s="76" t="s">
        <v>57</v>
      </c>
      <c r="I64" s="219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2771.0526315789452</v>
      </c>
      <c r="N64" s="9">
        <f t="shared" ref="N64:N67" si="82">M64/L64</f>
        <v>277.10526315789451</v>
      </c>
      <c r="O64" s="11">
        <f t="shared" si="79"/>
        <v>0</v>
      </c>
      <c r="P64" s="12">
        <f t="shared" si="80"/>
        <v>-22.894736842105488</v>
      </c>
      <c r="Q64" s="217">
        <f t="shared" ref="Q64:Q67" si="83">N64/K64</f>
        <v>0.923684210526315</v>
      </c>
      <c r="R64" s="470"/>
      <c r="S64" s="24">
        <v>0.2951388888888889</v>
      </c>
      <c r="T64" s="24">
        <v>0.3215277777777778</v>
      </c>
      <c r="U64" s="216">
        <f>(S64-T63)*24*60</f>
        <v>5.9999999999999787</v>
      </c>
      <c r="V64" s="220">
        <f t="shared" si="81"/>
        <v>38.000000000000028</v>
      </c>
      <c r="W64" s="216"/>
      <c r="X64" s="216"/>
      <c r="Y64" s="456"/>
      <c r="Z64" s="456"/>
      <c r="AA64" s="11">
        <f t="shared" si="2"/>
        <v>-228.94736842105476</v>
      </c>
      <c r="AB64" s="217">
        <f t="shared" si="57"/>
        <v>0.92368421052631511</v>
      </c>
      <c r="AC64" s="470"/>
    </row>
    <row r="65" spans="1:29" ht="15.75" customHeight="1">
      <c r="A65" s="499" t="s">
        <v>11</v>
      </c>
      <c r="B65" s="221" t="s">
        <v>33</v>
      </c>
      <c r="C65" s="487" t="s">
        <v>41</v>
      </c>
      <c r="D65" s="487"/>
      <c r="E65" s="26">
        <v>34.35</v>
      </c>
      <c r="F65" s="27">
        <v>1443</v>
      </c>
      <c r="G65" s="216">
        <f t="shared" si="76"/>
        <v>49567.05</v>
      </c>
      <c r="H65" s="76" t="s">
        <v>57</v>
      </c>
      <c r="I65" s="219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2705.6250000000032</v>
      </c>
      <c r="N65" s="9">
        <f t="shared" si="82"/>
        <v>270.56250000000034</v>
      </c>
      <c r="O65" s="11">
        <f t="shared" si="79"/>
        <v>0</v>
      </c>
      <c r="P65" s="12">
        <f t="shared" si="80"/>
        <v>-29.437499999999659</v>
      </c>
      <c r="Q65" s="217">
        <f t="shared" si="83"/>
        <v>0.90187500000000109</v>
      </c>
      <c r="R65" s="470"/>
      <c r="S65" s="24">
        <v>0.3263888888888889</v>
      </c>
      <c r="T65" s="24">
        <v>0.34861111111111109</v>
      </c>
      <c r="U65" s="216">
        <f t="shared" ref="U65:U67" si="84">(S65-T64)*24*60</f>
        <v>6.9999999999999751</v>
      </c>
      <c r="V65" s="220">
        <f t="shared" si="81"/>
        <v>31.999999999999964</v>
      </c>
      <c r="W65" s="216"/>
      <c r="X65" s="216"/>
      <c r="Y65" s="456"/>
      <c r="Z65" s="456"/>
      <c r="AA65" s="11">
        <f t="shared" si="2"/>
        <v>-294.37499999999682</v>
      </c>
      <c r="AB65" s="217">
        <f t="shared" si="57"/>
        <v>0.90187500000000109</v>
      </c>
      <c r="AC65" s="470"/>
    </row>
    <row r="66" spans="1:29" ht="15.75" customHeight="1">
      <c r="A66" s="499" t="s">
        <v>11</v>
      </c>
      <c r="B66" s="221" t="s">
        <v>15</v>
      </c>
      <c r="C66" s="487" t="s">
        <v>39</v>
      </c>
      <c r="D66" s="487"/>
      <c r="E66" s="26">
        <v>26.97</v>
      </c>
      <c r="F66" s="27">
        <v>3299</v>
      </c>
      <c r="G66" s="216">
        <f t="shared" si="76"/>
        <v>88974.03</v>
      </c>
      <c r="H66" s="76" t="s">
        <v>57</v>
      </c>
      <c r="I66" s="219">
        <v>8</v>
      </c>
      <c r="J66" s="18">
        <v>1440</v>
      </c>
      <c r="K66" s="9">
        <f t="shared" si="77"/>
        <v>180</v>
      </c>
      <c r="L66" s="17">
        <v>8</v>
      </c>
      <c r="M66" s="10">
        <f t="shared" si="78"/>
        <v>1302.2368421052629</v>
      </c>
      <c r="N66" s="9">
        <f t="shared" si="82"/>
        <v>162.77960526315786</v>
      </c>
      <c r="O66" s="11">
        <f t="shared" si="79"/>
        <v>0</v>
      </c>
      <c r="P66" s="12">
        <f t="shared" si="80"/>
        <v>-17.220394736842138</v>
      </c>
      <c r="Q66" s="217">
        <f t="shared" si="83"/>
        <v>0.90433114035087703</v>
      </c>
      <c r="R66" s="470"/>
      <c r="S66" s="24">
        <v>0.3520833333333333</v>
      </c>
      <c r="T66" s="24">
        <v>0.45763888888888887</v>
      </c>
      <c r="U66" s="216">
        <f t="shared" si="84"/>
        <v>4.9999999999999822</v>
      </c>
      <c r="V66" s="220">
        <f t="shared" si="81"/>
        <v>152.00000000000003</v>
      </c>
      <c r="W66" s="216"/>
      <c r="X66" s="216"/>
      <c r="Y66" s="456"/>
      <c r="Z66" s="456"/>
      <c r="AA66" s="11">
        <f t="shared" si="2"/>
        <v>-137.76315789473711</v>
      </c>
      <c r="AB66" s="217">
        <f t="shared" si="57"/>
        <v>0.90433114035087703</v>
      </c>
      <c r="AC66" s="470"/>
    </row>
    <row r="67" spans="1:29">
      <c r="A67" s="500" t="s">
        <v>11</v>
      </c>
      <c r="B67" s="221" t="s">
        <v>33</v>
      </c>
      <c r="C67" s="487" t="s">
        <v>40</v>
      </c>
      <c r="D67" s="487"/>
      <c r="E67" s="26">
        <v>35.119999999999997</v>
      </c>
      <c r="F67" s="27">
        <v>1206</v>
      </c>
      <c r="G67" s="216">
        <f t="shared" si="76"/>
        <v>42354.719999999994</v>
      </c>
      <c r="H67" s="76" t="s">
        <v>57</v>
      </c>
      <c r="I67" s="219">
        <v>13</v>
      </c>
      <c r="J67" s="18">
        <v>2000</v>
      </c>
      <c r="K67" s="9">
        <f t="shared" si="77"/>
        <v>153.84615384615384</v>
      </c>
      <c r="L67" s="17">
        <v>13</v>
      </c>
      <c r="M67" s="10">
        <f t="shared" si="78"/>
        <v>1808.9999999999993</v>
      </c>
      <c r="N67" s="9">
        <f t="shared" si="82"/>
        <v>139.1538461538461</v>
      </c>
      <c r="O67" s="11">
        <f t="shared" si="79"/>
        <v>0</v>
      </c>
      <c r="P67" s="12">
        <f t="shared" si="80"/>
        <v>-14.692307692307736</v>
      </c>
      <c r="Q67" s="217">
        <f t="shared" si="83"/>
        <v>0.90449999999999975</v>
      </c>
      <c r="R67" s="470"/>
      <c r="S67" s="24">
        <v>0.46111111111111108</v>
      </c>
      <c r="T67" s="24">
        <v>0.48888888888888887</v>
      </c>
      <c r="U67" s="216">
        <f t="shared" si="84"/>
        <v>4.9999999999999822</v>
      </c>
      <c r="V67" s="220">
        <f t="shared" si="81"/>
        <v>40.000000000000014</v>
      </c>
      <c r="W67" s="14"/>
      <c r="X67" s="14"/>
      <c r="Y67" s="456"/>
      <c r="Z67" s="456"/>
      <c r="AA67" s="11">
        <f t="shared" si="2"/>
        <v>-191.00000000000068</v>
      </c>
      <c r="AB67" s="217">
        <f t="shared" si="57"/>
        <v>0.90449999999999964</v>
      </c>
      <c r="AC67" s="470"/>
    </row>
    <row r="68" spans="1:29">
      <c r="A68" s="500" t="s">
        <v>11</v>
      </c>
      <c r="B68" s="26" t="s">
        <v>81</v>
      </c>
      <c r="C68" s="466"/>
      <c r="D68" s="466"/>
      <c r="E68" s="215"/>
      <c r="F68" s="16"/>
      <c r="G68" s="9"/>
      <c r="H68" s="221"/>
      <c r="I68" s="17">
        <v>10.199999999999999</v>
      </c>
      <c r="J68" s="18">
        <v>2488</v>
      </c>
      <c r="K68" s="9">
        <f>J68/I68</f>
        <v>243.92156862745099</v>
      </c>
      <c r="L68" s="17">
        <v>10.199999999999999</v>
      </c>
      <c r="M68" s="10">
        <f>AVERAGE(M63:M67)</f>
        <v>2264.4104809437385</v>
      </c>
      <c r="N68" s="9">
        <f>M68/L68</f>
        <v>222.0010275435038</v>
      </c>
      <c r="O68" s="11">
        <f>L68-I68</f>
        <v>0</v>
      </c>
      <c r="P68" s="12">
        <f>N68-K68</f>
        <v>-21.920541083947199</v>
      </c>
      <c r="Q68" s="217">
        <f>N68/K68</f>
        <v>0.91013282996130973</v>
      </c>
      <c r="R68" s="470"/>
      <c r="S68" s="24"/>
      <c r="T68" s="24"/>
      <c r="U68" s="9"/>
      <c r="V68" s="220"/>
      <c r="W68" s="9"/>
      <c r="X68" s="9"/>
      <c r="Y68" s="456"/>
      <c r="Z68" s="456"/>
      <c r="AA68" s="11">
        <f t="shared" si="2"/>
        <v>-223.58951905626145</v>
      </c>
      <c r="AB68" s="217">
        <f t="shared" si="57"/>
        <v>0.91013282996130973</v>
      </c>
      <c r="AC68" s="470"/>
    </row>
    <row r="69" spans="1:29" ht="15.75" customHeight="1">
      <c r="A69" s="467" t="s">
        <v>790</v>
      </c>
      <c r="B69" s="221" t="s">
        <v>24</v>
      </c>
      <c r="C69" s="487" t="s">
        <v>83</v>
      </c>
      <c r="D69" s="487"/>
      <c r="E69" s="26">
        <v>32.03</v>
      </c>
      <c r="F69" s="221">
        <v>1724</v>
      </c>
      <c r="G69" s="216">
        <f t="shared" ref="G69:G75" si="85">E69*F69</f>
        <v>55219.72</v>
      </c>
      <c r="H69" s="76" t="s">
        <v>57</v>
      </c>
      <c r="I69" s="219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2200.8510638297876</v>
      </c>
      <c r="N69" s="9">
        <f t="shared" ref="N69:N75" si="87">M69/L69</f>
        <v>115.83426651735724</v>
      </c>
      <c r="O69" s="11">
        <f t="shared" ref="O69:O75" si="88">L69-I69</f>
        <v>0</v>
      </c>
      <c r="P69" s="12">
        <f t="shared" ref="P69:P75" si="89">N69-K69</f>
        <v>-10.48152295632697</v>
      </c>
      <c r="Q69" s="217">
        <f>N69/K69</f>
        <v>0.91702127659574484</v>
      </c>
      <c r="R69" s="470">
        <f>Q76</f>
        <v>0.90743257149859979</v>
      </c>
      <c r="S69" s="24">
        <v>0.125</v>
      </c>
      <c r="T69" s="24">
        <v>0.15763888888888888</v>
      </c>
      <c r="U69" s="15"/>
      <c r="V69" s="220">
        <f t="shared" ref="V69:V75" si="90">(T69-S69)*24*60</f>
        <v>46.999999999999993</v>
      </c>
      <c r="W69" s="14"/>
      <c r="X69" s="14"/>
      <c r="Y69" s="456"/>
      <c r="Z69" s="456"/>
      <c r="AA69" s="11">
        <f t="shared" ref="AA69:AA76" si="91">M69-J69</f>
        <v>-199.14893617021244</v>
      </c>
      <c r="AB69" s="217">
        <f>M69/J69</f>
        <v>0.91702127659574484</v>
      </c>
      <c r="AC69" s="470">
        <f>AB76</f>
        <v>0.90743257149859968</v>
      </c>
    </row>
    <row r="70" spans="1:29" ht="15.75" customHeight="1">
      <c r="A70" s="467" t="s">
        <v>12</v>
      </c>
      <c r="B70" s="221" t="s">
        <v>24</v>
      </c>
      <c r="C70" s="487" t="s">
        <v>56</v>
      </c>
      <c r="D70" s="487"/>
      <c r="E70" s="26">
        <v>20.2</v>
      </c>
      <c r="F70" s="221">
        <v>2807</v>
      </c>
      <c r="G70" s="216">
        <f t="shared" si="85"/>
        <v>56701.4</v>
      </c>
      <c r="H70" s="76" t="s">
        <v>57</v>
      </c>
      <c r="I70" s="219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5" si="92">F70/V70*60</f>
        <v>2187.272727272727</v>
      </c>
      <c r="N70" s="9">
        <f t="shared" si="87"/>
        <v>115.11961722488037</v>
      </c>
      <c r="O70" s="11">
        <f t="shared" si="88"/>
        <v>0</v>
      </c>
      <c r="P70" s="12">
        <f t="shared" si="89"/>
        <v>-11.196172248803833</v>
      </c>
      <c r="Q70" s="217">
        <f t="shared" ref="Q70:Q76" si="93">N70/K70</f>
        <v>0.91136363636363626</v>
      </c>
      <c r="R70" s="470"/>
      <c r="S70" s="24">
        <v>0.17708333333333334</v>
      </c>
      <c r="T70" s="24">
        <v>0.23055555555555557</v>
      </c>
      <c r="U70" s="216">
        <f>(S70-T69)*24*60</f>
        <v>28.000000000000021</v>
      </c>
      <c r="V70" s="220">
        <f t="shared" si="90"/>
        <v>77</v>
      </c>
      <c r="W70" s="14"/>
      <c r="X70" s="14"/>
      <c r="Y70" s="456"/>
      <c r="Z70" s="456"/>
      <c r="AA70" s="11">
        <f t="shared" si="91"/>
        <v>-212.72727272727298</v>
      </c>
      <c r="AB70" s="217">
        <f t="shared" ref="AB70:AB76" si="94">M70/J70</f>
        <v>0.91136363636363626</v>
      </c>
      <c r="AC70" s="470"/>
    </row>
    <row r="71" spans="1:29" ht="15.75" customHeight="1">
      <c r="A71" s="467" t="s">
        <v>12</v>
      </c>
      <c r="B71" s="221" t="s">
        <v>24</v>
      </c>
      <c r="C71" s="487" t="s">
        <v>45</v>
      </c>
      <c r="D71" s="487"/>
      <c r="E71" s="26">
        <v>19.02</v>
      </c>
      <c r="F71" s="221">
        <v>5500</v>
      </c>
      <c r="G71" s="216">
        <f t="shared" si="85"/>
        <v>104610</v>
      </c>
      <c r="H71" s="76">
        <v>2</v>
      </c>
      <c r="I71" s="219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2171.0526315789471</v>
      </c>
      <c r="N71" s="9">
        <f t="shared" si="87"/>
        <v>144.73684210526315</v>
      </c>
      <c r="O71" s="11">
        <f t="shared" si="88"/>
        <v>0</v>
      </c>
      <c r="P71" s="12">
        <f t="shared" si="89"/>
        <v>-15.26315789473685</v>
      </c>
      <c r="Q71" s="217">
        <f t="shared" si="93"/>
        <v>0.90460526315789469</v>
      </c>
      <c r="R71" s="470"/>
      <c r="S71" s="24">
        <v>0.23472222222222225</v>
      </c>
      <c r="T71" s="24">
        <v>0.34027777777777779</v>
      </c>
      <c r="U71" s="216">
        <f t="shared" ref="U71:U75" si="95">(S71-T70)*24*60</f>
        <v>6.0000000000000187</v>
      </c>
      <c r="V71" s="220">
        <f t="shared" si="90"/>
        <v>152</v>
      </c>
      <c r="W71" s="14"/>
      <c r="X71" s="14"/>
      <c r="Y71" s="456"/>
      <c r="Z71" s="456"/>
      <c r="AA71" s="11">
        <f t="shared" si="91"/>
        <v>-228.94736842105294</v>
      </c>
      <c r="AB71" s="217">
        <f t="shared" si="94"/>
        <v>0.90460526315789458</v>
      </c>
      <c r="AC71" s="470"/>
    </row>
    <row r="72" spans="1:29" ht="15.75" customHeight="1">
      <c r="A72" s="467" t="s">
        <v>12</v>
      </c>
      <c r="B72" s="221" t="s">
        <v>24</v>
      </c>
      <c r="C72" s="487" t="s">
        <v>46</v>
      </c>
      <c r="D72" s="487"/>
      <c r="E72" s="26">
        <v>25</v>
      </c>
      <c r="F72" s="221">
        <v>4719</v>
      </c>
      <c r="G72" s="216">
        <f t="shared" si="85"/>
        <v>117975</v>
      </c>
      <c r="H72" s="76" t="s">
        <v>57</v>
      </c>
      <c r="I72" s="219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2161.3740458015268</v>
      </c>
      <c r="N72" s="9">
        <f t="shared" si="87"/>
        <v>144.09160305343511</v>
      </c>
      <c r="O72" s="11">
        <f t="shared" si="88"/>
        <v>0</v>
      </c>
      <c r="P72" s="12">
        <f t="shared" si="89"/>
        <v>-15.908396946564892</v>
      </c>
      <c r="Q72" s="217">
        <f t="shared" si="93"/>
        <v>0.9005725190839694</v>
      </c>
      <c r="R72" s="470"/>
      <c r="S72" s="24">
        <v>0.34583333333333333</v>
      </c>
      <c r="T72" s="24">
        <v>0.43680555555555556</v>
      </c>
      <c r="U72" s="216">
        <f t="shared" si="95"/>
        <v>7.9999999999999716</v>
      </c>
      <c r="V72" s="220">
        <f t="shared" si="90"/>
        <v>131</v>
      </c>
      <c r="W72" s="14"/>
      <c r="X72" s="14"/>
      <c r="Y72" s="456"/>
      <c r="Z72" s="456"/>
      <c r="AA72" s="11">
        <f t="shared" si="91"/>
        <v>-238.62595419847321</v>
      </c>
      <c r="AB72" s="217">
        <f t="shared" si="94"/>
        <v>0.90057251908396951</v>
      </c>
      <c r="AC72" s="470"/>
    </row>
    <row r="73" spans="1:29" ht="15.75" customHeight="1">
      <c r="A73" s="467" t="s">
        <v>12</v>
      </c>
      <c r="B73" s="221" t="s">
        <v>24</v>
      </c>
      <c r="C73" s="487" t="s">
        <v>510</v>
      </c>
      <c r="D73" s="487"/>
      <c r="E73" s="26">
        <v>28.51</v>
      </c>
      <c r="F73" s="221">
        <v>3000</v>
      </c>
      <c r="G73" s="216">
        <f t="shared" si="85"/>
        <v>85530</v>
      </c>
      <c r="H73" s="76">
        <v>2</v>
      </c>
      <c r="I73" s="219">
        <v>20</v>
      </c>
      <c r="J73" s="18">
        <v>2400</v>
      </c>
      <c r="K73" s="9">
        <f t="shared" ref="K73:K76" si="96">J73/I73</f>
        <v>120</v>
      </c>
      <c r="L73" s="17">
        <v>20</v>
      </c>
      <c r="M73" s="10">
        <f t="shared" si="92"/>
        <v>2168.6746987951801</v>
      </c>
      <c r="N73" s="9">
        <f t="shared" si="87"/>
        <v>108.43373493975901</v>
      </c>
      <c r="O73" s="11">
        <f t="shared" si="88"/>
        <v>0</v>
      </c>
      <c r="P73" s="12">
        <f t="shared" si="89"/>
        <v>-11.566265060240994</v>
      </c>
      <c r="Q73" s="217">
        <f t="shared" si="93"/>
        <v>0.9036144578313251</v>
      </c>
      <c r="R73" s="470"/>
      <c r="S73" s="24">
        <v>0.44236111111111109</v>
      </c>
      <c r="T73" s="24">
        <v>0.5</v>
      </c>
      <c r="U73" s="216">
        <f t="shared" si="95"/>
        <v>7.9999999999999716</v>
      </c>
      <c r="V73" s="220">
        <f t="shared" si="90"/>
        <v>83.000000000000028</v>
      </c>
      <c r="W73" s="14"/>
      <c r="X73" s="14"/>
      <c r="Y73" s="456"/>
      <c r="Z73" s="456"/>
      <c r="AA73" s="11">
        <f t="shared" si="91"/>
        <v>-231.32530120481988</v>
      </c>
      <c r="AB73" s="217">
        <f t="shared" si="94"/>
        <v>0.9036144578313251</v>
      </c>
      <c r="AC73" s="470"/>
    </row>
    <row r="74" spans="1:29" ht="15.75" customHeight="1">
      <c r="A74" s="467" t="s">
        <v>12</v>
      </c>
      <c r="B74" s="221" t="s">
        <v>24</v>
      </c>
      <c r="C74" s="487" t="s">
        <v>510</v>
      </c>
      <c r="D74" s="487"/>
      <c r="E74" s="26">
        <v>28.51</v>
      </c>
      <c r="F74" s="221">
        <v>2143</v>
      </c>
      <c r="G74" s="216">
        <f t="shared" si="85"/>
        <v>61096.93</v>
      </c>
      <c r="H74" s="76" t="s">
        <v>57</v>
      </c>
      <c r="I74" s="219">
        <v>20</v>
      </c>
      <c r="J74" s="18">
        <v>2400</v>
      </c>
      <c r="K74" s="9">
        <f t="shared" si="96"/>
        <v>120</v>
      </c>
      <c r="L74" s="17">
        <v>20</v>
      </c>
      <c r="M74" s="10">
        <f t="shared" si="92"/>
        <v>2179.3220338983069</v>
      </c>
      <c r="N74" s="9">
        <f t="shared" si="87"/>
        <v>108.96610169491535</v>
      </c>
      <c r="O74" s="11">
        <f t="shared" si="88"/>
        <v>0</v>
      </c>
      <c r="P74" s="12">
        <f t="shared" si="89"/>
        <v>-11.033898305084648</v>
      </c>
      <c r="Q74" s="217">
        <f t="shared" si="93"/>
        <v>0.90805084745762799</v>
      </c>
      <c r="R74" s="470"/>
      <c r="S74" s="24">
        <v>0.54027777777777775</v>
      </c>
      <c r="T74" s="24">
        <v>0.58124999999999993</v>
      </c>
      <c r="U74" s="216">
        <f t="shared" si="95"/>
        <v>57.999999999999957</v>
      </c>
      <c r="V74" s="220">
        <f t="shared" si="90"/>
        <v>58.99999999999995</v>
      </c>
      <c r="W74" s="14"/>
      <c r="X74" s="14"/>
      <c r="Y74" s="456"/>
      <c r="Z74" s="456"/>
      <c r="AA74" s="11">
        <f t="shared" si="91"/>
        <v>-220.67796610169307</v>
      </c>
      <c r="AB74" s="217">
        <f t="shared" si="94"/>
        <v>0.90805084745762787</v>
      </c>
      <c r="AC74" s="470"/>
    </row>
    <row r="75" spans="1:29" ht="15.75" customHeight="1">
      <c r="A75" s="467" t="s">
        <v>12</v>
      </c>
      <c r="B75" s="221" t="s">
        <v>24</v>
      </c>
      <c r="C75" s="491" t="s">
        <v>45</v>
      </c>
      <c r="D75" s="492"/>
      <c r="E75" s="26">
        <v>19.02</v>
      </c>
      <c r="F75" s="221">
        <v>4534</v>
      </c>
      <c r="G75" s="216">
        <f t="shared" si="85"/>
        <v>86236.68</v>
      </c>
      <c r="H75" s="76" t="s">
        <v>57</v>
      </c>
      <c r="I75" s="219">
        <v>15</v>
      </c>
      <c r="J75" s="18">
        <v>2400</v>
      </c>
      <c r="K75" s="9">
        <f t="shared" si="96"/>
        <v>160</v>
      </c>
      <c r="L75" s="17">
        <v>15</v>
      </c>
      <c r="M75" s="10">
        <f t="shared" si="92"/>
        <v>2176.3199999999997</v>
      </c>
      <c r="N75" s="9">
        <f t="shared" si="87"/>
        <v>145.08799999999999</v>
      </c>
      <c r="O75" s="11">
        <f t="shared" si="88"/>
        <v>0</v>
      </c>
      <c r="P75" s="12">
        <f t="shared" si="89"/>
        <v>-14.912000000000006</v>
      </c>
      <c r="Q75" s="217">
        <f t="shared" si="93"/>
        <v>0.90679999999999994</v>
      </c>
      <c r="R75" s="470"/>
      <c r="S75" s="24">
        <v>0.58611111111111103</v>
      </c>
      <c r="T75" s="24">
        <v>0.67291666666666661</v>
      </c>
      <c r="U75" s="216">
        <f t="shared" si="95"/>
        <v>6.9999999999999751</v>
      </c>
      <c r="V75" s="220">
        <f t="shared" si="90"/>
        <v>125.00000000000003</v>
      </c>
      <c r="W75" s="14"/>
      <c r="X75" s="14"/>
      <c r="Y75" s="473"/>
      <c r="Z75" s="474"/>
      <c r="AA75" s="11">
        <f t="shared" si="91"/>
        <v>-223.68000000000029</v>
      </c>
      <c r="AB75" s="217">
        <f t="shared" si="94"/>
        <v>0.90679999999999983</v>
      </c>
      <c r="AC75" s="470"/>
    </row>
    <row r="76" spans="1:29" ht="16.5" customHeight="1">
      <c r="A76" s="501" t="s">
        <v>12</v>
      </c>
      <c r="B76" s="26" t="s">
        <v>781</v>
      </c>
      <c r="C76" s="466"/>
      <c r="D76" s="466"/>
      <c r="E76" s="215"/>
      <c r="F76" s="16"/>
      <c r="G76" s="9"/>
      <c r="H76" s="221"/>
      <c r="I76" s="17">
        <v>17.571428571428573</v>
      </c>
      <c r="J76" s="18">
        <v>2400</v>
      </c>
      <c r="K76" s="9">
        <f t="shared" si="96"/>
        <v>136.58536585365852</v>
      </c>
      <c r="L76" s="17">
        <v>17.571428571428573</v>
      </c>
      <c r="M76" s="10">
        <f>AVERAGE(M69:M75)</f>
        <v>2177.8381715966393</v>
      </c>
      <c r="N76" s="9">
        <f>M76/L76</f>
        <v>123.94200976566239</v>
      </c>
      <c r="O76" s="11">
        <f>L76-I76</f>
        <v>0</v>
      </c>
      <c r="P76" s="12">
        <f>N76-K76</f>
        <v>-12.643356087996125</v>
      </c>
      <c r="Q76" s="217">
        <f t="shared" si="93"/>
        <v>0.90743257149859979</v>
      </c>
      <c r="R76" s="470"/>
      <c r="S76" s="24"/>
      <c r="T76" s="24"/>
      <c r="U76" s="9"/>
      <c r="V76" s="220"/>
      <c r="W76" s="9"/>
      <c r="X76" s="9"/>
      <c r="Y76" s="456"/>
      <c r="Z76" s="456"/>
      <c r="AA76" s="11">
        <f t="shared" si="91"/>
        <v>-222.16182840336069</v>
      </c>
      <c r="AB76" s="217">
        <f t="shared" si="94"/>
        <v>0.90743257149859968</v>
      </c>
      <c r="AC76" s="470"/>
    </row>
    <row r="77" spans="1:29">
      <c r="D77" s="19"/>
      <c r="E77" s="19"/>
    </row>
  </sheetData>
  <mergeCells count="20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29"/>
    <mergeCell ref="C20:D20"/>
    <mergeCell ref="R20:R29"/>
    <mergeCell ref="Y20:Z20"/>
    <mergeCell ref="Y25:Z25"/>
    <mergeCell ref="A14:A19"/>
    <mergeCell ref="C14:D14"/>
    <mergeCell ref="R14:R19"/>
    <mergeCell ref="Y14:Z14"/>
    <mergeCell ref="C26:D26"/>
    <mergeCell ref="Y26:Z26"/>
    <mergeCell ref="C27:D27"/>
    <mergeCell ref="Y27:Z27"/>
    <mergeCell ref="C28:D28"/>
    <mergeCell ref="Y28:Z28"/>
    <mergeCell ref="AC20:AC29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9:D29"/>
    <mergeCell ref="Y29:Z29"/>
    <mergeCell ref="A30:A38"/>
    <mergeCell ref="C30:D30"/>
    <mergeCell ref="R30:R38"/>
    <mergeCell ref="Y30:Z30"/>
    <mergeCell ref="Y35:Z35"/>
    <mergeCell ref="C36:D36"/>
    <mergeCell ref="Y36:Z36"/>
    <mergeCell ref="C37:D37"/>
    <mergeCell ref="AC30:AC38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7:Z37"/>
    <mergeCell ref="C38:D38"/>
    <mergeCell ref="Y38:Z38"/>
    <mergeCell ref="A39:A48"/>
    <mergeCell ref="C39:D39"/>
    <mergeCell ref="R39:R48"/>
    <mergeCell ref="Y39:Z39"/>
    <mergeCell ref="Y44:Z44"/>
    <mergeCell ref="C45:D45"/>
    <mergeCell ref="Y45:Z45"/>
    <mergeCell ref="AC49:AC57"/>
    <mergeCell ref="C50:D50"/>
    <mergeCell ref="Y50:Z50"/>
    <mergeCell ref="C51:D51"/>
    <mergeCell ref="Y51:Z51"/>
    <mergeCell ref="C52:D52"/>
    <mergeCell ref="C46:D46"/>
    <mergeCell ref="Y46:Z46"/>
    <mergeCell ref="C47:D47"/>
    <mergeCell ref="Y47:Z47"/>
    <mergeCell ref="C48:D48"/>
    <mergeCell ref="Y48:Z48"/>
    <mergeCell ref="AC39:AC48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56:D56"/>
    <mergeCell ref="Y56:Z56"/>
    <mergeCell ref="C57:D57"/>
    <mergeCell ref="Y57:Z57"/>
    <mergeCell ref="A58:A62"/>
    <mergeCell ref="C58:D58"/>
    <mergeCell ref="R58:R62"/>
    <mergeCell ref="Y58:Z58"/>
    <mergeCell ref="Y52:Z52"/>
    <mergeCell ref="C53:D53"/>
    <mergeCell ref="Y53:Z53"/>
    <mergeCell ref="C54:D54"/>
    <mergeCell ref="Y54:Z54"/>
    <mergeCell ref="C55:D55"/>
    <mergeCell ref="Y55:Z55"/>
    <mergeCell ref="A49:A57"/>
    <mergeCell ref="C49:D49"/>
    <mergeCell ref="R49:R57"/>
    <mergeCell ref="Y49:Z49"/>
    <mergeCell ref="AC63:AC68"/>
    <mergeCell ref="C64:D64"/>
    <mergeCell ref="Y64:Z64"/>
    <mergeCell ref="C65:D65"/>
    <mergeCell ref="Y65:Z65"/>
    <mergeCell ref="C66:D66"/>
    <mergeCell ref="AC58:AC62"/>
    <mergeCell ref="C59:D59"/>
    <mergeCell ref="Y59:Z59"/>
    <mergeCell ref="C60:D60"/>
    <mergeCell ref="C62:D62"/>
    <mergeCell ref="Y62:Z62"/>
    <mergeCell ref="Y66:Z66"/>
    <mergeCell ref="C67:D67"/>
    <mergeCell ref="Y67:Z67"/>
    <mergeCell ref="C68:D68"/>
    <mergeCell ref="Y68:Z68"/>
    <mergeCell ref="A69:A76"/>
    <mergeCell ref="C69:D69"/>
    <mergeCell ref="R69:R76"/>
    <mergeCell ref="Y69:Z69"/>
    <mergeCell ref="Y74:Z74"/>
    <mergeCell ref="A63:A68"/>
    <mergeCell ref="C63:D63"/>
    <mergeCell ref="R63:R68"/>
    <mergeCell ref="Y63:Z63"/>
    <mergeCell ref="C75:D75"/>
    <mergeCell ref="Y75:Z75"/>
    <mergeCell ref="C76:D76"/>
    <mergeCell ref="Y76:Z76"/>
    <mergeCell ref="AC69:AC76"/>
    <mergeCell ref="C70:D70"/>
    <mergeCell ref="Y70:Z70"/>
    <mergeCell ref="C71:D71"/>
    <mergeCell ref="Y71:Z71"/>
    <mergeCell ref="C72:D72"/>
    <mergeCell ref="Y72:Z72"/>
    <mergeCell ref="C73:D73"/>
    <mergeCell ref="Y73:Z73"/>
    <mergeCell ref="C74:D74"/>
  </mergeCells>
  <phoneticPr fontId="3" type="noConversion"/>
  <conditionalFormatting sqref="O66:O74 O76 O5:O9 O13:O15 O57:O63 O19:O54">
    <cfRule type="cellIs" dxfId="1263" priority="59" operator="greaterThan">
      <formula>0</formula>
    </cfRule>
  </conditionalFormatting>
  <conditionalFormatting sqref="P5:P7 P66:P67 AA66:AA67 P69:P74 P30:P37 P63 P9 P13:P15 P20:P28 P58:P61 P39:P54 AA5:AA63 AA69:AA76">
    <cfRule type="cellIs" dxfId="1262" priority="63" operator="lessThan">
      <formula>0</formula>
    </cfRule>
  </conditionalFormatting>
  <conditionalFormatting sqref="AB66:AB67 Q66:Q74 Q76 Q5:Q9 Q13:Q15 Q57:Q63 Q19:Q54 AB5:AB63 AB69:AB76">
    <cfRule type="cellIs" dxfId="1261" priority="60" operator="greaterThan">
      <formula>1</formula>
    </cfRule>
    <cfRule type="cellIs" dxfId="1260" priority="61" operator="lessThan">
      <formula>0.8</formula>
    </cfRule>
  </conditionalFormatting>
  <conditionalFormatting sqref="AC14:AC15 R14:R15 AC66 R66:R74 R19:R25 AC19:AC25 R29:R46 AC29:AC46 R76 AC5:AC9 R5:R9 R48:R54 AC48:AC54 AC57:AC63 R57:R63">
    <cfRule type="cellIs" dxfId="1259" priority="65" operator="lessThan">
      <formula>0.8</formula>
    </cfRule>
  </conditionalFormatting>
  <conditionalFormatting sqref="AC49">
    <cfRule type="cellIs" dxfId="1258" priority="67" operator="lessThan">
      <formula>0.8</formula>
    </cfRule>
  </conditionalFormatting>
  <conditionalFormatting sqref="AC20:AC25">
    <cfRule type="cellIs" dxfId="1257" priority="64" operator="lessThan">
      <formula>0.8</formula>
    </cfRule>
  </conditionalFormatting>
  <conditionalFormatting sqref="AC30">
    <cfRule type="cellIs" dxfId="1256" priority="66" operator="lessThan">
      <formula>0.8</formula>
    </cfRule>
  </conditionalFormatting>
  <conditionalFormatting sqref="AC39:AC46">
    <cfRule type="cellIs" dxfId="1255" priority="62" operator="lessThan">
      <formula>0.8</formula>
    </cfRule>
  </conditionalFormatting>
  <conditionalFormatting sqref="AA68">
    <cfRule type="cellIs" dxfId="1254" priority="58" operator="lessThan">
      <formula>0</formula>
    </cfRule>
  </conditionalFormatting>
  <conditionalFormatting sqref="AB68">
    <cfRule type="cellIs" dxfId="1253" priority="56" operator="greaterThan">
      <formula>1</formula>
    </cfRule>
    <cfRule type="cellIs" dxfId="1252" priority="57" operator="lessThan">
      <formula>0.8</formula>
    </cfRule>
  </conditionalFormatting>
  <conditionalFormatting sqref="O16:O17">
    <cfRule type="cellIs" dxfId="1251" priority="51" operator="greaterThan">
      <formula>0</formula>
    </cfRule>
  </conditionalFormatting>
  <conditionalFormatting sqref="P16:P17">
    <cfRule type="cellIs" dxfId="1250" priority="54" operator="lessThan">
      <formula>0</formula>
    </cfRule>
  </conditionalFormatting>
  <conditionalFormatting sqref="Q16:Q17">
    <cfRule type="cellIs" dxfId="1249" priority="52" operator="greaterThan">
      <formula>1</formula>
    </cfRule>
    <cfRule type="cellIs" dxfId="1248" priority="53" operator="lessThan">
      <formula>0.8</formula>
    </cfRule>
  </conditionalFormatting>
  <conditionalFormatting sqref="R16:R17 AC16:AC17">
    <cfRule type="cellIs" dxfId="1247" priority="55" operator="lessThan">
      <formula>0.8</formula>
    </cfRule>
  </conditionalFormatting>
  <conditionalFormatting sqref="O10:O12">
    <cfRule type="cellIs" dxfId="1246" priority="47" operator="greaterThan">
      <formula>0</formula>
    </cfRule>
  </conditionalFormatting>
  <conditionalFormatting sqref="P10:P12">
    <cfRule type="cellIs" dxfId="1245" priority="50" operator="lessThan">
      <formula>0</formula>
    </cfRule>
  </conditionalFormatting>
  <conditionalFormatting sqref="Q10:Q12">
    <cfRule type="cellIs" dxfId="1244" priority="48" operator="greaterThan">
      <formula>1</formula>
    </cfRule>
    <cfRule type="cellIs" dxfId="1243" priority="49" operator="lessThan">
      <formula>0.8</formula>
    </cfRule>
  </conditionalFormatting>
  <conditionalFormatting sqref="AC27 R27">
    <cfRule type="cellIs" dxfId="1242" priority="46" operator="lessThan">
      <formula>0.8</formula>
    </cfRule>
  </conditionalFormatting>
  <conditionalFormatting sqref="R47 AC47">
    <cfRule type="cellIs" dxfId="1241" priority="45" operator="lessThan">
      <formula>0.8</formula>
    </cfRule>
  </conditionalFormatting>
  <conditionalFormatting sqref="AC47">
    <cfRule type="cellIs" dxfId="1240" priority="44" operator="lessThan">
      <formula>0.8</formula>
    </cfRule>
  </conditionalFormatting>
  <conditionalFormatting sqref="O65">
    <cfRule type="cellIs" dxfId="1239" priority="39" operator="greaterThan">
      <formula>0</formula>
    </cfRule>
  </conditionalFormatting>
  <conditionalFormatting sqref="P65 AA65">
    <cfRule type="cellIs" dxfId="1238" priority="42" operator="lessThan">
      <formula>0</formula>
    </cfRule>
  </conditionalFormatting>
  <conditionalFormatting sqref="Q65 AB65">
    <cfRule type="cellIs" dxfId="1237" priority="40" operator="greaterThan">
      <formula>1</formula>
    </cfRule>
    <cfRule type="cellIs" dxfId="1236" priority="41" operator="lessThan">
      <formula>0.8</formula>
    </cfRule>
  </conditionalFormatting>
  <conditionalFormatting sqref="R65 AC65">
    <cfRule type="cellIs" dxfId="1235" priority="43" operator="lessThan">
      <formula>0.8</formula>
    </cfRule>
  </conditionalFormatting>
  <conditionalFormatting sqref="O75">
    <cfRule type="cellIs" dxfId="1234" priority="34" operator="greaterThan">
      <formula>0</formula>
    </cfRule>
  </conditionalFormatting>
  <conditionalFormatting sqref="P75">
    <cfRule type="cellIs" dxfId="1233" priority="37" operator="lessThan">
      <formula>0</formula>
    </cfRule>
  </conditionalFormatting>
  <conditionalFormatting sqref="Q75">
    <cfRule type="cellIs" dxfId="1232" priority="35" operator="greaterThan">
      <formula>1</formula>
    </cfRule>
    <cfRule type="cellIs" dxfId="1231" priority="36" operator="lessThan">
      <formula>0.8</formula>
    </cfRule>
  </conditionalFormatting>
  <conditionalFormatting sqref="R75">
    <cfRule type="cellIs" dxfId="1230" priority="38" operator="lessThan">
      <formula>0.8</formula>
    </cfRule>
  </conditionalFormatting>
  <conditionalFormatting sqref="O18">
    <cfRule type="cellIs" dxfId="1229" priority="29" operator="greaterThan">
      <formula>0</formula>
    </cfRule>
  </conditionalFormatting>
  <conditionalFormatting sqref="P18">
    <cfRule type="cellIs" dxfId="1228" priority="32" operator="lessThan">
      <formula>0</formula>
    </cfRule>
  </conditionalFormatting>
  <conditionalFormatting sqref="Q18">
    <cfRule type="cellIs" dxfId="1227" priority="30" operator="greaterThan">
      <formula>1</formula>
    </cfRule>
    <cfRule type="cellIs" dxfId="1226" priority="31" operator="lessThan">
      <formula>0.8</formula>
    </cfRule>
  </conditionalFormatting>
  <conditionalFormatting sqref="R18 AC18">
    <cfRule type="cellIs" dxfId="1225" priority="33" operator="lessThan">
      <formula>0.8</formula>
    </cfRule>
  </conditionalFormatting>
  <conditionalFormatting sqref="O55">
    <cfRule type="cellIs" dxfId="1224" priority="23" operator="greaterThan">
      <formula>0</formula>
    </cfRule>
  </conditionalFormatting>
  <conditionalFormatting sqref="P55">
    <cfRule type="cellIs" dxfId="1223" priority="27" operator="lessThan">
      <formula>0</formula>
    </cfRule>
  </conditionalFormatting>
  <conditionalFormatting sqref="Q55">
    <cfRule type="cellIs" dxfId="1222" priority="24" operator="greaterThan">
      <formula>1</formula>
    </cfRule>
    <cfRule type="cellIs" dxfId="1221" priority="25" operator="lessThan">
      <formula>0.8</formula>
    </cfRule>
  </conditionalFormatting>
  <conditionalFormatting sqref="R55 AC55">
    <cfRule type="cellIs" dxfId="1220" priority="28" operator="lessThan">
      <formula>0.8</formula>
    </cfRule>
  </conditionalFormatting>
  <conditionalFormatting sqref="AC55">
    <cfRule type="cellIs" dxfId="1219" priority="26" operator="lessThan">
      <formula>0.8</formula>
    </cfRule>
  </conditionalFormatting>
  <conditionalFormatting sqref="O56">
    <cfRule type="cellIs" dxfId="1218" priority="17" operator="greaterThan">
      <formula>0</formula>
    </cfRule>
  </conditionalFormatting>
  <conditionalFormatting sqref="P56">
    <cfRule type="cellIs" dxfId="1217" priority="21" operator="lessThan">
      <formula>0</formula>
    </cfRule>
  </conditionalFormatting>
  <conditionalFormatting sqref="Q56">
    <cfRule type="cellIs" dxfId="1216" priority="18" operator="greaterThan">
      <formula>1</formula>
    </cfRule>
    <cfRule type="cellIs" dxfId="1215" priority="19" operator="lessThan">
      <formula>0.8</formula>
    </cfRule>
  </conditionalFormatting>
  <conditionalFormatting sqref="R56 AC56">
    <cfRule type="cellIs" dxfId="1214" priority="22" operator="lessThan">
      <formula>0.8</formula>
    </cfRule>
  </conditionalFormatting>
  <conditionalFormatting sqref="AC56">
    <cfRule type="cellIs" dxfId="1213" priority="20" operator="lessThan">
      <formula>0.8</formula>
    </cfRule>
  </conditionalFormatting>
  <conditionalFormatting sqref="AC28 R28">
    <cfRule type="cellIs" dxfId="1212" priority="16" operator="lessThan">
      <formula>0.8</formula>
    </cfRule>
  </conditionalFormatting>
  <conditionalFormatting sqref="R26 AC26">
    <cfRule type="cellIs" dxfId="1211" priority="15" operator="lessThan">
      <formula>0.8</formula>
    </cfRule>
  </conditionalFormatting>
  <conditionalFormatting sqref="AC26">
    <cfRule type="cellIs" dxfId="1210" priority="14" operator="lessThan">
      <formula>0.8</formula>
    </cfRule>
  </conditionalFormatting>
  <conditionalFormatting sqref="O64">
    <cfRule type="cellIs" dxfId="1209" priority="9" operator="greaterThan">
      <formula>0</formula>
    </cfRule>
  </conditionalFormatting>
  <conditionalFormatting sqref="P64 AA64">
    <cfRule type="cellIs" dxfId="1208" priority="12" operator="lessThan">
      <formula>0</formula>
    </cfRule>
  </conditionalFormatting>
  <conditionalFormatting sqref="Q64 AB64">
    <cfRule type="cellIs" dxfId="1207" priority="10" operator="greaterThan">
      <formula>1</formula>
    </cfRule>
    <cfRule type="cellIs" dxfId="1206" priority="11" operator="lessThan">
      <formula>0.8</formula>
    </cfRule>
  </conditionalFormatting>
  <conditionalFormatting sqref="R64 AC64">
    <cfRule type="cellIs" dxfId="1205" priority="13" operator="lessThan">
      <formula>0.8</formula>
    </cfRule>
  </conditionalFormatting>
  <conditionalFormatting sqref="P8">
    <cfRule type="cellIs" dxfId="1204" priority="8" operator="lessThan">
      <formula>0</formula>
    </cfRule>
  </conditionalFormatting>
  <conditionalFormatting sqref="P19">
    <cfRule type="cellIs" dxfId="1203" priority="7" operator="lessThan">
      <formula>0</formula>
    </cfRule>
  </conditionalFormatting>
  <conditionalFormatting sqref="P29">
    <cfRule type="cellIs" dxfId="1202" priority="6" operator="lessThan">
      <formula>0</formula>
    </cfRule>
  </conditionalFormatting>
  <conditionalFormatting sqref="P38">
    <cfRule type="cellIs" dxfId="1201" priority="5" operator="lessThan">
      <formula>0</formula>
    </cfRule>
  </conditionalFormatting>
  <conditionalFormatting sqref="P57">
    <cfRule type="cellIs" dxfId="1200" priority="4" operator="lessThan">
      <formula>0</formula>
    </cfRule>
  </conditionalFormatting>
  <conditionalFormatting sqref="P62">
    <cfRule type="cellIs" dxfId="1199" priority="3" operator="lessThan">
      <formula>0</formula>
    </cfRule>
  </conditionalFormatting>
  <conditionalFormatting sqref="P68">
    <cfRule type="cellIs" dxfId="1198" priority="2" operator="lessThan">
      <formula>0</formula>
    </cfRule>
  </conditionalFormatting>
  <conditionalFormatting sqref="P76">
    <cfRule type="cellIs" dxfId="1197" priority="1" operator="lessThan">
      <formula>0</formula>
    </cfRule>
  </conditionalFormatting>
  <dataValidations count="1">
    <dataValidation type="list" allowBlank="1" showInputMessage="1" showErrorMessage="1" sqref="Z8 Z67 Y5:Z7 Y8:Y67 Z10:Z63 Y68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96" t="s">
        <v>166</v>
      </c>
      <c r="C3" s="421" t="str">
        <f>TEXT('0714 4度C'!A2,"yyyy.mm.ddaaaa")</f>
        <v>2025.07.14星期一</v>
      </c>
      <c r="D3" s="421"/>
      <c r="E3" s="196" t="s">
        <v>127</v>
      </c>
      <c r="F3" s="422">
        <f>'0714 4度C'!D1</f>
        <v>174354</v>
      </c>
      <c r="G3" s="422"/>
      <c r="H3" s="196" t="s">
        <v>90</v>
      </c>
      <c r="I3" s="423">
        <f>'0714 4度C'!F1</f>
        <v>5781419.3200000012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700</v>
      </c>
      <c r="D4" s="424"/>
      <c r="E4" s="425" t="s">
        <v>701</v>
      </c>
      <c r="F4" s="425"/>
      <c r="G4" s="425" t="s">
        <v>702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173</v>
      </c>
      <c r="D5" s="424"/>
      <c r="E5" s="424" t="s">
        <v>703</v>
      </c>
      <c r="F5" s="424"/>
      <c r="G5" s="426" t="s">
        <v>94</v>
      </c>
      <c r="H5" s="426"/>
      <c r="I5" s="427" t="s">
        <v>704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140.62857685244214</v>
      </c>
      <c r="F6" s="424">
        <f>AVERAGE(D27:O27,D13:J13)</f>
        <v>143.94628821677927</v>
      </c>
      <c r="G6" s="429">
        <f>AVERAGE(D13:J13)</f>
        <v>143.94628821677927</v>
      </c>
      <c r="H6" s="429"/>
      <c r="I6" s="429">
        <f>AVERAGE(K13:M13)</f>
        <v>132.88725033565558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126.94518916749931</v>
      </c>
      <c r="F7" s="434">
        <f>AVERAGE(D28:O28,D14:J14)</f>
        <v>129.96224211968345</v>
      </c>
      <c r="G7" s="435">
        <f>AVERAGE(D14:J14)</f>
        <v>129.96224211968345</v>
      </c>
      <c r="H7" s="435"/>
      <c r="I7" s="435">
        <f>AVERAGE(K14:M14)</f>
        <v>119.90539894573629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0.90251258178148352</v>
      </c>
      <c r="F8" s="432">
        <f>AVERAGE(D15:J15,D29:O29)</f>
        <v>0.90261375263294064</v>
      </c>
      <c r="G8" s="437">
        <f>AVERAGE(D15:J15)</f>
        <v>0.90261375263294064</v>
      </c>
      <c r="H8" s="437"/>
      <c r="I8" s="437">
        <f>AVERAGE(K15:M15)</f>
        <v>0.90227651646141682</v>
      </c>
      <c r="J8" s="437"/>
      <c r="K8" s="34" t="s">
        <v>705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706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707</v>
      </c>
      <c r="E12" s="42" t="s">
        <v>86</v>
      </c>
      <c r="F12" s="42" t="s">
        <v>132</v>
      </c>
      <c r="G12" s="42" t="s">
        <v>99</v>
      </c>
      <c r="H12" s="42" t="s">
        <v>183</v>
      </c>
      <c r="I12" s="42" t="s">
        <v>708</v>
      </c>
      <c r="J12" s="43" t="s">
        <v>133</v>
      </c>
      <c r="K12" s="41" t="s">
        <v>134</v>
      </c>
      <c r="L12" s="42" t="s">
        <v>709</v>
      </c>
      <c r="M12" s="43" t="s">
        <v>710</v>
      </c>
    </row>
    <row r="13" spans="2:17" ht="40.15" customHeight="1">
      <c r="B13" s="447" t="s">
        <v>711</v>
      </c>
      <c r="C13" s="44" t="s">
        <v>187</v>
      </c>
      <c r="D13" s="45">
        <f>SUMIFS('0714 4度C'!$K:$K,'0714 4度C'!$A:$A,"燴飯線",'0714 4度C'!$B:$B,"平均")</f>
        <v>105.88235294117646</v>
      </c>
      <c r="E13" s="46">
        <f>SUMIFS('0714 4度C'!$K:$K,'0714 4度C'!$A:$A,"沙拉線一線",'0714 4度C'!$B:$B,"平均")</f>
        <v>80</v>
      </c>
      <c r="F13" s="47">
        <f>SUMIFS('0714 4度C'!$K:$K,'0714 4度C'!$A:$A,"沙拉線二線",'0714 4度C'!$B:$B,"平均")</f>
        <v>81.124999999999986</v>
      </c>
      <c r="G13" s="47">
        <f>SUMIFS('0714 4度C'!$K:$K,'0714 4度C'!$A:$A,"沙拉線三線",'0714 4度C'!$B:$B,"平均")</f>
        <v>107.14285714285714</v>
      </c>
      <c r="H13" s="47">
        <f>SUMIFS('0714 4度C'!$K:$K,'0714 4度C'!$A:$A,"自動包裝線",'0714 4度C'!$B:$B,"平均")</f>
        <v>300</v>
      </c>
      <c r="I13" s="47">
        <f>SUMIFS('0714 4度C'!$K:$K,'0714 4度C'!$A:$A,"涼麵一線",'0714 4度C'!$B:$B,"平均")</f>
        <v>89.552238805970148</v>
      </c>
      <c r="J13" s="48">
        <f>SUMIFS('0714 4度C'!$K:$K,'0714 4度C'!$A:$A,"三明治四線",'0714 4度C'!$B:$B,"平均")</f>
        <v>243.92156862745099</v>
      </c>
      <c r="K13" s="49">
        <f>SUMIFS('0714 4度C'!$K:$K,'0714 4度C'!$A:$A,"三明治一線",'0714 4度C'!$B:$B,"平均")</f>
        <v>134.26573426573427</v>
      </c>
      <c r="L13" s="50">
        <f>SUMIFS('0714 4度C'!$K:$K,'0714 4度C'!$A:$A,"三明治二線",'0714 4度C'!$B:$B,"平均")</f>
        <v>127.81065088757396</v>
      </c>
      <c r="M13" s="48">
        <f>SUMIFS('0714 4度C'!$K:$K,'0714 4度C'!$A:$A,"自動包裝二線",'0714 4度C'!$B:$B,"平均")</f>
        <v>136.58536585365852</v>
      </c>
    </row>
    <row r="14" spans="2:17" ht="39.6" customHeight="1">
      <c r="B14" s="447"/>
      <c r="C14" s="51" t="s">
        <v>712</v>
      </c>
      <c r="D14" s="52">
        <f>SUMIFS('0714 4度C'!$N:$N,'0714 4度C'!$A:$A,"燴飯線",'0714 4度C'!$B:$B,"平均")</f>
        <v>95.581506375951051</v>
      </c>
      <c r="E14" s="53">
        <f>SUMIFS('0714 4度C'!$N:$N,'0714 4度C'!$A:$A,"沙拉線一線",'0714 4度C'!$B:$B,"平均")</f>
        <v>71.83372857934387</v>
      </c>
      <c r="F14" s="53">
        <f>SUMIFS('0714 4度C'!$N:$N,'0714 4度C'!$A:$A,"沙拉線二線",'0714 4度C'!$B:$B,"平均")</f>
        <v>73.121342364455373</v>
      </c>
      <c r="G14" s="53">
        <f>SUMIFS('0714 4度C'!$N:$N,'0714 4度C'!$A:$A,"沙拉線三線",'0714 4度C'!$B:$B,"平均")</f>
        <v>97.40093419166638</v>
      </c>
      <c r="H14" s="53">
        <f>SUMIFS('0714 4度C'!$N:$N,'0714 4度C'!$A:$A,"自動包裝線",'0714 4度C'!$B:$B,"平均")</f>
        <v>271.18386540995238</v>
      </c>
      <c r="I14" s="53">
        <f>SUMIFS('0714 4度C'!$N:$N,'0714 4度C'!$A:$A,"涼麵一線",'0714 4度C'!$B:$B,"平均")</f>
        <v>80.780540193368154</v>
      </c>
      <c r="J14" s="54">
        <f>SUMIFS('0714 4度C'!$N:$N,'0714 4度C'!$A:$A,"三明治四線",'0714 4度C'!$B:$B,"平均")</f>
        <v>219.83377772304686</v>
      </c>
      <c r="K14" s="55">
        <f>SUMIFS('0714 4度C'!$N:$N,'0714 4度C'!$A:$A,"三明治一線",'0714 4度C'!$B:$B,"平均")</f>
        <v>121.1855076591799</v>
      </c>
      <c r="L14" s="56">
        <f>SUMIFS('0714 4度C'!$N:$N,'0714 4度C'!$A:$A,"三明治二線",'0714 4度C'!$B:$B,"平均")</f>
        <v>115.12006755429732</v>
      </c>
      <c r="M14" s="54">
        <f>SUMIFS('0714 4度C'!$N:$N,'0714 4度C'!$A:$A,"自動包裝二線",'0714 4度C'!$B:$B,"平均")</f>
        <v>123.41062162373166</v>
      </c>
    </row>
    <row r="15" spans="2:17" ht="40.15" customHeight="1">
      <c r="B15" s="447"/>
      <c r="C15" s="57" t="s">
        <v>713</v>
      </c>
      <c r="D15" s="58">
        <f>D14/D13</f>
        <v>0.90271422688398217</v>
      </c>
      <c r="E15" s="59">
        <f t="shared" ref="E15:M15" si="0">E14/E13</f>
        <v>0.89792160724179837</v>
      </c>
      <c r="F15" s="59">
        <f t="shared" si="0"/>
        <v>0.90134166242780134</v>
      </c>
      <c r="G15" s="59">
        <f t="shared" si="0"/>
        <v>0.90907538578888625</v>
      </c>
      <c r="H15" s="59">
        <f>H14/H13</f>
        <v>0.90394621803317454</v>
      </c>
      <c r="I15" s="59">
        <f>I14/I13</f>
        <v>0.90204936549261105</v>
      </c>
      <c r="J15" s="60">
        <f>J14/J13</f>
        <v>0.90124780256233039</v>
      </c>
      <c r="K15" s="58">
        <f>K14/K13</f>
        <v>0.90257956225326696</v>
      </c>
      <c r="L15" s="59">
        <f>L14/L13</f>
        <v>0.90070793595723375</v>
      </c>
      <c r="M15" s="60">
        <f t="shared" si="0"/>
        <v>0.90354205117374975</v>
      </c>
    </row>
    <row r="16" spans="2:17" ht="17.25" customHeight="1">
      <c r="B16" s="430" t="s">
        <v>136</v>
      </c>
      <c r="C16" s="195" t="s">
        <v>103</v>
      </c>
      <c r="D16" s="61">
        <f>VLOOKUP("燴飯線",'0714 4度C'!$A:$T,19,0)</f>
        <v>0.70833333333333337</v>
      </c>
      <c r="E16" s="24">
        <f>VLOOKUP("沙拉線一線",'0714 4度C'!$A:$T,19,0)</f>
        <v>0.12916666666666668</v>
      </c>
      <c r="F16" s="24">
        <f>VLOOKUP("沙拉線二線",'0714 4度C'!$A:$T,19,0)</f>
        <v>0.20833333333333334</v>
      </c>
      <c r="G16" s="24">
        <f>VLOOKUP("沙拉線三線",'0714 4度C'!$A:$T,19,0)</f>
        <v>0.25</v>
      </c>
      <c r="H16" s="24">
        <f>VLOOKUP("自動包裝線",'0714 4度C'!$A:$T,19,0)</f>
        <v>0.20833333333333334</v>
      </c>
      <c r="I16" s="24">
        <f>VLOOKUP("涼麵一線",'0714 4度C'!$A:$T,19,0)</f>
        <v>0.29305555555555557</v>
      </c>
      <c r="J16" s="62">
        <f>VLOOKUP("三明治四線",'0714 4度C'!$A:$T,19,0)</f>
        <v>0.25069444444444444</v>
      </c>
      <c r="K16" s="63">
        <f>VLOOKUP("三明治一線",'0714 4度C'!$A:$T,19,0)</f>
        <v>0.125</v>
      </c>
      <c r="L16" s="64">
        <f>VLOOKUP("三明治二線",'0714 4度C'!$A:$T,19,0)</f>
        <v>8.3333333333333329E-2</v>
      </c>
      <c r="M16" s="65">
        <f>VLOOKUP("自動包裝二線",'0714 4度C'!$A:$T,19,0)</f>
        <v>0.125</v>
      </c>
    </row>
    <row r="17" spans="2:13" ht="17.25" customHeight="1">
      <c r="B17" s="431"/>
      <c r="C17" s="195" t="s">
        <v>714</v>
      </c>
      <c r="D17" s="63">
        <f>LOOKUP(2,1/(('0714 4度C'!$A:$A="燴飯線")*('0714 4度C'!$T:$T&lt;&gt;"")),'0714 4度C'!$T:$T)</f>
        <v>0.875</v>
      </c>
      <c r="E17" s="24">
        <f>LOOKUP(2,1/(('0714 4度C'!$A:$A="沙拉線一線")*('0714 4度C'!$T:$T&lt;&gt;"")),'0714 4度C'!$T:$T)</f>
        <v>0.59513888888888888</v>
      </c>
      <c r="F17" s="24">
        <f>LOOKUP(2,1/(('0714 4度C'!$A:$A="沙拉線二線")*('0714 4度C'!$T:$T&lt;&gt;"")),'0714 4度C'!$T:$T)</f>
        <v>0.84444444444444444</v>
      </c>
      <c r="G17" s="24">
        <f>LOOKUP(2,1/(('0714 4度C'!$A:$A="沙拉線三線")*('0714 4度C'!$T:$T&lt;&gt;"")),'0714 4度C'!$T:$T)</f>
        <v>0.8319444444444446</v>
      </c>
      <c r="H17" s="24">
        <f>LOOKUP(2,1/(('0714 4度C'!$A:$A="自動包裝線")*('0714 4度C'!$T:$T&lt;&gt;"")),'0714 4度C'!$T:$T)</f>
        <v>0.66180555555555542</v>
      </c>
      <c r="I17" s="24">
        <f>LOOKUP(2,1/(('0714 4度C'!$A:$A="涼麵一線")*('0714 4度C'!$T:$T&lt;&gt;"")),'0714 4度C'!$T:$T)</f>
        <v>0.83680555555555558</v>
      </c>
      <c r="J17" s="62">
        <f>LOOKUP(2,1/(('0714 4度C'!$A:$A="三明治四線")*('0714 4度C'!$T:$T&lt;&gt;"")),'0714 4度C'!$T:$T)</f>
        <v>0.50486111111111098</v>
      </c>
      <c r="K17" s="61">
        <f>LOOKUP(2,1/(('0714 4度C'!$A:$A="三明治一線")*('0714 4度C'!$T:$T&lt;&gt;"")),'0714 4度C'!$T:$T)</f>
        <v>0.7208333333333331</v>
      </c>
      <c r="L17" s="24">
        <f>LOOKUP(2,1/(('0714 4度C'!$A:$A="三明治二線")*('0714 4度C'!$T:$T&lt;&gt;"")),'0714 4度C'!$T:$T)</f>
        <v>0.73194444444444429</v>
      </c>
      <c r="M17" s="62">
        <f>LOOKUP(2,1/(('0714 4度C'!$A:$A="自動包裝二線")*('0714 4度C'!$T:$T&lt;&gt;"")),'0714 4度C'!$T:$T)</f>
        <v>0.68958333333333333</v>
      </c>
    </row>
    <row r="18" spans="2:13" ht="17.25" customHeight="1">
      <c r="B18" s="431" t="s">
        <v>715</v>
      </c>
      <c r="C18" s="446"/>
      <c r="D18" s="66">
        <f>SUMIFS('0714 4度C'!$I:$I,'0714 4度C'!$A:$A,"燴飯線",'0714 4度C'!$B:$B,"平均")</f>
        <v>17</v>
      </c>
      <c r="E18" s="67">
        <f>SUMIFS('0714 4度C'!$I:$I,'0714 4度C'!$A:$A,"沙拉線一線",'0714 4度C'!$B:$B,"平均")</f>
        <v>18.75</v>
      </c>
      <c r="F18" s="67">
        <f>SUMIFS('0714 4度C'!$I:$I,'0714 4度C'!$A:$A,"沙拉線二線",'0714 4度C'!$B:$B,"平均")</f>
        <v>18.666666666666668</v>
      </c>
      <c r="G18" s="67">
        <f>SUMIFS('0714 4度C'!$I:$I,'0714 4度C'!$A:$A,"沙拉線三線",'0714 4度C'!$B:$B,"平均")</f>
        <v>16</v>
      </c>
      <c r="H18" s="67">
        <f>SUMIFS('0714 4度C'!$I:$I,'0714 4度C'!$A:$A,"自動包裝線",'0714 4度C'!$B:$B,"平均")</f>
        <v>10</v>
      </c>
      <c r="I18" s="67">
        <f>SUMIFS('0714 4度C'!$I:$I,'0714 4度C'!$A:$A,"涼麵一線",'0714 4度C'!$B:$B,"平均")</f>
        <v>16.75</v>
      </c>
      <c r="J18" s="68">
        <f>SUMIFS('0714 4度C'!$I:$I,'0714 4度C'!$A:$A,"三明治四線",'0714 4度C'!$B:$B,"平均")</f>
        <v>10.199999999999999</v>
      </c>
      <c r="K18" s="66">
        <f>SUMIFS('0714 4度C'!$I:$I,'0714 4度C'!$A:$A,"三明治一線",'0714 4度C'!$B:$B,"平均")</f>
        <v>17.875</v>
      </c>
      <c r="L18" s="67">
        <f>SUMIFS('0714 4度C'!$I:$I,'0714 4度C'!$A:$A,"三明治二線",'0714 4度C'!$B:$B,"平均")</f>
        <v>18.777777777777779</v>
      </c>
      <c r="M18" s="68">
        <f>SUMIFS('0714 4度C'!$I:$I,'0714 4度C'!$A:$A,"自動包裝二線",'0714 4度C'!$B:$B,"平均")</f>
        <v>17.571428571428573</v>
      </c>
    </row>
    <row r="19" spans="2:13" ht="17.25" customHeight="1">
      <c r="B19" s="448" t="s">
        <v>716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717</v>
      </c>
      <c r="C21" s="451"/>
      <c r="D21" s="72"/>
      <c r="E21" s="73" t="s">
        <v>141</v>
      </c>
      <c r="F21" s="452" t="s">
        <v>142</v>
      </c>
      <c r="G21" s="453"/>
      <c r="H21" s="73" t="s">
        <v>107</v>
      </c>
      <c r="I21" s="73" t="s">
        <v>108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19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7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718</v>
      </c>
      <c r="D1" s="3">
        <f>SUM(F5:F76)</f>
        <v>174354</v>
      </c>
      <c r="E1" s="202" t="s">
        <v>206</v>
      </c>
      <c r="F1" s="1">
        <f>SUM(G5:G76)</f>
        <v>5781419.3200000012</v>
      </c>
      <c r="G1" s="1" t="s">
        <v>719</v>
      </c>
      <c r="H1" s="4">
        <f>L8+L13+L57+L62+L20+L68+L37+L47+L28+L76</f>
        <v>161.59087301587303</v>
      </c>
      <c r="I1" s="454" t="s">
        <v>720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45852</v>
      </c>
      <c r="B2" s="23" t="s">
        <v>447</v>
      </c>
      <c r="C2" s="2" t="s">
        <v>721</v>
      </c>
      <c r="D2" s="6">
        <f>AVERAGE(N8,N13,N57,N62,N20,N68,N28,N37,N47,N76)</f>
        <v>126.94518916749928</v>
      </c>
      <c r="E2" s="7" t="s">
        <v>0</v>
      </c>
      <c r="F2" s="8">
        <f>F1/D1</f>
        <v>33.159086226871771</v>
      </c>
      <c r="G2" s="1" t="s">
        <v>146</v>
      </c>
      <c r="H2" s="208">
        <f>COUNT(H5:H76)</f>
        <v>13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217</v>
      </c>
      <c r="B3" s="456" t="s">
        <v>116</v>
      </c>
      <c r="C3" s="456" t="s">
        <v>147</v>
      </c>
      <c r="D3" s="456"/>
      <c r="E3" s="457" t="s">
        <v>722</v>
      </c>
      <c r="F3" s="456" t="s">
        <v>723</v>
      </c>
      <c r="G3" s="457" t="s">
        <v>148</v>
      </c>
      <c r="H3" s="463" t="s">
        <v>223</v>
      </c>
      <c r="I3" s="464" t="s">
        <v>224</v>
      </c>
      <c r="J3" s="465" t="s">
        <v>724</v>
      </c>
      <c r="K3" s="459" t="s">
        <v>721</v>
      </c>
      <c r="L3" s="464" t="s">
        <v>224</v>
      </c>
      <c r="M3" s="465" t="s">
        <v>725</v>
      </c>
      <c r="N3" s="459" t="s">
        <v>114</v>
      </c>
      <c r="O3" s="464" t="s">
        <v>224</v>
      </c>
      <c r="P3" s="459" t="s">
        <v>726</v>
      </c>
      <c r="Q3" s="460" t="s">
        <v>727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728</v>
      </c>
      <c r="X3" s="456"/>
      <c r="Y3" s="475" t="s">
        <v>729</v>
      </c>
      <c r="Z3" s="476"/>
      <c r="AA3" s="465" t="s">
        <v>149</v>
      </c>
      <c r="AB3" s="460" t="s">
        <v>730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207" t="s">
        <v>3</v>
      </c>
      <c r="T4" s="207" t="s">
        <v>4</v>
      </c>
      <c r="U4" s="463"/>
      <c r="V4" s="463"/>
      <c r="W4" s="202" t="s">
        <v>151</v>
      </c>
      <c r="X4" s="202" t="s">
        <v>731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207">
        <v>1245</v>
      </c>
      <c r="G5" s="202">
        <f>E5*F5</f>
        <v>58427.85</v>
      </c>
      <c r="H5" s="76" t="s">
        <v>57</v>
      </c>
      <c r="I5" s="205">
        <v>17</v>
      </c>
      <c r="J5" s="18">
        <v>1800</v>
      </c>
      <c r="K5" s="9">
        <f>J5/I5</f>
        <v>105.88235294117646</v>
      </c>
      <c r="L5" s="205">
        <v>17</v>
      </c>
      <c r="M5" s="10">
        <f>F5/V5*60</f>
        <v>1623.9130434782608</v>
      </c>
      <c r="N5" s="9">
        <f>M5/L5</f>
        <v>95.524296675191806</v>
      </c>
      <c r="O5" s="11">
        <f t="shared" ref="O5:O7" si="0">L5-I5</f>
        <v>0</v>
      </c>
      <c r="P5" s="12">
        <f t="shared" ref="P5:P7" si="1">N5-K5</f>
        <v>-10.358056265984658</v>
      </c>
      <c r="Q5" s="203">
        <f>N5/K5</f>
        <v>0.90217391304347827</v>
      </c>
      <c r="R5" s="470">
        <f>Q8</f>
        <v>0.90271422688398217</v>
      </c>
      <c r="S5" s="24">
        <v>0.70833333333333337</v>
      </c>
      <c r="T5" s="24">
        <v>0.74027777777777781</v>
      </c>
      <c r="U5" s="202"/>
      <c r="V5" s="206">
        <f>(T5-S5)*24*60</f>
        <v>46</v>
      </c>
      <c r="W5" s="13"/>
      <c r="X5" s="13"/>
      <c r="Y5" s="456"/>
      <c r="Z5" s="456"/>
      <c r="AA5" s="11">
        <f t="shared" ref="AA5:AA68" si="2">M5-J5</f>
        <v>-176.08695652173924</v>
      </c>
      <c r="AB5" s="203">
        <f t="shared" ref="AB5:AB7" si="3">M5/J5</f>
        <v>0.90217391304347816</v>
      </c>
      <c r="AC5" s="470">
        <f>AB8</f>
        <v>0.90271422688398206</v>
      </c>
    </row>
    <row r="6" spans="1:29">
      <c r="A6" s="464" t="s">
        <v>732</v>
      </c>
      <c r="B6" s="26" t="s">
        <v>13</v>
      </c>
      <c r="C6" s="472" t="s">
        <v>60</v>
      </c>
      <c r="D6" s="472"/>
      <c r="E6" s="26">
        <v>50.49</v>
      </c>
      <c r="F6" s="207">
        <v>2223</v>
      </c>
      <c r="G6" s="202">
        <f t="shared" ref="G6:G7" si="4">E6*F6</f>
        <v>112239.27</v>
      </c>
      <c r="H6" s="76" t="s">
        <v>57</v>
      </c>
      <c r="I6" s="205">
        <v>16</v>
      </c>
      <c r="J6" s="18">
        <v>1800</v>
      </c>
      <c r="K6" s="9">
        <f t="shared" ref="K6:K7" si="5">J6/I6</f>
        <v>112.5</v>
      </c>
      <c r="L6" s="205">
        <v>16</v>
      </c>
      <c r="M6" s="10">
        <f>F6/V6*60</f>
        <v>1626.5853658536578</v>
      </c>
      <c r="N6" s="9">
        <f t="shared" ref="N6:N7" si="6">M6/L6</f>
        <v>101.66158536585361</v>
      </c>
      <c r="O6" s="11">
        <f t="shared" si="0"/>
        <v>0</v>
      </c>
      <c r="P6" s="12">
        <f t="shared" si="1"/>
        <v>-10.838414634146389</v>
      </c>
      <c r="Q6" s="203">
        <f t="shared" ref="Q6:Q7" si="7">N6/K6</f>
        <v>0.90365853658536544</v>
      </c>
      <c r="R6" s="470"/>
      <c r="S6" s="24">
        <v>0.74444444444444446</v>
      </c>
      <c r="T6" s="24">
        <v>0.80138888888888893</v>
      </c>
      <c r="U6" s="202">
        <f>(S6-T5)*24*60</f>
        <v>5.9999999999999787</v>
      </c>
      <c r="V6" s="206">
        <f>(T6-S6)*24*60</f>
        <v>82.000000000000028</v>
      </c>
      <c r="W6" s="14"/>
      <c r="X6" s="14"/>
      <c r="Y6" s="456"/>
      <c r="Z6" s="456"/>
      <c r="AA6" s="11">
        <f t="shared" si="2"/>
        <v>-173.41463414634222</v>
      </c>
      <c r="AB6" s="203">
        <f t="shared" si="3"/>
        <v>0.90365853658536544</v>
      </c>
      <c r="AC6" s="470"/>
    </row>
    <row r="7" spans="1:29">
      <c r="A7" s="464" t="s">
        <v>152</v>
      </c>
      <c r="B7" s="26" t="s">
        <v>13</v>
      </c>
      <c r="C7" s="468" t="s">
        <v>448</v>
      </c>
      <c r="D7" s="469"/>
      <c r="E7" s="26">
        <v>50.67</v>
      </c>
      <c r="F7" s="207">
        <v>2734</v>
      </c>
      <c r="G7" s="202">
        <f t="shared" si="4"/>
        <v>138531.78</v>
      </c>
      <c r="H7" s="76" t="s">
        <v>57</v>
      </c>
      <c r="I7" s="205">
        <v>18</v>
      </c>
      <c r="J7" s="18">
        <v>1800</v>
      </c>
      <c r="K7" s="9">
        <f t="shared" si="5"/>
        <v>100</v>
      </c>
      <c r="L7" s="205">
        <v>18</v>
      </c>
      <c r="M7" s="10">
        <f t="shared" ref="M7" si="8">F7/V7*60</f>
        <v>1624.1584158415849</v>
      </c>
      <c r="N7" s="9">
        <f t="shared" si="6"/>
        <v>90.231023102310274</v>
      </c>
      <c r="O7" s="11">
        <f t="shared" si="0"/>
        <v>0</v>
      </c>
      <c r="P7" s="12">
        <f t="shared" si="1"/>
        <v>-9.7689768976897255</v>
      </c>
      <c r="Q7" s="203">
        <f t="shared" si="7"/>
        <v>0.9023102310231027</v>
      </c>
      <c r="R7" s="470"/>
      <c r="S7" s="24">
        <v>0.80486111111111114</v>
      </c>
      <c r="T7" s="24">
        <v>0.875</v>
      </c>
      <c r="U7" s="202">
        <f t="shared" ref="U7" si="9">(S7-T6)*24*60</f>
        <v>4.9999999999999822</v>
      </c>
      <c r="V7" s="206">
        <f t="shared" ref="V7" si="10">(T7-S7)*24*60</f>
        <v>100.99999999999996</v>
      </c>
      <c r="W7" s="14"/>
      <c r="X7" s="14"/>
      <c r="Y7" s="473"/>
      <c r="Z7" s="474"/>
      <c r="AA7" s="11">
        <f t="shared" si="2"/>
        <v>-175.84158415841512</v>
      </c>
      <c r="AB7" s="203">
        <f t="shared" si="3"/>
        <v>0.9023102310231027</v>
      </c>
      <c r="AC7" s="470"/>
    </row>
    <row r="8" spans="1:29">
      <c r="A8" s="464" t="s">
        <v>733</v>
      </c>
      <c r="B8" s="26" t="s">
        <v>734</v>
      </c>
      <c r="C8" s="466"/>
      <c r="D8" s="466"/>
      <c r="E8" s="201"/>
      <c r="F8" s="16"/>
      <c r="G8" s="9"/>
      <c r="H8" s="207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1624.8856083911678</v>
      </c>
      <c r="N8" s="9">
        <f>M8/L8</f>
        <v>95.581506375951051</v>
      </c>
      <c r="O8" s="11">
        <f>L8-I8</f>
        <v>0</v>
      </c>
      <c r="P8" s="12">
        <f>N8-K8</f>
        <v>-10.300846565225413</v>
      </c>
      <c r="Q8" s="203">
        <f>N8/K8</f>
        <v>0.90271422688398217</v>
      </c>
      <c r="R8" s="470"/>
      <c r="S8" s="24"/>
      <c r="T8" s="24"/>
      <c r="U8" s="202"/>
      <c r="V8" s="206"/>
      <c r="W8" s="9"/>
      <c r="X8" s="9"/>
      <c r="Y8" s="456"/>
      <c r="Z8" s="456"/>
      <c r="AA8" s="11">
        <f t="shared" si="2"/>
        <v>-175.11439160883219</v>
      </c>
      <c r="AB8" s="203">
        <f>M8/J8</f>
        <v>0.90271422688398206</v>
      </c>
      <c r="AC8" s="470"/>
    </row>
    <row r="9" spans="1:29" ht="15.75" customHeight="1">
      <c r="A9" s="467" t="s">
        <v>735</v>
      </c>
      <c r="B9" s="26" t="s">
        <v>15</v>
      </c>
      <c r="C9" s="468" t="s">
        <v>16</v>
      </c>
      <c r="D9" s="469"/>
      <c r="E9" s="26">
        <v>39.619999999999997</v>
      </c>
      <c r="F9" s="207">
        <v>2000</v>
      </c>
      <c r="G9" s="202">
        <f t="shared" ref="G9:G12" si="11">E9*F9</f>
        <v>79240</v>
      </c>
      <c r="H9" s="76">
        <v>2</v>
      </c>
      <c r="I9" s="205">
        <v>19</v>
      </c>
      <c r="J9" s="18">
        <v>1500</v>
      </c>
      <c r="K9" s="9">
        <f t="shared" ref="K9:K12" si="12">J9/I9</f>
        <v>78.94736842105263</v>
      </c>
      <c r="L9" s="205">
        <v>19</v>
      </c>
      <c r="M9" s="10">
        <f t="shared" ref="M9:M12" si="13">F9/V9*60</f>
        <v>1348.3146067415732</v>
      </c>
      <c r="N9" s="9">
        <f t="shared" ref="N9:N12" si="14">M9/L9</f>
        <v>70.963926670609112</v>
      </c>
      <c r="O9" s="11">
        <f t="shared" ref="O9:O12" si="15">L9-I9</f>
        <v>0</v>
      </c>
      <c r="P9" s="12">
        <f>N9-K9</f>
        <v>-7.983441750443518</v>
      </c>
      <c r="Q9" s="203">
        <f>N9/K9</f>
        <v>0.89887640449438211</v>
      </c>
      <c r="R9" s="470">
        <f>Q13</f>
        <v>0.89792160724179837</v>
      </c>
      <c r="S9" s="24">
        <v>0.12916666666666668</v>
      </c>
      <c r="T9" s="24">
        <v>0.19097222222222224</v>
      </c>
      <c r="U9" s="202"/>
      <c r="V9" s="206">
        <f t="shared" ref="V9:V12" si="16">(T9-S9)*24*60</f>
        <v>89</v>
      </c>
      <c r="W9" s="9"/>
      <c r="X9" s="9"/>
      <c r="Y9" s="456"/>
      <c r="Z9" s="456"/>
      <c r="AA9" s="11">
        <f t="shared" si="2"/>
        <v>-151.68539325842676</v>
      </c>
      <c r="AB9" s="203">
        <f>M9/J9</f>
        <v>0.89887640449438211</v>
      </c>
      <c r="AC9" s="470">
        <f>AB13</f>
        <v>0.89792160724179837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207">
        <v>3500</v>
      </c>
      <c r="G10" s="202">
        <f t="shared" si="11"/>
        <v>139300</v>
      </c>
      <c r="H10" s="76">
        <v>2</v>
      </c>
      <c r="I10" s="205">
        <v>18</v>
      </c>
      <c r="J10" s="18">
        <v>1500</v>
      </c>
      <c r="K10" s="9">
        <f t="shared" si="12"/>
        <v>83.333333333333329</v>
      </c>
      <c r="L10" s="205">
        <v>18</v>
      </c>
      <c r="M10" s="10">
        <f t="shared" si="13"/>
        <v>1346.1538461538457</v>
      </c>
      <c r="N10" s="9">
        <f t="shared" si="14"/>
        <v>74.786324786324769</v>
      </c>
      <c r="O10" s="11">
        <f t="shared" si="15"/>
        <v>0</v>
      </c>
      <c r="P10" s="12">
        <f t="shared" ref="P10:P12" si="17">N10-K10</f>
        <v>-8.5470085470085593</v>
      </c>
      <c r="Q10" s="203">
        <f t="shared" ref="Q10:Q12" si="18">N10/K10</f>
        <v>0.89743589743589725</v>
      </c>
      <c r="R10" s="470"/>
      <c r="S10" s="24">
        <v>0.21805555555555559</v>
      </c>
      <c r="T10" s="24">
        <v>0.32638888888888895</v>
      </c>
      <c r="U10" s="202">
        <f>(S10-T9)*24*60</f>
        <v>39.000000000000021</v>
      </c>
      <c r="V10" s="206">
        <f t="shared" si="16"/>
        <v>156.00000000000003</v>
      </c>
      <c r="W10" s="14"/>
      <c r="X10" s="14"/>
      <c r="Y10" s="456"/>
      <c r="Z10" s="456"/>
      <c r="AA10" s="11">
        <f t="shared" si="2"/>
        <v>-153.84615384615427</v>
      </c>
      <c r="AB10" s="203">
        <f t="shared" ref="AB10:AB28" si="19">M10/J10</f>
        <v>0.89743589743589713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207">
        <v>4341</v>
      </c>
      <c r="G11" s="202">
        <f t="shared" si="11"/>
        <v>170557.88999999998</v>
      </c>
      <c r="H11" s="76" t="s">
        <v>57</v>
      </c>
      <c r="I11" s="205">
        <v>19</v>
      </c>
      <c r="J11" s="18">
        <v>1500</v>
      </c>
      <c r="K11" s="9">
        <f t="shared" si="12"/>
        <v>78.94736842105263</v>
      </c>
      <c r="L11" s="205">
        <v>19</v>
      </c>
      <c r="M11" s="10">
        <f t="shared" si="13"/>
        <v>1342.5773195876293</v>
      </c>
      <c r="N11" s="9">
        <f t="shared" si="14"/>
        <v>70.661964188822594</v>
      </c>
      <c r="O11" s="11">
        <f t="shared" si="15"/>
        <v>0</v>
      </c>
      <c r="P11" s="12">
        <f t="shared" si="17"/>
        <v>-8.2854042322300359</v>
      </c>
      <c r="Q11" s="203">
        <f t="shared" si="18"/>
        <v>0.89505154639175288</v>
      </c>
      <c r="R11" s="470"/>
      <c r="S11" s="24">
        <v>0.3354166666666667</v>
      </c>
      <c r="T11" s="24">
        <v>0.47013888888888888</v>
      </c>
      <c r="U11" s="202">
        <f t="shared" ref="U11:U12" si="20">(S11-T10)*24*60</f>
        <v>12.999999999999954</v>
      </c>
      <c r="V11" s="206">
        <f t="shared" si="16"/>
        <v>193.99999999999994</v>
      </c>
      <c r="W11" s="14"/>
      <c r="X11" s="14"/>
      <c r="Y11" s="456"/>
      <c r="Z11" s="456"/>
      <c r="AA11" s="11">
        <f t="shared" si="2"/>
        <v>-157.42268041237071</v>
      </c>
      <c r="AB11" s="203">
        <f t="shared" si="19"/>
        <v>0.89505154639175288</v>
      </c>
      <c r="AC11" s="470"/>
    </row>
    <row r="12" spans="1:29" ht="15.75" customHeight="1">
      <c r="A12" s="467" t="s">
        <v>5</v>
      </c>
      <c r="B12" s="26" t="s">
        <v>15</v>
      </c>
      <c r="C12" s="468" t="s">
        <v>16</v>
      </c>
      <c r="D12" s="469"/>
      <c r="E12" s="26">
        <v>39.619999999999997</v>
      </c>
      <c r="F12" s="207">
        <v>2791</v>
      </c>
      <c r="G12" s="202">
        <f t="shared" si="11"/>
        <v>110579.42</v>
      </c>
      <c r="H12" s="76" t="s">
        <v>57</v>
      </c>
      <c r="I12" s="205">
        <v>19</v>
      </c>
      <c r="J12" s="18">
        <v>1500</v>
      </c>
      <c r="K12" s="9">
        <f t="shared" si="12"/>
        <v>78.94736842105263</v>
      </c>
      <c r="L12" s="205">
        <v>19</v>
      </c>
      <c r="M12" s="10">
        <f t="shared" si="13"/>
        <v>1350.4838709677415</v>
      </c>
      <c r="N12" s="9">
        <f t="shared" si="14"/>
        <v>71.078098471986394</v>
      </c>
      <c r="O12" s="11">
        <f t="shared" si="15"/>
        <v>0</v>
      </c>
      <c r="P12" s="12">
        <f t="shared" si="17"/>
        <v>-7.8692699490662363</v>
      </c>
      <c r="Q12" s="203">
        <f t="shared" si="18"/>
        <v>0.90032258064516102</v>
      </c>
      <c r="R12" s="470"/>
      <c r="S12" s="24">
        <v>0.50902777777777775</v>
      </c>
      <c r="T12" s="24">
        <v>0.59513888888888888</v>
      </c>
      <c r="U12" s="202">
        <f t="shared" si="20"/>
        <v>55.999999999999957</v>
      </c>
      <c r="V12" s="206">
        <f t="shared" si="16"/>
        <v>124.00000000000004</v>
      </c>
      <c r="W12" s="14"/>
      <c r="X12" s="14"/>
      <c r="Y12" s="456"/>
      <c r="Z12" s="456"/>
      <c r="AA12" s="11">
        <f t="shared" si="2"/>
        <v>-149.5161290322585</v>
      </c>
      <c r="AB12" s="203">
        <f t="shared" si="19"/>
        <v>0.90032258064516102</v>
      </c>
      <c r="AC12" s="470"/>
    </row>
    <row r="13" spans="1:29" ht="16.5" customHeight="1">
      <c r="A13" s="467" t="s">
        <v>5</v>
      </c>
      <c r="B13" s="26" t="s">
        <v>736</v>
      </c>
      <c r="C13" s="466"/>
      <c r="D13" s="466"/>
      <c r="E13" s="201"/>
      <c r="F13" s="18"/>
      <c r="G13" s="10"/>
      <c r="H13" s="207"/>
      <c r="I13" s="17">
        <v>18.75</v>
      </c>
      <c r="J13" s="18">
        <v>1500</v>
      </c>
      <c r="K13" s="9">
        <f>J13/I13</f>
        <v>80</v>
      </c>
      <c r="L13" s="17">
        <v>18.75</v>
      </c>
      <c r="M13" s="10">
        <f>AVERAGE(M9:M12)</f>
        <v>1346.8824108626975</v>
      </c>
      <c r="N13" s="9">
        <f>M13/L13</f>
        <v>71.83372857934387</v>
      </c>
      <c r="O13" s="11">
        <f>L13-I13</f>
        <v>0</v>
      </c>
      <c r="P13" s="12">
        <f>N13-K13</f>
        <v>-8.1662714206561304</v>
      </c>
      <c r="Q13" s="203">
        <f>N13/K13</f>
        <v>0.89792160724179837</v>
      </c>
      <c r="R13" s="470"/>
      <c r="S13" s="24"/>
      <c r="T13" s="24"/>
      <c r="U13" s="9"/>
      <c r="V13" s="206"/>
      <c r="W13" s="9"/>
      <c r="X13" s="9"/>
      <c r="Y13" s="456"/>
      <c r="Z13" s="456"/>
      <c r="AA13" s="11">
        <f t="shared" si="2"/>
        <v>-153.1175891373025</v>
      </c>
      <c r="AB13" s="203">
        <f t="shared" si="19"/>
        <v>0.89792160724179837</v>
      </c>
      <c r="AC13" s="470"/>
    </row>
    <row r="14" spans="1:29" ht="16.5" customHeight="1">
      <c r="A14" s="480" t="s">
        <v>737</v>
      </c>
      <c r="B14" s="207" t="s">
        <v>18</v>
      </c>
      <c r="C14" s="477" t="s">
        <v>19</v>
      </c>
      <c r="D14" s="477"/>
      <c r="E14" s="26">
        <v>41</v>
      </c>
      <c r="F14" s="207">
        <v>1739</v>
      </c>
      <c r="G14" s="202">
        <f t="shared" ref="G14:G19" si="21">E14*F14</f>
        <v>71299</v>
      </c>
      <c r="H14" s="76" t="s">
        <v>57</v>
      </c>
      <c r="I14" s="205">
        <v>26</v>
      </c>
      <c r="J14" s="18">
        <v>1286</v>
      </c>
      <c r="K14" s="9">
        <f>J14/I14</f>
        <v>49.46153846153846</v>
      </c>
      <c r="L14" s="205">
        <v>26</v>
      </c>
      <c r="M14" s="10">
        <f>F14/V14*60</f>
        <v>1159.3333333333328</v>
      </c>
      <c r="N14" s="9">
        <f t="shared" ref="N14:N27" si="22">M14/L14</f>
        <v>44.58974358974357</v>
      </c>
      <c r="O14" s="11">
        <f t="shared" ref="O14" si="23">L14-I14</f>
        <v>0</v>
      </c>
      <c r="P14" s="12">
        <f t="shared" ref="P14" si="24">N14-K14</f>
        <v>-4.87179487179489</v>
      </c>
      <c r="Q14" s="203">
        <f>N14/K14</f>
        <v>0.90150336962156519</v>
      </c>
      <c r="R14" s="470">
        <f>Q20</f>
        <v>0.90134166242780134</v>
      </c>
      <c r="S14" s="24">
        <v>0.20833333333333334</v>
      </c>
      <c r="T14" s="24">
        <v>0.27083333333333337</v>
      </c>
      <c r="U14" s="202"/>
      <c r="V14" s="206">
        <f>(T14-S14)*24*60</f>
        <v>90.000000000000043</v>
      </c>
      <c r="W14" s="15"/>
      <c r="X14" s="15"/>
      <c r="Y14" s="456"/>
      <c r="Z14" s="456"/>
      <c r="AA14" s="11">
        <f t="shared" si="2"/>
        <v>-126.6666666666672</v>
      </c>
      <c r="AB14" s="203">
        <f t="shared" si="19"/>
        <v>0.90150336962156519</v>
      </c>
      <c r="AC14" s="470">
        <f>AB20</f>
        <v>0.90134166242780134</v>
      </c>
    </row>
    <row r="15" spans="1:29" ht="16.5" customHeight="1">
      <c r="A15" s="481" t="s">
        <v>6</v>
      </c>
      <c r="B15" s="207" t="s">
        <v>15</v>
      </c>
      <c r="C15" s="477" t="s">
        <v>68</v>
      </c>
      <c r="D15" s="477"/>
      <c r="E15" s="26">
        <v>39.29</v>
      </c>
      <c r="F15" s="207">
        <v>2271</v>
      </c>
      <c r="G15" s="202">
        <f t="shared" si="21"/>
        <v>89227.59</v>
      </c>
      <c r="H15" s="76" t="s">
        <v>57</v>
      </c>
      <c r="I15" s="205">
        <v>18</v>
      </c>
      <c r="J15" s="18">
        <v>1500</v>
      </c>
      <c r="K15" s="9">
        <f>J15/I15</f>
        <v>83.333333333333329</v>
      </c>
      <c r="L15" s="205">
        <v>18</v>
      </c>
      <c r="M15" s="10">
        <f>F15/V15*60</f>
        <v>1349.1089108910896</v>
      </c>
      <c r="N15" s="9">
        <f t="shared" si="22"/>
        <v>74.95049504950498</v>
      </c>
      <c r="O15" s="11">
        <f>L15-I15</f>
        <v>0</v>
      </c>
      <c r="P15" s="12">
        <f>N15-K15</f>
        <v>-8.3828382838283488</v>
      </c>
      <c r="Q15" s="203">
        <f>N15/K15</f>
        <v>0.89940594059405976</v>
      </c>
      <c r="R15" s="470"/>
      <c r="S15" s="24">
        <v>0.28055555555555556</v>
      </c>
      <c r="T15" s="24">
        <v>0.35069444444444442</v>
      </c>
      <c r="U15" s="202">
        <f>(S15-T14)*24*60</f>
        <v>13.99999999999995</v>
      </c>
      <c r="V15" s="206">
        <f>(T15-S15)*24*60</f>
        <v>100.99999999999996</v>
      </c>
      <c r="W15" s="14"/>
      <c r="X15" s="14"/>
      <c r="Y15" s="456"/>
      <c r="Z15" s="456"/>
      <c r="AA15" s="11">
        <f t="shared" si="2"/>
        <v>-150.89108910891036</v>
      </c>
      <c r="AB15" s="203">
        <f t="shared" si="19"/>
        <v>0.89940594059405976</v>
      </c>
      <c r="AC15" s="470"/>
    </row>
    <row r="16" spans="1:29" ht="16.5" customHeight="1">
      <c r="A16" s="481" t="s">
        <v>6</v>
      </c>
      <c r="B16" s="207" t="s">
        <v>15</v>
      </c>
      <c r="C16" s="477" t="s">
        <v>54</v>
      </c>
      <c r="D16" s="477"/>
      <c r="E16" s="26">
        <v>39.29</v>
      </c>
      <c r="F16" s="207">
        <v>3664</v>
      </c>
      <c r="G16" s="202">
        <f t="shared" si="21"/>
        <v>143958.56</v>
      </c>
      <c r="H16" s="76" t="s">
        <v>57</v>
      </c>
      <c r="I16" s="205">
        <v>17</v>
      </c>
      <c r="J16" s="18">
        <v>1500</v>
      </c>
      <c r="K16" s="9">
        <f t="shared" ref="K16:K19" si="25">J16/I16</f>
        <v>88.235294117647058</v>
      </c>
      <c r="L16" s="205">
        <v>17</v>
      </c>
      <c r="M16" s="10">
        <f t="shared" ref="M16:M18" si="26">F16/V16*60</f>
        <v>1348.7116564417181</v>
      </c>
      <c r="N16" s="9">
        <f t="shared" si="22"/>
        <v>79.335979790689294</v>
      </c>
      <c r="O16" s="11">
        <f t="shared" ref="O16:O19" si="27">L16-I16</f>
        <v>0</v>
      </c>
      <c r="P16" s="12">
        <f t="shared" ref="P16:P19" si="28">N16-K16</f>
        <v>-8.8993143269577644</v>
      </c>
      <c r="Q16" s="203">
        <f t="shared" ref="Q16:Q27" si="29">N16/K16</f>
        <v>0.89914110429447869</v>
      </c>
      <c r="R16" s="470"/>
      <c r="S16" s="24">
        <v>0.35972222222222217</v>
      </c>
      <c r="T16" s="24">
        <v>0.4729166666666666</v>
      </c>
      <c r="U16" s="202">
        <f t="shared" ref="U16:U19" si="30">(S16-T15)*24*60</f>
        <v>12.999999999999954</v>
      </c>
      <c r="V16" s="206">
        <f t="shared" ref="V16:V19" si="31">(T16-S16)*24*60</f>
        <v>162.99999999999997</v>
      </c>
      <c r="W16" s="14"/>
      <c r="X16" s="14"/>
      <c r="Y16" s="456"/>
      <c r="Z16" s="456"/>
      <c r="AA16" s="11">
        <f t="shared" si="2"/>
        <v>-151.28834355828189</v>
      </c>
      <c r="AB16" s="203">
        <f t="shared" si="19"/>
        <v>0.89914110429447869</v>
      </c>
      <c r="AC16" s="470"/>
    </row>
    <row r="17" spans="1:29" ht="16.5" customHeight="1">
      <c r="A17" s="481" t="s">
        <v>6</v>
      </c>
      <c r="B17" s="207" t="s">
        <v>15</v>
      </c>
      <c r="C17" s="477" t="s">
        <v>17</v>
      </c>
      <c r="D17" s="477"/>
      <c r="E17" s="26">
        <v>39.799999999999997</v>
      </c>
      <c r="F17" s="207">
        <v>3024</v>
      </c>
      <c r="G17" s="202">
        <f t="shared" si="21"/>
        <v>120355.2</v>
      </c>
      <c r="H17" s="76" t="s">
        <v>57</v>
      </c>
      <c r="I17" s="205">
        <v>18</v>
      </c>
      <c r="J17" s="18">
        <v>1500</v>
      </c>
      <c r="K17" s="9">
        <f t="shared" si="25"/>
        <v>83.333333333333329</v>
      </c>
      <c r="L17" s="205">
        <v>18</v>
      </c>
      <c r="M17" s="10">
        <f t="shared" si="26"/>
        <v>1354.0298507462687</v>
      </c>
      <c r="N17" s="9">
        <f t="shared" si="22"/>
        <v>75.223880597014926</v>
      </c>
      <c r="O17" s="11">
        <f t="shared" si="27"/>
        <v>0</v>
      </c>
      <c r="P17" s="12">
        <f t="shared" si="28"/>
        <v>-8.1094527363184028</v>
      </c>
      <c r="Q17" s="203">
        <f t="shared" si="29"/>
        <v>0.90268656716417917</v>
      </c>
      <c r="R17" s="470"/>
      <c r="S17" s="24">
        <v>0.51249999999999984</v>
      </c>
      <c r="T17" s="24">
        <v>0.6055555555555554</v>
      </c>
      <c r="U17" s="202">
        <f t="shared" si="30"/>
        <v>56.999999999999879</v>
      </c>
      <c r="V17" s="206">
        <f t="shared" si="31"/>
        <v>134</v>
      </c>
      <c r="W17" s="14"/>
      <c r="X17" s="14"/>
      <c r="Y17" s="456"/>
      <c r="Z17" s="456"/>
      <c r="AA17" s="11">
        <f t="shared" si="2"/>
        <v>-145.97014925373128</v>
      </c>
      <c r="AB17" s="203">
        <f t="shared" si="19"/>
        <v>0.90268656716417917</v>
      </c>
      <c r="AC17" s="470"/>
    </row>
    <row r="18" spans="1:29" ht="16.5" customHeight="1">
      <c r="A18" s="481" t="s">
        <v>6</v>
      </c>
      <c r="B18" s="207" t="s">
        <v>13</v>
      </c>
      <c r="C18" s="477" t="s">
        <v>63</v>
      </c>
      <c r="D18" s="477"/>
      <c r="E18" s="26">
        <v>50.98</v>
      </c>
      <c r="F18" s="207">
        <v>2804</v>
      </c>
      <c r="G18" s="202">
        <f t="shared" si="21"/>
        <v>142947.91999999998</v>
      </c>
      <c r="H18" s="76" t="s">
        <v>57</v>
      </c>
      <c r="I18" s="205">
        <v>17</v>
      </c>
      <c r="J18" s="18">
        <v>1800</v>
      </c>
      <c r="K18" s="9">
        <f t="shared" si="25"/>
        <v>105.88235294117646</v>
      </c>
      <c r="L18" s="205">
        <v>17</v>
      </c>
      <c r="M18" s="10">
        <f t="shared" si="26"/>
        <v>1617.6923076923088</v>
      </c>
      <c r="N18" s="9">
        <f t="shared" si="22"/>
        <v>95.158371040724049</v>
      </c>
      <c r="O18" s="11">
        <f t="shared" si="27"/>
        <v>0</v>
      </c>
      <c r="P18" s="12">
        <f t="shared" si="28"/>
        <v>-10.723981900452415</v>
      </c>
      <c r="Q18" s="203">
        <f t="shared" si="29"/>
        <v>0.89871794871794941</v>
      </c>
      <c r="R18" s="470"/>
      <c r="S18" s="24">
        <v>0.70833333333333337</v>
      </c>
      <c r="T18" s="24">
        <v>0.78055555555555556</v>
      </c>
      <c r="U18" s="202">
        <f t="shared" si="30"/>
        <v>148.00000000000028</v>
      </c>
      <c r="V18" s="206">
        <f t="shared" si="31"/>
        <v>103.99999999999994</v>
      </c>
      <c r="W18" s="14"/>
      <c r="X18" s="14"/>
      <c r="Y18" s="456"/>
      <c r="Z18" s="456"/>
      <c r="AA18" s="11">
        <f t="shared" si="2"/>
        <v>-182.30769230769124</v>
      </c>
      <c r="AB18" s="203">
        <f t="shared" si="19"/>
        <v>0.8987179487179493</v>
      </c>
      <c r="AC18" s="470"/>
    </row>
    <row r="19" spans="1:29" ht="16.5" customHeight="1">
      <c r="A19" s="481" t="s">
        <v>6</v>
      </c>
      <c r="B19" s="207" t="s">
        <v>13</v>
      </c>
      <c r="C19" s="482" t="s">
        <v>66</v>
      </c>
      <c r="D19" s="483"/>
      <c r="E19" s="26">
        <v>57.73</v>
      </c>
      <c r="F19" s="207">
        <v>1905</v>
      </c>
      <c r="G19" s="202">
        <f t="shared" si="21"/>
        <v>109975.65</v>
      </c>
      <c r="H19" s="76" t="s">
        <v>57</v>
      </c>
      <c r="I19" s="205">
        <v>16</v>
      </c>
      <c r="J19" s="18">
        <v>1500</v>
      </c>
      <c r="K19" s="9">
        <f t="shared" si="25"/>
        <v>93.75</v>
      </c>
      <c r="L19" s="205">
        <v>16</v>
      </c>
      <c r="M19" s="10">
        <f>F19/V19*60</f>
        <v>1360.7142857142851</v>
      </c>
      <c r="N19" s="9">
        <f t="shared" si="22"/>
        <v>85.044642857142819</v>
      </c>
      <c r="O19" s="11">
        <f t="shared" si="27"/>
        <v>0</v>
      </c>
      <c r="P19" s="12">
        <f t="shared" si="28"/>
        <v>-8.7053571428571814</v>
      </c>
      <c r="Q19" s="203">
        <f t="shared" si="29"/>
        <v>0.9071428571428567</v>
      </c>
      <c r="R19" s="470"/>
      <c r="S19" s="24">
        <v>0.78611111111111109</v>
      </c>
      <c r="T19" s="24">
        <v>0.84444444444444444</v>
      </c>
      <c r="U19" s="202">
        <f t="shared" si="30"/>
        <v>7.9999999999999716</v>
      </c>
      <c r="V19" s="206">
        <f t="shared" si="31"/>
        <v>84.000000000000028</v>
      </c>
      <c r="W19" s="14"/>
      <c r="X19" s="14"/>
      <c r="Y19" s="473"/>
      <c r="Z19" s="474"/>
      <c r="AA19" s="11">
        <f t="shared" si="2"/>
        <v>-139.2857142857149</v>
      </c>
      <c r="AB19" s="203">
        <f t="shared" si="19"/>
        <v>0.9071428571428567</v>
      </c>
      <c r="AC19" s="470"/>
    </row>
    <row r="20" spans="1:29" ht="16.5" customHeight="1">
      <c r="A20" s="481" t="s">
        <v>6</v>
      </c>
      <c r="B20" s="26" t="s">
        <v>734</v>
      </c>
      <c r="C20" s="466"/>
      <c r="D20" s="466"/>
      <c r="E20" s="201"/>
      <c r="F20" s="16"/>
      <c r="G20" s="9"/>
      <c r="H20" s="207"/>
      <c r="I20" s="17">
        <v>18.666666666666668</v>
      </c>
      <c r="J20" s="18">
        <v>1514.3333333333333</v>
      </c>
      <c r="K20" s="9">
        <f>J20/I20</f>
        <v>81.124999999999986</v>
      </c>
      <c r="L20" s="17">
        <v>18.666666666666668</v>
      </c>
      <c r="M20" s="10">
        <f>AVERAGE(M14:M19)</f>
        <v>1364.9317241365004</v>
      </c>
      <c r="N20" s="9">
        <f t="shared" si="22"/>
        <v>73.121342364455373</v>
      </c>
      <c r="O20" s="11">
        <f>L20-I20</f>
        <v>0</v>
      </c>
      <c r="P20" s="12">
        <f>N20-K20</f>
        <v>-8.003657635544613</v>
      </c>
      <c r="Q20" s="203">
        <f t="shared" si="29"/>
        <v>0.90134166242780134</v>
      </c>
      <c r="R20" s="470"/>
      <c r="S20" s="24"/>
      <c r="T20" s="24"/>
      <c r="U20" s="202"/>
      <c r="V20" s="206"/>
      <c r="W20" s="9"/>
      <c r="X20" s="9"/>
      <c r="Y20" s="456"/>
      <c r="Z20" s="456"/>
      <c r="AA20" s="11">
        <f t="shared" si="2"/>
        <v>-149.40160919683285</v>
      </c>
      <c r="AB20" s="203">
        <f t="shared" si="19"/>
        <v>0.90134166242780134</v>
      </c>
      <c r="AC20" s="470"/>
    </row>
    <row r="21" spans="1:29" ht="15.75" customHeight="1">
      <c r="A21" s="478" t="s">
        <v>738</v>
      </c>
      <c r="B21" s="26" t="s">
        <v>21</v>
      </c>
      <c r="C21" s="477" t="s">
        <v>22</v>
      </c>
      <c r="D21" s="477"/>
      <c r="E21" s="26">
        <v>43.14</v>
      </c>
      <c r="F21" s="207">
        <v>1355</v>
      </c>
      <c r="G21" s="202">
        <f t="shared" ref="G21:G27" si="32">E21*F21</f>
        <v>58454.700000000004</v>
      </c>
      <c r="H21" s="76" t="s">
        <v>57</v>
      </c>
      <c r="I21" s="205">
        <v>17</v>
      </c>
      <c r="J21" s="18">
        <v>1200</v>
      </c>
      <c r="K21" s="9">
        <f t="shared" ref="K21:K28" si="33">J21/I21</f>
        <v>70.588235294117652</v>
      </c>
      <c r="L21" s="205">
        <v>17</v>
      </c>
      <c r="M21" s="10">
        <f t="shared" ref="M21:M27" si="34">F21/V21*60</f>
        <v>1084.0000000000005</v>
      </c>
      <c r="N21" s="9">
        <f t="shared" si="22"/>
        <v>63.76470588235297</v>
      </c>
      <c r="O21" s="11">
        <f t="shared" ref="O21:O27" si="35">L21-I21</f>
        <v>0</v>
      </c>
      <c r="P21" s="12">
        <f t="shared" ref="P21:P27" si="36">N21-K21</f>
        <v>-6.8235294117646816</v>
      </c>
      <c r="Q21" s="203">
        <f t="shared" si="29"/>
        <v>0.90333333333333365</v>
      </c>
      <c r="R21" s="470">
        <f>Q28</f>
        <v>0.90907538578888625</v>
      </c>
      <c r="S21" s="24">
        <v>0.25</v>
      </c>
      <c r="T21" s="24">
        <v>0.30208333333333331</v>
      </c>
      <c r="U21" s="202"/>
      <c r="V21" s="206">
        <f>(T21-S21)*24*60</f>
        <v>74.999999999999972</v>
      </c>
      <c r="W21" s="15"/>
      <c r="X21" s="15"/>
      <c r="Y21" s="456"/>
      <c r="Z21" s="456"/>
      <c r="AA21" s="11">
        <f t="shared" si="2"/>
        <v>-115.99999999999955</v>
      </c>
      <c r="AB21" s="203">
        <f t="shared" si="19"/>
        <v>0.90333333333333377</v>
      </c>
      <c r="AC21" s="470">
        <f>AB28</f>
        <v>0.90907538578888625</v>
      </c>
    </row>
    <row r="22" spans="1:29" ht="15.75" customHeight="1">
      <c r="A22" s="479" t="s">
        <v>7</v>
      </c>
      <c r="B22" s="26" t="s">
        <v>13</v>
      </c>
      <c r="C22" s="477" t="s">
        <v>23</v>
      </c>
      <c r="D22" s="477"/>
      <c r="E22" s="26">
        <v>57.73</v>
      </c>
      <c r="F22" s="207">
        <v>3088</v>
      </c>
      <c r="G22" s="202">
        <f t="shared" si="32"/>
        <v>178270.24</v>
      </c>
      <c r="H22" s="76" t="s">
        <v>57</v>
      </c>
      <c r="I22" s="205">
        <v>16</v>
      </c>
      <c r="J22" s="18">
        <v>1800</v>
      </c>
      <c r="K22" s="9">
        <f t="shared" si="33"/>
        <v>112.5</v>
      </c>
      <c r="L22" s="205">
        <v>16</v>
      </c>
      <c r="M22" s="10">
        <f t="shared" si="34"/>
        <v>1625.2631578947369</v>
      </c>
      <c r="N22" s="9">
        <f t="shared" si="22"/>
        <v>101.57894736842105</v>
      </c>
      <c r="O22" s="11">
        <f t="shared" si="35"/>
        <v>0</v>
      </c>
      <c r="P22" s="12">
        <f t="shared" si="36"/>
        <v>-10.921052631578945</v>
      </c>
      <c r="Q22" s="203">
        <f t="shared" si="29"/>
        <v>0.90292397660818713</v>
      </c>
      <c r="R22" s="470"/>
      <c r="S22" s="24">
        <v>0.30624999999999997</v>
      </c>
      <c r="T22" s="24">
        <v>0.38541666666666663</v>
      </c>
      <c r="U22" s="202">
        <f>(S22-T21)*24*60</f>
        <v>5.9999999999999787</v>
      </c>
      <c r="V22" s="206">
        <f t="shared" ref="V22:V27" si="37">(T22-S22)*24*60</f>
        <v>114</v>
      </c>
      <c r="W22" s="14"/>
      <c r="X22" s="202"/>
      <c r="Y22" s="456"/>
      <c r="Z22" s="456"/>
      <c r="AA22" s="11">
        <f t="shared" si="2"/>
        <v>-174.73684210526312</v>
      </c>
      <c r="AB22" s="203">
        <f t="shared" si="19"/>
        <v>0.90292397660818713</v>
      </c>
      <c r="AC22" s="470"/>
    </row>
    <row r="23" spans="1:29" ht="15.75" customHeight="1">
      <c r="A23" s="479" t="s">
        <v>7</v>
      </c>
      <c r="B23" s="26" t="s">
        <v>13</v>
      </c>
      <c r="C23" s="477" t="s">
        <v>14</v>
      </c>
      <c r="D23" s="477"/>
      <c r="E23" s="26">
        <v>53.68</v>
      </c>
      <c r="F23" s="207">
        <v>2020</v>
      </c>
      <c r="G23" s="202">
        <f t="shared" si="32"/>
        <v>108433.60000000001</v>
      </c>
      <c r="H23" s="76" t="s">
        <v>57</v>
      </c>
      <c r="I23" s="205">
        <v>17</v>
      </c>
      <c r="J23" s="18">
        <v>1800</v>
      </c>
      <c r="K23" s="9">
        <f t="shared" si="33"/>
        <v>105.88235294117646</v>
      </c>
      <c r="L23" s="205">
        <v>17</v>
      </c>
      <c r="M23" s="10">
        <f t="shared" si="34"/>
        <v>1616.0000000000007</v>
      </c>
      <c r="N23" s="9">
        <f t="shared" si="22"/>
        <v>95.058823529411811</v>
      </c>
      <c r="O23" s="11">
        <f t="shared" si="35"/>
        <v>0</v>
      </c>
      <c r="P23" s="12">
        <f t="shared" si="36"/>
        <v>-10.823529411764653</v>
      </c>
      <c r="Q23" s="203">
        <f t="shared" si="29"/>
        <v>0.89777777777777823</v>
      </c>
      <c r="R23" s="470"/>
      <c r="S23" s="24">
        <v>0.39097222222222217</v>
      </c>
      <c r="T23" s="24">
        <v>0.44305555555555548</v>
      </c>
      <c r="U23" s="202">
        <f t="shared" ref="U23:U27" si="38">(S23-T22)*24*60</f>
        <v>7.9999999999999716</v>
      </c>
      <c r="V23" s="206">
        <f t="shared" si="37"/>
        <v>74.999999999999972</v>
      </c>
      <c r="W23" s="14"/>
      <c r="X23" s="202"/>
      <c r="Y23" s="456"/>
      <c r="Z23" s="456"/>
      <c r="AA23" s="11">
        <f t="shared" si="2"/>
        <v>-183.99999999999932</v>
      </c>
      <c r="AB23" s="203">
        <f t="shared" si="19"/>
        <v>0.89777777777777812</v>
      </c>
      <c r="AC23" s="470"/>
    </row>
    <row r="24" spans="1:29" ht="15.75" customHeight="1">
      <c r="A24" s="479" t="s">
        <v>7</v>
      </c>
      <c r="B24" s="26" t="s">
        <v>13</v>
      </c>
      <c r="C24" s="477" t="s">
        <v>72</v>
      </c>
      <c r="D24" s="477"/>
      <c r="E24" s="26">
        <v>50.67</v>
      </c>
      <c r="F24" s="207">
        <v>1361</v>
      </c>
      <c r="G24" s="202">
        <f t="shared" si="32"/>
        <v>68961.87</v>
      </c>
      <c r="H24" s="76" t="s">
        <v>57</v>
      </c>
      <c r="I24" s="205">
        <v>16</v>
      </c>
      <c r="J24" s="18">
        <v>1800</v>
      </c>
      <c r="K24" s="9">
        <f t="shared" si="33"/>
        <v>112.5</v>
      </c>
      <c r="L24" s="205">
        <v>16</v>
      </c>
      <c r="M24" s="10">
        <f t="shared" si="34"/>
        <v>1633.2000000000003</v>
      </c>
      <c r="N24" s="9">
        <f t="shared" si="22"/>
        <v>102.07500000000002</v>
      </c>
      <c r="O24" s="11">
        <f t="shared" si="35"/>
        <v>0</v>
      </c>
      <c r="P24" s="12">
        <f t="shared" si="36"/>
        <v>-10.424999999999983</v>
      </c>
      <c r="Q24" s="203">
        <f t="shared" si="29"/>
        <v>0.90733333333333344</v>
      </c>
      <c r="R24" s="470"/>
      <c r="S24" s="24">
        <v>0.44722222222222213</v>
      </c>
      <c r="T24" s="24">
        <v>0.48194444444444434</v>
      </c>
      <c r="U24" s="202">
        <f t="shared" si="38"/>
        <v>5.9999999999999787</v>
      </c>
      <c r="V24" s="206">
        <f t="shared" si="37"/>
        <v>49.999999999999986</v>
      </c>
      <c r="W24" s="14"/>
      <c r="X24" s="202"/>
      <c r="Y24" s="456"/>
      <c r="Z24" s="456"/>
      <c r="AA24" s="11">
        <f t="shared" si="2"/>
        <v>-166.79999999999973</v>
      </c>
      <c r="AB24" s="203">
        <f t="shared" si="19"/>
        <v>0.90733333333333344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207">
        <v>3117</v>
      </c>
      <c r="G25" s="202">
        <f t="shared" si="32"/>
        <v>158717.64000000001</v>
      </c>
      <c r="H25" s="76" t="s">
        <v>57</v>
      </c>
      <c r="I25" s="205">
        <v>16</v>
      </c>
      <c r="J25" s="18">
        <v>1800</v>
      </c>
      <c r="K25" s="9">
        <f t="shared" si="33"/>
        <v>112.5</v>
      </c>
      <c r="L25" s="205">
        <v>16</v>
      </c>
      <c r="M25" s="10">
        <f t="shared" si="34"/>
        <v>1626.2608695652164</v>
      </c>
      <c r="N25" s="9">
        <f t="shared" si="22"/>
        <v>101.64130434782602</v>
      </c>
      <c r="O25" s="11">
        <f t="shared" si="35"/>
        <v>0</v>
      </c>
      <c r="P25" s="12">
        <f t="shared" si="36"/>
        <v>-10.858695652173978</v>
      </c>
      <c r="Q25" s="203">
        <f t="shared" si="29"/>
        <v>0.90347826086956462</v>
      </c>
      <c r="R25" s="470"/>
      <c r="S25" s="24">
        <v>0.70833333333333337</v>
      </c>
      <c r="T25" s="24">
        <v>0.78819444444444453</v>
      </c>
      <c r="U25" s="202">
        <f t="shared" si="38"/>
        <v>326.00000000000023</v>
      </c>
      <c r="V25" s="206">
        <f t="shared" si="37"/>
        <v>115.00000000000007</v>
      </c>
      <c r="W25" s="14"/>
      <c r="X25" s="202"/>
      <c r="Y25" s="456"/>
      <c r="Z25" s="456"/>
      <c r="AA25" s="11">
        <f t="shared" si="2"/>
        <v>-173.73913043478365</v>
      </c>
      <c r="AB25" s="203">
        <f t="shared" si="19"/>
        <v>0.90347826086956462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207">
        <v>717</v>
      </c>
      <c r="G26" s="202">
        <f t="shared" si="32"/>
        <v>38194.590000000004</v>
      </c>
      <c r="H26" s="76" t="s">
        <v>57</v>
      </c>
      <c r="I26" s="205">
        <v>15</v>
      </c>
      <c r="J26" s="18">
        <v>1800</v>
      </c>
      <c r="K26" s="9">
        <f t="shared" si="33"/>
        <v>120</v>
      </c>
      <c r="L26" s="205">
        <v>15</v>
      </c>
      <c r="M26" s="10">
        <f t="shared" si="34"/>
        <v>1654.6153846153804</v>
      </c>
      <c r="N26" s="9">
        <f t="shared" si="22"/>
        <v>110.30769230769202</v>
      </c>
      <c r="O26" s="11">
        <f t="shared" si="35"/>
        <v>0</v>
      </c>
      <c r="P26" s="12">
        <f t="shared" si="36"/>
        <v>-9.6923076923079776</v>
      </c>
      <c r="Q26" s="203">
        <f t="shared" si="29"/>
        <v>0.91923076923076685</v>
      </c>
      <c r="R26" s="470"/>
      <c r="S26" s="24">
        <v>0.79236111111111118</v>
      </c>
      <c r="T26" s="24">
        <v>0.81041666666666679</v>
      </c>
      <c r="U26" s="202">
        <f t="shared" si="38"/>
        <v>5.9999999999999787</v>
      </c>
      <c r="V26" s="206">
        <f t="shared" si="37"/>
        <v>26.000000000000068</v>
      </c>
      <c r="W26" s="14"/>
      <c r="X26" s="15"/>
      <c r="Y26" s="456"/>
      <c r="Z26" s="456"/>
      <c r="AA26" s="11">
        <f t="shared" si="2"/>
        <v>-145.38461538461956</v>
      </c>
      <c r="AB26" s="203">
        <f t="shared" si="19"/>
        <v>0.91923076923076685</v>
      </c>
      <c r="AC26" s="470"/>
    </row>
    <row r="27" spans="1:29" ht="15.75" customHeight="1">
      <c r="A27" s="479" t="s">
        <v>7</v>
      </c>
      <c r="B27" s="26" t="s">
        <v>13</v>
      </c>
      <c r="C27" s="477" t="s">
        <v>61</v>
      </c>
      <c r="D27" s="477"/>
      <c r="E27" s="26">
        <v>49.91</v>
      </c>
      <c r="F27" s="207">
        <v>640</v>
      </c>
      <c r="G27" s="202">
        <f t="shared" si="32"/>
        <v>31942.399999999998</v>
      </c>
      <c r="H27" s="76" t="s">
        <v>57</v>
      </c>
      <c r="I27" s="205">
        <v>15</v>
      </c>
      <c r="J27" s="18">
        <v>1800</v>
      </c>
      <c r="K27" s="9">
        <f t="shared" si="33"/>
        <v>120</v>
      </c>
      <c r="L27" s="205">
        <v>15</v>
      </c>
      <c r="M27" s="10">
        <f t="shared" si="34"/>
        <v>1669.5652173912988</v>
      </c>
      <c r="N27" s="9">
        <f t="shared" si="22"/>
        <v>111.30434782608658</v>
      </c>
      <c r="O27" s="11">
        <f t="shared" si="35"/>
        <v>0</v>
      </c>
      <c r="P27" s="12">
        <f t="shared" si="36"/>
        <v>-8.695652173913416</v>
      </c>
      <c r="Q27" s="203">
        <f t="shared" si="29"/>
        <v>0.92753623188405487</v>
      </c>
      <c r="R27" s="470"/>
      <c r="S27" s="24">
        <v>0.81597222222222232</v>
      </c>
      <c r="T27" s="24">
        <v>0.8319444444444446</v>
      </c>
      <c r="U27" s="202">
        <f t="shared" si="38"/>
        <v>7.9999999999999716</v>
      </c>
      <c r="V27" s="206">
        <f t="shared" si="37"/>
        <v>23.000000000000078</v>
      </c>
      <c r="W27" s="14"/>
      <c r="X27" s="15"/>
      <c r="Y27" s="473"/>
      <c r="Z27" s="474"/>
      <c r="AA27" s="11">
        <f t="shared" si="2"/>
        <v>-130.4347826087012</v>
      </c>
      <c r="AB27" s="203">
        <f t="shared" si="19"/>
        <v>0.92753623188405487</v>
      </c>
      <c r="AC27" s="470"/>
    </row>
    <row r="28" spans="1:29" ht="15.75" customHeight="1">
      <c r="A28" s="479" t="s">
        <v>7</v>
      </c>
      <c r="B28" s="26" t="s">
        <v>739</v>
      </c>
      <c r="C28" s="466"/>
      <c r="D28" s="466"/>
      <c r="E28" s="201"/>
      <c r="F28" s="207"/>
      <c r="G28" s="202"/>
      <c r="H28" s="207"/>
      <c r="I28" s="17">
        <v>16</v>
      </c>
      <c r="J28" s="18">
        <v>1714.2857142857142</v>
      </c>
      <c r="K28" s="9">
        <f t="shared" si="33"/>
        <v>107.14285714285714</v>
      </c>
      <c r="L28" s="17">
        <v>16</v>
      </c>
      <c r="M28" s="10">
        <f>AVERAGE(M21:M27)</f>
        <v>1558.4149470666621</v>
      </c>
      <c r="N28" s="9">
        <f>M28/L28</f>
        <v>97.40093419166638</v>
      </c>
      <c r="O28" s="11">
        <f>L28-I28</f>
        <v>0</v>
      </c>
      <c r="P28" s="12">
        <f>N28-K28</f>
        <v>-9.7419229511907588</v>
      </c>
      <c r="Q28" s="203">
        <f>N28/K28</f>
        <v>0.90907538578888625</v>
      </c>
      <c r="R28" s="470"/>
      <c r="S28" s="24"/>
      <c r="T28" s="24"/>
      <c r="U28" s="9"/>
      <c r="V28" s="206"/>
      <c r="W28" s="9"/>
      <c r="X28" s="9"/>
      <c r="Y28" s="456"/>
      <c r="Z28" s="456"/>
      <c r="AA28" s="11">
        <f t="shared" si="2"/>
        <v>-155.87076721905214</v>
      </c>
      <c r="AB28" s="203">
        <f t="shared" si="19"/>
        <v>0.90907538578888625</v>
      </c>
      <c r="AC28" s="470"/>
    </row>
    <row r="29" spans="1:29" ht="15.75" customHeight="1">
      <c r="A29" s="484" t="s">
        <v>157</v>
      </c>
      <c r="B29" s="26" t="s">
        <v>24</v>
      </c>
      <c r="C29" s="477" t="s">
        <v>26</v>
      </c>
      <c r="D29" s="477"/>
      <c r="E29" s="26">
        <v>26.2</v>
      </c>
      <c r="F29" s="207">
        <v>3000</v>
      </c>
      <c r="G29" s="202">
        <f t="shared" ref="G29:G36" si="39">E29*F29</f>
        <v>78600</v>
      </c>
      <c r="H29" s="76">
        <v>2</v>
      </c>
      <c r="I29" s="205">
        <v>20</v>
      </c>
      <c r="J29" s="18">
        <v>2400</v>
      </c>
      <c r="K29" s="9">
        <f>J29/I29</f>
        <v>120</v>
      </c>
      <c r="L29" s="205">
        <v>20</v>
      </c>
      <c r="M29" s="10">
        <f t="shared" ref="M29:M36" si="40">F29/V29*60</f>
        <v>2168.674698795181</v>
      </c>
      <c r="N29" s="9">
        <f t="shared" ref="N29:N36" si="41">M29/L29</f>
        <v>108.43373493975905</v>
      </c>
      <c r="O29" s="11">
        <f t="shared" ref="O29:O36" si="42">L29-I29</f>
        <v>0</v>
      </c>
      <c r="P29" s="12">
        <f t="shared" ref="P29:P36" si="43">N29-K29</f>
        <v>-11.566265060240951</v>
      </c>
      <c r="Q29" s="203">
        <f t="shared" ref="Q29:Q36" si="44">N29/K29</f>
        <v>0.90361445783132543</v>
      </c>
      <c r="R29" s="470">
        <f>Q37</f>
        <v>0.90257956225326696</v>
      </c>
      <c r="S29" s="24">
        <v>0.125</v>
      </c>
      <c r="T29" s="24">
        <v>0.18263888888888888</v>
      </c>
      <c r="U29" s="202"/>
      <c r="V29" s="206">
        <f t="shared" ref="V29:V36" si="45">(T29-S29)*24*60</f>
        <v>82.999999999999986</v>
      </c>
      <c r="W29" s="14"/>
      <c r="X29" s="14"/>
      <c r="Y29" s="456"/>
      <c r="Z29" s="456"/>
      <c r="AA29" s="11">
        <f t="shared" si="2"/>
        <v>-231.32530120481897</v>
      </c>
      <c r="AB29" s="203">
        <f>M29/J29</f>
        <v>0.90361445783132543</v>
      </c>
      <c r="AC29" s="470">
        <f>AB37</f>
        <v>0.90257956225326708</v>
      </c>
    </row>
    <row r="30" spans="1:29" ht="15.75" customHeight="1">
      <c r="A30" s="484" t="s">
        <v>8</v>
      </c>
      <c r="B30" s="26" t="s">
        <v>24</v>
      </c>
      <c r="C30" s="477" t="s">
        <v>25</v>
      </c>
      <c r="D30" s="477"/>
      <c r="E30" s="26">
        <v>20.52</v>
      </c>
      <c r="F30" s="207">
        <v>5176</v>
      </c>
      <c r="G30" s="202">
        <f t="shared" si="39"/>
        <v>106211.52</v>
      </c>
      <c r="H30" s="76" t="s">
        <v>57</v>
      </c>
      <c r="I30" s="205">
        <v>18</v>
      </c>
      <c r="J30" s="18">
        <v>2400</v>
      </c>
      <c r="K30" s="9">
        <f t="shared" ref="K30:K37" si="46">J30/I30</f>
        <v>133.33333333333334</v>
      </c>
      <c r="L30" s="205">
        <v>18</v>
      </c>
      <c r="M30" s="10">
        <f t="shared" si="40"/>
        <v>2156.666666666667</v>
      </c>
      <c r="N30" s="9">
        <f t="shared" si="41"/>
        <v>119.81481481481484</v>
      </c>
      <c r="O30" s="11">
        <f t="shared" si="42"/>
        <v>0</v>
      </c>
      <c r="P30" s="12">
        <f t="shared" si="43"/>
        <v>-13.518518518518505</v>
      </c>
      <c r="Q30" s="203">
        <f t="shared" si="44"/>
        <v>0.89861111111111125</v>
      </c>
      <c r="R30" s="470"/>
      <c r="S30" s="24">
        <v>0.20277777777777778</v>
      </c>
      <c r="T30" s="24">
        <v>0.30277777777777776</v>
      </c>
      <c r="U30" s="202">
        <f>(S30-T29)*24*60</f>
        <v>29.000000000000018</v>
      </c>
      <c r="V30" s="206">
        <f t="shared" si="45"/>
        <v>143.99999999999997</v>
      </c>
      <c r="W30" s="14"/>
      <c r="X30" s="14"/>
      <c r="Y30" s="456"/>
      <c r="Z30" s="456"/>
      <c r="AA30" s="11">
        <f t="shared" si="2"/>
        <v>-243.33333333333303</v>
      </c>
      <c r="AB30" s="203">
        <f t="shared" ref="AB30:AB36" si="47">M30/J30</f>
        <v>0.89861111111111125</v>
      </c>
      <c r="AC30" s="470"/>
    </row>
    <row r="31" spans="1:29" ht="15.75" customHeight="1">
      <c r="A31" s="484" t="s">
        <v>8</v>
      </c>
      <c r="B31" s="26" t="s">
        <v>24</v>
      </c>
      <c r="C31" s="477" t="s">
        <v>513</v>
      </c>
      <c r="D31" s="477"/>
      <c r="E31" s="26">
        <v>31.29</v>
      </c>
      <c r="F31" s="207">
        <v>3500</v>
      </c>
      <c r="G31" s="202">
        <f t="shared" si="39"/>
        <v>109515</v>
      </c>
      <c r="H31" s="76">
        <v>2</v>
      </c>
      <c r="I31" s="205">
        <v>16</v>
      </c>
      <c r="J31" s="18">
        <v>2400</v>
      </c>
      <c r="K31" s="9">
        <f t="shared" si="46"/>
        <v>150</v>
      </c>
      <c r="L31" s="205">
        <v>16</v>
      </c>
      <c r="M31" s="10">
        <f t="shared" si="40"/>
        <v>2164.9484536082482</v>
      </c>
      <c r="N31" s="9">
        <f t="shared" si="41"/>
        <v>135.30927835051551</v>
      </c>
      <c r="O31" s="11">
        <f t="shared" si="42"/>
        <v>0</v>
      </c>
      <c r="P31" s="12">
        <f t="shared" si="43"/>
        <v>-14.690721649484487</v>
      </c>
      <c r="Q31" s="203">
        <f t="shared" si="44"/>
        <v>0.90206185567010344</v>
      </c>
      <c r="R31" s="470"/>
      <c r="S31" s="24">
        <v>0.30694444444444441</v>
      </c>
      <c r="T31" s="24">
        <v>0.3743055555555555</v>
      </c>
      <c r="U31" s="202">
        <f t="shared" ref="U31:U36" si="48">(S31-T30)*24*60</f>
        <v>5.9999999999999787</v>
      </c>
      <c r="V31" s="206">
        <f t="shared" si="45"/>
        <v>96.999999999999972</v>
      </c>
      <c r="W31" s="14"/>
      <c r="X31" s="14"/>
      <c r="Y31" s="456"/>
      <c r="Z31" s="456"/>
      <c r="AA31" s="11">
        <f t="shared" si="2"/>
        <v>-235.0515463917518</v>
      </c>
      <c r="AB31" s="203">
        <f t="shared" si="47"/>
        <v>0.90206185567010344</v>
      </c>
      <c r="AC31" s="470"/>
    </row>
    <row r="32" spans="1:29" ht="15.75" customHeight="1">
      <c r="A32" s="484" t="s">
        <v>8</v>
      </c>
      <c r="B32" s="26" t="s">
        <v>24</v>
      </c>
      <c r="C32" s="477" t="s">
        <v>84</v>
      </c>
      <c r="D32" s="477"/>
      <c r="E32" s="26">
        <v>24.25</v>
      </c>
      <c r="F32" s="207">
        <v>3000</v>
      </c>
      <c r="G32" s="202">
        <f t="shared" si="39"/>
        <v>72750</v>
      </c>
      <c r="H32" s="76">
        <v>2</v>
      </c>
      <c r="I32" s="205">
        <v>18</v>
      </c>
      <c r="J32" s="18">
        <v>2400</v>
      </c>
      <c r="K32" s="9">
        <f t="shared" si="46"/>
        <v>133.33333333333334</v>
      </c>
      <c r="L32" s="205">
        <v>18</v>
      </c>
      <c r="M32" s="10">
        <f t="shared" si="40"/>
        <v>2168.6746987951801</v>
      </c>
      <c r="N32" s="9">
        <f t="shared" si="41"/>
        <v>120.48192771084334</v>
      </c>
      <c r="O32" s="11">
        <f t="shared" si="42"/>
        <v>0</v>
      </c>
      <c r="P32" s="12">
        <f t="shared" si="43"/>
        <v>-12.851405622490006</v>
      </c>
      <c r="Q32" s="203">
        <f t="shared" si="44"/>
        <v>0.90361445783132499</v>
      </c>
      <c r="R32" s="470"/>
      <c r="S32" s="24">
        <v>0.37986111111111104</v>
      </c>
      <c r="T32" s="24">
        <v>0.43749999999999994</v>
      </c>
      <c r="U32" s="202">
        <f t="shared" si="48"/>
        <v>7.9999999999999716</v>
      </c>
      <c r="V32" s="206">
        <f t="shared" si="45"/>
        <v>83.000000000000028</v>
      </c>
      <c r="W32" s="14"/>
      <c r="X32" s="14"/>
      <c r="Y32" s="456"/>
      <c r="Z32" s="456"/>
      <c r="AA32" s="11">
        <f t="shared" si="2"/>
        <v>-231.32530120481988</v>
      </c>
      <c r="AB32" s="203">
        <f t="shared" si="47"/>
        <v>0.9036144578313251</v>
      </c>
      <c r="AC32" s="470"/>
    </row>
    <row r="33" spans="1:29" ht="15.75" customHeight="1">
      <c r="A33" s="484" t="s">
        <v>8</v>
      </c>
      <c r="B33" s="26" t="s">
        <v>24</v>
      </c>
      <c r="C33" s="477" t="s">
        <v>69</v>
      </c>
      <c r="D33" s="477"/>
      <c r="E33" s="26">
        <v>22.35</v>
      </c>
      <c r="F33" s="207">
        <v>3134</v>
      </c>
      <c r="G33" s="202">
        <f t="shared" si="39"/>
        <v>70044.900000000009</v>
      </c>
      <c r="H33" s="76" t="s">
        <v>57</v>
      </c>
      <c r="I33" s="205">
        <v>16</v>
      </c>
      <c r="J33" s="18">
        <v>2400</v>
      </c>
      <c r="K33" s="9">
        <f t="shared" si="46"/>
        <v>150</v>
      </c>
      <c r="L33" s="205">
        <v>16</v>
      </c>
      <c r="M33" s="10">
        <f t="shared" si="40"/>
        <v>2161.3793103448293</v>
      </c>
      <c r="N33" s="9">
        <f t="shared" si="41"/>
        <v>135.08620689655183</v>
      </c>
      <c r="O33" s="11">
        <f t="shared" si="42"/>
        <v>0</v>
      </c>
      <c r="P33" s="12">
        <f t="shared" si="43"/>
        <v>-14.913793103448171</v>
      </c>
      <c r="Q33" s="203">
        <f t="shared" si="44"/>
        <v>0.90057471264367883</v>
      </c>
      <c r="R33" s="470"/>
      <c r="S33" s="24">
        <v>0.4416666666666666</v>
      </c>
      <c r="T33" s="24">
        <v>0.50208333333333321</v>
      </c>
      <c r="U33" s="202">
        <f t="shared" si="48"/>
        <v>5.9999999999999787</v>
      </c>
      <c r="V33" s="206">
        <f t="shared" si="45"/>
        <v>86.999999999999929</v>
      </c>
      <c r="W33" s="14"/>
      <c r="X33" s="14"/>
      <c r="Y33" s="456"/>
      <c r="Z33" s="456"/>
      <c r="AA33" s="11">
        <f t="shared" si="2"/>
        <v>-238.62068965517074</v>
      </c>
      <c r="AB33" s="203">
        <f t="shared" si="47"/>
        <v>0.90057471264367883</v>
      </c>
      <c r="AC33" s="470"/>
    </row>
    <row r="34" spans="1:29" ht="15.75" customHeight="1">
      <c r="A34" s="484" t="s">
        <v>8</v>
      </c>
      <c r="B34" s="26" t="s">
        <v>24</v>
      </c>
      <c r="C34" s="477" t="s">
        <v>513</v>
      </c>
      <c r="D34" s="477"/>
      <c r="E34" s="26">
        <v>31.29</v>
      </c>
      <c r="F34" s="207">
        <v>4747</v>
      </c>
      <c r="G34" s="202">
        <f t="shared" si="39"/>
        <v>148533.63</v>
      </c>
      <c r="H34" s="76" t="s">
        <v>57</v>
      </c>
      <c r="I34" s="205">
        <v>16</v>
      </c>
      <c r="J34" s="18">
        <v>2400</v>
      </c>
      <c r="K34" s="9">
        <f t="shared" si="46"/>
        <v>150</v>
      </c>
      <c r="L34" s="205">
        <v>16</v>
      </c>
      <c r="M34" s="10">
        <f t="shared" si="40"/>
        <v>2157.7272727272725</v>
      </c>
      <c r="N34" s="9">
        <f t="shared" si="41"/>
        <v>134.85795454545453</v>
      </c>
      <c r="O34" s="11">
        <f t="shared" si="42"/>
        <v>0</v>
      </c>
      <c r="P34" s="12">
        <f t="shared" si="43"/>
        <v>-15.142045454545467</v>
      </c>
      <c r="Q34" s="203">
        <f t="shared" si="44"/>
        <v>0.89905303030303019</v>
      </c>
      <c r="R34" s="470"/>
      <c r="S34" s="24">
        <v>0.54236111111111096</v>
      </c>
      <c r="T34" s="24">
        <v>0.63402777777777763</v>
      </c>
      <c r="U34" s="202">
        <f t="shared" si="48"/>
        <v>57.999999999999957</v>
      </c>
      <c r="V34" s="206">
        <f t="shared" si="45"/>
        <v>132</v>
      </c>
      <c r="W34" s="14"/>
      <c r="X34" s="14"/>
      <c r="Y34" s="456"/>
      <c r="Z34" s="456"/>
      <c r="AA34" s="11">
        <f t="shared" si="2"/>
        <v>-242.27272727272748</v>
      </c>
      <c r="AB34" s="203">
        <f t="shared" si="47"/>
        <v>0.89905303030303019</v>
      </c>
      <c r="AC34" s="470"/>
    </row>
    <row r="35" spans="1:29" ht="15.75" customHeight="1">
      <c r="A35" s="484" t="s">
        <v>8</v>
      </c>
      <c r="B35" s="26" t="s">
        <v>24</v>
      </c>
      <c r="C35" s="477" t="s">
        <v>26</v>
      </c>
      <c r="D35" s="477"/>
      <c r="E35" s="26">
        <v>26.2</v>
      </c>
      <c r="F35" s="207">
        <v>2201</v>
      </c>
      <c r="G35" s="202">
        <f t="shared" si="39"/>
        <v>57666.2</v>
      </c>
      <c r="H35" s="76" t="s">
        <v>57</v>
      </c>
      <c r="I35" s="205">
        <v>20</v>
      </c>
      <c r="J35" s="18">
        <v>2400</v>
      </c>
      <c r="K35" s="9">
        <f t="shared" si="46"/>
        <v>120</v>
      </c>
      <c r="L35" s="205">
        <v>20</v>
      </c>
      <c r="M35" s="10">
        <f t="shared" si="40"/>
        <v>2164.9180327868871</v>
      </c>
      <c r="N35" s="9">
        <f t="shared" si="41"/>
        <v>108.24590163934435</v>
      </c>
      <c r="O35" s="11">
        <f t="shared" si="42"/>
        <v>0</v>
      </c>
      <c r="P35" s="12">
        <f t="shared" si="43"/>
        <v>-11.754098360655647</v>
      </c>
      <c r="Q35" s="203">
        <f t="shared" si="44"/>
        <v>0.90204918032786963</v>
      </c>
      <c r="R35" s="470"/>
      <c r="S35" s="24">
        <v>0.63749999999999984</v>
      </c>
      <c r="T35" s="24">
        <v>0.67986111111111092</v>
      </c>
      <c r="U35" s="202">
        <f t="shared" si="48"/>
        <v>4.9999999999999822</v>
      </c>
      <c r="V35" s="206">
        <f t="shared" si="45"/>
        <v>60.999999999999943</v>
      </c>
      <c r="W35" s="14"/>
      <c r="X35" s="14"/>
      <c r="Y35" s="456"/>
      <c r="Z35" s="456"/>
      <c r="AA35" s="11">
        <f t="shared" si="2"/>
        <v>-235.08196721311288</v>
      </c>
      <c r="AB35" s="203">
        <f t="shared" si="47"/>
        <v>0.90204918032786963</v>
      </c>
      <c r="AC35" s="470"/>
    </row>
    <row r="36" spans="1:29" ht="15.75" customHeight="1">
      <c r="A36" s="484" t="s">
        <v>8</v>
      </c>
      <c r="B36" s="26" t="s">
        <v>24</v>
      </c>
      <c r="C36" s="477" t="s">
        <v>55</v>
      </c>
      <c r="D36" s="477"/>
      <c r="E36" s="26">
        <v>26.2</v>
      </c>
      <c r="F36" s="207">
        <v>1895</v>
      </c>
      <c r="G36" s="202">
        <f t="shared" si="39"/>
        <v>49649</v>
      </c>
      <c r="H36" s="76" t="s">
        <v>57</v>
      </c>
      <c r="I36" s="205">
        <v>19</v>
      </c>
      <c r="J36" s="18">
        <v>2400</v>
      </c>
      <c r="K36" s="9">
        <f t="shared" si="46"/>
        <v>126.31578947368421</v>
      </c>
      <c r="L36" s="205">
        <v>19</v>
      </c>
      <c r="M36" s="10">
        <f t="shared" si="40"/>
        <v>2186.5384615384628</v>
      </c>
      <c r="N36" s="9">
        <f t="shared" si="41"/>
        <v>115.0809716599191</v>
      </c>
      <c r="O36" s="11">
        <f t="shared" si="42"/>
        <v>0</v>
      </c>
      <c r="P36" s="12">
        <f t="shared" si="43"/>
        <v>-11.234817813765105</v>
      </c>
      <c r="Q36" s="203">
        <f t="shared" si="44"/>
        <v>0.91105769230769296</v>
      </c>
      <c r="R36" s="470"/>
      <c r="S36" s="24">
        <v>0.68472222222222201</v>
      </c>
      <c r="T36" s="24">
        <v>0.7208333333333331</v>
      </c>
      <c r="U36" s="202">
        <f t="shared" si="48"/>
        <v>6.9999999999999751</v>
      </c>
      <c r="V36" s="206">
        <f t="shared" si="45"/>
        <v>51.999999999999972</v>
      </c>
      <c r="W36" s="14"/>
      <c r="X36" s="14"/>
      <c r="Y36" s="456"/>
      <c r="Z36" s="456"/>
      <c r="AA36" s="11">
        <f t="shared" si="2"/>
        <v>-213.4615384615372</v>
      </c>
      <c r="AB36" s="203">
        <f t="shared" si="47"/>
        <v>0.91105769230769285</v>
      </c>
      <c r="AC36" s="470"/>
    </row>
    <row r="37" spans="1:29" ht="15.75" customHeight="1">
      <c r="A37" s="484" t="s">
        <v>8</v>
      </c>
      <c r="B37" s="26" t="s">
        <v>734</v>
      </c>
      <c r="C37" s="466"/>
      <c r="D37" s="466"/>
      <c r="E37" s="201"/>
      <c r="F37" s="207"/>
      <c r="G37" s="202"/>
      <c r="H37" s="207"/>
      <c r="I37" s="17">
        <v>17.875</v>
      </c>
      <c r="J37" s="18">
        <v>2400</v>
      </c>
      <c r="K37" s="9">
        <f t="shared" si="46"/>
        <v>134.26573426573427</v>
      </c>
      <c r="L37" s="17">
        <v>17.875</v>
      </c>
      <c r="M37" s="10">
        <f>AVERAGE(M29:M36)</f>
        <v>2166.1909494078409</v>
      </c>
      <c r="N37" s="9">
        <f>M37/L37</f>
        <v>121.1855076591799</v>
      </c>
      <c r="O37" s="11">
        <f>L37-I37</f>
        <v>0</v>
      </c>
      <c r="P37" s="12">
        <f>N37-K37</f>
        <v>-13.080226606554362</v>
      </c>
      <c r="Q37" s="203">
        <f>N37/K37</f>
        <v>0.90257956225326696</v>
      </c>
      <c r="R37" s="470"/>
      <c r="S37" s="24"/>
      <c r="T37" s="24"/>
      <c r="U37" s="202"/>
      <c r="V37" s="206"/>
      <c r="W37" s="202"/>
      <c r="X37" s="202"/>
      <c r="Y37" s="456"/>
      <c r="Z37" s="456"/>
      <c r="AA37" s="11">
        <f t="shared" si="2"/>
        <v>-233.80905059215911</v>
      </c>
      <c r="AB37" s="203">
        <f>M37/J37</f>
        <v>0.90257956225326708</v>
      </c>
      <c r="AC37" s="470"/>
    </row>
    <row r="38" spans="1:29" ht="15.75" customHeight="1">
      <c r="A38" s="485" t="s">
        <v>740</v>
      </c>
      <c r="B38" s="26" t="s">
        <v>24</v>
      </c>
      <c r="C38" s="487" t="s">
        <v>29</v>
      </c>
      <c r="D38" s="487"/>
      <c r="E38" s="26">
        <v>26.2</v>
      </c>
      <c r="F38" s="207">
        <v>3800</v>
      </c>
      <c r="G38" s="202">
        <f t="shared" ref="G38:G46" si="49">E38*F38</f>
        <v>99560</v>
      </c>
      <c r="H38" s="76">
        <v>2</v>
      </c>
      <c r="I38" s="205">
        <v>18</v>
      </c>
      <c r="J38" s="18">
        <v>2400</v>
      </c>
      <c r="K38" s="9">
        <f>J38/I38</f>
        <v>133.33333333333334</v>
      </c>
      <c r="L38" s="205">
        <v>18</v>
      </c>
      <c r="M38" s="10">
        <f>F38/V38*60</f>
        <v>2171.4285714285716</v>
      </c>
      <c r="N38" s="9">
        <f>M38/L38</f>
        <v>120.63492063492065</v>
      </c>
      <c r="O38" s="11">
        <f t="shared" ref="O38:O46" si="50">L38-I38</f>
        <v>0</v>
      </c>
      <c r="P38" s="12">
        <f t="shared" ref="P38:P57" si="51">N38-K38</f>
        <v>-12.698412698412696</v>
      </c>
      <c r="Q38" s="203">
        <f t="shared" ref="Q38:Q51" si="52">N38/K38</f>
        <v>0.90476190476190477</v>
      </c>
      <c r="R38" s="470">
        <f>Q47</f>
        <v>0.90070793595723375</v>
      </c>
      <c r="S38" s="24">
        <v>8.3333333333333329E-2</v>
      </c>
      <c r="T38" s="24">
        <v>0.15625</v>
      </c>
      <c r="U38" s="202"/>
      <c r="V38" s="206">
        <f t="shared" ref="V38:V46" si="53">(T38-S38)*24*60</f>
        <v>105</v>
      </c>
      <c r="W38" s="15"/>
      <c r="X38" s="15"/>
      <c r="Y38" s="456"/>
      <c r="Z38" s="456"/>
      <c r="AA38" s="11">
        <f t="shared" si="2"/>
        <v>-228.57142857142844</v>
      </c>
      <c r="AB38" s="203">
        <f>M38/J38</f>
        <v>0.90476190476190477</v>
      </c>
      <c r="AC38" s="470">
        <f>AB47</f>
        <v>0.90070793595723364</v>
      </c>
    </row>
    <row r="39" spans="1:29" ht="15.75" customHeight="1">
      <c r="A39" s="485" t="s">
        <v>741</v>
      </c>
      <c r="B39" s="26" t="s">
        <v>24</v>
      </c>
      <c r="C39" s="487" t="s">
        <v>31</v>
      </c>
      <c r="D39" s="487"/>
      <c r="E39" s="26">
        <v>24.45</v>
      </c>
      <c r="F39" s="207">
        <v>2621</v>
      </c>
      <c r="G39" s="202">
        <f t="shared" si="49"/>
        <v>64083.45</v>
      </c>
      <c r="H39" s="76" t="s">
        <v>57</v>
      </c>
      <c r="I39" s="205">
        <v>20</v>
      </c>
      <c r="J39" s="18">
        <v>2400</v>
      </c>
      <c r="K39" s="9">
        <f t="shared" ref="K39:K56" si="54">J39/I39</f>
        <v>120</v>
      </c>
      <c r="L39" s="205">
        <v>20</v>
      </c>
      <c r="M39" s="10">
        <f t="shared" ref="M39:M46" si="55">F39/V39*60</f>
        <v>2154.2465753424663</v>
      </c>
      <c r="N39" s="9">
        <f t="shared" ref="N39:N46" si="56">M39/L39</f>
        <v>107.71232876712331</v>
      </c>
      <c r="O39" s="11">
        <f t="shared" si="50"/>
        <v>0</v>
      </c>
      <c r="P39" s="12">
        <f t="shared" si="51"/>
        <v>-12.28767123287669</v>
      </c>
      <c r="Q39" s="203">
        <f t="shared" si="52"/>
        <v>0.89760273972602755</v>
      </c>
      <c r="R39" s="470"/>
      <c r="S39" s="24">
        <v>0.17569444444444446</v>
      </c>
      <c r="T39" s="24">
        <v>0.22638888888888889</v>
      </c>
      <c r="U39" s="202">
        <f>(S39-T38)*24*60</f>
        <v>28.000000000000021</v>
      </c>
      <c r="V39" s="206">
        <f t="shared" si="53"/>
        <v>72.999999999999986</v>
      </c>
      <c r="W39" s="202"/>
      <c r="X39" s="202"/>
      <c r="Y39" s="456"/>
      <c r="Z39" s="456"/>
      <c r="AA39" s="11">
        <f t="shared" si="2"/>
        <v>-245.75342465753374</v>
      </c>
      <c r="AB39" s="203">
        <f t="shared" ref="AB39:AB68" si="57">M39/J39</f>
        <v>0.89760273972602755</v>
      </c>
      <c r="AC39" s="470"/>
    </row>
    <row r="40" spans="1:29">
      <c r="A40" s="486" t="s">
        <v>741</v>
      </c>
      <c r="B40" s="26" t="s">
        <v>24</v>
      </c>
      <c r="C40" s="487" t="s">
        <v>32</v>
      </c>
      <c r="D40" s="487"/>
      <c r="E40" s="26">
        <v>26.2</v>
      </c>
      <c r="F40" s="207">
        <v>3152</v>
      </c>
      <c r="G40" s="202">
        <f t="shared" si="49"/>
        <v>82582.399999999994</v>
      </c>
      <c r="H40" s="76" t="s">
        <v>57</v>
      </c>
      <c r="I40" s="205">
        <v>20</v>
      </c>
      <c r="J40" s="18">
        <v>2400</v>
      </c>
      <c r="K40" s="9">
        <f t="shared" si="54"/>
        <v>120</v>
      </c>
      <c r="L40" s="205">
        <v>20</v>
      </c>
      <c r="M40" s="10">
        <f t="shared" si="55"/>
        <v>2149.090909090909</v>
      </c>
      <c r="N40" s="9">
        <f t="shared" si="56"/>
        <v>107.45454545454545</v>
      </c>
      <c r="O40" s="11">
        <f t="shared" si="50"/>
        <v>0</v>
      </c>
      <c r="P40" s="12">
        <f t="shared" si="51"/>
        <v>-12.545454545454547</v>
      </c>
      <c r="Q40" s="203">
        <f t="shared" si="52"/>
        <v>0.89545454545454539</v>
      </c>
      <c r="R40" s="470"/>
      <c r="S40" s="24">
        <v>0.23194444444444445</v>
      </c>
      <c r="T40" s="24">
        <v>0.29305555555555557</v>
      </c>
      <c r="U40" s="202">
        <f t="shared" ref="U40:U46" si="58">(S40-T39)*24*60</f>
        <v>8.0000000000000107</v>
      </c>
      <c r="V40" s="206">
        <f t="shared" si="53"/>
        <v>88</v>
      </c>
      <c r="W40" s="202"/>
      <c r="X40" s="202"/>
      <c r="Y40" s="456"/>
      <c r="Z40" s="456"/>
      <c r="AA40" s="11">
        <f t="shared" si="2"/>
        <v>-250.90909090909099</v>
      </c>
      <c r="AB40" s="203">
        <f t="shared" si="57"/>
        <v>0.89545454545454539</v>
      </c>
      <c r="AC40" s="470"/>
    </row>
    <row r="41" spans="1:29">
      <c r="A41" s="486" t="s">
        <v>158</v>
      </c>
      <c r="B41" s="26" t="s">
        <v>24</v>
      </c>
      <c r="C41" s="487" t="s">
        <v>30</v>
      </c>
      <c r="D41" s="487"/>
      <c r="E41" s="26">
        <v>26.39</v>
      </c>
      <c r="F41" s="207">
        <v>3300</v>
      </c>
      <c r="G41" s="202">
        <f t="shared" si="49"/>
        <v>87087</v>
      </c>
      <c r="H41" s="76">
        <v>2</v>
      </c>
      <c r="I41" s="205">
        <v>19</v>
      </c>
      <c r="J41" s="18">
        <v>2400</v>
      </c>
      <c r="K41" s="9">
        <f t="shared" si="54"/>
        <v>126.31578947368421</v>
      </c>
      <c r="L41" s="205">
        <v>19</v>
      </c>
      <c r="M41" s="10">
        <f t="shared" si="55"/>
        <v>2175.8241758241757</v>
      </c>
      <c r="N41" s="9">
        <f t="shared" si="56"/>
        <v>114.51706188548293</v>
      </c>
      <c r="O41" s="11">
        <f t="shared" si="50"/>
        <v>0</v>
      </c>
      <c r="P41" s="12">
        <f t="shared" si="51"/>
        <v>-11.798727588201274</v>
      </c>
      <c r="Q41" s="203">
        <f t="shared" si="52"/>
        <v>0.90659340659340659</v>
      </c>
      <c r="R41" s="470"/>
      <c r="S41" s="24">
        <v>0.2986111111111111</v>
      </c>
      <c r="T41" s="24">
        <v>0.36180555555555555</v>
      </c>
      <c r="U41" s="202">
        <f t="shared" si="58"/>
        <v>7.9999999999999716</v>
      </c>
      <c r="V41" s="206">
        <f t="shared" si="53"/>
        <v>91</v>
      </c>
      <c r="W41" s="14"/>
      <c r="X41" s="14"/>
      <c r="Y41" s="456"/>
      <c r="Z41" s="456"/>
      <c r="AA41" s="11">
        <f t="shared" si="2"/>
        <v>-224.17582417582435</v>
      </c>
      <c r="AB41" s="203">
        <f t="shared" si="57"/>
        <v>0.90659340659340648</v>
      </c>
      <c r="AC41" s="470"/>
    </row>
    <row r="42" spans="1:29">
      <c r="A42" s="486" t="s">
        <v>741</v>
      </c>
      <c r="B42" s="26" t="s">
        <v>24</v>
      </c>
      <c r="C42" s="487" t="s">
        <v>27</v>
      </c>
      <c r="D42" s="487"/>
      <c r="E42" s="26">
        <v>20.52</v>
      </c>
      <c r="F42" s="207">
        <v>3536</v>
      </c>
      <c r="G42" s="202">
        <f t="shared" si="49"/>
        <v>72558.720000000001</v>
      </c>
      <c r="H42" s="76" t="s">
        <v>57</v>
      </c>
      <c r="I42" s="205">
        <v>18</v>
      </c>
      <c r="J42" s="18">
        <v>2400</v>
      </c>
      <c r="K42" s="9">
        <f t="shared" si="54"/>
        <v>133.33333333333334</v>
      </c>
      <c r="L42" s="205">
        <v>18</v>
      </c>
      <c r="M42" s="10">
        <f t="shared" si="55"/>
        <v>2164.8979591836742</v>
      </c>
      <c r="N42" s="9">
        <f t="shared" si="56"/>
        <v>120.27210884353745</v>
      </c>
      <c r="O42" s="11">
        <f t="shared" si="50"/>
        <v>0</v>
      </c>
      <c r="P42" s="12">
        <f t="shared" si="51"/>
        <v>-13.06122448979589</v>
      </c>
      <c r="Q42" s="203">
        <f t="shared" si="52"/>
        <v>0.90204081632653088</v>
      </c>
      <c r="R42" s="470"/>
      <c r="S42" s="24">
        <v>0.36666666666666664</v>
      </c>
      <c r="T42" s="24">
        <v>0.43472222222222218</v>
      </c>
      <c r="U42" s="202">
        <f t="shared" si="58"/>
        <v>6.9999999999999751</v>
      </c>
      <c r="V42" s="206">
        <f t="shared" si="53"/>
        <v>97.999999999999972</v>
      </c>
      <c r="W42" s="14"/>
      <c r="X42" s="14"/>
      <c r="Y42" s="456"/>
      <c r="Z42" s="456"/>
      <c r="AA42" s="11">
        <f t="shared" si="2"/>
        <v>-235.10204081632583</v>
      </c>
      <c r="AB42" s="203">
        <f t="shared" si="57"/>
        <v>0.90204081632653088</v>
      </c>
      <c r="AC42" s="470"/>
    </row>
    <row r="43" spans="1:29">
      <c r="A43" s="486" t="s">
        <v>740</v>
      </c>
      <c r="B43" s="26" t="s">
        <v>24</v>
      </c>
      <c r="C43" s="487" t="s">
        <v>55</v>
      </c>
      <c r="D43" s="487"/>
      <c r="E43" s="26">
        <v>26.2</v>
      </c>
      <c r="F43" s="207">
        <v>2700</v>
      </c>
      <c r="G43" s="202">
        <f t="shared" si="49"/>
        <v>70740</v>
      </c>
      <c r="H43" s="76">
        <v>2</v>
      </c>
      <c r="I43" s="205">
        <v>19</v>
      </c>
      <c r="J43" s="18">
        <v>2400</v>
      </c>
      <c r="K43" s="9">
        <f t="shared" si="54"/>
        <v>126.31578947368421</v>
      </c>
      <c r="L43" s="205">
        <v>19</v>
      </c>
      <c r="M43" s="10">
        <f t="shared" si="55"/>
        <v>2160.0000000000009</v>
      </c>
      <c r="N43" s="9">
        <f t="shared" si="56"/>
        <v>113.68421052631584</v>
      </c>
      <c r="O43" s="11">
        <f t="shared" si="50"/>
        <v>0</v>
      </c>
      <c r="P43" s="12">
        <f t="shared" si="51"/>
        <v>-12.631578947368368</v>
      </c>
      <c r="Q43" s="203">
        <f t="shared" si="52"/>
        <v>0.90000000000000047</v>
      </c>
      <c r="R43" s="470"/>
      <c r="S43" s="24">
        <v>0.43888888888888883</v>
      </c>
      <c r="T43" s="24">
        <v>0.49097222222222214</v>
      </c>
      <c r="U43" s="202">
        <f t="shared" si="58"/>
        <v>5.9999999999999787</v>
      </c>
      <c r="V43" s="206">
        <f t="shared" si="53"/>
        <v>74.999999999999972</v>
      </c>
      <c r="W43" s="14"/>
      <c r="X43" s="14"/>
      <c r="Y43" s="456"/>
      <c r="Z43" s="456"/>
      <c r="AA43" s="11">
        <f t="shared" si="2"/>
        <v>-239.99999999999909</v>
      </c>
      <c r="AB43" s="203">
        <f t="shared" si="57"/>
        <v>0.90000000000000036</v>
      </c>
      <c r="AC43" s="470"/>
    </row>
    <row r="44" spans="1:29">
      <c r="A44" s="486" t="s">
        <v>742</v>
      </c>
      <c r="B44" s="26" t="s">
        <v>24</v>
      </c>
      <c r="C44" s="487" t="s">
        <v>84</v>
      </c>
      <c r="D44" s="487"/>
      <c r="E44" s="26">
        <v>24.25</v>
      </c>
      <c r="F44" s="207">
        <v>3609</v>
      </c>
      <c r="G44" s="202">
        <f t="shared" si="49"/>
        <v>87518.25</v>
      </c>
      <c r="H44" s="76" t="s">
        <v>57</v>
      </c>
      <c r="I44" s="205">
        <v>18</v>
      </c>
      <c r="J44" s="18">
        <v>2400</v>
      </c>
      <c r="K44" s="9">
        <f t="shared" si="54"/>
        <v>133.33333333333334</v>
      </c>
      <c r="L44" s="205">
        <v>18</v>
      </c>
      <c r="M44" s="10">
        <f t="shared" si="55"/>
        <v>2165.4000000000005</v>
      </c>
      <c r="N44" s="9">
        <f t="shared" si="56"/>
        <v>120.30000000000003</v>
      </c>
      <c r="O44" s="11">
        <f t="shared" si="50"/>
        <v>0</v>
      </c>
      <c r="P44" s="12">
        <f t="shared" si="51"/>
        <v>-13.033333333333317</v>
      </c>
      <c r="Q44" s="203">
        <f t="shared" si="52"/>
        <v>0.90225000000000011</v>
      </c>
      <c r="R44" s="470"/>
      <c r="S44" s="24">
        <v>0.53124999999999989</v>
      </c>
      <c r="T44" s="24">
        <v>0.60069444444444431</v>
      </c>
      <c r="U44" s="202">
        <f t="shared" si="58"/>
        <v>57.999999999999957</v>
      </c>
      <c r="V44" s="206">
        <f t="shared" si="53"/>
        <v>99.999999999999972</v>
      </c>
      <c r="W44" s="14"/>
      <c r="X44" s="14"/>
      <c r="Y44" s="473"/>
      <c r="Z44" s="474"/>
      <c r="AA44" s="11">
        <f t="shared" si="2"/>
        <v>-234.59999999999945</v>
      </c>
      <c r="AB44" s="203">
        <f t="shared" si="57"/>
        <v>0.90225000000000022</v>
      </c>
      <c r="AC44" s="470"/>
    </row>
    <row r="45" spans="1:29">
      <c r="A45" s="486" t="s">
        <v>740</v>
      </c>
      <c r="B45" s="26" t="s">
        <v>24</v>
      </c>
      <c r="C45" s="487" t="s">
        <v>29</v>
      </c>
      <c r="D45" s="487"/>
      <c r="E45" s="26">
        <v>26.2</v>
      </c>
      <c r="F45" s="207">
        <v>3337</v>
      </c>
      <c r="G45" s="202">
        <f t="shared" si="49"/>
        <v>87429.4</v>
      </c>
      <c r="H45" s="76" t="s">
        <v>57</v>
      </c>
      <c r="I45" s="205">
        <v>18</v>
      </c>
      <c r="J45" s="18">
        <v>2400</v>
      </c>
      <c r="K45" s="9">
        <f t="shared" si="54"/>
        <v>133.33333333333334</v>
      </c>
      <c r="L45" s="205">
        <v>18</v>
      </c>
      <c r="M45" s="10">
        <f t="shared" si="55"/>
        <v>2152.9032258064522</v>
      </c>
      <c r="N45" s="9">
        <f t="shared" si="56"/>
        <v>119.60573476702513</v>
      </c>
      <c r="O45" s="11">
        <f t="shared" si="50"/>
        <v>0</v>
      </c>
      <c r="P45" s="12">
        <f t="shared" si="51"/>
        <v>-13.727598566308217</v>
      </c>
      <c r="Q45" s="203">
        <f t="shared" si="52"/>
        <v>0.89704301075268833</v>
      </c>
      <c r="R45" s="470"/>
      <c r="S45" s="24">
        <v>0.60624999999999984</v>
      </c>
      <c r="T45" s="24">
        <v>0.67083333333333317</v>
      </c>
      <c r="U45" s="202">
        <f t="shared" si="58"/>
        <v>7.9999999999999716</v>
      </c>
      <c r="V45" s="206">
        <f t="shared" si="53"/>
        <v>92.999999999999986</v>
      </c>
      <c r="W45" s="14"/>
      <c r="X45" s="14"/>
      <c r="Y45" s="473"/>
      <c r="Z45" s="474"/>
      <c r="AA45" s="11">
        <f t="shared" si="2"/>
        <v>-247.09677419354784</v>
      </c>
      <c r="AB45" s="203">
        <f t="shared" si="57"/>
        <v>0.89704301075268844</v>
      </c>
      <c r="AC45" s="470"/>
    </row>
    <row r="46" spans="1:29">
      <c r="A46" s="486" t="s">
        <v>158</v>
      </c>
      <c r="B46" s="26" t="s">
        <v>24</v>
      </c>
      <c r="C46" s="487" t="s">
        <v>30</v>
      </c>
      <c r="D46" s="487"/>
      <c r="E46" s="26">
        <v>26.39</v>
      </c>
      <c r="F46" s="207">
        <v>2882</v>
      </c>
      <c r="G46" s="202">
        <f t="shared" si="49"/>
        <v>76055.98</v>
      </c>
      <c r="H46" s="76" t="s">
        <v>57</v>
      </c>
      <c r="I46" s="205">
        <v>19</v>
      </c>
      <c r="J46" s="18">
        <v>2400</v>
      </c>
      <c r="K46" s="9">
        <f t="shared" si="54"/>
        <v>126.31578947368421</v>
      </c>
      <c r="L46" s="205">
        <v>19</v>
      </c>
      <c r="M46" s="10">
        <f t="shared" si="55"/>
        <v>2161.4999999999991</v>
      </c>
      <c r="N46" s="9">
        <f t="shared" si="56"/>
        <v>113.76315789473679</v>
      </c>
      <c r="O46" s="11">
        <f t="shared" si="50"/>
        <v>0</v>
      </c>
      <c r="P46" s="12">
        <f t="shared" si="51"/>
        <v>-12.552631578947413</v>
      </c>
      <c r="Q46" s="203">
        <f t="shared" si="52"/>
        <v>0.90062499999999968</v>
      </c>
      <c r="R46" s="470"/>
      <c r="S46" s="24">
        <v>0.67638888888888871</v>
      </c>
      <c r="T46" s="24">
        <v>0.73194444444444429</v>
      </c>
      <c r="U46" s="202">
        <f t="shared" si="58"/>
        <v>7.9999999999999716</v>
      </c>
      <c r="V46" s="206">
        <f t="shared" si="53"/>
        <v>80.000000000000028</v>
      </c>
      <c r="W46" s="14"/>
      <c r="X46" s="14"/>
      <c r="Y46" s="473"/>
      <c r="Z46" s="474"/>
      <c r="AA46" s="11">
        <f t="shared" si="2"/>
        <v>-238.50000000000091</v>
      </c>
      <c r="AB46" s="203">
        <f t="shared" si="57"/>
        <v>0.90062499999999968</v>
      </c>
      <c r="AC46" s="470"/>
    </row>
    <row r="47" spans="1:29">
      <c r="A47" s="486" t="s">
        <v>740</v>
      </c>
      <c r="B47" s="16" t="s">
        <v>81</v>
      </c>
      <c r="C47" s="466"/>
      <c r="D47" s="466"/>
      <c r="E47" s="201"/>
      <c r="F47" s="16"/>
      <c r="G47" s="9"/>
      <c r="H47" s="207"/>
      <c r="I47" s="17">
        <v>18.777777777777779</v>
      </c>
      <c r="J47" s="18">
        <v>2400</v>
      </c>
      <c r="K47" s="9">
        <f t="shared" si="54"/>
        <v>127.81065088757396</v>
      </c>
      <c r="L47" s="17">
        <v>18.777777777777779</v>
      </c>
      <c r="M47" s="10">
        <f>AVERAGE(M38:M46)</f>
        <v>2161.6990462973608</v>
      </c>
      <c r="N47" s="9">
        <f>M47/L47</f>
        <v>115.12006755429732</v>
      </c>
      <c r="O47" s="11">
        <f>L47-I47</f>
        <v>0</v>
      </c>
      <c r="P47" s="12">
        <f t="shared" si="51"/>
        <v>-12.690583333276635</v>
      </c>
      <c r="Q47" s="203">
        <f t="shared" si="52"/>
        <v>0.90070793595723375</v>
      </c>
      <c r="R47" s="470"/>
      <c r="S47" s="24"/>
      <c r="T47" s="24"/>
      <c r="U47" s="9"/>
      <c r="V47" s="206"/>
      <c r="W47" s="9"/>
      <c r="X47" s="9"/>
      <c r="Y47" s="456"/>
      <c r="Z47" s="456"/>
      <c r="AA47" s="11">
        <f t="shared" si="2"/>
        <v>-238.30095370263916</v>
      </c>
      <c r="AB47" s="203">
        <f t="shared" si="57"/>
        <v>0.90070793595723364</v>
      </c>
      <c r="AC47" s="470"/>
    </row>
    <row r="48" spans="1:29" ht="15.75" customHeight="1">
      <c r="A48" s="488" t="s">
        <v>162</v>
      </c>
      <c r="B48" s="26" t="s">
        <v>33</v>
      </c>
      <c r="C48" s="491" t="s">
        <v>34</v>
      </c>
      <c r="D48" s="492"/>
      <c r="E48" s="26">
        <v>27.17</v>
      </c>
      <c r="F48" s="207">
        <v>2800</v>
      </c>
      <c r="G48" s="202">
        <f t="shared" ref="G48:G56" si="59">E48*F48</f>
        <v>76076</v>
      </c>
      <c r="H48" s="76">
        <v>2</v>
      </c>
      <c r="I48" s="205">
        <v>10</v>
      </c>
      <c r="J48" s="18">
        <v>3000</v>
      </c>
      <c r="K48" s="9">
        <f t="shared" si="54"/>
        <v>300</v>
      </c>
      <c r="L48" s="205">
        <v>10</v>
      </c>
      <c r="M48" s="10">
        <f t="shared" ref="M48:M49" si="60">F48/V48*60</f>
        <v>2709.6774193548399</v>
      </c>
      <c r="N48" s="10">
        <f t="shared" ref="N48:N57" si="61">M48/L48</f>
        <v>270.96774193548401</v>
      </c>
      <c r="O48" s="11">
        <f t="shared" ref="O48:O57" si="62">L48-I48</f>
        <v>0</v>
      </c>
      <c r="P48" s="12">
        <f t="shared" si="51"/>
        <v>-29.032258064515986</v>
      </c>
      <c r="Q48" s="203">
        <f t="shared" si="52"/>
        <v>0.90322580645161343</v>
      </c>
      <c r="R48" s="493">
        <f>Q57</f>
        <v>0.90394621803317454</v>
      </c>
      <c r="S48" s="24">
        <v>0.20833333333333334</v>
      </c>
      <c r="T48" s="24">
        <v>0.25138888888888888</v>
      </c>
      <c r="U48" s="15"/>
      <c r="V48" s="206">
        <f t="shared" ref="V48:V56" si="63">(T48-S48)*24*60</f>
        <v>61.999999999999979</v>
      </c>
      <c r="W48" s="202"/>
      <c r="X48" s="202"/>
      <c r="Y48" s="473"/>
      <c r="Z48" s="474"/>
      <c r="AA48" s="11">
        <f t="shared" si="2"/>
        <v>-290.32258064516009</v>
      </c>
      <c r="AB48" s="203">
        <f t="shared" si="57"/>
        <v>0.90322580645161332</v>
      </c>
      <c r="AC48" s="493">
        <f>AB57</f>
        <v>0.90394621803317465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207">
        <v>3000</v>
      </c>
      <c r="G49" s="202">
        <f t="shared" si="59"/>
        <v>63390</v>
      </c>
      <c r="H49" s="76">
        <v>2</v>
      </c>
      <c r="I49" s="205">
        <v>10</v>
      </c>
      <c r="J49" s="18">
        <v>3000</v>
      </c>
      <c r="K49" s="9">
        <f t="shared" si="54"/>
        <v>300</v>
      </c>
      <c r="L49" s="205">
        <v>10</v>
      </c>
      <c r="M49" s="10">
        <f t="shared" si="60"/>
        <v>2727.272727272727</v>
      </c>
      <c r="N49" s="10">
        <f t="shared" si="61"/>
        <v>272.72727272727269</v>
      </c>
      <c r="O49" s="11">
        <f t="shared" si="62"/>
        <v>0</v>
      </c>
      <c r="P49" s="12">
        <f t="shared" si="51"/>
        <v>-27.272727272727309</v>
      </c>
      <c r="Q49" s="203">
        <f t="shared" si="52"/>
        <v>0.90909090909090895</v>
      </c>
      <c r="R49" s="494"/>
      <c r="S49" s="24">
        <v>0.25486111111111109</v>
      </c>
      <c r="T49" s="24">
        <v>0.30069444444444443</v>
      </c>
      <c r="U49" s="202">
        <f>(S49-T48)*24*60</f>
        <v>4.9999999999999822</v>
      </c>
      <c r="V49" s="206">
        <f t="shared" si="63"/>
        <v>66</v>
      </c>
      <c r="W49" s="14"/>
      <c r="X49" s="14"/>
      <c r="Y49" s="473"/>
      <c r="Z49" s="474"/>
      <c r="AA49" s="11">
        <f t="shared" si="2"/>
        <v>-272.72727272727298</v>
      </c>
      <c r="AB49" s="203">
        <f t="shared" si="57"/>
        <v>0.90909090909090906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207">
        <v>3000</v>
      </c>
      <c r="G50" s="202">
        <f t="shared" si="59"/>
        <v>105359.99999999999</v>
      </c>
      <c r="H50" s="76">
        <v>2</v>
      </c>
      <c r="I50" s="205">
        <v>10</v>
      </c>
      <c r="J50" s="18">
        <v>3000</v>
      </c>
      <c r="K50" s="9">
        <f t="shared" si="54"/>
        <v>300</v>
      </c>
      <c r="L50" s="205">
        <v>10</v>
      </c>
      <c r="M50" s="10">
        <f>F50/V50*60</f>
        <v>2727.272727272727</v>
      </c>
      <c r="N50" s="10">
        <f t="shared" si="61"/>
        <v>272.72727272727269</v>
      </c>
      <c r="O50" s="11">
        <f t="shared" si="62"/>
        <v>0</v>
      </c>
      <c r="P50" s="12">
        <f t="shared" si="51"/>
        <v>-27.272727272727309</v>
      </c>
      <c r="Q50" s="203">
        <f t="shared" si="52"/>
        <v>0.90909090909090895</v>
      </c>
      <c r="R50" s="494"/>
      <c r="S50" s="24">
        <v>0.30624999999999997</v>
      </c>
      <c r="T50" s="24">
        <v>0.3520833333333333</v>
      </c>
      <c r="U50" s="202">
        <f t="shared" ref="U50:U56" si="64">(S50-T49)*24*60</f>
        <v>7.9999999999999716</v>
      </c>
      <c r="V50" s="206">
        <f t="shared" si="63"/>
        <v>66</v>
      </c>
      <c r="W50" s="14"/>
      <c r="X50" s="14"/>
      <c r="Y50" s="473"/>
      <c r="Z50" s="474"/>
      <c r="AA50" s="11">
        <f t="shared" si="2"/>
        <v>-272.72727272727298</v>
      </c>
      <c r="AB50" s="203">
        <f t="shared" si="57"/>
        <v>0.90909090909090906</v>
      </c>
      <c r="AC50" s="494"/>
    </row>
    <row r="51" spans="1:29" ht="15.75" customHeight="1">
      <c r="A51" s="489" t="s">
        <v>9</v>
      </c>
      <c r="B51" s="26" t="s">
        <v>33</v>
      </c>
      <c r="C51" s="491" t="s">
        <v>67</v>
      </c>
      <c r="D51" s="492"/>
      <c r="E51" s="26">
        <v>40.18</v>
      </c>
      <c r="F51" s="207">
        <v>2811</v>
      </c>
      <c r="G51" s="202">
        <f t="shared" si="59"/>
        <v>112945.98</v>
      </c>
      <c r="H51" s="76" t="s">
        <v>57</v>
      </c>
      <c r="I51" s="205">
        <v>10</v>
      </c>
      <c r="J51" s="18">
        <v>3000</v>
      </c>
      <c r="K51" s="9">
        <f t="shared" si="54"/>
        <v>300</v>
      </c>
      <c r="L51" s="205">
        <v>10</v>
      </c>
      <c r="M51" s="10">
        <f t="shared" ref="M51:M56" si="65">F51/V51*60</f>
        <v>2720.3225806451601</v>
      </c>
      <c r="N51" s="10">
        <f t="shared" si="61"/>
        <v>272.03225806451599</v>
      </c>
      <c r="O51" s="11">
        <f t="shared" si="62"/>
        <v>0</v>
      </c>
      <c r="P51" s="12">
        <f t="shared" si="51"/>
        <v>-27.967741935484014</v>
      </c>
      <c r="Q51" s="203">
        <f t="shared" si="52"/>
        <v>0.90677419354838662</v>
      </c>
      <c r="R51" s="494"/>
      <c r="S51" s="24">
        <v>0.35555555555555551</v>
      </c>
      <c r="T51" s="24">
        <v>0.39861111111111108</v>
      </c>
      <c r="U51" s="202">
        <f t="shared" si="64"/>
        <v>4.9999999999999822</v>
      </c>
      <c r="V51" s="206">
        <f t="shared" si="63"/>
        <v>62.000000000000021</v>
      </c>
      <c r="W51" s="14"/>
      <c r="X51" s="14"/>
      <c r="Y51" s="473"/>
      <c r="Z51" s="474"/>
      <c r="AA51" s="11">
        <f t="shared" si="2"/>
        <v>-279.67741935483991</v>
      </c>
      <c r="AB51" s="203">
        <f t="shared" si="57"/>
        <v>0.90677419354838673</v>
      </c>
      <c r="AC51" s="494"/>
    </row>
    <row r="52" spans="1:29" ht="15.75" customHeight="1">
      <c r="A52" s="489" t="s">
        <v>9</v>
      </c>
      <c r="B52" s="26" t="s">
        <v>33</v>
      </c>
      <c r="C52" s="491" t="s">
        <v>73</v>
      </c>
      <c r="D52" s="492"/>
      <c r="E52" s="26">
        <v>28.5</v>
      </c>
      <c r="F52" s="207">
        <v>2063</v>
      </c>
      <c r="G52" s="202">
        <f t="shared" si="59"/>
        <v>58795.5</v>
      </c>
      <c r="H52" s="76" t="s">
        <v>57</v>
      </c>
      <c r="I52" s="205">
        <v>10</v>
      </c>
      <c r="J52" s="18">
        <v>3000</v>
      </c>
      <c r="K52" s="9">
        <f t="shared" si="54"/>
        <v>300</v>
      </c>
      <c r="L52" s="205">
        <v>10</v>
      </c>
      <c r="M52" s="10">
        <f t="shared" si="65"/>
        <v>2690.8695652173915</v>
      </c>
      <c r="N52" s="10">
        <f t="shared" si="61"/>
        <v>269.08695652173913</v>
      </c>
      <c r="O52" s="11">
        <f t="shared" si="62"/>
        <v>0</v>
      </c>
      <c r="P52" s="12">
        <f t="shared" si="51"/>
        <v>-30.913043478260875</v>
      </c>
      <c r="Q52" s="203">
        <f>N52/K52</f>
        <v>0.89695652173913043</v>
      </c>
      <c r="R52" s="494"/>
      <c r="S52" s="24">
        <v>0.40347222222222218</v>
      </c>
      <c r="T52" s="24">
        <v>0.43541666666666662</v>
      </c>
      <c r="U52" s="202">
        <f t="shared" si="64"/>
        <v>6.9999999999999751</v>
      </c>
      <c r="V52" s="206">
        <f t="shared" si="63"/>
        <v>46</v>
      </c>
      <c r="W52" s="14"/>
      <c r="X52" s="14"/>
      <c r="Y52" s="473"/>
      <c r="Z52" s="474"/>
      <c r="AA52" s="11">
        <f t="shared" si="2"/>
        <v>-309.13043478260852</v>
      </c>
      <c r="AB52" s="203">
        <f t="shared" si="57"/>
        <v>0.89695652173913054</v>
      </c>
      <c r="AC52" s="494"/>
    </row>
    <row r="53" spans="1:29" ht="15.75" customHeight="1">
      <c r="A53" s="489" t="s">
        <v>9</v>
      </c>
      <c r="B53" s="26" t="s">
        <v>33</v>
      </c>
      <c r="C53" s="491" t="s">
        <v>511</v>
      </c>
      <c r="D53" s="492"/>
      <c r="E53" s="26">
        <v>35.869999999999997</v>
      </c>
      <c r="F53" s="207">
        <v>3498</v>
      </c>
      <c r="G53" s="202">
        <f t="shared" si="59"/>
        <v>125473.26</v>
      </c>
      <c r="H53" s="76" t="s">
        <v>57</v>
      </c>
      <c r="I53" s="205">
        <v>10</v>
      </c>
      <c r="J53" s="18">
        <v>3000</v>
      </c>
      <c r="K53" s="9">
        <f t="shared" si="54"/>
        <v>300</v>
      </c>
      <c r="L53" s="205">
        <v>10</v>
      </c>
      <c r="M53" s="10">
        <f t="shared" si="65"/>
        <v>2690.7692307692323</v>
      </c>
      <c r="N53" s="10">
        <f t="shared" si="61"/>
        <v>269.07692307692321</v>
      </c>
      <c r="O53" s="11">
        <f t="shared" si="62"/>
        <v>0</v>
      </c>
      <c r="P53" s="12">
        <f t="shared" si="51"/>
        <v>-30.923076923076792</v>
      </c>
      <c r="Q53" s="203">
        <f t="shared" ref="Q53:Q57" si="66">N53/K53</f>
        <v>0.89692307692307738</v>
      </c>
      <c r="R53" s="494"/>
      <c r="S53" s="24">
        <v>0.44027777777777771</v>
      </c>
      <c r="T53" s="24">
        <v>0.49444444444444435</v>
      </c>
      <c r="U53" s="202">
        <f t="shared" si="64"/>
        <v>6.9999999999999751</v>
      </c>
      <c r="V53" s="206">
        <f t="shared" si="63"/>
        <v>77.999999999999957</v>
      </c>
      <c r="W53" s="14"/>
      <c r="X53" s="14"/>
      <c r="Y53" s="473"/>
      <c r="Z53" s="474"/>
      <c r="AA53" s="11">
        <f t="shared" si="2"/>
        <v>-309.23076923076769</v>
      </c>
      <c r="AB53" s="203">
        <f t="shared" si="57"/>
        <v>0.89692307692307749</v>
      </c>
      <c r="AC53" s="494"/>
    </row>
    <row r="54" spans="1:29" ht="15.75" customHeight="1">
      <c r="A54" s="489" t="s">
        <v>9</v>
      </c>
      <c r="B54" s="26" t="s">
        <v>33</v>
      </c>
      <c r="C54" s="491" t="s">
        <v>34</v>
      </c>
      <c r="D54" s="492"/>
      <c r="E54" s="26">
        <v>27.17</v>
      </c>
      <c r="F54" s="207">
        <v>3620</v>
      </c>
      <c r="G54" s="202">
        <f t="shared" si="59"/>
        <v>98355.400000000009</v>
      </c>
      <c r="H54" s="76" t="s">
        <v>57</v>
      </c>
      <c r="I54" s="205">
        <v>10</v>
      </c>
      <c r="J54" s="18">
        <v>3000</v>
      </c>
      <c r="K54" s="9">
        <f t="shared" si="54"/>
        <v>300</v>
      </c>
      <c r="L54" s="205">
        <v>10</v>
      </c>
      <c r="M54" s="10">
        <f t="shared" si="65"/>
        <v>2714.9999999999991</v>
      </c>
      <c r="N54" s="10">
        <f t="shared" si="61"/>
        <v>271.49999999999989</v>
      </c>
      <c r="O54" s="11">
        <f t="shared" si="62"/>
        <v>0</v>
      </c>
      <c r="P54" s="12">
        <f t="shared" si="51"/>
        <v>-28.500000000000114</v>
      </c>
      <c r="Q54" s="203">
        <f t="shared" si="66"/>
        <v>0.90499999999999958</v>
      </c>
      <c r="R54" s="494"/>
      <c r="S54" s="24">
        <v>0.5347222222222221</v>
      </c>
      <c r="T54" s="24">
        <v>0.59027777777777768</v>
      </c>
      <c r="U54" s="202">
        <f t="shared" si="64"/>
        <v>57.999999999999957</v>
      </c>
      <c r="V54" s="206">
        <f t="shared" si="63"/>
        <v>80.000000000000028</v>
      </c>
      <c r="W54" s="14"/>
      <c r="X54" s="14"/>
      <c r="Y54" s="473"/>
      <c r="Z54" s="474"/>
      <c r="AA54" s="11">
        <f t="shared" si="2"/>
        <v>-285.00000000000091</v>
      </c>
      <c r="AB54" s="203">
        <f t="shared" si="57"/>
        <v>0.90499999999999969</v>
      </c>
      <c r="AC54" s="494"/>
    </row>
    <row r="55" spans="1:29" ht="15.75" customHeight="1">
      <c r="A55" s="489" t="s">
        <v>9</v>
      </c>
      <c r="B55" s="26" t="s">
        <v>33</v>
      </c>
      <c r="C55" s="491" t="s">
        <v>43</v>
      </c>
      <c r="D55" s="492"/>
      <c r="E55" s="26">
        <v>35.119999999999997</v>
      </c>
      <c r="F55" s="207">
        <v>2043</v>
      </c>
      <c r="G55" s="202">
        <f t="shared" si="59"/>
        <v>71750.159999999989</v>
      </c>
      <c r="H55" s="76" t="s">
        <v>57</v>
      </c>
      <c r="I55" s="205">
        <v>10</v>
      </c>
      <c r="J55" s="18">
        <v>3000</v>
      </c>
      <c r="K55" s="9">
        <f t="shared" si="54"/>
        <v>300</v>
      </c>
      <c r="L55" s="205">
        <v>10</v>
      </c>
      <c r="M55" s="10">
        <f t="shared" si="65"/>
        <v>2724</v>
      </c>
      <c r="N55" s="10">
        <f t="shared" si="61"/>
        <v>272.39999999999998</v>
      </c>
      <c r="O55" s="11">
        <f t="shared" si="62"/>
        <v>0</v>
      </c>
      <c r="P55" s="12">
        <f t="shared" si="51"/>
        <v>-27.600000000000023</v>
      </c>
      <c r="Q55" s="203">
        <f t="shared" si="66"/>
        <v>0.90799999999999992</v>
      </c>
      <c r="R55" s="494"/>
      <c r="S55" s="24">
        <v>0.59444444444444433</v>
      </c>
      <c r="T55" s="24">
        <v>0.62569444444444433</v>
      </c>
      <c r="U55" s="202">
        <f t="shared" si="64"/>
        <v>5.9999999999999787</v>
      </c>
      <c r="V55" s="206">
        <f t="shared" si="63"/>
        <v>45</v>
      </c>
      <c r="W55" s="14"/>
      <c r="X55" s="14"/>
      <c r="Y55" s="473"/>
      <c r="Z55" s="474"/>
      <c r="AA55" s="11">
        <f t="shared" si="2"/>
        <v>-276</v>
      </c>
      <c r="AB55" s="203">
        <f t="shared" si="57"/>
        <v>0.90800000000000003</v>
      </c>
      <c r="AC55" s="494"/>
    </row>
    <row r="56" spans="1:29" ht="15.75" customHeight="1">
      <c r="A56" s="489" t="s">
        <v>9</v>
      </c>
      <c r="B56" s="26" t="s">
        <v>33</v>
      </c>
      <c r="C56" s="491" t="s">
        <v>35</v>
      </c>
      <c r="D56" s="492"/>
      <c r="E56" s="26">
        <v>21.13</v>
      </c>
      <c r="F56" s="207">
        <v>1981</v>
      </c>
      <c r="G56" s="202">
        <f t="shared" si="59"/>
        <v>41858.53</v>
      </c>
      <c r="H56" s="76" t="s">
        <v>57</v>
      </c>
      <c r="I56" s="205">
        <v>10</v>
      </c>
      <c r="J56" s="18">
        <v>3000</v>
      </c>
      <c r="K56" s="9">
        <f t="shared" si="54"/>
        <v>300</v>
      </c>
      <c r="L56" s="205">
        <v>10</v>
      </c>
      <c r="M56" s="10">
        <f t="shared" si="65"/>
        <v>2701.3636363636365</v>
      </c>
      <c r="N56" s="10">
        <f t="shared" si="61"/>
        <v>270.13636363636363</v>
      </c>
      <c r="O56" s="11">
        <f t="shared" si="62"/>
        <v>0</v>
      </c>
      <c r="P56" s="12">
        <f t="shared" si="51"/>
        <v>-29.863636363636374</v>
      </c>
      <c r="Q56" s="203">
        <f t="shared" si="66"/>
        <v>0.9004545454545454</v>
      </c>
      <c r="R56" s="494"/>
      <c r="S56" s="24">
        <v>0.63124999999999987</v>
      </c>
      <c r="T56" s="24">
        <v>0.66180555555555542</v>
      </c>
      <c r="U56" s="202">
        <f t="shared" si="64"/>
        <v>7.9999999999999716</v>
      </c>
      <c r="V56" s="206">
        <f t="shared" si="63"/>
        <v>44</v>
      </c>
      <c r="W56" s="14"/>
      <c r="X56" s="14"/>
      <c r="Y56" s="473"/>
      <c r="Z56" s="474"/>
      <c r="AA56" s="11">
        <f t="shared" si="2"/>
        <v>-298.63636363636351</v>
      </c>
      <c r="AB56" s="203">
        <f t="shared" si="57"/>
        <v>0.90045454545454551</v>
      </c>
      <c r="AC56" s="494"/>
    </row>
    <row r="57" spans="1:29" ht="15.75" customHeight="1">
      <c r="A57" s="490" t="s">
        <v>9</v>
      </c>
      <c r="B57" s="26" t="s">
        <v>734</v>
      </c>
      <c r="C57" s="497"/>
      <c r="D57" s="498"/>
      <c r="E57" s="204"/>
      <c r="F57" s="207"/>
      <c r="G57" s="202"/>
      <c r="H57" s="207"/>
      <c r="I57" s="17">
        <v>10</v>
      </c>
      <c r="J57" s="18">
        <v>3000</v>
      </c>
      <c r="K57" s="9">
        <f>J57/I57</f>
        <v>300</v>
      </c>
      <c r="L57" s="17">
        <v>10</v>
      </c>
      <c r="M57" s="10">
        <f>AVERAGE(M48:M56)</f>
        <v>2711.8386540995239</v>
      </c>
      <c r="N57" s="9">
        <f t="shared" si="61"/>
        <v>271.18386540995238</v>
      </c>
      <c r="O57" s="11">
        <f t="shared" si="62"/>
        <v>0</v>
      </c>
      <c r="P57" s="12">
        <f t="shared" si="51"/>
        <v>-28.816134590047625</v>
      </c>
      <c r="Q57" s="203">
        <f t="shared" si="66"/>
        <v>0.90394621803317454</v>
      </c>
      <c r="R57" s="495"/>
      <c r="S57" s="24"/>
      <c r="T57" s="24"/>
      <c r="U57" s="202"/>
      <c r="V57" s="206"/>
      <c r="W57" s="14"/>
      <c r="X57" s="14"/>
      <c r="Y57" s="473"/>
      <c r="Z57" s="474"/>
      <c r="AA57" s="11">
        <f t="shared" si="2"/>
        <v>-288.16134590047614</v>
      </c>
      <c r="AB57" s="203">
        <f t="shared" si="57"/>
        <v>0.90394621803317465</v>
      </c>
      <c r="AC57" s="495"/>
    </row>
    <row r="58" spans="1:29" ht="15.75" customHeight="1">
      <c r="A58" s="461" t="s">
        <v>743</v>
      </c>
      <c r="B58" s="26" t="s">
        <v>15</v>
      </c>
      <c r="C58" s="487" t="s">
        <v>20</v>
      </c>
      <c r="D58" s="487"/>
      <c r="E58" s="26">
        <v>46</v>
      </c>
      <c r="F58" s="27">
        <v>3282</v>
      </c>
      <c r="G58" s="202">
        <f t="shared" ref="G58:G61" si="67">E58*F58</f>
        <v>150972</v>
      </c>
      <c r="H58" s="76" t="s">
        <v>57</v>
      </c>
      <c r="I58" s="205">
        <v>17</v>
      </c>
      <c r="J58" s="18">
        <v>1500</v>
      </c>
      <c r="K58" s="9">
        <f t="shared" ref="K58:K61" si="68">J58/I58</f>
        <v>88.235294117647058</v>
      </c>
      <c r="L58" s="205">
        <v>17</v>
      </c>
      <c r="M58" s="10">
        <f t="shared" ref="M58:M61" si="69">F58/V58*60</f>
        <v>1348.7671232876714</v>
      </c>
      <c r="N58" s="10">
        <f>M58/L58</f>
        <v>79.339242546333608</v>
      </c>
      <c r="O58" s="11">
        <f>L58-I58</f>
        <v>0</v>
      </c>
      <c r="P58" s="12">
        <f>N58-K58</f>
        <v>-8.8960515713134498</v>
      </c>
      <c r="Q58" s="203">
        <f>N58/K58</f>
        <v>0.89917808219178086</v>
      </c>
      <c r="R58" s="470">
        <f>Q62</f>
        <v>0.90204936549261105</v>
      </c>
      <c r="S58" s="24">
        <v>0.29305555555555557</v>
      </c>
      <c r="T58" s="24">
        <v>0.39444444444444443</v>
      </c>
      <c r="U58" s="15"/>
      <c r="V58" s="206">
        <f t="shared" ref="V58:V61" si="70">(T58-S58)*24*60</f>
        <v>145.99999999999997</v>
      </c>
      <c r="W58" s="15"/>
      <c r="X58" s="15"/>
      <c r="Y58" s="456"/>
      <c r="Z58" s="456"/>
      <c r="AA58" s="11">
        <f t="shared" si="2"/>
        <v>-151.23287671232856</v>
      </c>
      <c r="AB58" s="203">
        <f t="shared" si="57"/>
        <v>0.89917808219178097</v>
      </c>
      <c r="AC58" s="470">
        <f>AB62</f>
        <v>0.90204936549261094</v>
      </c>
    </row>
    <row r="59" spans="1:29" ht="15.75" customHeight="1">
      <c r="A59" s="461" t="s">
        <v>10</v>
      </c>
      <c r="B59" s="26" t="s">
        <v>15</v>
      </c>
      <c r="C59" s="487" t="s">
        <v>75</v>
      </c>
      <c r="D59" s="487"/>
      <c r="E59" s="26">
        <v>46</v>
      </c>
      <c r="F59" s="27">
        <v>4064</v>
      </c>
      <c r="G59" s="202">
        <f t="shared" si="67"/>
        <v>186944</v>
      </c>
      <c r="H59" s="76" t="s">
        <v>57</v>
      </c>
      <c r="I59" s="205">
        <v>18</v>
      </c>
      <c r="J59" s="18">
        <v>1500</v>
      </c>
      <c r="K59" s="9">
        <f t="shared" si="68"/>
        <v>83.333333333333329</v>
      </c>
      <c r="L59" s="205">
        <v>18</v>
      </c>
      <c r="M59" s="10">
        <f t="shared" si="69"/>
        <v>1347.1823204419884</v>
      </c>
      <c r="N59" s="10">
        <f t="shared" ref="N59:N61" si="71">M59/L59</f>
        <v>74.843462246777136</v>
      </c>
      <c r="O59" s="11">
        <f t="shared" ref="O59:O61" si="72">L59-I59</f>
        <v>0</v>
      </c>
      <c r="P59" s="12">
        <f t="shared" ref="P59:P61" si="73">N59-K59</f>
        <v>-8.4898710865561924</v>
      </c>
      <c r="Q59" s="203">
        <f t="shared" ref="Q59:Q61" si="74">N59/K59</f>
        <v>0.89812154696132573</v>
      </c>
      <c r="R59" s="470"/>
      <c r="S59" s="24">
        <v>0.39861111111111108</v>
      </c>
      <c r="T59" s="24">
        <v>0.52430555555555558</v>
      </c>
      <c r="U59" s="202">
        <f t="shared" ref="U59:U61" si="75">(S59-T58)*24*60</f>
        <v>5.9999999999999787</v>
      </c>
      <c r="V59" s="206">
        <f t="shared" si="70"/>
        <v>181.00000000000009</v>
      </c>
      <c r="W59" s="14"/>
      <c r="X59" s="14"/>
      <c r="Y59" s="456"/>
      <c r="Z59" s="456"/>
      <c r="AA59" s="11">
        <f t="shared" si="2"/>
        <v>-152.8176795580116</v>
      </c>
      <c r="AB59" s="203">
        <f t="shared" si="57"/>
        <v>0.89812154696132562</v>
      </c>
      <c r="AC59" s="470"/>
    </row>
    <row r="60" spans="1:29" ht="15.75" customHeight="1">
      <c r="A60" s="461" t="s">
        <v>10</v>
      </c>
      <c r="B60" s="26" t="s">
        <v>13</v>
      </c>
      <c r="C60" s="491" t="s">
        <v>65</v>
      </c>
      <c r="D60" s="492"/>
      <c r="E60" s="26">
        <v>55.56</v>
      </c>
      <c r="F60" s="27">
        <v>2304</v>
      </c>
      <c r="G60" s="202">
        <f t="shared" si="67"/>
        <v>128010.24000000001</v>
      </c>
      <c r="H60" s="76" t="s">
        <v>57</v>
      </c>
      <c r="I60" s="205">
        <v>17</v>
      </c>
      <c r="J60" s="18">
        <v>1500</v>
      </c>
      <c r="K60" s="9">
        <f t="shared" si="68"/>
        <v>88.235294117647058</v>
      </c>
      <c r="L60" s="205">
        <v>17</v>
      </c>
      <c r="M60" s="10">
        <f t="shared" si="69"/>
        <v>1355.2941176470592</v>
      </c>
      <c r="N60" s="10">
        <f t="shared" si="71"/>
        <v>79.723183391003488</v>
      </c>
      <c r="O60" s="11">
        <f t="shared" si="72"/>
        <v>0</v>
      </c>
      <c r="P60" s="12">
        <f t="shared" si="73"/>
        <v>-8.51211072664357</v>
      </c>
      <c r="Q60" s="203">
        <f t="shared" si="74"/>
        <v>0.90352941176470625</v>
      </c>
      <c r="R60" s="470"/>
      <c r="S60" s="24">
        <v>0.70833333333333337</v>
      </c>
      <c r="T60" s="24">
        <v>0.77916666666666667</v>
      </c>
      <c r="U60" s="202">
        <f t="shared" si="75"/>
        <v>265</v>
      </c>
      <c r="V60" s="206">
        <f t="shared" si="70"/>
        <v>101.99999999999996</v>
      </c>
      <c r="W60" s="14"/>
      <c r="X60" s="14"/>
      <c r="Y60" s="199"/>
      <c r="Z60" s="200"/>
      <c r="AA60" s="11">
        <f t="shared" si="2"/>
        <v>-144.70588235294076</v>
      </c>
      <c r="AB60" s="203">
        <f t="shared" si="57"/>
        <v>0.90352941176470614</v>
      </c>
      <c r="AC60" s="470"/>
    </row>
    <row r="61" spans="1:29" ht="15.75" customHeight="1">
      <c r="A61" s="461" t="s">
        <v>10</v>
      </c>
      <c r="B61" s="26" t="s">
        <v>13</v>
      </c>
      <c r="C61" s="197" t="s">
        <v>64</v>
      </c>
      <c r="D61" s="198"/>
      <c r="E61" s="26">
        <v>55.32</v>
      </c>
      <c r="F61" s="27">
        <v>1724</v>
      </c>
      <c r="G61" s="202">
        <f t="shared" si="67"/>
        <v>95371.680000000008</v>
      </c>
      <c r="H61" s="76" t="s">
        <v>57</v>
      </c>
      <c r="I61" s="205">
        <v>15</v>
      </c>
      <c r="J61" s="18">
        <v>1500</v>
      </c>
      <c r="K61" s="9">
        <f t="shared" si="68"/>
        <v>100</v>
      </c>
      <c r="L61" s="205">
        <v>15</v>
      </c>
      <c r="M61" s="10">
        <f t="shared" si="69"/>
        <v>1361.0526315789464</v>
      </c>
      <c r="N61" s="10">
        <f t="shared" si="71"/>
        <v>90.736842105263094</v>
      </c>
      <c r="O61" s="11">
        <f t="shared" si="72"/>
        <v>0</v>
      </c>
      <c r="P61" s="12">
        <f t="shared" si="73"/>
        <v>-9.2631578947369064</v>
      </c>
      <c r="Q61" s="203">
        <f t="shared" si="74"/>
        <v>0.90736842105263094</v>
      </c>
      <c r="R61" s="470"/>
      <c r="S61" s="24">
        <v>0.78402777777777777</v>
      </c>
      <c r="T61" s="24">
        <v>0.83680555555555558</v>
      </c>
      <c r="U61" s="202">
        <f t="shared" si="75"/>
        <v>6.9999999999999751</v>
      </c>
      <c r="V61" s="206">
        <f t="shared" si="70"/>
        <v>76.000000000000057</v>
      </c>
      <c r="W61" s="14"/>
      <c r="X61" s="14"/>
      <c r="Y61" s="199"/>
      <c r="Z61" s="200"/>
      <c r="AA61" s="11">
        <f t="shared" si="2"/>
        <v>-138.94736842105362</v>
      </c>
      <c r="AB61" s="203">
        <f t="shared" si="57"/>
        <v>0.90736842105263094</v>
      </c>
      <c r="AC61" s="470"/>
    </row>
    <row r="62" spans="1:29">
      <c r="A62" s="496" t="s">
        <v>10</v>
      </c>
      <c r="B62" s="26" t="s">
        <v>736</v>
      </c>
      <c r="C62" s="466"/>
      <c r="D62" s="466"/>
      <c r="E62" s="201"/>
      <c r="F62" s="16"/>
      <c r="G62" s="9"/>
      <c r="H62" s="207"/>
      <c r="I62" s="17">
        <v>16.75</v>
      </c>
      <c r="J62" s="18">
        <v>1500</v>
      </c>
      <c r="K62" s="9">
        <f>J62/I62</f>
        <v>89.552238805970148</v>
      </c>
      <c r="L62" s="17">
        <v>16.75</v>
      </c>
      <c r="M62" s="10">
        <f>AVERAGE(M58:M61)</f>
        <v>1353.0740482389165</v>
      </c>
      <c r="N62" s="9">
        <f>M62/L62</f>
        <v>80.780540193368154</v>
      </c>
      <c r="O62" s="11">
        <f>L62-I62</f>
        <v>0</v>
      </c>
      <c r="P62" s="12">
        <f>N62-K62</f>
        <v>-8.7716986126019947</v>
      </c>
      <c r="Q62" s="203">
        <f>N62/K62</f>
        <v>0.90204936549261105</v>
      </c>
      <c r="R62" s="470"/>
      <c r="S62" s="25"/>
      <c r="T62" s="24"/>
      <c r="U62" s="9"/>
      <c r="V62" s="206"/>
      <c r="W62" s="9"/>
      <c r="X62" s="9"/>
      <c r="Y62" s="456"/>
      <c r="Z62" s="456"/>
      <c r="AA62" s="11">
        <f t="shared" si="2"/>
        <v>-146.92595176108352</v>
      </c>
      <c r="AB62" s="203">
        <f t="shared" si="57"/>
        <v>0.90204936549261094</v>
      </c>
      <c r="AC62" s="470"/>
    </row>
    <row r="63" spans="1:29" ht="15.75" customHeight="1">
      <c r="A63" s="499" t="s">
        <v>163</v>
      </c>
      <c r="B63" s="207" t="s">
        <v>33</v>
      </c>
      <c r="C63" s="487" t="s">
        <v>36</v>
      </c>
      <c r="D63" s="487"/>
      <c r="E63" s="26">
        <v>26.78</v>
      </c>
      <c r="F63" s="27">
        <v>2603</v>
      </c>
      <c r="G63" s="202">
        <f t="shared" ref="G63:G67" si="76">E63*F63</f>
        <v>69708.34</v>
      </c>
      <c r="H63" s="76" t="s">
        <v>57</v>
      </c>
      <c r="I63" s="205">
        <v>10</v>
      </c>
      <c r="J63" s="18">
        <v>3000</v>
      </c>
      <c r="K63" s="9">
        <f t="shared" ref="K63:K67" si="77">J63/I63</f>
        <v>300</v>
      </c>
      <c r="L63" s="17">
        <v>10</v>
      </c>
      <c r="M63" s="10">
        <f t="shared" ref="M63:M67" si="78">F63/V63*60</f>
        <v>2692.7586206896535</v>
      </c>
      <c r="N63" s="9">
        <f>M63/L63</f>
        <v>269.27586206896535</v>
      </c>
      <c r="O63" s="11">
        <f t="shared" ref="O63:O67" si="79">L63-I63</f>
        <v>0</v>
      </c>
      <c r="P63" s="12">
        <f t="shared" ref="P63:P67" si="80">N63-K63</f>
        <v>-30.724137931034647</v>
      </c>
      <c r="Q63" s="203">
        <f>N63/K63</f>
        <v>0.89758620689655122</v>
      </c>
      <c r="R63" s="470">
        <f>Q68</f>
        <v>0.90124780256233039</v>
      </c>
      <c r="S63" s="24">
        <v>0.25069444444444444</v>
      </c>
      <c r="T63" s="24">
        <v>0.29097222222222224</v>
      </c>
      <c r="U63" s="202"/>
      <c r="V63" s="206">
        <f t="shared" ref="V63:V67" si="81">(T63-S63)*24*60</f>
        <v>58.000000000000036</v>
      </c>
      <c r="W63" s="15"/>
      <c r="X63" s="15"/>
      <c r="Y63" s="456"/>
      <c r="Z63" s="456"/>
      <c r="AA63" s="11">
        <f t="shared" si="2"/>
        <v>-307.24137931034647</v>
      </c>
      <c r="AB63" s="203">
        <f t="shared" si="57"/>
        <v>0.89758620689655122</v>
      </c>
      <c r="AC63" s="470">
        <f>AB68</f>
        <v>0.90124780256233028</v>
      </c>
    </row>
    <row r="64" spans="1:29" ht="15.75" customHeight="1">
      <c r="A64" s="499" t="s">
        <v>11</v>
      </c>
      <c r="B64" s="207" t="s">
        <v>33</v>
      </c>
      <c r="C64" s="487" t="s">
        <v>42</v>
      </c>
      <c r="D64" s="487"/>
      <c r="E64" s="26">
        <v>35.369999999999997</v>
      </c>
      <c r="F64" s="27">
        <v>1794</v>
      </c>
      <c r="G64" s="202">
        <f t="shared" si="76"/>
        <v>63453.78</v>
      </c>
      <c r="H64" s="76" t="s">
        <v>57</v>
      </c>
      <c r="I64" s="205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2690.9999999999991</v>
      </c>
      <c r="N64" s="9">
        <f t="shared" ref="N64:N67" si="82">M64/L64</f>
        <v>269.09999999999991</v>
      </c>
      <c r="O64" s="11">
        <f t="shared" si="79"/>
        <v>0</v>
      </c>
      <c r="P64" s="12">
        <f t="shared" si="80"/>
        <v>-30.900000000000091</v>
      </c>
      <c r="Q64" s="203">
        <f t="shared" ref="Q64:Q67" si="83">N64/K64</f>
        <v>0.89699999999999969</v>
      </c>
      <c r="R64" s="470"/>
      <c r="S64" s="24">
        <v>0.29444444444444445</v>
      </c>
      <c r="T64" s="24">
        <v>0.32222222222222224</v>
      </c>
      <c r="U64" s="202">
        <f>(S64-T63)*24*60</f>
        <v>4.9999999999999822</v>
      </c>
      <c r="V64" s="206">
        <f t="shared" si="81"/>
        <v>40.000000000000014</v>
      </c>
      <c r="W64" s="202"/>
      <c r="X64" s="202"/>
      <c r="Y64" s="456"/>
      <c r="Z64" s="456"/>
      <c r="AA64" s="11">
        <f t="shared" si="2"/>
        <v>-309.00000000000091</v>
      </c>
      <c r="AB64" s="203">
        <f t="shared" si="57"/>
        <v>0.89699999999999969</v>
      </c>
      <c r="AC64" s="470"/>
    </row>
    <row r="65" spans="1:29" ht="15.75" customHeight="1">
      <c r="A65" s="499" t="s">
        <v>11</v>
      </c>
      <c r="B65" s="207" t="s">
        <v>33</v>
      </c>
      <c r="C65" s="487" t="s">
        <v>41</v>
      </c>
      <c r="D65" s="487"/>
      <c r="E65" s="26">
        <v>34.35</v>
      </c>
      <c r="F65" s="27">
        <v>1493</v>
      </c>
      <c r="G65" s="202">
        <f t="shared" si="76"/>
        <v>51284.55</v>
      </c>
      <c r="H65" s="76" t="s">
        <v>57</v>
      </c>
      <c r="I65" s="205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2714.5454545454577</v>
      </c>
      <c r="N65" s="9">
        <f t="shared" si="82"/>
        <v>271.45454545454578</v>
      </c>
      <c r="O65" s="11">
        <f t="shared" si="79"/>
        <v>0</v>
      </c>
      <c r="P65" s="12">
        <f t="shared" si="80"/>
        <v>-28.54545454545422</v>
      </c>
      <c r="Q65" s="203">
        <f t="shared" si="83"/>
        <v>0.9048484848484859</v>
      </c>
      <c r="R65" s="470"/>
      <c r="S65" s="24">
        <v>0.32708333333333334</v>
      </c>
      <c r="T65" s="24">
        <v>0.35</v>
      </c>
      <c r="U65" s="202">
        <f t="shared" ref="U65:U67" si="84">(S65-T64)*24*60</f>
        <v>6.9999999999999751</v>
      </c>
      <c r="V65" s="206">
        <f t="shared" si="81"/>
        <v>32.999999999999964</v>
      </c>
      <c r="W65" s="202"/>
      <c r="X65" s="202"/>
      <c r="Y65" s="456"/>
      <c r="Z65" s="456"/>
      <c r="AA65" s="11">
        <f t="shared" si="2"/>
        <v>-285.45454545454231</v>
      </c>
      <c r="AB65" s="203">
        <f t="shared" si="57"/>
        <v>0.9048484848484859</v>
      </c>
      <c r="AC65" s="470"/>
    </row>
    <row r="66" spans="1:29" ht="15.75" customHeight="1">
      <c r="A66" s="499" t="s">
        <v>11</v>
      </c>
      <c r="B66" s="207" t="s">
        <v>15</v>
      </c>
      <c r="C66" s="487" t="s">
        <v>39</v>
      </c>
      <c r="D66" s="487"/>
      <c r="E66" s="26">
        <v>26.97</v>
      </c>
      <c r="F66" s="27">
        <v>3570</v>
      </c>
      <c r="G66" s="202">
        <f t="shared" si="76"/>
        <v>96282.9</v>
      </c>
      <c r="H66" s="76" t="s">
        <v>57</v>
      </c>
      <c r="I66" s="205">
        <v>8</v>
      </c>
      <c r="J66" s="18">
        <v>1440</v>
      </c>
      <c r="K66" s="9">
        <f t="shared" si="77"/>
        <v>180</v>
      </c>
      <c r="L66" s="17">
        <v>8</v>
      </c>
      <c r="M66" s="10">
        <f t="shared" si="78"/>
        <v>1290.3614457831327</v>
      </c>
      <c r="N66" s="9">
        <f t="shared" si="82"/>
        <v>161.29518072289159</v>
      </c>
      <c r="O66" s="11">
        <f t="shared" si="79"/>
        <v>0</v>
      </c>
      <c r="P66" s="12">
        <f t="shared" si="80"/>
        <v>-18.704819277108413</v>
      </c>
      <c r="Q66" s="203">
        <f t="shared" si="83"/>
        <v>0.89608433734939774</v>
      </c>
      <c r="R66" s="470"/>
      <c r="S66" s="24">
        <v>0.35486111111111107</v>
      </c>
      <c r="T66" s="24">
        <v>0.47013888888888883</v>
      </c>
      <c r="U66" s="202">
        <f t="shared" si="84"/>
        <v>6.9999999999999751</v>
      </c>
      <c r="V66" s="206">
        <f t="shared" si="81"/>
        <v>165.99999999999997</v>
      </c>
      <c r="W66" s="202"/>
      <c r="X66" s="202"/>
      <c r="Y66" s="456"/>
      <c r="Z66" s="456"/>
      <c r="AA66" s="11">
        <f t="shared" si="2"/>
        <v>-149.63855421686731</v>
      </c>
      <c r="AB66" s="203">
        <f t="shared" si="57"/>
        <v>0.89608433734939774</v>
      </c>
      <c r="AC66" s="470"/>
    </row>
    <row r="67" spans="1:29">
      <c r="A67" s="500" t="s">
        <v>11</v>
      </c>
      <c r="B67" s="207" t="s">
        <v>33</v>
      </c>
      <c r="C67" s="487" t="s">
        <v>40</v>
      </c>
      <c r="D67" s="487"/>
      <c r="E67" s="26">
        <v>35.119999999999997</v>
      </c>
      <c r="F67" s="27">
        <v>1276</v>
      </c>
      <c r="G67" s="202">
        <f t="shared" si="76"/>
        <v>44813.119999999995</v>
      </c>
      <c r="H67" s="76" t="s">
        <v>57</v>
      </c>
      <c r="I67" s="205">
        <v>13</v>
      </c>
      <c r="J67" s="18">
        <v>2000</v>
      </c>
      <c r="K67" s="9">
        <f t="shared" si="77"/>
        <v>153.84615384615384</v>
      </c>
      <c r="L67" s="17">
        <v>13</v>
      </c>
      <c r="M67" s="10">
        <f t="shared" si="78"/>
        <v>1822.8571428571461</v>
      </c>
      <c r="N67" s="9">
        <f t="shared" si="82"/>
        <v>140.21978021978046</v>
      </c>
      <c r="O67" s="11">
        <f t="shared" si="79"/>
        <v>0</v>
      </c>
      <c r="P67" s="12">
        <f t="shared" si="80"/>
        <v>-13.626373626373379</v>
      </c>
      <c r="Q67" s="203">
        <f t="shared" si="83"/>
        <v>0.91142857142857303</v>
      </c>
      <c r="R67" s="470"/>
      <c r="S67" s="24">
        <v>0.47569444444444436</v>
      </c>
      <c r="T67" s="24">
        <v>0.50486111111111098</v>
      </c>
      <c r="U67" s="202">
        <f t="shared" si="84"/>
        <v>7.9999999999999716</v>
      </c>
      <c r="V67" s="206">
        <f t="shared" si="81"/>
        <v>41.999999999999929</v>
      </c>
      <c r="W67" s="14"/>
      <c r="X67" s="14"/>
      <c r="Y67" s="456"/>
      <c r="Z67" s="456"/>
      <c r="AA67" s="11">
        <f t="shared" si="2"/>
        <v>-177.14285714285393</v>
      </c>
      <c r="AB67" s="203">
        <f t="shared" si="57"/>
        <v>0.91142857142857303</v>
      </c>
      <c r="AC67" s="470"/>
    </row>
    <row r="68" spans="1:29">
      <c r="A68" s="500" t="s">
        <v>11</v>
      </c>
      <c r="B68" s="26" t="s">
        <v>739</v>
      </c>
      <c r="C68" s="466"/>
      <c r="D68" s="466"/>
      <c r="E68" s="201"/>
      <c r="F68" s="16"/>
      <c r="G68" s="9"/>
      <c r="H68" s="207"/>
      <c r="I68" s="17">
        <v>10.199999999999999</v>
      </c>
      <c r="J68" s="18">
        <v>2488</v>
      </c>
      <c r="K68" s="9">
        <f>J68/I68</f>
        <v>243.92156862745099</v>
      </c>
      <c r="L68" s="17">
        <v>10.199999999999999</v>
      </c>
      <c r="M68" s="10">
        <f>AVERAGE(M63:M67)</f>
        <v>2242.3045327750779</v>
      </c>
      <c r="N68" s="9">
        <f>M68/L68</f>
        <v>219.83377772304686</v>
      </c>
      <c r="O68" s="11">
        <f>L68-I68</f>
        <v>0</v>
      </c>
      <c r="P68" s="12">
        <f>N68-K68</f>
        <v>-24.08779090440413</v>
      </c>
      <c r="Q68" s="203">
        <f>N68/K68</f>
        <v>0.90124780256233039</v>
      </c>
      <c r="R68" s="470"/>
      <c r="S68" s="24"/>
      <c r="T68" s="24"/>
      <c r="U68" s="9"/>
      <c r="V68" s="206"/>
      <c r="W68" s="9"/>
      <c r="X68" s="9"/>
      <c r="Y68" s="456"/>
      <c r="Z68" s="456"/>
      <c r="AA68" s="11">
        <f t="shared" si="2"/>
        <v>-245.69546722492214</v>
      </c>
      <c r="AB68" s="203">
        <f t="shared" si="57"/>
        <v>0.90124780256233028</v>
      </c>
      <c r="AC68" s="470"/>
    </row>
    <row r="69" spans="1:29" ht="15.75" customHeight="1">
      <c r="A69" s="467" t="s">
        <v>164</v>
      </c>
      <c r="B69" s="207" t="s">
        <v>24</v>
      </c>
      <c r="C69" s="487" t="s">
        <v>83</v>
      </c>
      <c r="D69" s="487"/>
      <c r="E69" s="26">
        <v>32.03</v>
      </c>
      <c r="F69" s="207">
        <v>1823</v>
      </c>
      <c r="G69" s="202">
        <f t="shared" ref="G69:G75" si="85">E69*F69</f>
        <v>58390.69</v>
      </c>
      <c r="H69" s="76" t="s">
        <v>57</v>
      </c>
      <c r="I69" s="205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2187.6000000000004</v>
      </c>
      <c r="N69" s="9">
        <f t="shared" ref="N69:N75" si="87">M69/L69</f>
        <v>115.13684210526317</v>
      </c>
      <c r="O69" s="11">
        <f t="shared" ref="O69:O75" si="88">L69-I69</f>
        <v>0</v>
      </c>
      <c r="P69" s="12">
        <f t="shared" ref="P69:P75" si="89">N69-K69</f>
        <v>-11.178947368421035</v>
      </c>
      <c r="Q69" s="203">
        <f>N69/K69</f>
        <v>0.91150000000000009</v>
      </c>
      <c r="R69" s="470">
        <f>Q76</f>
        <v>0.90354205117374975</v>
      </c>
      <c r="S69" s="24">
        <v>0.125</v>
      </c>
      <c r="T69" s="24">
        <v>0.15972222222222221</v>
      </c>
      <c r="U69" s="15"/>
      <c r="V69" s="206">
        <f t="shared" ref="V69:V75" si="90">(T69-S69)*24*60</f>
        <v>49.999999999999986</v>
      </c>
      <c r="W69" s="14"/>
      <c r="X69" s="14"/>
      <c r="Y69" s="456"/>
      <c r="Z69" s="456"/>
      <c r="AA69" s="11">
        <f t="shared" ref="AA69:AA76" si="91">M69-J69</f>
        <v>-212.39999999999964</v>
      </c>
      <c r="AB69" s="203">
        <f>M69/J69</f>
        <v>0.9115000000000002</v>
      </c>
      <c r="AC69" s="470">
        <f>AB76</f>
        <v>0.90354205117374964</v>
      </c>
    </row>
    <row r="70" spans="1:29" ht="15.75" customHeight="1">
      <c r="A70" s="467" t="s">
        <v>12</v>
      </c>
      <c r="B70" s="207" t="s">
        <v>24</v>
      </c>
      <c r="C70" s="487" t="s">
        <v>56</v>
      </c>
      <c r="D70" s="487"/>
      <c r="E70" s="26">
        <v>20.2</v>
      </c>
      <c r="F70" s="207">
        <v>2785</v>
      </c>
      <c r="G70" s="202">
        <f t="shared" si="85"/>
        <v>56257</v>
      </c>
      <c r="H70" s="76" t="s">
        <v>57</v>
      </c>
      <c r="I70" s="205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5" si="92">F70/V70*60</f>
        <v>2170.1298701298701</v>
      </c>
      <c r="N70" s="9">
        <f t="shared" si="87"/>
        <v>114.21736158578264</v>
      </c>
      <c r="O70" s="11">
        <f t="shared" si="88"/>
        <v>0</v>
      </c>
      <c r="P70" s="12">
        <f t="shared" si="89"/>
        <v>-12.098427887901565</v>
      </c>
      <c r="Q70" s="203">
        <f t="shared" ref="Q70:Q76" si="93">N70/K70</f>
        <v>0.90422077922077926</v>
      </c>
      <c r="R70" s="470"/>
      <c r="S70" s="24">
        <v>0.17986111111111111</v>
      </c>
      <c r="T70" s="24">
        <v>0.23333333333333334</v>
      </c>
      <c r="U70" s="202">
        <f>(S70-T69)*24*60</f>
        <v>29.000000000000018</v>
      </c>
      <c r="V70" s="206">
        <f t="shared" si="90"/>
        <v>77</v>
      </c>
      <c r="W70" s="14"/>
      <c r="X70" s="14"/>
      <c r="Y70" s="456"/>
      <c r="Z70" s="456"/>
      <c r="AA70" s="11">
        <f t="shared" si="91"/>
        <v>-229.87012987012986</v>
      </c>
      <c r="AB70" s="203">
        <f t="shared" ref="AB70:AB76" si="94">M70/J70</f>
        <v>0.90422077922077926</v>
      </c>
      <c r="AC70" s="470"/>
    </row>
    <row r="71" spans="1:29" ht="15.75" customHeight="1">
      <c r="A71" s="467" t="s">
        <v>12</v>
      </c>
      <c r="B71" s="207" t="s">
        <v>24</v>
      </c>
      <c r="C71" s="487" t="s">
        <v>45</v>
      </c>
      <c r="D71" s="487"/>
      <c r="E71" s="26">
        <v>19.02</v>
      </c>
      <c r="F71" s="207">
        <v>5500</v>
      </c>
      <c r="G71" s="202">
        <f t="shared" si="85"/>
        <v>104610</v>
      </c>
      <c r="H71" s="76">
        <v>2</v>
      </c>
      <c r="I71" s="205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2156.8627450980389</v>
      </c>
      <c r="N71" s="9">
        <f t="shared" si="87"/>
        <v>143.79084967320259</v>
      </c>
      <c r="O71" s="11">
        <f t="shared" si="88"/>
        <v>0</v>
      </c>
      <c r="P71" s="12">
        <f t="shared" si="89"/>
        <v>-16.209150326797413</v>
      </c>
      <c r="Q71" s="203">
        <f t="shared" si="93"/>
        <v>0.89869281045751614</v>
      </c>
      <c r="R71" s="470"/>
      <c r="S71" s="24">
        <v>0.23680555555555555</v>
      </c>
      <c r="T71" s="24">
        <v>0.34305555555555556</v>
      </c>
      <c r="U71" s="202">
        <f t="shared" ref="U71:U75" si="95">(S71-T70)*24*60</f>
        <v>4.9999999999999822</v>
      </c>
      <c r="V71" s="206">
        <f t="shared" si="90"/>
        <v>153.00000000000003</v>
      </c>
      <c r="W71" s="14"/>
      <c r="X71" s="14"/>
      <c r="Y71" s="456"/>
      <c r="Z71" s="456"/>
      <c r="AA71" s="11">
        <f t="shared" si="91"/>
        <v>-243.13725490196111</v>
      </c>
      <c r="AB71" s="203">
        <f t="shared" si="94"/>
        <v>0.89869281045751626</v>
      </c>
      <c r="AC71" s="470"/>
    </row>
    <row r="72" spans="1:29" ht="15.75" customHeight="1">
      <c r="A72" s="467" t="s">
        <v>12</v>
      </c>
      <c r="B72" s="207" t="s">
        <v>24</v>
      </c>
      <c r="C72" s="487" t="s">
        <v>46</v>
      </c>
      <c r="D72" s="487"/>
      <c r="E72" s="26">
        <v>25</v>
      </c>
      <c r="F72" s="207">
        <v>4902</v>
      </c>
      <c r="G72" s="202">
        <f t="shared" si="85"/>
        <v>122550</v>
      </c>
      <c r="H72" s="76" t="s">
        <v>57</v>
      </c>
      <c r="I72" s="205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2162.6470588235297</v>
      </c>
      <c r="N72" s="9">
        <f t="shared" si="87"/>
        <v>144.1764705882353</v>
      </c>
      <c r="O72" s="11">
        <f t="shared" si="88"/>
        <v>0</v>
      </c>
      <c r="P72" s="12">
        <f t="shared" si="89"/>
        <v>-15.823529411764696</v>
      </c>
      <c r="Q72" s="203">
        <f t="shared" si="93"/>
        <v>0.90110294117647061</v>
      </c>
      <c r="R72" s="470"/>
      <c r="S72" s="24">
        <v>0.34722222222222221</v>
      </c>
      <c r="T72" s="24">
        <v>0.44166666666666665</v>
      </c>
      <c r="U72" s="202">
        <f t="shared" si="95"/>
        <v>5.9999999999999787</v>
      </c>
      <c r="V72" s="206">
        <f t="shared" si="90"/>
        <v>136</v>
      </c>
      <c r="W72" s="14"/>
      <c r="X72" s="14"/>
      <c r="Y72" s="456"/>
      <c r="Z72" s="456"/>
      <c r="AA72" s="11">
        <f t="shared" si="91"/>
        <v>-237.35294117647027</v>
      </c>
      <c r="AB72" s="203">
        <f t="shared" si="94"/>
        <v>0.90110294117647072</v>
      </c>
      <c r="AC72" s="470"/>
    </row>
    <row r="73" spans="1:29" ht="15.75" customHeight="1">
      <c r="A73" s="467" t="s">
        <v>12</v>
      </c>
      <c r="B73" s="207" t="s">
        <v>24</v>
      </c>
      <c r="C73" s="487" t="s">
        <v>510</v>
      </c>
      <c r="D73" s="487"/>
      <c r="E73" s="26">
        <v>28.51</v>
      </c>
      <c r="F73" s="207">
        <v>3000</v>
      </c>
      <c r="G73" s="202">
        <f t="shared" si="85"/>
        <v>85530</v>
      </c>
      <c r="H73" s="76">
        <v>2</v>
      </c>
      <c r="I73" s="205">
        <v>20</v>
      </c>
      <c r="J73" s="18">
        <v>2400</v>
      </c>
      <c r="K73" s="9">
        <f t="shared" ref="K73:K76" si="96">J73/I73</f>
        <v>120</v>
      </c>
      <c r="L73" s="17">
        <v>20</v>
      </c>
      <c r="M73" s="10">
        <f t="shared" si="92"/>
        <v>2168.6746987951801</v>
      </c>
      <c r="N73" s="9">
        <f t="shared" si="87"/>
        <v>108.43373493975901</v>
      </c>
      <c r="O73" s="11">
        <f t="shared" si="88"/>
        <v>0</v>
      </c>
      <c r="P73" s="12">
        <f t="shared" si="89"/>
        <v>-11.566265060240994</v>
      </c>
      <c r="Q73" s="203">
        <f t="shared" si="93"/>
        <v>0.9036144578313251</v>
      </c>
      <c r="R73" s="470"/>
      <c r="S73" s="24">
        <v>0.4458333333333333</v>
      </c>
      <c r="T73" s="24">
        <v>0.50347222222222221</v>
      </c>
      <c r="U73" s="202">
        <f t="shared" si="95"/>
        <v>5.9999999999999787</v>
      </c>
      <c r="V73" s="206">
        <f t="shared" si="90"/>
        <v>83.000000000000028</v>
      </c>
      <c r="W73" s="14"/>
      <c r="X73" s="14"/>
      <c r="Y73" s="456"/>
      <c r="Z73" s="456"/>
      <c r="AA73" s="11">
        <f t="shared" si="91"/>
        <v>-231.32530120481988</v>
      </c>
      <c r="AB73" s="203">
        <f t="shared" si="94"/>
        <v>0.9036144578313251</v>
      </c>
      <c r="AC73" s="470"/>
    </row>
    <row r="74" spans="1:29" ht="15.75" customHeight="1">
      <c r="A74" s="467" t="s">
        <v>12</v>
      </c>
      <c r="B74" s="207" t="s">
        <v>24</v>
      </c>
      <c r="C74" s="487" t="s">
        <v>510</v>
      </c>
      <c r="D74" s="487"/>
      <c r="E74" s="26">
        <v>28.51</v>
      </c>
      <c r="F74" s="207">
        <v>2571</v>
      </c>
      <c r="G74" s="202">
        <f t="shared" si="85"/>
        <v>73299.210000000006</v>
      </c>
      <c r="H74" s="76" t="s">
        <v>57</v>
      </c>
      <c r="I74" s="205">
        <v>20</v>
      </c>
      <c r="J74" s="18">
        <v>2400</v>
      </c>
      <c r="K74" s="9">
        <f t="shared" si="96"/>
        <v>120</v>
      </c>
      <c r="L74" s="17">
        <v>20</v>
      </c>
      <c r="M74" s="10">
        <f t="shared" si="92"/>
        <v>2172.6760563380258</v>
      </c>
      <c r="N74" s="9">
        <f t="shared" si="87"/>
        <v>108.63380281690129</v>
      </c>
      <c r="O74" s="11">
        <f t="shared" si="88"/>
        <v>0</v>
      </c>
      <c r="P74" s="12">
        <f t="shared" si="89"/>
        <v>-11.366197183098706</v>
      </c>
      <c r="Q74" s="203">
        <f t="shared" si="93"/>
        <v>0.90528169014084414</v>
      </c>
      <c r="R74" s="470"/>
      <c r="S74" s="24">
        <v>0.54374999999999996</v>
      </c>
      <c r="T74" s="24">
        <v>0.59305555555555556</v>
      </c>
      <c r="U74" s="202">
        <f t="shared" si="95"/>
        <v>57.999999999999957</v>
      </c>
      <c r="V74" s="206">
        <f t="shared" si="90"/>
        <v>71.000000000000071</v>
      </c>
      <c r="W74" s="14"/>
      <c r="X74" s="14"/>
      <c r="Y74" s="456"/>
      <c r="Z74" s="456"/>
      <c r="AA74" s="11">
        <f t="shared" si="91"/>
        <v>-227.32394366197423</v>
      </c>
      <c r="AB74" s="203">
        <f t="shared" si="94"/>
        <v>0.90528169014084403</v>
      </c>
      <c r="AC74" s="470"/>
    </row>
    <row r="75" spans="1:29" ht="15.75" customHeight="1">
      <c r="A75" s="467" t="s">
        <v>12</v>
      </c>
      <c r="B75" s="207" t="s">
        <v>24</v>
      </c>
      <c r="C75" s="491" t="s">
        <v>45</v>
      </c>
      <c r="D75" s="492"/>
      <c r="E75" s="26">
        <v>19.02</v>
      </c>
      <c r="F75" s="207">
        <v>4718</v>
      </c>
      <c r="G75" s="202">
        <f t="shared" si="85"/>
        <v>89736.36</v>
      </c>
      <c r="H75" s="76" t="s">
        <v>57</v>
      </c>
      <c r="I75" s="205">
        <v>15</v>
      </c>
      <c r="J75" s="18">
        <v>2400</v>
      </c>
      <c r="K75" s="9">
        <f t="shared" si="96"/>
        <v>160</v>
      </c>
      <c r="L75" s="17">
        <v>15</v>
      </c>
      <c r="M75" s="10">
        <f t="shared" si="92"/>
        <v>2160.9160305343512</v>
      </c>
      <c r="N75" s="9">
        <f t="shared" si="87"/>
        <v>144.06106870229007</v>
      </c>
      <c r="O75" s="11">
        <f t="shared" si="88"/>
        <v>0</v>
      </c>
      <c r="P75" s="12">
        <f t="shared" si="89"/>
        <v>-15.938931297709928</v>
      </c>
      <c r="Q75" s="203">
        <f t="shared" si="93"/>
        <v>0.90038167938931291</v>
      </c>
      <c r="R75" s="470"/>
      <c r="S75" s="24">
        <v>0.59861111111111109</v>
      </c>
      <c r="T75" s="24">
        <v>0.68958333333333333</v>
      </c>
      <c r="U75" s="202">
        <f t="shared" si="95"/>
        <v>7.9999999999999716</v>
      </c>
      <c r="V75" s="206">
        <f t="shared" si="90"/>
        <v>131</v>
      </c>
      <c r="W75" s="14"/>
      <c r="X75" s="14"/>
      <c r="Y75" s="473"/>
      <c r="Z75" s="474"/>
      <c r="AA75" s="11">
        <f t="shared" si="91"/>
        <v>-239.08396946564881</v>
      </c>
      <c r="AB75" s="203">
        <f t="shared" si="94"/>
        <v>0.90038167938931302</v>
      </c>
      <c r="AC75" s="470"/>
    </row>
    <row r="76" spans="1:29" ht="16.5" customHeight="1">
      <c r="A76" s="501" t="s">
        <v>12</v>
      </c>
      <c r="B76" s="26" t="s">
        <v>739</v>
      </c>
      <c r="C76" s="466"/>
      <c r="D76" s="466"/>
      <c r="E76" s="201"/>
      <c r="F76" s="16"/>
      <c r="G76" s="9"/>
      <c r="H76" s="207"/>
      <c r="I76" s="17">
        <v>17.571428571428573</v>
      </c>
      <c r="J76" s="18">
        <v>2400</v>
      </c>
      <c r="K76" s="9">
        <f t="shared" si="96"/>
        <v>136.58536585365852</v>
      </c>
      <c r="L76" s="17">
        <v>17.571428571428573</v>
      </c>
      <c r="M76" s="10">
        <f>AVERAGE(M69:M75)</f>
        <v>2168.5009228169993</v>
      </c>
      <c r="N76" s="9">
        <f>M76/L76</f>
        <v>123.41062162373166</v>
      </c>
      <c r="O76" s="11">
        <f>L76-I76</f>
        <v>0</v>
      </c>
      <c r="P76" s="12">
        <f>N76-K76</f>
        <v>-13.174744229926858</v>
      </c>
      <c r="Q76" s="203">
        <f t="shared" si="93"/>
        <v>0.90354205117374975</v>
      </c>
      <c r="R76" s="470"/>
      <c r="S76" s="24"/>
      <c r="T76" s="24"/>
      <c r="U76" s="9"/>
      <c r="V76" s="206"/>
      <c r="W76" s="9"/>
      <c r="X76" s="9"/>
      <c r="Y76" s="456"/>
      <c r="Z76" s="456"/>
      <c r="AA76" s="11">
        <f t="shared" si="91"/>
        <v>-231.49907718300074</v>
      </c>
      <c r="AB76" s="203">
        <f t="shared" si="94"/>
        <v>0.90354205117374964</v>
      </c>
      <c r="AC76" s="470"/>
    </row>
    <row r="77" spans="1:29">
      <c r="D77" s="19"/>
      <c r="E77" s="19"/>
    </row>
  </sheetData>
  <mergeCells count="202">
    <mergeCell ref="AC69:AC76"/>
    <mergeCell ref="C70:D70"/>
    <mergeCell ref="Y70:Z70"/>
    <mergeCell ref="C71:D71"/>
    <mergeCell ref="Y71:Z71"/>
    <mergeCell ref="C72:D72"/>
    <mergeCell ref="Y72:Z72"/>
    <mergeCell ref="C73:D73"/>
    <mergeCell ref="Y73:Z73"/>
    <mergeCell ref="C74:D74"/>
    <mergeCell ref="A69:A76"/>
    <mergeCell ref="C69:D69"/>
    <mergeCell ref="R69:R76"/>
    <mergeCell ref="Y69:Z69"/>
    <mergeCell ref="Y74:Z74"/>
    <mergeCell ref="A63:A68"/>
    <mergeCell ref="C63:D63"/>
    <mergeCell ref="R63:R68"/>
    <mergeCell ref="Y63:Z63"/>
    <mergeCell ref="C75:D75"/>
    <mergeCell ref="Y75:Z75"/>
    <mergeCell ref="C76:D76"/>
    <mergeCell ref="Y76:Z76"/>
    <mergeCell ref="AC63:AC68"/>
    <mergeCell ref="C64:D64"/>
    <mergeCell ref="Y64:Z64"/>
    <mergeCell ref="C65:D65"/>
    <mergeCell ref="Y65:Z65"/>
    <mergeCell ref="C66:D66"/>
    <mergeCell ref="A58:A62"/>
    <mergeCell ref="C58:D58"/>
    <mergeCell ref="R58:R62"/>
    <mergeCell ref="Y58:Z58"/>
    <mergeCell ref="AC58:AC62"/>
    <mergeCell ref="C59:D59"/>
    <mergeCell ref="Y59:Z59"/>
    <mergeCell ref="C60:D60"/>
    <mergeCell ref="C62:D62"/>
    <mergeCell ref="Y62:Z62"/>
    <mergeCell ref="Y66:Z66"/>
    <mergeCell ref="C67:D67"/>
    <mergeCell ref="Y67:Z67"/>
    <mergeCell ref="C68:D68"/>
    <mergeCell ref="Y68:Z68"/>
    <mergeCell ref="A48:A57"/>
    <mergeCell ref="C48:D48"/>
    <mergeCell ref="R48:R57"/>
    <mergeCell ref="Y48:Z48"/>
    <mergeCell ref="AC48:AC57"/>
    <mergeCell ref="C49:D49"/>
    <mergeCell ref="Y49:Z49"/>
    <mergeCell ref="C50:D50"/>
    <mergeCell ref="Y50:Z50"/>
    <mergeCell ref="C51:D51"/>
    <mergeCell ref="C55:D55"/>
    <mergeCell ref="Y55:Z55"/>
    <mergeCell ref="C56:D56"/>
    <mergeCell ref="Y56:Z56"/>
    <mergeCell ref="C57:D57"/>
    <mergeCell ref="Y57:Z57"/>
    <mergeCell ref="Y51:Z51"/>
    <mergeCell ref="C52:D52"/>
    <mergeCell ref="Y52:Z52"/>
    <mergeCell ref="C53:D53"/>
    <mergeCell ref="Y53:Z53"/>
    <mergeCell ref="C54:D54"/>
    <mergeCell ref="Y54:Z54"/>
    <mergeCell ref="AC38:AC47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A38:A47"/>
    <mergeCell ref="C38:D38"/>
    <mergeCell ref="R38:R47"/>
    <mergeCell ref="Y38:Z38"/>
    <mergeCell ref="Y43:Z43"/>
    <mergeCell ref="C44:D44"/>
    <mergeCell ref="Y44:Z44"/>
    <mergeCell ref="C45:D45"/>
    <mergeCell ref="Y45:Z45"/>
    <mergeCell ref="C46:D46"/>
    <mergeCell ref="Y46:Z46"/>
    <mergeCell ref="C47:D47"/>
    <mergeCell ref="Y47:Z47"/>
    <mergeCell ref="AC29:AC37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36:Z36"/>
    <mergeCell ref="C37:D37"/>
    <mergeCell ref="Y37:Z37"/>
    <mergeCell ref="A21:A28"/>
    <mergeCell ref="C21:D21"/>
    <mergeCell ref="R21:R28"/>
    <mergeCell ref="Y21:Z21"/>
    <mergeCell ref="C28:D28"/>
    <mergeCell ref="Y28:Z28"/>
    <mergeCell ref="A29:A37"/>
    <mergeCell ref="C29:D29"/>
    <mergeCell ref="R29:R37"/>
    <mergeCell ref="Y29:Z29"/>
    <mergeCell ref="Y34:Z34"/>
    <mergeCell ref="C35:D35"/>
    <mergeCell ref="Y35:Z35"/>
    <mergeCell ref="C36:D36"/>
    <mergeCell ref="AC21:AC28"/>
    <mergeCell ref="C22:D22"/>
    <mergeCell ref="Y22:Z22"/>
    <mergeCell ref="C23:D23"/>
    <mergeCell ref="Y23:Z23"/>
    <mergeCell ref="C24:D24"/>
    <mergeCell ref="Y17:Z17"/>
    <mergeCell ref="C18:D18"/>
    <mergeCell ref="Y18:Z18"/>
    <mergeCell ref="C19:D19"/>
    <mergeCell ref="Y19:Z19"/>
    <mergeCell ref="C20:D20"/>
    <mergeCell ref="Y20:Z20"/>
    <mergeCell ref="Y24:Z24"/>
    <mergeCell ref="C25:D25"/>
    <mergeCell ref="Y25:Z25"/>
    <mergeCell ref="C26:D26"/>
    <mergeCell ref="Y26:Z26"/>
    <mergeCell ref="C27:D27"/>
    <mergeCell ref="Y27:Z27"/>
    <mergeCell ref="A14:A20"/>
    <mergeCell ref="C14:D14"/>
    <mergeCell ref="R14:R20"/>
    <mergeCell ref="Y14:Z14"/>
    <mergeCell ref="AC14:AC20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6:O74 O76 O5:O9 O13:O15 O57:O63 O20:O53">
    <cfRule type="cellIs" dxfId="1195" priority="63" operator="greaterThan">
      <formula>0</formula>
    </cfRule>
  </conditionalFormatting>
  <conditionalFormatting sqref="P5:P7 P66:P67 AA66:AA67 P69:P74 P29:P36 P63 P9 P13:P15 P21:P27 P58:P61 P38:P53 AA5:AA63 AA69:AA76">
    <cfRule type="cellIs" dxfId="1194" priority="67" operator="lessThan">
      <formula>0</formula>
    </cfRule>
  </conditionalFormatting>
  <conditionalFormatting sqref="AB66:AB67 Q66:Q74 Q76 Q5:Q9 Q13:Q15 Q57:Q63 Q20:Q53 AB5:AB63 AB69:AB76">
    <cfRule type="cellIs" dxfId="1193" priority="64" operator="greaterThan">
      <formula>1</formula>
    </cfRule>
    <cfRule type="cellIs" dxfId="1192" priority="65" operator="lessThan">
      <formula>0.8</formula>
    </cfRule>
  </conditionalFormatting>
  <conditionalFormatting sqref="AC14:AC15 R14:R15 AC66 R66:R74 R20:R26 AC20:AC26 R28:R45 AC28:AC45 R76 AC5:AC9 R5:R9 R47:R53 AC47:AC53 AC57:AC63 R57:R63">
    <cfRule type="cellIs" dxfId="1191" priority="69" operator="lessThan">
      <formula>0.8</formula>
    </cfRule>
  </conditionalFormatting>
  <conditionalFormatting sqref="AC48">
    <cfRule type="cellIs" dxfId="1190" priority="71" operator="lessThan">
      <formula>0.8</formula>
    </cfRule>
  </conditionalFormatting>
  <conditionalFormatting sqref="AC21:AC26">
    <cfRule type="cellIs" dxfId="1189" priority="68" operator="lessThan">
      <formula>0.8</formula>
    </cfRule>
  </conditionalFormatting>
  <conditionalFormatting sqref="AC29">
    <cfRule type="cellIs" dxfId="1188" priority="70" operator="lessThan">
      <formula>0.8</formula>
    </cfRule>
  </conditionalFormatting>
  <conditionalFormatting sqref="AC38:AC45">
    <cfRule type="cellIs" dxfId="1187" priority="66" operator="lessThan">
      <formula>0.8</formula>
    </cfRule>
  </conditionalFormatting>
  <conditionalFormatting sqref="AA68">
    <cfRule type="cellIs" dxfId="1186" priority="62" operator="lessThan">
      <formula>0</formula>
    </cfRule>
  </conditionalFormatting>
  <conditionalFormatting sqref="AB68">
    <cfRule type="cellIs" dxfId="1185" priority="60" operator="greaterThan">
      <formula>1</formula>
    </cfRule>
    <cfRule type="cellIs" dxfId="1184" priority="61" operator="lessThan">
      <formula>0.8</formula>
    </cfRule>
  </conditionalFormatting>
  <conditionalFormatting sqref="O16:O17">
    <cfRule type="cellIs" dxfId="1183" priority="55" operator="greaterThan">
      <formula>0</formula>
    </cfRule>
  </conditionalFormatting>
  <conditionalFormatting sqref="P16:P17">
    <cfRule type="cellIs" dxfId="1182" priority="58" operator="lessThan">
      <formula>0</formula>
    </cfRule>
  </conditionalFormatting>
  <conditionalFormatting sqref="Q16:Q17">
    <cfRule type="cellIs" dxfId="1181" priority="56" operator="greaterThan">
      <formula>1</formula>
    </cfRule>
    <cfRule type="cellIs" dxfId="1180" priority="57" operator="lessThan">
      <formula>0.8</formula>
    </cfRule>
  </conditionalFormatting>
  <conditionalFormatting sqref="R16:R17 AC16:AC17">
    <cfRule type="cellIs" dxfId="1179" priority="59" operator="lessThan">
      <formula>0.8</formula>
    </cfRule>
  </conditionalFormatting>
  <conditionalFormatting sqref="O10:O12">
    <cfRule type="cellIs" dxfId="1178" priority="51" operator="greaterThan">
      <formula>0</formula>
    </cfRule>
  </conditionalFormatting>
  <conditionalFormatting sqref="P10:P12">
    <cfRule type="cellIs" dxfId="1177" priority="54" operator="lessThan">
      <formula>0</formula>
    </cfRule>
  </conditionalFormatting>
  <conditionalFormatting sqref="Q10:Q12">
    <cfRule type="cellIs" dxfId="1176" priority="52" operator="greaterThan">
      <formula>1</formula>
    </cfRule>
    <cfRule type="cellIs" dxfId="1175" priority="53" operator="lessThan">
      <formula>0.8</formula>
    </cfRule>
  </conditionalFormatting>
  <conditionalFormatting sqref="R46 AC46">
    <cfRule type="cellIs" dxfId="1174" priority="50" operator="lessThan">
      <formula>0.8</formula>
    </cfRule>
  </conditionalFormatting>
  <conditionalFormatting sqref="AC46">
    <cfRule type="cellIs" dxfId="1173" priority="49" operator="lessThan">
      <formula>0.8</formula>
    </cfRule>
  </conditionalFormatting>
  <conditionalFormatting sqref="O65">
    <cfRule type="cellIs" dxfId="1172" priority="44" operator="greaterThan">
      <formula>0</formula>
    </cfRule>
  </conditionalFormatting>
  <conditionalFormatting sqref="P65 AA65">
    <cfRule type="cellIs" dxfId="1171" priority="47" operator="lessThan">
      <formula>0</formula>
    </cfRule>
  </conditionalFormatting>
  <conditionalFormatting sqref="Q65 AB65">
    <cfRule type="cellIs" dxfId="1170" priority="45" operator="greaterThan">
      <formula>1</formula>
    </cfRule>
    <cfRule type="cellIs" dxfId="1169" priority="46" operator="lessThan">
      <formula>0.8</formula>
    </cfRule>
  </conditionalFormatting>
  <conditionalFormatting sqref="R65 AC65">
    <cfRule type="cellIs" dxfId="1168" priority="48" operator="lessThan">
      <formula>0.8</formula>
    </cfRule>
  </conditionalFormatting>
  <conditionalFormatting sqref="O75">
    <cfRule type="cellIs" dxfId="1167" priority="39" operator="greaterThan">
      <formula>0</formula>
    </cfRule>
  </conditionalFormatting>
  <conditionalFormatting sqref="P75">
    <cfRule type="cellIs" dxfId="1166" priority="42" operator="lessThan">
      <formula>0</formula>
    </cfRule>
  </conditionalFormatting>
  <conditionalFormatting sqref="Q75">
    <cfRule type="cellIs" dxfId="1165" priority="40" operator="greaterThan">
      <formula>1</formula>
    </cfRule>
    <cfRule type="cellIs" dxfId="1164" priority="41" operator="lessThan">
      <formula>0.8</formula>
    </cfRule>
  </conditionalFormatting>
  <conditionalFormatting sqref="R75">
    <cfRule type="cellIs" dxfId="1163" priority="43" operator="lessThan">
      <formula>0.8</formula>
    </cfRule>
  </conditionalFormatting>
  <conditionalFormatting sqref="O18:O19">
    <cfRule type="cellIs" dxfId="1162" priority="34" operator="greaterThan">
      <formula>0</formula>
    </cfRule>
  </conditionalFormatting>
  <conditionalFormatting sqref="P18:P19">
    <cfRule type="cellIs" dxfId="1161" priority="37" operator="lessThan">
      <formula>0</formula>
    </cfRule>
  </conditionalFormatting>
  <conditionalFormatting sqref="Q18:Q19">
    <cfRule type="cellIs" dxfId="1160" priority="35" operator="greaterThan">
      <formula>1</formula>
    </cfRule>
    <cfRule type="cellIs" dxfId="1159" priority="36" operator="lessThan">
      <formula>0.8</formula>
    </cfRule>
  </conditionalFormatting>
  <conditionalFormatting sqref="R18:R19 AC18:AC19">
    <cfRule type="cellIs" dxfId="1158" priority="38" operator="lessThan">
      <formula>0.8</formula>
    </cfRule>
  </conditionalFormatting>
  <conditionalFormatting sqref="O54">
    <cfRule type="cellIs" dxfId="1157" priority="28" operator="greaterThan">
      <formula>0</formula>
    </cfRule>
  </conditionalFormatting>
  <conditionalFormatting sqref="P54">
    <cfRule type="cellIs" dxfId="1156" priority="32" operator="lessThan">
      <formula>0</formula>
    </cfRule>
  </conditionalFormatting>
  <conditionalFormatting sqref="Q54">
    <cfRule type="cellIs" dxfId="1155" priority="29" operator="greaterThan">
      <formula>1</formula>
    </cfRule>
    <cfRule type="cellIs" dxfId="1154" priority="30" operator="lessThan">
      <formula>0.8</formula>
    </cfRule>
  </conditionalFormatting>
  <conditionalFormatting sqref="R54 AC54">
    <cfRule type="cellIs" dxfId="1153" priority="33" operator="lessThan">
      <formula>0.8</formula>
    </cfRule>
  </conditionalFormatting>
  <conditionalFormatting sqref="AC54">
    <cfRule type="cellIs" dxfId="1152" priority="31" operator="lessThan">
      <formula>0.8</formula>
    </cfRule>
  </conditionalFormatting>
  <conditionalFormatting sqref="O55">
    <cfRule type="cellIs" dxfId="1151" priority="22" operator="greaterThan">
      <formula>0</formula>
    </cfRule>
  </conditionalFormatting>
  <conditionalFormatting sqref="P55">
    <cfRule type="cellIs" dxfId="1150" priority="26" operator="lessThan">
      <formula>0</formula>
    </cfRule>
  </conditionalFormatting>
  <conditionalFormatting sqref="Q55">
    <cfRule type="cellIs" dxfId="1149" priority="23" operator="greaterThan">
      <formula>1</formula>
    </cfRule>
    <cfRule type="cellIs" dxfId="1148" priority="24" operator="lessThan">
      <formula>0.8</formula>
    </cfRule>
  </conditionalFormatting>
  <conditionalFormatting sqref="R55 AC55">
    <cfRule type="cellIs" dxfId="1147" priority="27" operator="lessThan">
      <formula>0.8</formula>
    </cfRule>
  </conditionalFormatting>
  <conditionalFormatting sqref="AC55">
    <cfRule type="cellIs" dxfId="1146" priority="25" operator="lessThan">
      <formula>0.8</formula>
    </cfRule>
  </conditionalFormatting>
  <conditionalFormatting sqref="R27 AC27">
    <cfRule type="cellIs" dxfId="1145" priority="21" operator="lessThan">
      <formula>0.8</formula>
    </cfRule>
  </conditionalFormatting>
  <conditionalFormatting sqref="AC27">
    <cfRule type="cellIs" dxfId="1144" priority="20" operator="lessThan">
      <formula>0.8</formula>
    </cfRule>
  </conditionalFormatting>
  <conditionalFormatting sqref="O56">
    <cfRule type="cellIs" dxfId="1143" priority="14" operator="greaterThan">
      <formula>0</formula>
    </cfRule>
  </conditionalFormatting>
  <conditionalFormatting sqref="P56">
    <cfRule type="cellIs" dxfId="1142" priority="18" operator="lessThan">
      <formula>0</formula>
    </cfRule>
  </conditionalFormatting>
  <conditionalFormatting sqref="Q56">
    <cfRule type="cellIs" dxfId="1141" priority="15" operator="greaterThan">
      <formula>1</formula>
    </cfRule>
    <cfRule type="cellIs" dxfId="1140" priority="16" operator="lessThan">
      <formula>0.8</formula>
    </cfRule>
  </conditionalFormatting>
  <conditionalFormatting sqref="R56 AC56">
    <cfRule type="cellIs" dxfId="1139" priority="19" operator="lessThan">
      <formula>0.8</formula>
    </cfRule>
  </conditionalFormatting>
  <conditionalFormatting sqref="AC56">
    <cfRule type="cellIs" dxfId="1138" priority="17" operator="lessThan">
      <formula>0.8</formula>
    </cfRule>
  </conditionalFormatting>
  <conditionalFormatting sqref="O64">
    <cfRule type="cellIs" dxfId="1137" priority="9" operator="greaterThan">
      <formula>0</formula>
    </cfRule>
  </conditionalFormatting>
  <conditionalFormatting sqref="P64 AA64">
    <cfRule type="cellIs" dxfId="1136" priority="12" operator="lessThan">
      <formula>0</formula>
    </cfRule>
  </conditionalFormatting>
  <conditionalFormatting sqref="Q64 AB64">
    <cfRule type="cellIs" dxfId="1135" priority="10" operator="greaterThan">
      <formula>1</formula>
    </cfRule>
    <cfRule type="cellIs" dxfId="1134" priority="11" operator="lessThan">
      <formula>0.8</formula>
    </cfRule>
  </conditionalFormatting>
  <conditionalFormatting sqref="R64 AC64">
    <cfRule type="cellIs" dxfId="1133" priority="13" operator="lessThan">
      <formula>0.8</formula>
    </cfRule>
  </conditionalFormatting>
  <conditionalFormatting sqref="P8">
    <cfRule type="cellIs" dxfId="1132" priority="8" operator="lessThan">
      <formula>0</formula>
    </cfRule>
  </conditionalFormatting>
  <conditionalFormatting sqref="P20">
    <cfRule type="cellIs" dxfId="1131" priority="7" operator="lessThan">
      <formula>0</formula>
    </cfRule>
  </conditionalFormatting>
  <conditionalFormatting sqref="P28">
    <cfRule type="cellIs" dxfId="1130" priority="6" operator="lessThan">
      <formula>0</formula>
    </cfRule>
  </conditionalFormatting>
  <conditionalFormatting sqref="P37">
    <cfRule type="cellIs" dxfId="1129" priority="5" operator="lessThan">
      <formula>0</formula>
    </cfRule>
  </conditionalFormatting>
  <conditionalFormatting sqref="P57">
    <cfRule type="cellIs" dxfId="1128" priority="4" operator="lessThan">
      <formula>0</formula>
    </cfRule>
  </conditionalFormatting>
  <conditionalFormatting sqref="P62">
    <cfRule type="cellIs" dxfId="1127" priority="3" operator="lessThan">
      <formula>0</formula>
    </cfRule>
  </conditionalFormatting>
  <conditionalFormatting sqref="P68">
    <cfRule type="cellIs" dxfId="1126" priority="2" operator="lessThan">
      <formula>0</formula>
    </cfRule>
  </conditionalFormatting>
  <conditionalFormatting sqref="P76">
    <cfRule type="cellIs" dxfId="1125" priority="1" operator="lessThan">
      <formula>0</formula>
    </cfRule>
  </conditionalFormatting>
  <dataValidations count="1">
    <dataValidation type="list" allowBlank="1" showInputMessage="1" showErrorMessage="1" sqref="Z8 Z67 Y5:Z7 Y8:Y67 Z10:Z63 Y68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G9" sqref="G9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82" t="s">
        <v>89</v>
      </c>
      <c r="C3" s="421" t="str">
        <f>TEXT('0713 4度C'!A2,"yyyy.mm.ddaaaa")</f>
        <v>2025.07.13星期日</v>
      </c>
      <c r="D3" s="421"/>
      <c r="E3" s="182" t="s">
        <v>127</v>
      </c>
      <c r="F3" s="422">
        <f>'0713 4度C'!D1</f>
        <v>176379</v>
      </c>
      <c r="G3" s="422"/>
      <c r="H3" s="182" t="s">
        <v>90</v>
      </c>
      <c r="I3" s="423">
        <f>'0713 4度C'!F1</f>
        <v>5874752.6700000009</v>
      </c>
      <c r="J3" s="423"/>
      <c r="K3" s="31"/>
      <c r="L3" s="32"/>
      <c r="M3" s="33"/>
      <c r="N3" s="33"/>
    </row>
    <row r="4" spans="2:17" ht="28.5" customHeight="1">
      <c r="B4" s="424" t="s">
        <v>650</v>
      </c>
      <c r="C4" s="424" t="s">
        <v>651</v>
      </c>
      <c r="D4" s="424"/>
      <c r="E4" s="425" t="s">
        <v>652</v>
      </c>
      <c r="F4" s="425"/>
      <c r="G4" s="425" t="s">
        <v>653</v>
      </c>
      <c r="H4" s="425"/>
      <c r="I4" s="425" t="s">
        <v>654</v>
      </c>
      <c r="J4" s="425"/>
      <c r="L4" s="33"/>
      <c r="M4" s="33"/>
      <c r="N4" s="33"/>
    </row>
    <row r="5" spans="2:17" ht="28.5" customHeight="1">
      <c r="B5" s="424"/>
      <c r="C5" s="424" t="s">
        <v>655</v>
      </c>
      <c r="D5" s="424"/>
      <c r="E5" s="424" t="s">
        <v>656</v>
      </c>
      <c r="F5" s="424"/>
      <c r="G5" s="426" t="s">
        <v>657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140.62857685244214</v>
      </c>
      <c r="F6" s="424">
        <f>AVERAGE(D27:O27,D13:J13)</f>
        <v>143.94628821677927</v>
      </c>
      <c r="G6" s="429">
        <f>AVERAGE(D13:J13)</f>
        <v>143.94628821677927</v>
      </c>
      <c r="H6" s="429"/>
      <c r="I6" s="429">
        <f>AVERAGE(K13:M13)</f>
        <v>132.88725033565558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126.91151492518077</v>
      </c>
      <c r="F7" s="434">
        <f>AVERAGE(D28:O28,D14:J14)</f>
        <v>129.97987319613418</v>
      </c>
      <c r="G7" s="435">
        <f>AVERAGE(D14:J14)</f>
        <v>129.97987319613418</v>
      </c>
      <c r="H7" s="435"/>
      <c r="I7" s="435">
        <f>AVERAGE(K14:M14)</f>
        <v>119.75201229295611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0.90213953113281919</v>
      </c>
      <c r="F8" s="432">
        <f>AVERAGE(D15:J15,D29:O29)</f>
        <v>0.90256820135155447</v>
      </c>
      <c r="G8" s="437">
        <f>AVERAGE(D15:J15)</f>
        <v>0.90256820135155447</v>
      </c>
      <c r="H8" s="437"/>
      <c r="I8" s="437">
        <f>AVERAGE(K15:M15)</f>
        <v>0.90113930062243763</v>
      </c>
      <c r="J8" s="437"/>
      <c r="K8" s="34" t="s">
        <v>658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659</v>
      </c>
      <c r="L10" s="444"/>
      <c r="M10" s="445"/>
      <c r="P10" s="37"/>
      <c r="Q10" s="37"/>
    </row>
    <row r="11" spans="2:17" ht="17.25" customHeight="1">
      <c r="B11" s="431" t="s">
        <v>660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100</v>
      </c>
      <c r="I12" s="42" t="s">
        <v>101</v>
      </c>
      <c r="J12" s="43" t="s">
        <v>133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87</v>
      </c>
      <c r="D13" s="45">
        <f>SUMIFS('0713 4度C'!$K:$K,'0713 4度C'!$A:$A,"燴飯線",'0713 4度C'!$B:$B,"平均")</f>
        <v>105.88235294117646</v>
      </c>
      <c r="E13" s="46">
        <f>SUMIFS('0713 4度C'!$K:$K,'0713 4度C'!$A:$A,"沙拉線一線",'0713 4度C'!$B:$B,"平均")</f>
        <v>80</v>
      </c>
      <c r="F13" s="47">
        <f>SUMIFS('0713 4度C'!$K:$K,'0713 4度C'!$A:$A,"沙拉線二線",'0713 4度C'!$B:$B,"平均")</f>
        <v>81.124999999999986</v>
      </c>
      <c r="G13" s="47">
        <f>SUMIFS('0713 4度C'!$K:$K,'0713 4度C'!$A:$A,"沙拉線三線",'0713 4度C'!$B:$B,"平均")</f>
        <v>107.14285714285714</v>
      </c>
      <c r="H13" s="47">
        <f>SUMIFS('0713 4度C'!$K:$K,'0713 4度C'!$A:$A,"自動包裝線",'0713 4度C'!$B:$B,"平均")</f>
        <v>300</v>
      </c>
      <c r="I13" s="47">
        <f>SUMIFS('0713 4度C'!$K:$K,'0713 4度C'!$A:$A,"涼麵一線",'0713 4度C'!$B:$B,"平均")</f>
        <v>89.552238805970148</v>
      </c>
      <c r="J13" s="48">
        <f>SUMIFS('0713 4度C'!$K:$K,'0713 4度C'!$A:$A,"三明治四線",'0713 4度C'!$B:$B,"平均")</f>
        <v>243.92156862745099</v>
      </c>
      <c r="K13" s="49">
        <f>SUMIFS('0713 4度C'!$K:$K,'0713 4度C'!$A:$A,"三明治一線",'0713 4度C'!$B:$B,"平均")</f>
        <v>134.26573426573427</v>
      </c>
      <c r="L13" s="50">
        <f>SUMIFS('0713 4度C'!$K:$K,'0713 4度C'!$A:$A,"三明治二線",'0713 4度C'!$B:$B,"平均")</f>
        <v>127.81065088757396</v>
      </c>
      <c r="M13" s="48">
        <f>SUMIFS('0713 4度C'!$K:$K,'0713 4度C'!$A:$A,"自動包裝二線",'0713 4度C'!$B:$B,"平均")</f>
        <v>136.58536585365852</v>
      </c>
    </row>
    <row r="14" spans="2:17" ht="39.6" customHeight="1">
      <c r="B14" s="447"/>
      <c r="C14" s="51" t="s">
        <v>661</v>
      </c>
      <c r="D14" s="52">
        <f>SUMIFS('0713 4度C'!$N:$N,'0713 4度C'!$A:$A,"燴飯線",'0713 4度C'!$B:$B,"平均")</f>
        <v>95.895013977429016</v>
      </c>
      <c r="E14" s="53">
        <f>SUMIFS('0713 4度C'!$N:$N,'0713 4度C'!$A:$A,"沙拉線一線",'0713 4度C'!$B:$B,"平均")</f>
        <v>72.01111541175348</v>
      </c>
      <c r="F14" s="53">
        <f>SUMIFS('0713 4度C'!$N:$N,'0713 4度C'!$A:$A,"沙拉線二線",'0713 4度C'!$B:$B,"平均")</f>
        <v>72.995209933351518</v>
      </c>
      <c r="G14" s="53">
        <f>SUMIFS('0713 4度C'!$N:$N,'0713 4度C'!$A:$A,"沙拉線三線",'0713 4度C'!$B:$B,"平均")</f>
        <v>97.041107482742746</v>
      </c>
      <c r="H14" s="53">
        <f>SUMIFS('0713 4度C'!$N:$N,'0713 4度C'!$A:$A,"自動包裝線",'0713 4度C'!$B:$B,"平均")</f>
        <v>271.40605121004194</v>
      </c>
      <c r="I14" s="53">
        <f>SUMIFS('0713 4度C'!$N:$N,'0713 4度C'!$A:$A,"涼麵一線",'0713 4度C'!$B:$B,"平均")</f>
        <v>80.653273272030077</v>
      </c>
      <c r="J14" s="54">
        <f>SUMIFS('0713 4度C'!$N:$N,'0713 4度C'!$A:$A,"三明治四線",'0713 4度C'!$B:$B,"平均")</f>
        <v>219.85734108559055</v>
      </c>
      <c r="K14" s="55">
        <f>SUMIFS('0713 4度C'!$N:$N,'0713 4度C'!$A:$A,"三明治一線",'0713 4度C'!$B:$B,"平均")</f>
        <v>121.02360351800617</v>
      </c>
      <c r="L14" s="56">
        <f>SUMIFS('0713 4度C'!$N:$N,'0713 4度C'!$A:$A,"三明治二線",'0713 4度C'!$B:$B,"平均")</f>
        <v>115.07602000195476</v>
      </c>
      <c r="M14" s="54">
        <f>SUMIFS('0713 4度C'!$N:$N,'0713 4度C'!$A:$A,"自動包裝二線",'0713 4度C'!$B:$B,"平均")</f>
        <v>123.15641335890739</v>
      </c>
    </row>
    <row r="15" spans="2:17" ht="40.15" customHeight="1">
      <c r="B15" s="447"/>
      <c r="C15" s="57" t="s">
        <v>102</v>
      </c>
      <c r="D15" s="58">
        <f>D14/D13</f>
        <v>0.90567513200905192</v>
      </c>
      <c r="E15" s="59">
        <f t="shared" ref="E15:M15" si="0">E14/E13</f>
        <v>0.90013894264691852</v>
      </c>
      <c r="F15" s="59">
        <f t="shared" si="0"/>
        <v>0.89978687128938717</v>
      </c>
      <c r="G15" s="59">
        <f t="shared" si="0"/>
        <v>0.90571700317226567</v>
      </c>
      <c r="H15" s="59">
        <f>H14/H13</f>
        <v>0.90468683736680644</v>
      </c>
      <c r="I15" s="59">
        <f>I14/I13</f>
        <v>0.90062821820433592</v>
      </c>
      <c r="J15" s="60">
        <f>J14/J13</f>
        <v>0.90134440477211553</v>
      </c>
      <c r="K15" s="58">
        <f>K14/K13</f>
        <v>0.90137371370181674</v>
      </c>
      <c r="L15" s="59">
        <f>L14/L13</f>
        <v>0.90036330464492387</v>
      </c>
      <c r="M15" s="60">
        <f t="shared" si="0"/>
        <v>0.90168088352057207</v>
      </c>
    </row>
    <row r="16" spans="2:17" ht="17.25" customHeight="1">
      <c r="B16" s="430" t="s">
        <v>136</v>
      </c>
      <c r="C16" s="181" t="s">
        <v>662</v>
      </c>
      <c r="D16" s="61">
        <f>VLOOKUP("燴飯線",'0713 4度C'!$A:$T,19,0)</f>
        <v>0.70833333333333337</v>
      </c>
      <c r="E16" s="24">
        <f>VLOOKUP("沙拉線一線",'0713 4度C'!$A:$T,19,0)</f>
        <v>0.12847222222222221</v>
      </c>
      <c r="F16" s="24">
        <f>VLOOKUP("沙拉線二線",'0713 4度C'!$A:$T,19,0)</f>
        <v>0.20833333333333334</v>
      </c>
      <c r="G16" s="24">
        <f>VLOOKUP("沙拉線三線",'0713 4度C'!$A:$T,19,0)</f>
        <v>0.25</v>
      </c>
      <c r="H16" s="24">
        <f>VLOOKUP("自動包裝線",'0713 4度C'!$A:$T,19,0)</f>
        <v>0.20833333333333334</v>
      </c>
      <c r="I16" s="24">
        <f>VLOOKUP("涼麵一線",'0713 4度C'!$A:$T,19,0)</f>
        <v>0.29305555555555557</v>
      </c>
      <c r="J16" s="62">
        <f>VLOOKUP("三明治四線",'0713 4度C'!$A:$T,19,0)</f>
        <v>0.25069444444444444</v>
      </c>
      <c r="K16" s="63">
        <f>VLOOKUP("三明治一線",'0713 4度C'!$A:$T,19,0)</f>
        <v>0.125</v>
      </c>
      <c r="L16" s="64">
        <f>VLOOKUP("三明治二線",'0713 4度C'!$A:$T,19,0)</f>
        <v>8.3333333333333329E-2</v>
      </c>
      <c r="M16" s="65">
        <f>VLOOKUP("自動包裝二線",'0713 4度C'!$A:$T,19,0)</f>
        <v>0.125</v>
      </c>
    </row>
    <row r="17" spans="2:13" ht="17.25" customHeight="1">
      <c r="B17" s="431"/>
      <c r="C17" s="181" t="s">
        <v>137</v>
      </c>
      <c r="D17" s="63">
        <f>LOOKUP(2,1/(('0713 4度C'!$A:$A="燴飯線")*('0713 4度C'!$T:$T&lt;&gt;"")),'0713 4度C'!$T:$T)</f>
        <v>0.87361111111111112</v>
      </c>
      <c r="E17" s="24">
        <f>LOOKUP(2,1/(('0713 4度C'!$A:$A="沙拉線一線")*('0713 4度C'!$T:$T&lt;&gt;"")),'0713 4度C'!$T:$T)</f>
        <v>0.59722222222222221</v>
      </c>
      <c r="F17" s="24">
        <f>LOOKUP(2,1/(('0713 4度C'!$A:$A="沙拉線二線")*('0713 4度C'!$T:$T&lt;&gt;"")),'0713 4度C'!$T:$T)</f>
        <v>0.84444444444444444</v>
      </c>
      <c r="G17" s="24">
        <f>LOOKUP(2,1/(('0713 4度C'!$A:$A="沙拉線三線")*('0713 4度C'!$T:$T&lt;&gt;"")),'0713 4度C'!$T:$T)</f>
        <v>0.83333333333333348</v>
      </c>
      <c r="H17" s="24">
        <f>LOOKUP(2,1/(('0713 4度C'!$A:$A="自動包裝線")*('0713 4度C'!$T:$T&lt;&gt;"")),'0713 4度C'!$T:$T)</f>
        <v>0.68124999999999991</v>
      </c>
      <c r="I17" s="24">
        <f>LOOKUP(2,1/(('0713 4度C'!$A:$A="涼麵一線")*('0713 4度C'!$T:$T&lt;&gt;"")),'0713 4度C'!$T:$T)</f>
        <v>0.83750000000000002</v>
      </c>
      <c r="J17" s="62">
        <f>LOOKUP(2,1/(('0713 4度C'!$A:$A="三明治四線")*('0713 4度C'!$T:$T&lt;&gt;"")),'0713 4度C'!$T:$T)</f>
        <v>0.51041666666666652</v>
      </c>
      <c r="K17" s="61">
        <f>LOOKUP(2,1/(('0713 4度C'!$A:$A="三明治一線")*('0713 4度C'!$T:$T&lt;&gt;"")),'0713 4度C'!$T:$T)</f>
        <v>0.71180555555555547</v>
      </c>
      <c r="L17" s="24">
        <f>LOOKUP(2,1/(('0713 4度C'!$A:$A="三明治二線")*('0713 4度C'!$T:$T&lt;&gt;"")),'0713 4度C'!$T:$T)</f>
        <v>0.70486111111111094</v>
      </c>
      <c r="M17" s="62">
        <f>LOOKUP(2,1/(('0713 4度C'!$A:$A="自動包裝二線")*('0713 4度C'!$T:$T&lt;&gt;"")),'0713 4度C'!$T:$T)</f>
        <v>0.70763888888888893</v>
      </c>
    </row>
    <row r="18" spans="2:13" ht="17.25" customHeight="1">
      <c r="B18" s="431" t="s">
        <v>138</v>
      </c>
      <c r="C18" s="446"/>
      <c r="D18" s="66">
        <f>SUMIFS('0713 4度C'!$I:$I,'0713 4度C'!$A:$A,"燴飯線",'0713 4度C'!$B:$B,"平均")</f>
        <v>17</v>
      </c>
      <c r="E18" s="67">
        <f>SUMIFS('0713 4度C'!$I:$I,'0713 4度C'!$A:$A,"沙拉線一線",'0713 4度C'!$B:$B,"平均")</f>
        <v>18.75</v>
      </c>
      <c r="F18" s="67">
        <f>SUMIFS('0713 4度C'!$I:$I,'0713 4度C'!$A:$A,"沙拉線二線",'0713 4度C'!$B:$B,"平均")</f>
        <v>18.666666666666668</v>
      </c>
      <c r="G18" s="67">
        <f>SUMIFS('0713 4度C'!$I:$I,'0713 4度C'!$A:$A,"沙拉線三線",'0713 4度C'!$B:$B,"平均")</f>
        <v>16</v>
      </c>
      <c r="H18" s="67">
        <f>SUMIFS('0713 4度C'!$I:$I,'0713 4度C'!$A:$A,"自動包裝線",'0713 4度C'!$B:$B,"平均")</f>
        <v>10</v>
      </c>
      <c r="I18" s="67">
        <f>SUMIFS('0713 4度C'!$I:$I,'0713 4度C'!$A:$A,"涼麵一線",'0713 4度C'!$B:$B,"平均")</f>
        <v>16.75</v>
      </c>
      <c r="J18" s="68">
        <f>SUMIFS('0713 4度C'!$I:$I,'0713 4度C'!$A:$A,"三明治四線",'0713 4度C'!$B:$B,"平均")</f>
        <v>10.199999999999999</v>
      </c>
      <c r="K18" s="66">
        <f>SUMIFS('0713 4度C'!$I:$I,'0713 4度C'!$A:$A,"三明治一線",'0713 4度C'!$B:$B,"平均")</f>
        <v>17.875</v>
      </c>
      <c r="L18" s="67">
        <f>SUMIFS('0713 4度C'!$I:$I,'0713 4度C'!$A:$A,"三明治二線",'0713 4度C'!$B:$B,"平均")</f>
        <v>18.777777777777779</v>
      </c>
      <c r="M18" s="68">
        <f>SUMIFS('0713 4度C'!$I:$I,'0713 4度C'!$A:$A,"自動包裝二線",'0713 4度C'!$B:$B,"平均")</f>
        <v>17.571428571428573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663</v>
      </c>
    </row>
    <row r="20" spans="2:13" ht="17.25" customHeight="1">
      <c r="B20" s="448" t="s">
        <v>664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665</v>
      </c>
      <c r="G21" s="453"/>
      <c r="H21" s="73" t="s">
        <v>107</v>
      </c>
      <c r="I21" s="73" t="s">
        <v>108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12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7"/>
  <sheetViews>
    <sheetView zoomScale="80" zoomScaleNormal="80" workbookViewId="0">
      <pane ySplit="4" topLeftCell="A5" activePane="bottomLeft" state="frozen"/>
      <selection activeCell="B1" sqref="B1:J2"/>
      <selection pane="bottomLeft" activeCell="B1" sqref="B1:J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666</v>
      </c>
      <c r="D1" s="3">
        <f>SUM(F5:F76)</f>
        <v>176379</v>
      </c>
      <c r="E1" s="188" t="s">
        <v>667</v>
      </c>
      <c r="F1" s="1">
        <f>SUM(G5:G76)</f>
        <v>5874752.6700000009</v>
      </c>
      <c r="G1" s="1" t="s">
        <v>668</v>
      </c>
      <c r="H1" s="4">
        <f>L8+L13+L57+L62+L20+L68+L37+L47+L28+L76</f>
        <v>161.59087301587303</v>
      </c>
      <c r="I1" s="454" t="s">
        <v>669</v>
      </c>
      <c r="J1" s="454"/>
      <c r="K1" s="454"/>
      <c r="L1" s="454" t="s">
        <v>670</v>
      </c>
      <c r="M1" s="454"/>
      <c r="N1" s="454"/>
      <c r="O1" s="454" t="s">
        <v>71</v>
      </c>
      <c r="P1" s="454"/>
      <c r="Q1" s="454"/>
      <c r="R1" s="454"/>
      <c r="S1" s="454" t="s">
        <v>671</v>
      </c>
      <c r="T1" s="454"/>
      <c r="U1" s="454"/>
      <c r="V1" s="454"/>
      <c r="W1" s="454"/>
      <c r="X1" s="454"/>
      <c r="Y1" s="454" t="s">
        <v>672</v>
      </c>
      <c r="Z1" s="454"/>
      <c r="AA1" s="454" t="s">
        <v>673</v>
      </c>
      <c r="AB1" s="455"/>
      <c r="AC1" s="455"/>
    </row>
    <row r="2" spans="1:29" ht="26.25" customHeight="1">
      <c r="A2" s="22">
        <v>45851</v>
      </c>
      <c r="B2" s="23" t="s">
        <v>414</v>
      </c>
      <c r="C2" s="2" t="s">
        <v>674</v>
      </c>
      <c r="D2" s="6">
        <f>AVERAGE(N8,N13,N57,N62,N20,N68,N28,N37,N47,N76)</f>
        <v>126.91151492518077</v>
      </c>
      <c r="E2" s="7" t="s">
        <v>0</v>
      </c>
      <c r="F2" s="8">
        <f>F1/D1</f>
        <v>33.30755174935792</v>
      </c>
      <c r="G2" s="1" t="s">
        <v>675</v>
      </c>
      <c r="H2" s="194">
        <f>COUNT(H5:H76)</f>
        <v>13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676</v>
      </c>
      <c r="B3" s="456" t="s">
        <v>677</v>
      </c>
      <c r="C3" s="456" t="s">
        <v>678</v>
      </c>
      <c r="D3" s="456"/>
      <c r="E3" s="457" t="s">
        <v>679</v>
      </c>
      <c r="F3" s="456" t="s">
        <v>680</v>
      </c>
      <c r="G3" s="457" t="s">
        <v>681</v>
      </c>
      <c r="H3" s="463" t="s">
        <v>682</v>
      </c>
      <c r="I3" s="464" t="s">
        <v>683</v>
      </c>
      <c r="J3" s="465" t="s">
        <v>684</v>
      </c>
      <c r="K3" s="459" t="s">
        <v>674</v>
      </c>
      <c r="L3" s="464" t="s">
        <v>683</v>
      </c>
      <c r="M3" s="465" t="s">
        <v>684</v>
      </c>
      <c r="N3" s="459" t="s">
        <v>685</v>
      </c>
      <c r="O3" s="464" t="s">
        <v>683</v>
      </c>
      <c r="P3" s="459" t="s">
        <v>685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686</v>
      </c>
      <c r="X3" s="456"/>
      <c r="Y3" s="475" t="s">
        <v>687</v>
      </c>
      <c r="Z3" s="476"/>
      <c r="AA3" s="465" t="s">
        <v>684</v>
      </c>
      <c r="AB3" s="460" t="s">
        <v>121</v>
      </c>
      <c r="AC3" s="461" t="s">
        <v>688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93" t="s">
        <v>3</v>
      </c>
      <c r="T4" s="193" t="s">
        <v>4</v>
      </c>
      <c r="U4" s="463"/>
      <c r="V4" s="463"/>
      <c r="W4" s="188" t="s">
        <v>689</v>
      </c>
      <c r="X4" s="188" t="s">
        <v>690</v>
      </c>
      <c r="Y4" s="476"/>
      <c r="Z4" s="476"/>
      <c r="AA4" s="465"/>
      <c r="AB4" s="460"/>
      <c r="AC4" s="461"/>
    </row>
    <row r="5" spans="1:29">
      <c r="A5" s="471" t="s">
        <v>691</v>
      </c>
      <c r="B5" s="26" t="s">
        <v>13</v>
      </c>
      <c r="C5" s="472" t="s">
        <v>58</v>
      </c>
      <c r="D5" s="472"/>
      <c r="E5" s="26">
        <v>46.93</v>
      </c>
      <c r="F5" s="193">
        <v>1233</v>
      </c>
      <c r="G5" s="188">
        <f>E5*F5</f>
        <v>57864.69</v>
      </c>
      <c r="H5" s="76" t="s">
        <v>57</v>
      </c>
      <c r="I5" s="191">
        <v>17</v>
      </c>
      <c r="J5" s="18">
        <v>1800</v>
      </c>
      <c r="K5" s="9">
        <f>J5/I5</f>
        <v>105.88235294117646</v>
      </c>
      <c r="L5" s="191">
        <v>17</v>
      </c>
      <c r="M5" s="10">
        <f>F5/V5*60</f>
        <v>1644</v>
      </c>
      <c r="N5" s="9">
        <f>M5/L5</f>
        <v>96.705882352941174</v>
      </c>
      <c r="O5" s="11">
        <f t="shared" ref="O5:O7" si="0">L5-I5</f>
        <v>0</v>
      </c>
      <c r="P5" s="12">
        <f t="shared" ref="P5:P7" si="1">N5-K5</f>
        <v>-9.1764705882352899</v>
      </c>
      <c r="Q5" s="189">
        <f>N5/K5</f>
        <v>0.91333333333333333</v>
      </c>
      <c r="R5" s="470">
        <f>Q8</f>
        <v>0.90567513200905192</v>
      </c>
      <c r="S5" s="24">
        <v>0.70833333333333337</v>
      </c>
      <c r="T5" s="24">
        <v>0.73958333333333337</v>
      </c>
      <c r="U5" s="188"/>
      <c r="V5" s="192">
        <f>(T5-S5)*24*60</f>
        <v>45</v>
      </c>
      <c r="W5" s="13"/>
      <c r="X5" s="13"/>
      <c r="Y5" s="456"/>
      <c r="Z5" s="456"/>
      <c r="AA5" s="11">
        <f t="shared" ref="AA5:AA68" si="2">M5-J5</f>
        <v>-156</v>
      </c>
      <c r="AB5" s="189">
        <f t="shared" ref="AB5:AB7" si="3">M5/J5</f>
        <v>0.91333333333333333</v>
      </c>
      <c r="AC5" s="470">
        <f>AB8</f>
        <v>0.90567513200905181</v>
      </c>
    </row>
    <row r="6" spans="1:29">
      <c r="A6" s="464" t="s">
        <v>691</v>
      </c>
      <c r="B6" s="26" t="s">
        <v>13</v>
      </c>
      <c r="C6" s="472" t="s">
        <v>60</v>
      </c>
      <c r="D6" s="472"/>
      <c r="E6" s="26">
        <v>50.49</v>
      </c>
      <c r="F6" s="193">
        <v>2229</v>
      </c>
      <c r="G6" s="188">
        <f t="shared" ref="G6:G7" si="4">E6*F6</f>
        <v>112542.21</v>
      </c>
      <c r="H6" s="76" t="s">
        <v>57</v>
      </c>
      <c r="I6" s="191">
        <v>16</v>
      </c>
      <c r="J6" s="18">
        <v>1800</v>
      </c>
      <c r="K6" s="9">
        <f t="shared" ref="K6:K7" si="5">J6/I6</f>
        <v>112.5</v>
      </c>
      <c r="L6" s="191">
        <v>16</v>
      </c>
      <c r="M6" s="10">
        <f>F6/V6*60</f>
        <v>1630.9756097560969</v>
      </c>
      <c r="N6" s="9">
        <f t="shared" ref="N6:N7" si="6">M6/L6</f>
        <v>101.93597560975606</v>
      </c>
      <c r="O6" s="11">
        <f t="shared" si="0"/>
        <v>0</v>
      </c>
      <c r="P6" s="12">
        <f t="shared" si="1"/>
        <v>-10.564024390243944</v>
      </c>
      <c r="Q6" s="189">
        <f t="shared" ref="Q6:Q7" si="7">N6/K6</f>
        <v>0.90609756097560934</v>
      </c>
      <c r="R6" s="470"/>
      <c r="S6" s="24">
        <v>0.74513888888888891</v>
      </c>
      <c r="T6" s="24">
        <v>0.80208333333333337</v>
      </c>
      <c r="U6" s="188">
        <f>(S6-T5)*24*60</f>
        <v>7.9999999999999716</v>
      </c>
      <c r="V6" s="192">
        <f>(T6-S6)*24*60</f>
        <v>82.000000000000028</v>
      </c>
      <c r="W6" s="14"/>
      <c r="X6" s="14"/>
      <c r="Y6" s="456"/>
      <c r="Z6" s="456"/>
      <c r="AA6" s="11">
        <f t="shared" si="2"/>
        <v>-169.0243902439031</v>
      </c>
      <c r="AB6" s="189">
        <f t="shared" si="3"/>
        <v>0.90609756097560934</v>
      </c>
      <c r="AC6" s="470"/>
    </row>
    <row r="7" spans="1:29">
      <c r="A7" s="464" t="s">
        <v>692</v>
      </c>
      <c r="B7" s="26" t="s">
        <v>13</v>
      </c>
      <c r="C7" s="468" t="s">
        <v>448</v>
      </c>
      <c r="D7" s="469"/>
      <c r="E7" s="26">
        <v>50.67</v>
      </c>
      <c r="F7" s="193">
        <v>2612</v>
      </c>
      <c r="G7" s="188">
        <f t="shared" si="4"/>
        <v>132350.04</v>
      </c>
      <c r="H7" s="76" t="s">
        <v>57</v>
      </c>
      <c r="I7" s="191">
        <v>18</v>
      </c>
      <c r="J7" s="18">
        <v>1800</v>
      </c>
      <c r="K7" s="9">
        <f t="shared" si="5"/>
        <v>100</v>
      </c>
      <c r="L7" s="191">
        <v>18</v>
      </c>
      <c r="M7" s="10">
        <f t="shared" ref="M7" si="8">F7/V7*60</f>
        <v>1615.6701030927838</v>
      </c>
      <c r="N7" s="9">
        <f t="shared" si="6"/>
        <v>89.759450171821328</v>
      </c>
      <c r="O7" s="11">
        <f t="shared" si="0"/>
        <v>0</v>
      </c>
      <c r="P7" s="12">
        <f t="shared" si="1"/>
        <v>-10.240549828178672</v>
      </c>
      <c r="Q7" s="189">
        <f t="shared" si="7"/>
        <v>0.89759450171821331</v>
      </c>
      <c r="R7" s="470"/>
      <c r="S7" s="24">
        <v>0.80625000000000002</v>
      </c>
      <c r="T7" s="24">
        <v>0.87361111111111112</v>
      </c>
      <c r="U7" s="188">
        <f t="shared" ref="U7" si="9">(S7-T6)*24*60</f>
        <v>5.9999999999999787</v>
      </c>
      <c r="V7" s="192">
        <f t="shared" ref="V7" si="10">(T7-S7)*24*60</f>
        <v>96.999999999999972</v>
      </c>
      <c r="W7" s="14"/>
      <c r="X7" s="14"/>
      <c r="Y7" s="473"/>
      <c r="Z7" s="474"/>
      <c r="AA7" s="11">
        <f t="shared" si="2"/>
        <v>-184.32989690721615</v>
      </c>
      <c r="AB7" s="189">
        <f t="shared" si="3"/>
        <v>0.8975945017182132</v>
      </c>
      <c r="AC7" s="470"/>
    </row>
    <row r="8" spans="1:29">
      <c r="A8" s="464" t="s">
        <v>152</v>
      </c>
      <c r="B8" s="26" t="s">
        <v>693</v>
      </c>
      <c r="C8" s="466"/>
      <c r="D8" s="466"/>
      <c r="E8" s="187"/>
      <c r="F8" s="16"/>
      <c r="G8" s="9"/>
      <c r="H8" s="19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1630.2152376162933</v>
      </c>
      <c r="N8" s="9">
        <f>M8/L8</f>
        <v>95.895013977429016</v>
      </c>
      <c r="O8" s="11">
        <f>L8-I8</f>
        <v>0</v>
      </c>
      <c r="P8" s="12">
        <f>N8-K8</f>
        <v>-9.9873389637474475</v>
      </c>
      <c r="Q8" s="189">
        <f>N8/K8</f>
        <v>0.90567513200905192</v>
      </c>
      <c r="R8" s="470"/>
      <c r="S8" s="24"/>
      <c r="T8" s="24"/>
      <c r="U8" s="188"/>
      <c r="V8" s="192"/>
      <c r="W8" s="9"/>
      <c r="X8" s="9"/>
      <c r="Y8" s="456"/>
      <c r="Z8" s="456"/>
      <c r="AA8" s="11">
        <f t="shared" si="2"/>
        <v>-169.78476238370672</v>
      </c>
      <c r="AB8" s="189">
        <f>M8/J8</f>
        <v>0.90567513200905181</v>
      </c>
      <c r="AC8" s="470"/>
    </row>
    <row r="9" spans="1:29" ht="15.75" customHeight="1">
      <c r="A9" s="467" t="s">
        <v>694</v>
      </c>
      <c r="B9" s="26" t="s">
        <v>15</v>
      </c>
      <c r="C9" s="468" t="s">
        <v>16</v>
      </c>
      <c r="D9" s="469"/>
      <c r="E9" s="26">
        <v>39.619999999999997</v>
      </c>
      <c r="F9" s="193">
        <v>2000</v>
      </c>
      <c r="G9" s="188">
        <f t="shared" ref="G9:G12" si="11">E9*F9</f>
        <v>79240</v>
      </c>
      <c r="H9" s="76">
        <v>2</v>
      </c>
      <c r="I9" s="191">
        <v>19</v>
      </c>
      <c r="J9" s="18">
        <v>1500</v>
      </c>
      <c r="K9" s="9">
        <f t="shared" ref="K9:K12" si="12">J9/I9</f>
        <v>78.94736842105263</v>
      </c>
      <c r="L9" s="191">
        <v>19</v>
      </c>
      <c r="M9" s="10">
        <f t="shared" ref="M9:M12" si="13">F9/V9*60</f>
        <v>1348.3146067415732</v>
      </c>
      <c r="N9" s="9">
        <f t="shared" ref="N9:N12" si="14">M9/L9</f>
        <v>70.963926670609112</v>
      </c>
      <c r="O9" s="11">
        <f t="shared" ref="O9:O12" si="15">L9-I9</f>
        <v>0</v>
      </c>
      <c r="P9" s="12">
        <f>N9-K9</f>
        <v>-7.983441750443518</v>
      </c>
      <c r="Q9" s="189">
        <f>N9/K9</f>
        <v>0.89887640449438211</v>
      </c>
      <c r="R9" s="470">
        <f>Q13</f>
        <v>0.90013894264691852</v>
      </c>
      <c r="S9" s="24">
        <v>0.12847222222222221</v>
      </c>
      <c r="T9" s="24">
        <v>0.19027777777777777</v>
      </c>
      <c r="U9" s="188"/>
      <c r="V9" s="192">
        <f t="shared" ref="V9:V12" si="16">(T9-S9)*24*60</f>
        <v>89</v>
      </c>
      <c r="W9" s="9"/>
      <c r="X9" s="9"/>
      <c r="Y9" s="456"/>
      <c r="Z9" s="456"/>
      <c r="AA9" s="11">
        <f t="shared" si="2"/>
        <v>-151.68539325842676</v>
      </c>
      <c r="AB9" s="189">
        <f>M9/J9</f>
        <v>0.89887640449438211</v>
      </c>
      <c r="AC9" s="470">
        <f>AB13</f>
        <v>0.90013894264691852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193">
        <v>3500</v>
      </c>
      <c r="G10" s="188">
        <f t="shared" si="11"/>
        <v>139300</v>
      </c>
      <c r="H10" s="76">
        <v>2</v>
      </c>
      <c r="I10" s="191">
        <v>18</v>
      </c>
      <c r="J10" s="18">
        <v>1500</v>
      </c>
      <c r="K10" s="9">
        <f t="shared" si="12"/>
        <v>83.333333333333329</v>
      </c>
      <c r="L10" s="191">
        <v>18</v>
      </c>
      <c r="M10" s="10">
        <f t="shared" si="13"/>
        <v>1354.8387096774197</v>
      </c>
      <c r="N10" s="9">
        <f t="shared" si="14"/>
        <v>75.268817204301101</v>
      </c>
      <c r="O10" s="11">
        <f t="shared" si="15"/>
        <v>0</v>
      </c>
      <c r="P10" s="12">
        <f t="shared" ref="P10:P12" si="17">N10-K10</f>
        <v>-8.0645161290322278</v>
      </c>
      <c r="Q10" s="189">
        <f t="shared" ref="Q10:Q12" si="18">N10/K10</f>
        <v>0.90322580645161321</v>
      </c>
      <c r="R10" s="470"/>
      <c r="S10" s="24">
        <v>0.21319444444444444</v>
      </c>
      <c r="T10" s="24">
        <v>0.3208333333333333</v>
      </c>
      <c r="U10" s="188">
        <f>(S10-T9)*24*60</f>
        <v>33</v>
      </c>
      <c r="V10" s="192">
        <f t="shared" si="16"/>
        <v>154.99999999999997</v>
      </c>
      <c r="W10" s="14"/>
      <c r="X10" s="14"/>
      <c r="Y10" s="456"/>
      <c r="Z10" s="456"/>
      <c r="AA10" s="11">
        <f t="shared" si="2"/>
        <v>-145.16129032258027</v>
      </c>
      <c r="AB10" s="189">
        <f t="shared" ref="AB10:AB28" si="19">M10/J10</f>
        <v>0.9032258064516131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193">
        <v>4542</v>
      </c>
      <c r="G11" s="188">
        <f t="shared" si="11"/>
        <v>178455.18</v>
      </c>
      <c r="H11" s="76" t="s">
        <v>57</v>
      </c>
      <c r="I11" s="191">
        <v>19</v>
      </c>
      <c r="J11" s="18">
        <v>1500</v>
      </c>
      <c r="K11" s="9">
        <f t="shared" si="12"/>
        <v>78.94736842105263</v>
      </c>
      <c r="L11" s="191">
        <v>19</v>
      </c>
      <c r="M11" s="10">
        <f t="shared" si="13"/>
        <v>1349.1089108910892</v>
      </c>
      <c r="N11" s="9">
        <f t="shared" si="14"/>
        <v>71.005732152162594</v>
      </c>
      <c r="O11" s="11">
        <f t="shared" si="15"/>
        <v>0</v>
      </c>
      <c r="P11" s="12">
        <f t="shared" si="17"/>
        <v>-7.9416362688900364</v>
      </c>
      <c r="Q11" s="189">
        <f t="shared" si="18"/>
        <v>0.89940594059405954</v>
      </c>
      <c r="R11" s="470"/>
      <c r="S11" s="24">
        <v>0.32986111111111105</v>
      </c>
      <c r="T11" s="24">
        <v>0.47013888888888883</v>
      </c>
      <c r="U11" s="188">
        <f t="shared" ref="U11:U12" si="20">(S11-T10)*24*60</f>
        <v>12.999999999999954</v>
      </c>
      <c r="V11" s="192">
        <f t="shared" si="16"/>
        <v>202</v>
      </c>
      <c r="W11" s="14"/>
      <c r="X11" s="14"/>
      <c r="Y11" s="456"/>
      <c r="Z11" s="456"/>
      <c r="AA11" s="11">
        <f t="shared" si="2"/>
        <v>-150.89108910891082</v>
      </c>
      <c r="AB11" s="189">
        <f t="shared" si="19"/>
        <v>0.89940594059405943</v>
      </c>
      <c r="AC11" s="470"/>
    </row>
    <row r="12" spans="1:29" ht="15.75" customHeight="1">
      <c r="A12" s="467" t="s">
        <v>5</v>
      </c>
      <c r="B12" s="26" t="s">
        <v>15</v>
      </c>
      <c r="C12" s="468" t="s">
        <v>16</v>
      </c>
      <c r="D12" s="469"/>
      <c r="E12" s="26">
        <v>39.619999999999997</v>
      </c>
      <c r="F12" s="193">
        <v>2832</v>
      </c>
      <c r="G12" s="188">
        <f t="shared" si="11"/>
        <v>112203.84</v>
      </c>
      <c r="H12" s="76" t="s">
        <v>57</v>
      </c>
      <c r="I12" s="191">
        <v>19</v>
      </c>
      <c r="J12" s="18">
        <v>1500</v>
      </c>
      <c r="K12" s="9">
        <f t="shared" si="12"/>
        <v>78.94736842105263</v>
      </c>
      <c r="L12" s="191">
        <v>19</v>
      </c>
      <c r="M12" s="10">
        <f t="shared" si="13"/>
        <v>1348.5714285714282</v>
      </c>
      <c r="N12" s="9">
        <f t="shared" si="14"/>
        <v>70.977443609022544</v>
      </c>
      <c r="O12" s="11">
        <f t="shared" si="15"/>
        <v>0</v>
      </c>
      <c r="P12" s="12">
        <f t="shared" si="17"/>
        <v>-7.9699248120300865</v>
      </c>
      <c r="Q12" s="189">
        <f t="shared" si="18"/>
        <v>0.89904761904761887</v>
      </c>
      <c r="R12" s="470"/>
      <c r="S12" s="24">
        <v>0.50972222222222219</v>
      </c>
      <c r="T12" s="24">
        <v>0.59722222222222221</v>
      </c>
      <c r="U12" s="188">
        <f t="shared" si="20"/>
        <v>57.000000000000036</v>
      </c>
      <c r="V12" s="192">
        <f t="shared" si="16"/>
        <v>126.00000000000003</v>
      </c>
      <c r="W12" s="14"/>
      <c r="X12" s="14"/>
      <c r="Y12" s="456"/>
      <c r="Z12" s="456"/>
      <c r="AA12" s="11">
        <f t="shared" si="2"/>
        <v>-151.42857142857179</v>
      </c>
      <c r="AB12" s="189">
        <f t="shared" si="19"/>
        <v>0.89904761904761876</v>
      </c>
      <c r="AC12" s="470"/>
    </row>
    <row r="13" spans="1:29" ht="16.5" customHeight="1">
      <c r="A13" s="467" t="s">
        <v>5</v>
      </c>
      <c r="B13" s="26" t="s">
        <v>695</v>
      </c>
      <c r="C13" s="466"/>
      <c r="D13" s="466"/>
      <c r="E13" s="187"/>
      <c r="F13" s="18"/>
      <c r="G13" s="10"/>
      <c r="H13" s="193"/>
      <c r="I13" s="17">
        <v>18.75</v>
      </c>
      <c r="J13" s="18">
        <v>1500</v>
      </c>
      <c r="K13" s="9">
        <f>J13/I13</f>
        <v>80</v>
      </c>
      <c r="L13" s="17">
        <v>18.75</v>
      </c>
      <c r="M13" s="10">
        <f>AVERAGE(M9:M12)</f>
        <v>1350.2084139703777</v>
      </c>
      <c r="N13" s="9">
        <f>M13/L13</f>
        <v>72.01111541175348</v>
      </c>
      <c r="O13" s="11">
        <f>L13-I13</f>
        <v>0</v>
      </c>
      <c r="P13" s="12">
        <f>N13-K13</f>
        <v>-7.9888845882465205</v>
      </c>
      <c r="Q13" s="189">
        <f>N13/K13</f>
        <v>0.90013894264691852</v>
      </c>
      <c r="R13" s="470"/>
      <c r="S13" s="24"/>
      <c r="T13" s="24"/>
      <c r="U13" s="9"/>
      <c r="V13" s="192"/>
      <c r="W13" s="9"/>
      <c r="X13" s="9"/>
      <c r="Y13" s="456"/>
      <c r="Z13" s="456"/>
      <c r="AA13" s="11">
        <f t="shared" si="2"/>
        <v>-149.79158602962229</v>
      </c>
      <c r="AB13" s="189">
        <f t="shared" si="19"/>
        <v>0.90013894264691852</v>
      </c>
      <c r="AC13" s="470"/>
    </row>
    <row r="14" spans="1:29" ht="16.5" customHeight="1">
      <c r="A14" s="480" t="s">
        <v>124</v>
      </c>
      <c r="B14" s="193" t="s">
        <v>18</v>
      </c>
      <c r="C14" s="477" t="s">
        <v>19</v>
      </c>
      <c r="D14" s="477"/>
      <c r="E14" s="26">
        <v>41</v>
      </c>
      <c r="F14" s="193">
        <v>1824</v>
      </c>
      <c r="G14" s="188">
        <f t="shared" ref="G14:G19" si="21">E14*F14</f>
        <v>74784</v>
      </c>
      <c r="H14" s="76" t="s">
        <v>57</v>
      </c>
      <c r="I14" s="191">
        <v>26</v>
      </c>
      <c r="J14" s="18">
        <v>1286</v>
      </c>
      <c r="K14" s="9">
        <f>J14/I14</f>
        <v>49.46153846153846</v>
      </c>
      <c r="L14" s="191">
        <v>26</v>
      </c>
      <c r="M14" s="10">
        <f>F14/V14*60</f>
        <v>1151.9999999999998</v>
      </c>
      <c r="N14" s="9">
        <f t="shared" ref="N14:N27" si="22">M14/L14</f>
        <v>44.307692307692299</v>
      </c>
      <c r="O14" s="11">
        <f t="shared" ref="O14" si="23">L14-I14</f>
        <v>0</v>
      </c>
      <c r="P14" s="12">
        <f t="shared" ref="P14" si="24">N14-K14</f>
        <v>-5.1538461538461604</v>
      </c>
      <c r="Q14" s="189">
        <f>N14/K14</f>
        <v>0.89580093312597187</v>
      </c>
      <c r="R14" s="470">
        <f>Q20</f>
        <v>0.89978687128938717</v>
      </c>
      <c r="S14" s="24">
        <v>0.20833333333333334</v>
      </c>
      <c r="T14" s="24">
        <v>0.27430555555555558</v>
      </c>
      <c r="U14" s="188"/>
      <c r="V14" s="192">
        <f>(T14-S14)*24*60</f>
        <v>95.000000000000028</v>
      </c>
      <c r="W14" s="15"/>
      <c r="X14" s="15"/>
      <c r="Y14" s="456"/>
      <c r="Z14" s="456"/>
      <c r="AA14" s="11">
        <f t="shared" si="2"/>
        <v>-134.00000000000023</v>
      </c>
      <c r="AB14" s="189">
        <f t="shared" si="19"/>
        <v>0.89580093312597187</v>
      </c>
      <c r="AC14" s="470">
        <f>AB20</f>
        <v>0.89978687128938695</v>
      </c>
    </row>
    <row r="15" spans="1:29" ht="16.5" customHeight="1">
      <c r="A15" s="481" t="s">
        <v>6</v>
      </c>
      <c r="B15" s="193" t="s">
        <v>15</v>
      </c>
      <c r="C15" s="477" t="s">
        <v>68</v>
      </c>
      <c r="D15" s="477"/>
      <c r="E15" s="26">
        <v>39.29</v>
      </c>
      <c r="F15" s="193">
        <v>2342</v>
      </c>
      <c r="G15" s="188">
        <f t="shared" si="21"/>
        <v>92017.18</v>
      </c>
      <c r="H15" s="76" t="s">
        <v>57</v>
      </c>
      <c r="I15" s="191">
        <v>18</v>
      </c>
      <c r="J15" s="18">
        <v>1500</v>
      </c>
      <c r="K15" s="9">
        <f>J15/I15</f>
        <v>83.333333333333329</v>
      </c>
      <c r="L15" s="191">
        <v>18</v>
      </c>
      <c r="M15" s="10">
        <f>F15/V15*60</f>
        <v>1351.1538461538457</v>
      </c>
      <c r="N15" s="9">
        <f t="shared" si="22"/>
        <v>75.064102564102541</v>
      </c>
      <c r="O15" s="11">
        <f>L15-I15</f>
        <v>0</v>
      </c>
      <c r="P15" s="12">
        <f>N15-K15</f>
        <v>-8.2692307692307878</v>
      </c>
      <c r="Q15" s="189">
        <f>N15/K15</f>
        <v>0.90076923076923054</v>
      </c>
      <c r="R15" s="470"/>
      <c r="S15" s="24">
        <v>0.28194444444444444</v>
      </c>
      <c r="T15" s="24">
        <v>0.35416666666666669</v>
      </c>
      <c r="U15" s="188">
        <f>(S15-T14)*24*60</f>
        <v>10.999999999999961</v>
      </c>
      <c r="V15" s="192">
        <f>(T15-S15)*24*60</f>
        <v>104.00000000000003</v>
      </c>
      <c r="W15" s="14"/>
      <c r="X15" s="14"/>
      <c r="Y15" s="456"/>
      <c r="Z15" s="456"/>
      <c r="AA15" s="11">
        <f t="shared" si="2"/>
        <v>-148.84615384615427</v>
      </c>
      <c r="AB15" s="189">
        <f t="shared" si="19"/>
        <v>0.90076923076923054</v>
      </c>
      <c r="AC15" s="470"/>
    </row>
    <row r="16" spans="1:29" ht="16.5" customHeight="1">
      <c r="A16" s="481" t="s">
        <v>6</v>
      </c>
      <c r="B16" s="193" t="s">
        <v>15</v>
      </c>
      <c r="C16" s="477" t="s">
        <v>54</v>
      </c>
      <c r="D16" s="477"/>
      <c r="E16" s="26">
        <v>39.29</v>
      </c>
      <c r="F16" s="193">
        <v>3752</v>
      </c>
      <c r="G16" s="188">
        <f t="shared" si="21"/>
        <v>147416.07999999999</v>
      </c>
      <c r="H16" s="76" t="s">
        <v>57</v>
      </c>
      <c r="I16" s="191">
        <v>17</v>
      </c>
      <c r="J16" s="18">
        <v>1500</v>
      </c>
      <c r="K16" s="9">
        <f t="shared" ref="K16:K19" si="25">J16/I16</f>
        <v>88.235294117647058</v>
      </c>
      <c r="L16" s="191">
        <v>17</v>
      </c>
      <c r="M16" s="10">
        <f t="shared" ref="M16:M18" si="26">F16/V16*60</f>
        <v>1348.0239520958085</v>
      </c>
      <c r="N16" s="9">
        <f t="shared" si="22"/>
        <v>79.295526593871088</v>
      </c>
      <c r="O16" s="11">
        <f t="shared" ref="O16:O19" si="27">L16-I16</f>
        <v>0</v>
      </c>
      <c r="P16" s="12">
        <f t="shared" ref="P16:P19" si="28">N16-K16</f>
        <v>-8.9397675237759699</v>
      </c>
      <c r="Q16" s="189">
        <f t="shared" ref="Q16:Q27" si="29">N16/K16</f>
        <v>0.898682634730539</v>
      </c>
      <c r="R16" s="470"/>
      <c r="S16" s="24">
        <v>0.36527777777777776</v>
      </c>
      <c r="T16" s="24">
        <v>0.48124999999999996</v>
      </c>
      <c r="U16" s="188">
        <f t="shared" ref="U16:U19" si="30">(S16-T15)*24*60</f>
        <v>15.999999999999943</v>
      </c>
      <c r="V16" s="192">
        <f t="shared" ref="V16:V19" si="31">(T16-S16)*24*60</f>
        <v>166.99999999999997</v>
      </c>
      <c r="W16" s="14"/>
      <c r="X16" s="14"/>
      <c r="Y16" s="456"/>
      <c r="Z16" s="456"/>
      <c r="AA16" s="11">
        <f t="shared" si="2"/>
        <v>-151.97604790419155</v>
      </c>
      <c r="AB16" s="189">
        <f t="shared" si="19"/>
        <v>0.898682634730539</v>
      </c>
      <c r="AC16" s="470"/>
    </row>
    <row r="17" spans="1:29" ht="16.5" customHeight="1">
      <c r="A17" s="481" t="s">
        <v>6</v>
      </c>
      <c r="B17" s="193" t="s">
        <v>15</v>
      </c>
      <c r="C17" s="477" t="s">
        <v>17</v>
      </c>
      <c r="D17" s="477"/>
      <c r="E17" s="26">
        <v>39.799999999999997</v>
      </c>
      <c r="F17" s="193">
        <v>3033</v>
      </c>
      <c r="G17" s="188">
        <f t="shared" si="21"/>
        <v>120713.4</v>
      </c>
      <c r="H17" s="76" t="s">
        <v>57</v>
      </c>
      <c r="I17" s="191">
        <v>18</v>
      </c>
      <c r="J17" s="18">
        <v>1500</v>
      </c>
      <c r="K17" s="9">
        <f t="shared" si="25"/>
        <v>83.333333333333329</v>
      </c>
      <c r="L17" s="191">
        <v>18</v>
      </c>
      <c r="M17" s="10">
        <f t="shared" si="26"/>
        <v>1348</v>
      </c>
      <c r="N17" s="9">
        <f t="shared" si="22"/>
        <v>74.888888888888886</v>
      </c>
      <c r="O17" s="11">
        <f t="shared" si="27"/>
        <v>0</v>
      </c>
      <c r="P17" s="12">
        <f t="shared" si="28"/>
        <v>-8.4444444444444429</v>
      </c>
      <c r="Q17" s="189">
        <f t="shared" si="29"/>
        <v>0.89866666666666672</v>
      </c>
      <c r="R17" s="470"/>
      <c r="S17" s="24">
        <v>0.52291666666666659</v>
      </c>
      <c r="T17" s="24">
        <v>0.61666666666666659</v>
      </c>
      <c r="U17" s="188">
        <f t="shared" si="30"/>
        <v>59.999999999999943</v>
      </c>
      <c r="V17" s="192">
        <f t="shared" si="31"/>
        <v>135</v>
      </c>
      <c r="W17" s="14"/>
      <c r="X17" s="14"/>
      <c r="Y17" s="456"/>
      <c r="Z17" s="456"/>
      <c r="AA17" s="11">
        <f t="shared" si="2"/>
        <v>-152</v>
      </c>
      <c r="AB17" s="189">
        <f t="shared" si="19"/>
        <v>0.89866666666666661</v>
      </c>
      <c r="AC17" s="470"/>
    </row>
    <row r="18" spans="1:29" ht="16.5" customHeight="1">
      <c r="A18" s="481" t="s">
        <v>6</v>
      </c>
      <c r="B18" s="193" t="s">
        <v>13</v>
      </c>
      <c r="C18" s="477" t="s">
        <v>63</v>
      </c>
      <c r="D18" s="477"/>
      <c r="E18" s="26">
        <v>50.98</v>
      </c>
      <c r="F18" s="193">
        <v>2831</v>
      </c>
      <c r="G18" s="188">
        <f t="shared" si="21"/>
        <v>144324.38</v>
      </c>
      <c r="H18" s="76" t="s">
        <v>57</v>
      </c>
      <c r="I18" s="191">
        <v>17</v>
      </c>
      <c r="J18" s="18">
        <v>1800</v>
      </c>
      <c r="K18" s="9">
        <f t="shared" si="25"/>
        <v>105.88235294117646</v>
      </c>
      <c r="L18" s="191">
        <v>17</v>
      </c>
      <c r="M18" s="10">
        <f t="shared" si="26"/>
        <v>1617.7142857142867</v>
      </c>
      <c r="N18" s="9">
        <f t="shared" si="22"/>
        <v>95.159663865546278</v>
      </c>
      <c r="O18" s="11">
        <f t="shared" si="27"/>
        <v>0</v>
      </c>
      <c r="P18" s="12">
        <f t="shared" si="28"/>
        <v>-10.722689075630186</v>
      </c>
      <c r="Q18" s="189">
        <f t="shared" si="29"/>
        <v>0.89873015873015938</v>
      </c>
      <c r="R18" s="470"/>
      <c r="S18" s="24">
        <v>0.70833333333333337</v>
      </c>
      <c r="T18" s="24">
        <v>0.78125</v>
      </c>
      <c r="U18" s="188">
        <f t="shared" si="30"/>
        <v>132.00000000000017</v>
      </c>
      <c r="V18" s="192">
        <f t="shared" si="31"/>
        <v>104.99999999999994</v>
      </c>
      <c r="W18" s="14"/>
      <c r="X18" s="14"/>
      <c r="Y18" s="456"/>
      <c r="Z18" s="456"/>
      <c r="AA18" s="11">
        <f t="shared" si="2"/>
        <v>-182.28571428571331</v>
      </c>
      <c r="AB18" s="189">
        <f t="shared" si="19"/>
        <v>0.89873015873015927</v>
      </c>
      <c r="AC18" s="470"/>
    </row>
    <row r="19" spans="1:29" ht="16.5" customHeight="1">
      <c r="A19" s="481" t="s">
        <v>6</v>
      </c>
      <c r="B19" s="193" t="s">
        <v>13</v>
      </c>
      <c r="C19" s="482" t="s">
        <v>66</v>
      </c>
      <c r="D19" s="483"/>
      <c r="E19" s="26">
        <v>57.73</v>
      </c>
      <c r="F19" s="193">
        <v>1902</v>
      </c>
      <c r="G19" s="188">
        <f t="shared" si="21"/>
        <v>109802.45999999999</v>
      </c>
      <c r="H19" s="76" t="s">
        <v>57</v>
      </c>
      <c r="I19" s="191">
        <v>16</v>
      </c>
      <c r="J19" s="18">
        <v>1500</v>
      </c>
      <c r="K19" s="9">
        <f t="shared" si="25"/>
        <v>93.75</v>
      </c>
      <c r="L19" s="191">
        <v>16</v>
      </c>
      <c r="M19" s="10">
        <f>F19/V19*60</f>
        <v>1358.5714285714282</v>
      </c>
      <c r="N19" s="9">
        <f t="shared" si="22"/>
        <v>84.910714285714263</v>
      </c>
      <c r="O19" s="11">
        <f t="shared" si="27"/>
        <v>0</v>
      </c>
      <c r="P19" s="12">
        <f t="shared" si="28"/>
        <v>-8.8392857142857366</v>
      </c>
      <c r="Q19" s="189">
        <f t="shared" si="29"/>
        <v>0.90571428571428547</v>
      </c>
      <c r="R19" s="470"/>
      <c r="S19" s="24">
        <v>0.78611111111111109</v>
      </c>
      <c r="T19" s="24">
        <v>0.84444444444444444</v>
      </c>
      <c r="U19" s="188">
        <f t="shared" si="30"/>
        <v>6.9999999999999751</v>
      </c>
      <c r="V19" s="192">
        <f t="shared" si="31"/>
        <v>84.000000000000028</v>
      </c>
      <c r="W19" s="14"/>
      <c r="X19" s="14"/>
      <c r="Y19" s="473"/>
      <c r="Z19" s="474"/>
      <c r="AA19" s="11">
        <f t="shared" si="2"/>
        <v>-141.42857142857179</v>
      </c>
      <c r="AB19" s="189">
        <f t="shared" si="19"/>
        <v>0.90571428571428547</v>
      </c>
      <c r="AC19" s="470"/>
    </row>
    <row r="20" spans="1:29" ht="16.5" customHeight="1">
      <c r="A20" s="481" t="s">
        <v>6</v>
      </c>
      <c r="B20" s="26" t="s">
        <v>693</v>
      </c>
      <c r="C20" s="466"/>
      <c r="D20" s="466"/>
      <c r="E20" s="187"/>
      <c r="F20" s="16"/>
      <c r="G20" s="9"/>
      <c r="H20" s="193"/>
      <c r="I20" s="17">
        <v>18.666666666666668</v>
      </c>
      <c r="J20" s="18">
        <v>1514.3333333333333</v>
      </c>
      <c r="K20" s="9">
        <f>J20/I20</f>
        <v>81.124999999999986</v>
      </c>
      <c r="L20" s="17">
        <v>18.666666666666668</v>
      </c>
      <c r="M20" s="10">
        <f>AVERAGE(M14:M19)</f>
        <v>1362.5772520892283</v>
      </c>
      <c r="N20" s="9">
        <f t="shared" si="22"/>
        <v>72.995209933351518</v>
      </c>
      <c r="O20" s="11">
        <f>L20-I20</f>
        <v>0</v>
      </c>
      <c r="P20" s="12">
        <f>N20-K20</f>
        <v>-8.1297900666484679</v>
      </c>
      <c r="Q20" s="189">
        <f t="shared" si="29"/>
        <v>0.89978687128938717</v>
      </c>
      <c r="R20" s="470"/>
      <c r="S20" s="24"/>
      <c r="T20" s="24"/>
      <c r="U20" s="188"/>
      <c r="V20" s="192"/>
      <c r="W20" s="9"/>
      <c r="X20" s="9"/>
      <c r="Y20" s="456"/>
      <c r="Z20" s="456"/>
      <c r="AA20" s="11">
        <f t="shared" si="2"/>
        <v>-151.75608124410496</v>
      </c>
      <c r="AB20" s="189">
        <f t="shared" si="19"/>
        <v>0.89978687128938695</v>
      </c>
      <c r="AC20" s="470"/>
    </row>
    <row r="21" spans="1:29" ht="15.75" customHeight="1">
      <c r="A21" s="478" t="s">
        <v>696</v>
      </c>
      <c r="B21" s="26" t="s">
        <v>21</v>
      </c>
      <c r="C21" s="477" t="s">
        <v>22</v>
      </c>
      <c r="D21" s="477"/>
      <c r="E21" s="26">
        <v>43.14</v>
      </c>
      <c r="F21" s="193">
        <v>1408</v>
      </c>
      <c r="G21" s="188">
        <f t="shared" ref="G21:G27" si="32">E21*F21</f>
        <v>60741.120000000003</v>
      </c>
      <c r="H21" s="76" t="s">
        <v>57</v>
      </c>
      <c r="I21" s="191">
        <v>17</v>
      </c>
      <c r="J21" s="18">
        <v>1200</v>
      </c>
      <c r="K21" s="9">
        <f t="shared" ref="K21:K28" si="33">J21/I21</f>
        <v>70.588235294117652</v>
      </c>
      <c r="L21" s="191">
        <v>17</v>
      </c>
      <c r="M21" s="10">
        <f t="shared" ref="M21:M27" si="34">F21/V21*60</f>
        <v>1083.0769230769224</v>
      </c>
      <c r="N21" s="9">
        <f t="shared" si="22"/>
        <v>63.710407239818963</v>
      </c>
      <c r="O21" s="11">
        <f t="shared" ref="O21:O27" si="35">L21-I21</f>
        <v>0</v>
      </c>
      <c r="P21" s="12">
        <f t="shared" ref="P21:P27" si="36">N21-K21</f>
        <v>-6.8778280542986892</v>
      </c>
      <c r="Q21" s="189">
        <f t="shared" si="29"/>
        <v>0.90256410256410191</v>
      </c>
      <c r="R21" s="470">
        <f>Q28</f>
        <v>0.90571700317226567</v>
      </c>
      <c r="S21" s="24">
        <v>0.25</v>
      </c>
      <c r="T21" s="24">
        <v>0.3041666666666667</v>
      </c>
      <c r="U21" s="188"/>
      <c r="V21" s="192">
        <f>(T21-S21)*24*60</f>
        <v>78.000000000000043</v>
      </c>
      <c r="W21" s="15"/>
      <c r="X21" s="15"/>
      <c r="Y21" s="456"/>
      <c r="Z21" s="456"/>
      <c r="AA21" s="11">
        <f t="shared" si="2"/>
        <v>-116.92307692307759</v>
      </c>
      <c r="AB21" s="189">
        <f t="shared" si="19"/>
        <v>0.90256410256410202</v>
      </c>
      <c r="AC21" s="470">
        <f>AB28</f>
        <v>0.90571700317226567</v>
      </c>
    </row>
    <row r="22" spans="1:29" ht="15.75" customHeight="1">
      <c r="A22" s="479" t="s">
        <v>7</v>
      </c>
      <c r="B22" s="26" t="s">
        <v>13</v>
      </c>
      <c r="C22" s="477" t="s">
        <v>23</v>
      </c>
      <c r="D22" s="477"/>
      <c r="E22" s="26">
        <v>57.73</v>
      </c>
      <c r="F22" s="193">
        <v>3159</v>
      </c>
      <c r="G22" s="188">
        <f t="shared" si="32"/>
        <v>182369.06999999998</v>
      </c>
      <c r="H22" s="76" t="s">
        <v>57</v>
      </c>
      <c r="I22" s="191">
        <v>16</v>
      </c>
      <c r="J22" s="18">
        <v>1800</v>
      </c>
      <c r="K22" s="9">
        <f t="shared" si="33"/>
        <v>112.5</v>
      </c>
      <c r="L22" s="191">
        <v>16</v>
      </c>
      <c r="M22" s="10">
        <f t="shared" si="34"/>
        <v>1620.0000000000002</v>
      </c>
      <c r="N22" s="9">
        <f t="shared" si="22"/>
        <v>101.25000000000001</v>
      </c>
      <c r="O22" s="11">
        <f t="shared" si="35"/>
        <v>0</v>
      </c>
      <c r="P22" s="12">
        <f t="shared" si="36"/>
        <v>-11.249999999999986</v>
      </c>
      <c r="Q22" s="189">
        <f t="shared" si="29"/>
        <v>0.90000000000000013</v>
      </c>
      <c r="R22" s="470"/>
      <c r="S22" s="24">
        <v>0.30972222222222223</v>
      </c>
      <c r="T22" s="24">
        <v>0.39097222222222222</v>
      </c>
      <c r="U22" s="188">
        <f>(S22-T21)*24*60</f>
        <v>7.9999999999999716</v>
      </c>
      <c r="V22" s="192">
        <f t="shared" ref="V22:V27" si="37">(T22-S22)*24*60</f>
        <v>116.99999999999999</v>
      </c>
      <c r="W22" s="14"/>
      <c r="X22" s="188"/>
      <c r="Y22" s="456"/>
      <c r="Z22" s="456"/>
      <c r="AA22" s="11">
        <f t="shared" si="2"/>
        <v>-179.99999999999977</v>
      </c>
      <c r="AB22" s="189">
        <f t="shared" si="19"/>
        <v>0.90000000000000013</v>
      </c>
      <c r="AC22" s="470"/>
    </row>
    <row r="23" spans="1:29" ht="15.75" customHeight="1">
      <c r="A23" s="479" t="s">
        <v>7</v>
      </c>
      <c r="B23" s="26" t="s">
        <v>13</v>
      </c>
      <c r="C23" s="477" t="s">
        <v>14</v>
      </c>
      <c r="D23" s="477"/>
      <c r="E23" s="26">
        <v>53.68</v>
      </c>
      <c r="F23" s="193">
        <v>2087</v>
      </c>
      <c r="G23" s="188">
        <f t="shared" si="32"/>
        <v>112030.16</v>
      </c>
      <c r="H23" s="76" t="s">
        <v>57</v>
      </c>
      <c r="I23" s="191">
        <v>17</v>
      </c>
      <c r="J23" s="18">
        <v>1800</v>
      </c>
      <c r="K23" s="9">
        <f t="shared" si="33"/>
        <v>105.88235294117646</v>
      </c>
      <c r="L23" s="191">
        <v>17</v>
      </c>
      <c r="M23" s="10">
        <f t="shared" si="34"/>
        <v>1626.233766233767</v>
      </c>
      <c r="N23" s="9">
        <f t="shared" si="22"/>
        <v>95.66080977845688</v>
      </c>
      <c r="O23" s="11">
        <f t="shared" si="35"/>
        <v>0</v>
      </c>
      <c r="P23" s="12">
        <f t="shared" si="36"/>
        <v>-10.221543162719584</v>
      </c>
      <c r="Q23" s="189">
        <f t="shared" si="29"/>
        <v>0.90346320346320397</v>
      </c>
      <c r="R23" s="470"/>
      <c r="S23" s="24">
        <v>0.39652777777777776</v>
      </c>
      <c r="T23" s="24">
        <v>0.44999999999999996</v>
      </c>
      <c r="U23" s="188">
        <f t="shared" ref="U23:U27" si="38">(S23-T22)*24*60</f>
        <v>7.9999999999999716</v>
      </c>
      <c r="V23" s="192">
        <f t="shared" si="37"/>
        <v>76.999999999999972</v>
      </c>
      <c r="W23" s="14"/>
      <c r="X23" s="188"/>
      <c r="Y23" s="456"/>
      <c r="Z23" s="456"/>
      <c r="AA23" s="11">
        <f t="shared" si="2"/>
        <v>-173.76623376623297</v>
      </c>
      <c r="AB23" s="189">
        <f t="shared" si="19"/>
        <v>0.90346320346320386</v>
      </c>
      <c r="AC23" s="470"/>
    </row>
    <row r="24" spans="1:29" ht="15.75" customHeight="1">
      <c r="A24" s="479" t="s">
        <v>7</v>
      </c>
      <c r="B24" s="26" t="s">
        <v>13</v>
      </c>
      <c r="C24" s="477" t="s">
        <v>72</v>
      </c>
      <c r="D24" s="477"/>
      <c r="E24" s="26">
        <v>50.67</v>
      </c>
      <c r="F24" s="193">
        <v>1359</v>
      </c>
      <c r="G24" s="188">
        <f t="shared" si="32"/>
        <v>68860.53</v>
      </c>
      <c r="H24" s="76" t="s">
        <v>57</v>
      </c>
      <c r="I24" s="191">
        <v>16</v>
      </c>
      <c r="J24" s="18">
        <v>1800</v>
      </c>
      <c r="K24" s="9">
        <f t="shared" si="33"/>
        <v>112.5</v>
      </c>
      <c r="L24" s="191">
        <v>16</v>
      </c>
      <c r="M24" s="10">
        <f t="shared" si="34"/>
        <v>1630.8000000000004</v>
      </c>
      <c r="N24" s="9">
        <f t="shared" si="22"/>
        <v>101.92500000000003</v>
      </c>
      <c r="O24" s="11">
        <f t="shared" si="35"/>
        <v>0</v>
      </c>
      <c r="P24" s="12">
        <f t="shared" si="36"/>
        <v>-10.574999999999974</v>
      </c>
      <c r="Q24" s="189">
        <f t="shared" si="29"/>
        <v>0.90600000000000025</v>
      </c>
      <c r="R24" s="470"/>
      <c r="S24" s="24">
        <v>0.45486111111111105</v>
      </c>
      <c r="T24" s="24">
        <v>0.48958333333333326</v>
      </c>
      <c r="U24" s="188">
        <f t="shared" si="38"/>
        <v>6.9999999999999751</v>
      </c>
      <c r="V24" s="192">
        <f t="shared" si="37"/>
        <v>49.999999999999986</v>
      </c>
      <c r="W24" s="14"/>
      <c r="X24" s="188"/>
      <c r="Y24" s="456"/>
      <c r="Z24" s="456"/>
      <c r="AA24" s="11">
        <f t="shared" si="2"/>
        <v>-169.19999999999959</v>
      </c>
      <c r="AB24" s="189">
        <f t="shared" si="19"/>
        <v>0.90600000000000025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193">
        <v>3079</v>
      </c>
      <c r="G25" s="188">
        <f t="shared" si="32"/>
        <v>156782.68</v>
      </c>
      <c r="H25" s="76" t="s">
        <v>57</v>
      </c>
      <c r="I25" s="191">
        <v>16</v>
      </c>
      <c r="J25" s="18">
        <v>1800</v>
      </c>
      <c r="K25" s="9">
        <f t="shared" si="33"/>
        <v>112.5</v>
      </c>
      <c r="L25" s="191">
        <v>16</v>
      </c>
      <c r="M25" s="10">
        <f t="shared" si="34"/>
        <v>1620.5263157894726</v>
      </c>
      <c r="N25" s="9">
        <f t="shared" si="22"/>
        <v>101.28289473684204</v>
      </c>
      <c r="O25" s="11">
        <f t="shared" si="35"/>
        <v>0</v>
      </c>
      <c r="P25" s="12">
        <f t="shared" si="36"/>
        <v>-11.217105263157961</v>
      </c>
      <c r="Q25" s="189">
        <f t="shared" si="29"/>
        <v>0.90029239766081814</v>
      </c>
      <c r="R25" s="470"/>
      <c r="S25" s="24">
        <v>0.70833333333333337</v>
      </c>
      <c r="T25" s="24">
        <v>0.78750000000000009</v>
      </c>
      <c r="U25" s="188">
        <f t="shared" si="38"/>
        <v>315.00000000000017</v>
      </c>
      <c r="V25" s="192">
        <f t="shared" si="37"/>
        <v>114.00000000000007</v>
      </c>
      <c r="W25" s="14"/>
      <c r="X25" s="188"/>
      <c r="Y25" s="456"/>
      <c r="Z25" s="456"/>
      <c r="AA25" s="11">
        <f t="shared" si="2"/>
        <v>-179.47368421052738</v>
      </c>
      <c r="AB25" s="189">
        <f t="shared" si="19"/>
        <v>0.90029239766081814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193">
        <v>773</v>
      </c>
      <c r="G26" s="188">
        <f t="shared" si="32"/>
        <v>41177.71</v>
      </c>
      <c r="H26" s="76" t="s">
        <v>57</v>
      </c>
      <c r="I26" s="191">
        <v>15</v>
      </c>
      <c r="J26" s="18">
        <v>1800</v>
      </c>
      <c r="K26" s="9">
        <f t="shared" si="33"/>
        <v>120</v>
      </c>
      <c r="L26" s="191">
        <v>15</v>
      </c>
      <c r="M26" s="10">
        <f t="shared" si="34"/>
        <v>1656.4285714285679</v>
      </c>
      <c r="N26" s="9">
        <f t="shared" si="22"/>
        <v>110.42857142857119</v>
      </c>
      <c r="O26" s="11">
        <f t="shared" si="35"/>
        <v>0</v>
      </c>
      <c r="P26" s="12">
        <f t="shared" si="36"/>
        <v>-9.571428571428811</v>
      </c>
      <c r="Q26" s="189">
        <f t="shared" si="29"/>
        <v>0.92023809523809319</v>
      </c>
      <c r="R26" s="470"/>
      <c r="S26" s="24">
        <v>0.79236111111111118</v>
      </c>
      <c r="T26" s="24">
        <v>0.81180555555555567</v>
      </c>
      <c r="U26" s="188">
        <f t="shared" si="38"/>
        <v>6.9999999999999751</v>
      </c>
      <c r="V26" s="192">
        <f t="shared" si="37"/>
        <v>28.00000000000006</v>
      </c>
      <c r="W26" s="14"/>
      <c r="X26" s="15"/>
      <c r="Y26" s="456"/>
      <c r="Z26" s="456"/>
      <c r="AA26" s="11">
        <f t="shared" si="2"/>
        <v>-143.57142857143208</v>
      </c>
      <c r="AB26" s="189">
        <f t="shared" si="19"/>
        <v>0.9202380952380933</v>
      </c>
      <c r="AC26" s="470"/>
    </row>
    <row r="27" spans="1:29" ht="15.75" customHeight="1">
      <c r="A27" s="479" t="s">
        <v>7</v>
      </c>
      <c r="B27" s="26" t="s">
        <v>13</v>
      </c>
      <c r="C27" s="477" t="s">
        <v>61</v>
      </c>
      <c r="D27" s="477"/>
      <c r="E27" s="26">
        <v>49.91</v>
      </c>
      <c r="F27" s="193">
        <v>707</v>
      </c>
      <c r="G27" s="188">
        <f t="shared" si="32"/>
        <v>35286.369999999995</v>
      </c>
      <c r="H27" s="76" t="s">
        <v>57</v>
      </c>
      <c r="I27" s="191">
        <v>15</v>
      </c>
      <c r="J27" s="18">
        <v>1800</v>
      </c>
      <c r="K27" s="9">
        <f t="shared" si="33"/>
        <v>120</v>
      </c>
      <c r="L27" s="191">
        <v>15</v>
      </c>
      <c r="M27" s="10">
        <f t="shared" si="34"/>
        <v>1631.5384615384573</v>
      </c>
      <c r="N27" s="9">
        <f t="shared" si="22"/>
        <v>108.76923076923049</v>
      </c>
      <c r="O27" s="11">
        <f t="shared" si="35"/>
        <v>0</v>
      </c>
      <c r="P27" s="12">
        <f t="shared" si="36"/>
        <v>-11.230769230769511</v>
      </c>
      <c r="Q27" s="189">
        <f t="shared" si="29"/>
        <v>0.90641025641025408</v>
      </c>
      <c r="R27" s="470"/>
      <c r="S27" s="24">
        <v>0.81527777777777788</v>
      </c>
      <c r="T27" s="24">
        <v>0.83333333333333348</v>
      </c>
      <c r="U27" s="188">
        <f t="shared" si="38"/>
        <v>4.9999999999999822</v>
      </c>
      <c r="V27" s="192">
        <f t="shared" si="37"/>
        <v>26.000000000000068</v>
      </c>
      <c r="W27" s="14"/>
      <c r="X27" s="15"/>
      <c r="Y27" s="473"/>
      <c r="Z27" s="474"/>
      <c r="AA27" s="11">
        <f t="shared" si="2"/>
        <v>-168.46153846154266</v>
      </c>
      <c r="AB27" s="189">
        <f t="shared" si="19"/>
        <v>0.90641025641025408</v>
      </c>
      <c r="AC27" s="470"/>
    </row>
    <row r="28" spans="1:29" ht="15.75" customHeight="1">
      <c r="A28" s="479" t="s">
        <v>7</v>
      </c>
      <c r="B28" s="26" t="s">
        <v>695</v>
      </c>
      <c r="C28" s="466"/>
      <c r="D28" s="466"/>
      <c r="E28" s="187"/>
      <c r="F28" s="193"/>
      <c r="G28" s="188"/>
      <c r="H28" s="193"/>
      <c r="I28" s="17">
        <v>16</v>
      </c>
      <c r="J28" s="18">
        <v>1714.2857142857142</v>
      </c>
      <c r="K28" s="9">
        <f t="shared" si="33"/>
        <v>107.14285714285714</v>
      </c>
      <c r="L28" s="17">
        <v>16</v>
      </c>
      <c r="M28" s="10">
        <f>AVERAGE(M21:M27)</f>
        <v>1552.6577197238839</v>
      </c>
      <c r="N28" s="9">
        <f>M28/L28</f>
        <v>97.041107482742746</v>
      </c>
      <c r="O28" s="11">
        <f>L28-I28</f>
        <v>0</v>
      </c>
      <c r="P28" s="12">
        <f>N28-K28</f>
        <v>-10.101749660114393</v>
      </c>
      <c r="Q28" s="189">
        <f>N28/K28</f>
        <v>0.90571700317226567</v>
      </c>
      <c r="R28" s="470"/>
      <c r="S28" s="24"/>
      <c r="T28" s="24"/>
      <c r="U28" s="9"/>
      <c r="V28" s="192"/>
      <c r="W28" s="9"/>
      <c r="X28" s="9"/>
      <c r="Y28" s="456"/>
      <c r="Z28" s="456"/>
      <c r="AA28" s="11">
        <f t="shared" si="2"/>
        <v>-161.62799456183029</v>
      </c>
      <c r="AB28" s="189">
        <f t="shared" si="19"/>
        <v>0.90571700317226567</v>
      </c>
      <c r="AC28" s="470"/>
    </row>
    <row r="29" spans="1:29" ht="15.75" customHeight="1">
      <c r="A29" s="484" t="s">
        <v>157</v>
      </c>
      <c r="B29" s="26" t="s">
        <v>24</v>
      </c>
      <c r="C29" s="477" t="s">
        <v>26</v>
      </c>
      <c r="D29" s="477"/>
      <c r="E29" s="26">
        <v>26.2</v>
      </c>
      <c r="F29" s="193">
        <v>3000</v>
      </c>
      <c r="G29" s="188">
        <f t="shared" ref="G29:G36" si="39">E29*F29</f>
        <v>78600</v>
      </c>
      <c r="H29" s="76">
        <v>2</v>
      </c>
      <c r="I29" s="191">
        <v>20</v>
      </c>
      <c r="J29" s="18">
        <v>2400</v>
      </c>
      <c r="K29" s="9">
        <f>J29/I29</f>
        <v>120</v>
      </c>
      <c r="L29" s="191">
        <v>20</v>
      </c>
      <c r="M29" s="10">
        <f t="shared" ref="M29:M36" si="40">F29/V29*60</f>
        <v>2168.674698795181</v>
      </c>
      <c r="N29" s="9">
        <f t="shared" ref="N29:N36" si="41">M29/L29</f>
        <v>108.43373493975905</v>
      </c>
      <c r="O29" s="11">
        <f t="shared" ref="O29:O36" si="42">L29-I29</f>
        <v>0</v>
      </c>
      <c r="P29" s="12">
        <f t="shared" ref="P29:P36" si="43">N29-K29</f>
        <v>-11.566265060240951</v>
      </c>
      <c r="Q29" s="189">
        <f t="shared" ref="Q29:Q36" si="44">N29/K29</f>
        <v>0.90361445783132543</v>
      </c>
      <c r="R29" s="470">
        <f>Q37</f>
        <v>0.90137371370181674</v>
      </c>
      <c r="S29" s="24">
        <v>0.125</v>
      </c>
      <c r="T29" s="24">
        <v>0.18263888888888888</v>
      </c>
      <c r="U29" s="188"/>
      <c r="V29" s="192">
        <f t="shared" ref="V29:V36" si="45">(T29-S29)*24*60</f>
        <v>82.999999999999986</v>
      </c>
      <c r="W29" s="14"/>
      <c r="X29" s="14"/>
      <c r="Y29" s="456"/>
      <c r="Z29" s="456"/>
      <c r="AA29" s="11">
        <f t="shared" si="2"/>
        <v>-231.32530120481897</v>
      </c>
      <c r="AB29" s="189">
        <f>M29/J29</f>
        <v>0.90361445783132543</v>
      </c>
      <c r="AC29" s="470">
        <f>AB37</f>
        <v>0.90137371370181674</v>
      </c>
    </row>
    <row r="30" spans="1:29" ht="15.75" customHeight="1">
      <c r="A30" s="484" t="s">
        <v>8</v>
      </c>
      <c r="B30" s="26" t="s">
        <v>24</v>
      </c>
      <c r="C30" s="477" t="s">
        <v>25</v>
      </c>
      <c r="D30" s="477"/>
      <c r="E30" s="26">
        <v>20.52</v>
      </c>
      <c r="F30" s="193">
        <v>5184</v>
      </c>
      <c r="G30" s="188">
        <f t="shared" si="39"/>
        <v>106375.67999999999</v>
      </c>
      <c r="H30" s="76" t="s">
        <v>57</v>
      </c>
      <c r="I30" s="191">
        <v>18</v>
      </c>
      <c r="J30" s="18">
        <v>2400</v>
      </c>
      <c r="K30" s="9">
        <f t="shared" ref="K30:K37" si="46">J30/I30</f>
        <v>133.33333333333334</v>
      </c>
      <c r="L30" s="191">
        <v>18</v>
      </c>
      <c r="M30" s="10">
        <f t="shared" si="40"/>
        <v>2160.0000000000005</v>
      </c>
      <c r="N30" s="9">
        <f t="shared" si="41"/>
        <v>120.00000000000003</v>
      </c>
      <c r="O30" s="11">
        <f t="shared" si="42"/>
        <v>0</v>
      </c>
      <c r="P30" s="12">
        <f t="shared" si="43"/>
        <v>-13.333333333333314</v>
      </c>
      <c r="Q30" s="189">
        <f t="shared" si="44"/>
        <v>0.90000000000000013</v>
      </c>
      <c r="R30" s="470"/>
      <c r="S30" s="24">
        <v>0.20277777777777778</v>
      </c>
      <c r="T30" s="24">
        <v>0.30277777777777776</v>
      </c>
      <c r="U30" s="188">
        <f>(S30-T29)*24*60</f>
        <v>29.000000000000018</v>
      </c>
      <c r="V30" s="192">
        <f t="shared" si="45"/>
        <v>143.99999999999997</v>
      </c>
      <c r="W30" s="14"/>
      <c r="X30" s="14"/>
      <c r="Y30" s="456"/>
      <c r="Z30" s="456"/>
      <c r="AA30" s="11">
        <f t="shared" si="2"/>
        <v>-239.99999999999955</v>
      </c>
      <c r="AB30" s="189">
        <f t="shared" ref="AB30:AB36" si="47">M30/J30</f>
        <v>0.90000000000000024</v>
      </c>
      <c r="AC30" s="470"/>
    </row>
    <row r="31" spans="1:29" ht="15.75" customHeight="1">
      <c r="A31" s="484" t="s">
        <v>8</v>
      </c>
      <c r="B31" s="26" t="s">
        <v>24</v>
      </c>
      <c r="C31" s="477" t="s">
        <v>513</v>
      </c>
      <c r="D31" s="477"/>
      <c r="E31" s="26">
        <v>31.29</v>
      </c>
      <c r="F31" s="193">
        <v>3500</v>
      </c>
      <c r="G31" s="188">
        <f t="shared" si="39"/>
        <v>109515</v>
      </c>
      <c r="H31" s="76">
        <v>2</v>
      </c>
      <c r="I31" s="191">
        <v>16</v>
      </c>
      <c r="J31" s="18">
        <v>2400</v>
      </c>
      <c r="K31" s="9">
        <f t="shared" si="46"/>
        <v>150</v>
      </c>
      <c r="L31" s="191">
        <v>16</v>
      </c>
      <c r="M31" s="10">
        <f t="shared" si="40"/>
        <v>2164.9484536082482</v>
      </c>
      <c r="N31" s="9">
        <f t="shared" si="41"/>
        <v>135.30927835051551</v>
      </c>
      <c r="O31" s="11">
        <f t="shared" si="42"/>
        <v>0</v>
      </c>
      <c r="P31" s="12">
        <f t="shared" si="43"/>
        <v>-14.690721649484487</v>
      </c>
      <c r="Q31" s="189">
        <f t="shared" si="44"/>
        <v>0.90206185567010344</v>
      </c>
      <c r="R31" s="470"/>
      <c r="S31" s="24">
        <v>0.30763888888888885</v>
      </c>
      <c r="T31" s="24">
        <v>0.37499999999999994</v>
      </c>
      <c r="U31" s="188">
        <f t="shared" ref="U31:U36" si="48">(S31-T30)*24*60</f>
        <v>6.9999999999999751</v>
      </c>
      <c r="V31" s="192">
        <f t="shared" si="45"/>
        <v>96.999999999999972</v>
      </c>
      <c r="W31" s="14"/>
      <c r="X31" s="14"/>
      <c r="Y31" s="456"/>
      <c r="Z31" s="456"/>
      <c r="AA31" s="11">
        <f t="shared" si="2"/>
        <v>-235.0515463917518</v>
      </c>
      <c r="AB31" s="189">
        <f t="shared" si="47"/>
        <v>0.90206185567010344</v>
      </c>
      <c r="AC31" s="470"/>
    </row>
    <row r="32" spans="1:29" ht="15.75" customHeight="1">
      <c r="A32" s="484" t="s">
        <v>8</v>
      </c>
      <c r="B32" s="26" t="s">
        <v>24</v>
      </c>
      <c r="C32" s="477" t="s">
        <v>84</v>
      </c>
      <c r="D32" s="477"/>
      <c r="E32" s="26">
        <v>24.25</v>
      </c>
      <c r="F32" s="193">
        <v>3000</v>
      </c>
      <c r="G32" s="188">
        <f t="shared" si="39"/>
        <v>72750</v>
      </c>
      <c r="H32" s="76">
        <v>2</v>
      </c>
      <c r="I32" s="191">
        <v>18</v>
      </c>
      <c r="J32" s="18">
        <v>2400</v>
      </c>
      <c r="K32" s="9">
        <f t="shared" si="46"/>
        <v>133.33333333333334</v>
      </c>
      <c r="L32" s="191">
        <v>18</v>
      </c>
      <c r="M32" s="10">
        <f t="shared" si="40"/>
        <v>2168.6746987951801</v>
      </c>
      <c r="N32" s="9">
        <f t="shared" si="41"/>
        <v>120.48192771084334</v>
      </c>
      <c r="O32" s="11">
        <f t="shared" si="42"/>
        <v>0</v>
      </c>
      <c r="P32" s="12">
        <f t="shared" si="43"/>
        <v>-12.851405622490006</v>
      </c>
      <c r="Q32" s="189">
        <f t="shared" si="44"/>
        <v>0.90361445783132499</v>
      </c>
      <c r="R32" s="470"/>
      <c r="S32" s="24">
        <v>0.37847222222222215</v>
      </c>
      <c r="T32" s="24">
        <v>0.43611111111111106</v>
      </c>
      <c r="U32" s="188">
        <f t="shared" si="48"/>
        <v>4.9999999999999822</v>
      </c>
      <c r="V32" s="192">
        <f t="shared" si="45"/>
        <v>83.000000000000028</v>
      </c>
      <c r="W32" s="14"/>
      <c r="X32" s="14"/>
      <c r="Y32" s="456"/>
      <c r="Z32" s="456"/>
      <c r="AA32" s="11">
        <f t="shared" si="2"/>
        <v>-231.32530120481988</v>
      </c>
      <c r="AB32" s="189">
        <f t="shared" si="47"/>
        <v>0.9036144578313251</v>
      </c>
      <c r="AC32" s="470"/>
    </row>
    <row r="33" spans="1:29" ht="15.75" customHeight="1">
      <c r="A33" s="484" t="s">
        <v>8</v>
      </c>
      <c r="B33" s="26" t="s">
        <v>24</v>
      </c>
      <c r="C33" s="477" t="s">
        <v>69</v>
      </c>
      <c r="D33" s="477"/>
      <c r="E33" s="26">
        <v>22.35</v>
      </c>
      <c r="F33" s="193">
        <v>3055</v>
      </c>
      <c r="G33" s="188">
        <f t="shared" si="39"/>
        <v>68279.25</v>
      </c>
      <c r="H33" s="76" t="s">
        <v>57</v>
      </c>
      <c r="I33" s="191">
        <v>16</v>
      </c>
      <c r="J33" s="18">
        <v>2400</v>
      </c>
      <c r="K33" s="9">
        <f t="shared" si="46"/>
        <v>150</v>
      </c>
      <c r="L33" s="191">
        <v>16</v>
      </c>
      <c r="M33" s="10">
        <f t="shared" si="40"/>
        <v>2156.4705882352937</v>
      </c>
      <c r="N33" s="9">
        <f t="shared" si="41"/>
        <v>134.77941176470586</v>
      </c>
      <c r="O33" s="11">
        <f t="shared" si="42"/>
        <v>0</v>
      </c>
      <c r="P33" s="12">
        <f t="shared" si="43"/>
        <v>-15.220588235294144</v>
      </c>
      <c r="Q33" s="189">
        <f t="shared" si="44"/>
        <v>0.89852941176470569</v>
      </c>
      <c r="R33" s="470"/>
      <c r="S33" s="24">
        <v>0.43958333333333327</v>
      </c>
      <c r="T33" s="24">
        <v>0.49861111111111106</v>
      </c>
      <c r="U33" s="188">
        <f t="shared" si="48"/>
        <v>4.9999999999999822</v>
      </c>
      <c r="V33" s="192">
        <f t="shared" si="45"/>
        <v>85.000000000000014</v>
      </c>
      <c r="W33" s="14"/>
      <c r="X33" s="14"/>
      <c r="Y33" s="456"/>
      <c r="Z33" s="456"/>
      <c r="AA33" s="11">
        <f t="shared" si="2"/>
        <v>-243.52941176470631</v>
      </c>
      <c r="AB33" s="189">
        <f t="shared" si="47"/>
        <v>0.89852941176470569</v>
      </c>
      <c r="AC33" s="470"/>
    </row>
    <row r="34" spans="1:29" ht="15.75" customHeight="1">
      <c r="A34" s="484" t="s">
        <v>8</v>
      </c>
      <c r="B34" s="26" t="s">
        <v>24</v>
      </c>
      <c r="C34" s="477" t="s">
        <v>513</v>
      </c>
      <c r="D34" s="477"/>
      <c r="E34" s="26">
        <v>31.29</v>
      </c>
      <c r="F34" s="193">
        <v>4834</v>
      </c>
      <c r="G34" s="188">
        <f t="shared" si="39"/>
        <v>151255.85999999999</v>
      </c>
      <c r="H34" s="76" t="s">
        <v>57</v>
      </c>
      <c r="I34" s="191">
        <v>16</v>
      </c>
      <c r="J34" s="18">
        <v>2400</v>
      </c>
      <c r="K34" s="9">
        <f t="shared" si="46"/>
        <v>150</v>
      </c>
      <c r="L34" s="191">
        <v>16</v>
      </c>
      <c r="M34" s="10">
        <f t="shared" si="40"/>
        <v>2164.4776119402982</v>
      </c>
      <c r="N34" s="9">
        <f t="shared" si="41"/>
        <v>135.27985074626864</v>
      </c>
      <c r="O34" s="11">
        <f t="shared" si="42"/>
        <v>0</v>
      </c>
      <c r="P34" s="12">
        <f t="shared" si="43"/>
        <v>-14.720149253731364</v>
      </c>
      <c r="Q34" s="189">
        <f t="shared" si="44"/>
        <v>0.90186567164179088</v>
      </c>
      <c r="R34" s="470"/>
      <c r="S34" s="24">
        <v>0.53749999999999998</v>
      </c>
      <c r="T34" s="24">
        <v>0.63055555555555554</v>
      </c>
      <c r="U34" s="188">
        <f t="shared" si="48"/>
        <v>56.000000000000043</v>
      </c>
      <c r="V34" s="192">
        <f t="shared" si="45"/>
        <v>134</v>
      </c>
      <c r="W34" s="14"/>
      <c r="X34" s="14"/>
      <c r="Y34" s="456"/>
      <c r="Z34" s="456"/>
      <c r="AA34" s="11">
        <f t="shared" si="2"/>
        <v>-235.52238805970183</v>
      </c>
      <c r="AB34" s="189">
        <f t="shared" si="47"/>
        <v>0.90186567164179088</v>
      </c>
      <c r="AC34" s="470"/>
    </row>
    <row r="35" spans="1:29" ht="15.75" customHeight="1">
      <c r="A35" s="484" t="s">
        <v>8</v>
      </c>
      <c r="B35" s="26" t="s">
        <v>24</v>
      </c>
      <c r="C35" s="477" t="s">
        <v>26</v>
      </c>
      <c r="D35" s="477"/>
      <c r="E35" s="26">
        <v>26.2</v>
      </c>
      <c r="F35" s="193">
        <v>1938</v>
      </c>
      <c r="G35" s="188">
        <f t="shared" si="39"/>
        <v>50775.6</v>
      </c>
      <c r="H35" s="76" t="s">
        <v>57</v>
      </c>
      <c r="I35" s="191">
        <v>20</v>
      </c>
      <c r="J35" s="18">
        <v>2400</v>
      </c>
      <c r="K35" s="9">
        <f t="shared" si="46"/>
        <v>120</v>
      </c>
      <c r="L35" s="191">
        <v>20</v>
      </c>
      <c r="M35" s="10">
        <f t="shared" si="40"/>
        <v>2153.3333333333344</v>
      </c>
      <c r="N35" s="9">
        <f t="shared" si="41"/>
        <v>107.66666666666671</v>
      </c>
      <c r="O35" s="11">
        <f t="shared" si="42"/>
        <v>0</v>
      </c>
      <c r="P35" s="12">
        <f t="shared" si="43"/>
        <v>-12.333333333333286</v>
      </c>
      <c r="Q35" s="189">
        <f t="shared" si="44"/>
        <v>0.89722222222222259</v>
      </c>
      <c r="R35" s="470"/>
      <c r="S35" s="24">
        <v>0.63541666666666663</v>
      </c>
      <c r="T35" s="24">
        <v>0.67291666666666661</v>
      </c>
      <c r="U35" s="188">
        <f t="shared" si="48"/>
        <v>6.9999999999999751</v>
      </c>
      <c r="V35" s="192">
        <f t="shared" si="45"/>
        <v>53.999999999999972</v>
      </c>
      <c r="W35" s="14"/>
      <c r="X35" s="14"/>
      <c r="Y35" s="456"/>
      <c r="Z35" s="456"/>
      <c r="AA35" s="11">
        <f t="shared" si="2"/>
        <v>-246.66666666666561</v>
      </c>
      <c r="AB35" s="189">
        <f t="shared" si="47"/>
        <v>0.8972222222222227</v>
      </c>
      <c r="AC35" s="470"/>
    </row>
    <row r="36" spans="1:29" ht="15.75" customHeight="1">
      <c r="A36" s="484" t="s">
        <v>8</v>
      </c>
      <c r="B36" s="26" t="s">
        <v>24</v>
      </c>
      <c r="C36" s="477" t="s">
        <v>55</v>
      </c>
      <c r="D36" s="477"/>
      <c r="E36" s="26">
        <v>26.2</v>
      </c>
      <c r="F36" s="193">
        <v>1772</v>
      </c>
      <c r="G36" s="188">
        <f t="shared" si="39"/>
        <v>46426.400000000001</v>
      </c>
      <c r="H36" s="76" t="s">
        <v>57</v>
      </c>
      <c r="I36" s="191">
        <v>19</v>
      </c>
      <c r="J36" s="18">
        <v>2400</v>
      </c>
      <c r="K36" s="9">
        <f t="shared" si="46"/>
        <v>126.31578947368421</v>
      </c>
      <c r="L36" s="191">
        <v>19</v>
      </c>
      <c r="M36" s="10">
        <f t="shared" si="40"/>
        <v>2169.7959183673479</v>
      </c>
      <c r="N36" s="9">
        <f t="shared" si="41"/>
        <v>114.19978517722883</v>
      </c>
      <c r="O36" s="11">
        <f t="shared" si="42"/>
        <v>0</v>
      </c>
      <c r="P36" s="12">
        <f t="shared" si="43"/>
        <v>-12.116004296455372</v>
      </c>
      <c r="Q36" s="189">
        <f t="shared" si="44"/>
        <v>0.90408163265306163</v>
      </c>
      <c r="R36" s="470"/>
      <c r="S36" s="24">
        <v>0.6777777777777777</v>
      </c>
      <c r="T36" s="24">
        <v>0.71180555555555547</v>
      </c>
      <c r="U36" s="188">
        <f t="shared" si="48"/>
        <v>6.9999999999999751</v>
      </c>
      <c r="V36" s="192">
        <f t="shared" si="45"/>
        <v>48.999999999999986</v>
      </c>
      <c r="W36" s="14"/>
      <c r="X36" s="14"/>
      <c r="Y36" s="456"/>
      <c r="Z36" s="456"/>
      <c r="AA36" s="11">
        <f t="shared" si="2"/>
        <v>-230.20408163265211</v>
      </c>
      <c r="AB36" s="189">
        <f t="shared" si="47"/>
        <v>0.90408163265306163</v>
      </c>
      <c r="AC36" s="470"/>
    </row>
    <row r="37" spans="1:29" ht="15.75" customHeight="1">
      <c r="A37" s="484" t="s">
        <v>8</v>
      </c>
      <c r="B37" s="26" t="s">
        <v>695</v>
      </c>
      <c r="C37" s="466"/>
      <c r="D37" s="466"/>
      <c r="E37" s="187"/>
      <c r="F37" s="193"/>
      <c r="G37" s="188"/>
      <c r="H37" s="193"/>
      <c r="I37" s="17">
        <v>17.875</v>
      </c>
      <c r="J37" s="18">
        <v>2400</v>
      </c>
      <c r="K37" s="9">
        <f t="shared" si="46"/>
        <v>134.26573426573427</v>
      </c>
      <c r="L37" s="17">
        <v>17.875</v>
      </c>
      <c r="M37" s="10">
        <f>AVERAGE(M29:M36)</f>
        <v>2163.2969128843602</v>
      </c>
      <c r="N37" s="9">
        <f>M37/L37</f>
        <v>121.02360351800617</v>
      </c>
      <c r="O37" s="11">
        <f>L37-I37</f>
        <v>0</v>
      </c>
      <c r="P37" s="12">
        <f>N37-K37</f>
        <v>-13.242130747728098</v>
      </c>
      <c r="Q37" s="189">
        <f>N37/K37</f>
        <v>0.90137371370181674</v>
      </c>
      <c r="R37" s="470"/>
      <c r="S37" s="24"/>
      <c r="T37" s="24"/>
      <c r="U37" s="188"/>
      <c r="V37" s="192"/>
      <c r="W37" s="188"/>
      <c r="X37" s="188"/>
      <c r="Y37" s="456"/>
      <c r="Z37" s="456"/>
      <c r="AA37" s="11">
        <f t="shared" si="2"/>
        <v>-236.70308711563985</v>
      </c>
      <c r="AB37" s="189">
        <f>M37/J37</f>
        <v>0.90137371370181674</v>
      </c>
      <c r="AC37" s="470"/>
    </row>
    <row r="38" spans="1:29" ht="15.75" customHeight="1">
      <c r="A38" s="485" t="s">
        <v>158</v>
      </c>
      <c r="B38" s="26" t="s">
        <v>24</v>
      </c>
      <c r="C38" s="487" t="s">
        <v>29</v>
      </c>
      <c r="D38" s="487"/>
      <c r="E38" s="26">
        <v>26.2</v>
      </c>
      <c r="F38" s="193">
        <v>3800</v>
      </c>
      <c r="G38" s="188">
        <f t="shared" ref="G38:G46" si="49">E38*F38</f>
        <v>99560</v>
      </c>
      <c r="H38" s="76">
        <v>2</v>
      </c>
      <c r="I38" s="191">
        <v>18</v>
      </c>
      <c r="J38" s="18">
        <v>2400</v>
      </c>
      <c r="K38" s="9">
        <f>J38/I38</f>
        <v>133.33333333333334</v>
      </c>
      <c r="L38" s="191">
        <v>18</v>
      </c>
      <c r="M38" s="10">
        <f>F38/V38*60</f>
        <v>2171.4285714285716</v>
      </c>
      <c r="N38" s="9">
        <f>M38/L38</f>
        <v>120.63492063492065</v>
      </c>
      <c r="O38" s="11">
        <f t="shared" ref="O38:O46" si="50">L38-I38</f>
        <v>0</v>
      </c>
      <c r="P38" s="12">
        <f t="shared" ref="P38:P57" si="51">N38-K38</f>
        <v>-12.698412698412696</v>
      </c>
      <c r="Q38" s="189">
        <f t="shared" ref="Q38:Q51" si="52">N38/K38</f>
        <v>0.90476190476190477</v>
      </c>
      <c r="R38" s="470">
        <f>Q47</f>
        <v>0.90036330464492387</v>
      </c>
      <c r="S38" s="24">
        <v>8.3333333333333329E-2</v>
      </c>
      <c r="T38" s="24">
        <v>0.15625</v>
      </c>
      <c r="U38" s="188"/>
      <c r="V38" s="192">
        <f t="shared" ref="V38:V46" si="53">(T38-S38)*24*60</f>
        <v>105</v>
      </c>
      <c r="W38" s="15"/>
      <c r="X38" s="15"/>
      <c r="Y38" s="456"/>
      <c r="Z38" s="456"/>
      <c r="AA38" s="11">
        <f t="shared" si="2"/>
        <v>-228.57142857142844</v>
      </c>
      <c r="AB38" s="189">
        <f>M38/J38</f>
        <v>0.90476190476190477</v>
      </c>
      <c r="AC38" s="470">
        <f>AB47</f>
        <v>0.90036330464492376</v>
      </c>
    </row>
    <row r="39" spans="1:29" ht="15.75" customHeight="1">
      <c r="A39" s="485" t="s">
        <v>158</v>
      </c>
      <c r="B39" s="26" t="s">
        <v>24</v>
      </c>
      <c r="C39" s="487" t="s">
        <v>31</v>
      </c>
      <c r="D39" s="487"/>
      <c r="E39" s="26">
        <v>24.45</v>
      </c>
      <c r="F39" s="193">
        <v>2657</v>
      </c>
      <c r="G39" s="188">
        <f t="shared" si="49"/>
        <v>64963.65</v>
      </c>
      <c r="H39" s="76" t="s">
        <v>57</v>
      </c>
      <c r="I39" s="191">
        <v>20</v>
      </c>
      <c r="J39" s="18">
        <v>2400</v>
      </c>
      <c r="K39" s="9">
        <f t="shared" ref="K39:K56" si="54">J39/I39</f>
        <v>120</v>
      </c>
      <c r="L39" s="191">
        <v>20</v>
      </c>
      <c r="M39" s="10">
        <f t="shared" ref="M39:M46" si="55">F39/V39*60</f>
        <v>2154.3243243243237</v>
      </c>
      <c r="N39" s="9">
        <f t="shared" ref="N39:N46" si="56">M39/L39</f>
        <v>107.71621621621618</v>
      </c>
      <c r="O39" s="11">
        <f t="shared" si="50"/>
        <v>0</v>
      </c>
      <c r="P39" s="12">
        <f t="shared" si="51"/>
        <v>-12.283783783783818</v>
      </c>
      <c r="Q39" s="189">
        <f t="shared" si="52"/>
        <v>0.89763513513513482</v>
      </c>
      <c r="R39" s="470"/>
      <c r="S39" s="24">
        <v>0.17499999999999999</v>
      </c>
      <c r="T39" s="24">
        <v>0.22638888888888889</v>
      </c>
      <c r="U39" s="188">
        <f>(S39-T38)*24*60</f>
        <v>26.999999999999986</v>
      </c>
      <c r="V39" s="192">
        <f t="shared" si="53"/>
        <v>74.000000000000014</v>
      </c>
      <c r="W39" s="188"/>
      <c r="X39" s="188"/>
      <c r="Y39" s="456"/>
      <c r="Z39" s="456"/>
      <c r="AA39" s="11">
        <f t="shared" si="2"/>
        <v>-245.6756756756763</v>
      </c>
      <c r="AB39" s="189">
        <f t="shared" ref="AB39:AB68" si="57">M39/J39</f>
        <v>0.89763513513513482</v>
      </c>
      <c r="AC39" s="470"/>
    </row>
    <row r="40" spans="1:29">
      <c r="A40" s="486" t="s">
        <v>647</v>
      </c>
      <c r="B40" s="26" t="s">
        <v>24</v>
      </c>
      <c r="C40" s="487" t="s">
        <v>32</v>
      </c>
      <c r="D40" s="487"/>
      <c r="E40" s="26">
        <v>26.2</v>
      </c>
      <c r="F40" s="193">
        <v>3070</v>
      </c>
      <c r="G40" s="188">
        <f t="shared" si="49"/>
        <v>80434</v>
      </c>
      <c r="H40" s="76" t="s">
        <v>57</v>
      </c>
      <c r="I40" s="191">
        <v>20</v>
      </c>
      <c r="J40" s="18">
        <v>2400</v>
      </c>
      <c r="K40" s="9">
        <f t="shared" si="54"/>
        <v>120</v>
      </c>
      <c r="L40" s="191">
        <v>20</v>
      </c>
      <c r="M40" s="10">
        <f t="shared" si="55"/>
        <v>2167.0588235294113</v>
      </c>
      <c r="N40" s="9">
        <f t="shared" si="56"/>
        <v>108.35294117647057</v>
      </c>
      <c r="O40" s="11">
        <f t="shared" si="50"/>
        <v>0</v>
      </c>
      <c r="P40" s="12">
        <f t="shared" si="51"/>
        <v>-11.647058823529434</v>
      </c>
      <c r="Q40" s="189">
        <f t="shared" si="52"/>
        <v>0.90294117647058803</v>
      </c>
      <c r="R40" s="470"/>
      <c r="S40" s="24">
        <v>0.23194444444444445</v>
      </c>
      <c r="T40" s="24">
        <v>0.29097222222222224</v>
      </c>
      <c r="U40" s="188">
        <f t="shared" ref="U40:U46" si="58">(S40-T39)*24*60</f>
        <v>8.0000000000000107</v>
      </c>
      <c r="V40" s="192">
        <f t="shared" si="53"/>
        <v>85.000000000000014</v>
      </c>
      <c r="W40" s="188"/>
      <c r="X40" s="188"/>
      <c r="Y40" s="456"/>
      <c r="Z40" s="456"/>
      <c r="AA40" s="11">
        <f t="shared" si="2"/>
        <v>-232.94117647058874</v>
      </c>
      <c r="AB40" s="189">
        <f t="shared" si="57"/>
        <v>0.90294117647058803</v>
      </c>
      <c r="AC40" s="470"/>
    </row>
    <row r="41" spans="1:29">
      <c r="A41" s="486" t="s">
        <v>697</v>
      </c>
      <c r="B41" s="26" t="s">
        <v>24</v>
      </c>
      <c r="C41" s="487" t="s">
        <v>30</v>
      </c>
      <c r="D41" s="487"/>
      <c r="E41" s="26">
        <v>26.39</v>
      </c>
      <c r="F41" s="193">
        <v>3300</v>
      </c>
      <c r="G41" s="188">
        <f t="shared" si="49"/>
        <v>87087</v>
      </c>
      <c r="H41" s="76">
        <v>2</v>
      </c>
      <c r="I41" s="191">
        <v>19</v>
      </c>
      <c r="J41" s="18">
        <v>2400</v>
      </c>
      <c r="K41" s="9">
        <f t="shared" si="54"/>
        <v>126.31578947368421</v>
      </c>
      <c r="L41" s="191">
        <v>19</v>
      </c>
      <c r="M41" s="10">
        <f t="shared" si="55"/>
        <v>2152.1739130434785</v>
      </c>
      <c r="N41" s="9">
        <f t="shared" si="56"/>
        <v>113.27231121281466</v>
      </c>
      <c r="O41" s="11">
        <f t="shared" si="50"/>
        <v>0</v>
      </c>
      <c r="P41" s="12">
        <f t="shared" si="51"/>
        <v>-13.043478260869549</v>
      </c>
      <c r="Q41" s="189">
        <f t="shared" si="52"/>
        <v>0.89673913043478271</v>
      </c>
      <c r="R41" s="470"/>
      <c r="S41" s="24">
        <v>0.29583333333333334</v>
      </c>
      <c r="T41" s="24">
        <v>0.35972222222222222</v>
      </c>
      <c r="U41" s="188">
        <f t="shared" si="58"/>
        <v>6.9999999999999751</v>
      </c>
      <c r="V41" s="192">
        <f t="shared" si="53"/>
        <v>92</v>
      </c>
      <c r="W41" s="14"/>
      <c r="X41" s="14"/>
      <c r="Y41" s="456"/>
      <c r="Z41" s="456"/>
      <c r="AA41" s="11">
        <f t="shared" si="2"/>
        <v>-247.82608695652152</v>
      </c>
      <c r="AB41" s="189">
        <f t="shared" si="57"/>
        <v>0.89673913043478271</v>
      </c>
      <c r="AC41" s="470"/>
    </row>
    <row r="42" spans="1:29">
      <c r="A42" s="486" t="s">
        <v>697</v>
      </c>
      <c r="B42" s="26" t="s">
        <v>24</v>
      </c>
      <c r="C42" s="487" t="s">
        <v>27</v>
      </c>
      <c r="D42" s="487"/>
      <c r="E42" s="26">
        <v>20.52</v>
      </c>
      <c r="F42" s="193">
        <v>3407</v>
      </c>
      <c r="G42" s="188">
        <f t="shared" si="49"/>
        <v>69911.64</v>
      </c>
      <c r="H42" s="76" t="s">
        <v>57</v>
      </c>
      <c r="I42" s="191">
        <v>18</v>
      </c>
      <c r="J42" s="18">
        <v>2400</v>
      </c>
      <c r="K42" s="9">
        <f t="shared" si="54"/>
        <v>133.33333333333334</v>
      </c>
      <c r="L42" s="191">
        <v>18</v>
      </c>
      <c r="M42" s="10">
        <f t="shared" si="55"/>
        <v>2151.7894736842109</v>
      </c>
      <c r="N42" s="9">
        <f t="shared" si="56"/>
        <v>119.54385964912282</v>
      </c>
      <c r="O42" s="11">
        <f t="shared" si="50"/>
        <v>0</v>
      </c>
      <c r="P42" s="12">
        <f t="shared" si="51"/>
        <v>-13.78947368421052</v>
      </c>
      <c r="Q42" s="189">
        <f t="shared" si="52"/>
        <v>0.89657894736842114</v>
      </c>
      <c r="R42" s="470"/>
      <c r="S42" s="24">
        <v>0.36527777777777776</v>
      </c>
      <c r="T42" s="24">
        <v>0.43124999999999997</v>
      </c>
      <c r="U42" s="188">
        <f t="shared" si="58"/>
        <v>7.9999999999999716</v>
      </c>
      <c r="V42" s="192">
        <f t="shared" si="53"/>
        <v>94.999999999999986</v>
      </c>
      <c r="W42" s="14"/>
      <c r="X42" s="14"/>
      <c r="Y42" s="456"/>
      <c r="Z42" s="456"/>
      <c r="AA42" s="11">
        <f t="shared" si="2"/>
        <v>-248.21052631578914</v>
      </c>
      <c r="AB42" s="189">
        <f t="shared" si="57"/>
        <v>0.89657894736842114</v>
      </c>
      <c r="AC42" s="470"/>
    </row>
    <row r="43" spans="1:29">
      <c r="A43" s="486" t="s">
        <v>158</v>
      </c>
      <c r="B43" s="26" t="s">
        <v>24</v>
      </c>
      <c r="C43" s="487" t="s">
        <v>55</v>
      </c>
      <c r="D43" s="487"/>
      <c r="E43" s="26">
        <v>26.2</v>
      </c>
      <c r="F43" s="193">
        <v>2700</v>
      </c>
      <c r="G43" s="188">
        <f t="shared" si="49"/>
        <v>70740</v>
      </c>
      <c r="H43" s="76">
        <v>2</v>
      </c>
      <c r="I43" s="191">
        <v>19</v>
      </c>
      <c r="J43" s="18">
        <v>2400</v>
      </c>
      <c r="K43" s="9">
        <f t="shared" si="54"/>
        <v>126.31578947368421</v>
      </c>
      <c r="L43" s="191">
        <v>19</v>
      </c>
      <c r="M43" s="10">
        <f t="shared" si="55"/>
        <v>2160.0000000000009</v>
      </c>
      <c r="N43" s="9">
        <f t="shared" si="56"/>
        <v>113.68421052631584</v>
      </c>
      <c r="O43" s="11">
        <f t="shared" si="50"/>
        <v>0</v>
      </c>
      <c r="P43" s="12">
        <f t="shared" si="51"/>
        <v>-12.631578947368368</v>
      </c>
      <c r="Q43" s="189">
        <f t="shared" si="52"/>
        <v>0.90000000000000047</v>
      </c>
      <c r="R43" s="470"/>
      <c r="S43" s="24">
        <v>0.43472222222222218</v>
      </c>
      <c r="T43" s="24">
        <v>0.48680555555555549</v>
      </c>
      <c r="U43" s="188">
        <f t="shared" si="58"/>
        <v>4.9999999999999822</v>
      </c>
      <c r="V43" s="192">
        <f t="shared" si="53"/>
        <v>74.999999999999972</v>
      </c>
      <c r="W43" s="14"/>
      <c r="X43" s="14"/>
      <c r="Y43" s="456"/>
      <c r="Z43" s="456"/>
      <c r="AA43" s="11">
        <f t="shared" si="2"/>
        <v>-239.99999999999909</v>
      </c>
      <c r="AB43" s="189">
        <f t="shared" si="57"/>
        <v>0.90000000000000036</v>
      </c>
      <c r="AC43" s="470"/>
    </row>
    <row r="44" spans="1:29">
      <c r="A44" s="486" t="s">
        <v>697</v>
      </c>
      <c r="B44" s="26" t="s">
        <v>24</v>
      </c>
      <c r="C44" s="487" t="s">
        <v>84</v>
      </c>
      <c r="D44" s="487"/>
      <c r="E44" s="26">
        <v>24.25</v>
      </c>
      <c r="F44" s="193">
        <v>3301</v>
      </c>
      <c r="G44" s="188">
        <f t="shared" si="49"/>
        <v>80049.25</v>
      </c>
      <c r="H44" s="76" t="s">
        <v>57</v>
      </c>
      <c r="I44" s="191">
        <v>18</v>
      </c>
      <c r="J44" s="18">
        <v>2400</v>
      </c>
      <c r="K44" s="9">
        <f t="shared" si="54"/>
        <v>133.33333333333334</v>
      </c>
      <c r="L44" s="191">
        <v>18</v>
      </c>
      <c r="M44" s="10">
        <f t="shared" si="55"/>
        <v>2152.8260869565215</v>
      </c>
      <c r="N44" s="9">
        <f t="shared" si="56"/>
        <v>119.60144927536231</v>
      </c>
      <c r="O44" s="11">
        <f t="shared" si="50"/>
        <v>0</v>
      </c>
      <c r="P44" s="12">
        <f t="shared" si="51"/>
        <v>-13.73188405797103</v>
      </c>
      <c r="Q44" s="189">
        <f t="shared" si="52"/>
        <v>0.89701086956521725</v>
      </c>
      <c r="R44" s="470"/>
      <c r="S44" s="24">
        <v>0.52777777777777768</v>
      </c>
      <c r="T44" s="24">
        <v>0.59166666666666656</v>
      </c>
      <c r="U44" s="188">
        <f t="shared" si="58"/>
        <v>58.99999999999995</v>
      </c>
      <c r="V44" s="192">
        <f t="shared" si="53"/>
        <v>92</v>
      </c>
      <c r="W44" s="14"/>
      <c r="X44" s="14"/>
      <c r="Y44" s="473"/>
      <c r="Z44" s="474"/>
      <c r="AA44" s="11">
        <f t="shared" si="2"/>
        <v>-247.17391304347848</v>
      </c>
      <c r="AB44" s="189">
        <f t="shared" si="57"/>
        <v>0.89701086956521725</v>
      </c>
      <c r="AC44" s="470"/>
    </row>
    <row r="45" spans="1:29">
      <c r="A45" s="486" t="s">
        <v>158</v>
      </c>
      <c r="B45" s="26" t="s">
        <v>24</v>
      </c>
      <c r="C45" s="487" t="s">
        <v>29</v>
      </c>
      <c r="D45" s="487"/>
      <c r="E45" s="26">
        <v>26.2</v>
      </c>
      <c r="F45" s="193">
        <v>2918</v>
      </c>
      <c r="G45" s="188">
        <f t="shared" si="49"/>
        <v>76451.599999999991</v>
      </c>
      <c r="H45" s="76" t="s">
        <v>57</v>
      </c>
      <c r="I45" s="191">
        <v>18</v>
      </c>
      <c r="J45" s="18">
        <v>2400</v>
      </c>
      <c r="K45" s="9">
        <f t="shared" si="54"/>
        <v>133.33333333333334</v>
      </c>
      <c r="L45" s="191">
        <v>18</v>
      </c>
      <c r="M45" s="10">
        <f t="shared" si="55"/>
        <v>2161.4814814814804</v>
      </c>
      <c r="N45" s="9">
        <f t="shared" si="56"/>
        <v>120.08230452674891</v>
      </c>
      <c r="O45" s="11">
        <f t="shared" si="50"/>
        <v>0</v>
      </c>
      <c r="P45" s="12">
        <f t="shared" si="51"/>
        <v>-13.251028806584429</v>
      </c>
      <c r="Q45" s="189">
        <f t="shared" si="52"/>
        <v>0.9006172839506168</v>
      </c>
      <c r="R45" s="470"/>
      <c r="S45" s="24">
        <v>0.59583333333333321</v>
      </c>
      <c r="T45" s="24">
        <v>0.65208333333333324</v>
      </c>
      <c r="U45" s="188">
        <f t="shared" si="58"/>
        <v>5.9999999999999787</v>
      </c>
      <c r="V45" s="192">
        <f t="shared" si="53"/>
        <v>81.000000000000028</v>
      </c>
      <c r="W45" s="14"/>
      <c r="X45" s="14"/>
      <c r="Y45" s="473"/>
      <c r="Z45" s="474"/>
      <c r="AA45" s="11">
        <f t="shared" si="2"/>
        <v>-238.51851851851961</v>
      </c>
      <c r="AB45" s="189">
        <f t="shared" si="57"/>
        <v>0.9006172839506168</v>
      </c>
      <c r="AC45" s="470"/>
    </row>
    <row r="46" spans="1:29">
      <c r="A46" s="486" t="s">
        <v>647</v>
      </c>
      <c r="B46" s="26" t="s">
        <v>24</v>
      </c>
      <c r="C46" s="487" t="s">
        <v>30</v>
      </c>
      <c r="D46" s="487"/>
      <c r="E46" s="26">
        <v>26.39</v>
      </c>
      <c r="F46" s="193">
        <v>2467</v>
      </c>
      <c r="G46" s="188">
        <f t="shared" si="49"/>
        <v>65104.130000000005</v>
      </c>
      <c r="H46" s="76" t="s">
        <v>57</v>
      </c>
      <c r="I46" s="191">
        <v>19</v>
      </c>
      <c r="J46" s="18">
        <v>2400</v>
      </c>
      <c r="K46" s="9">
        <f t="shared" si="54"/>
        <v>126.31578947368421</v>
      </c>
      <c r="L46" s="191">
        <v>19</v>
      </c>
      <c r="M46" s="10">
        <f t="shared" si="55"/>
        <v>2176.7647058823554</v>
      </c>
      <c r="N46" s="9">
        <f t="shared" si="56"/>
        <v>114.56656346749239</v>
      </c>
      <c r="O46" s="11">
        <f t="shared" si="50"/>
        <v>0</v>
      </c>
      <c r="P46" s="12">
        <f t="shared" si="51"/>
        <v>-11.749226006191819</v>
      </c>
      <c r="Q46" s="189">
        <f t="shared" si="52"/>
        <v>0.90698529411764806</v>
      </c>
      <c r="R46" s="470"/>
      <c r="S46" s="24">
        <v>0.65763888888888877</v>
      </c>
      <c r="T46" s="24">
        <v>0.70486111111111094</v>
      </c>
      <c r="U46" s="188">
        <f t="shared" si="58"/>
        <v>7.9999999999999716</v>
      </c>
      <c r="V46" s="192">
        <f t="shared" si="53"/>
        <v>67.999999999999915</v>
      </c>
      <c r="W46" s="14"/>
      <c r="X46" s="14"/>
      <c r="Y46" s="473"/>
      <c r="Z46" s="474"/>
      <c r="AA46" s="11">
        <f t="shared" si="2"/>
        <v>-223.23529411764457</v>
      </c>
      <c r="AB46" s="189">
        <f t="shared" si="57"/>
        <v>0.90698529411764806</v>
      </c>
      <c r="AC46" s="470"/>
    </row>
    <row r="47" spans="1:29">
      <c r="A47" s="486" t="s">
        <v>158</v>
      </c>
      <c r="B47" s="16" t="s">
        <v>695</v>
      </c>
      <c r="C47" s="466"/>
      <c r="D47" s="466"/>
      <c r="E47" s="187"/>
      <c r="F47" s="16"/>
      <c r="G47" s="9"/>
      <c r="H47" s="193"/>
      <c r="I47" s="17">
        <v>18.777777777777779</v>
      </c>
      <c r="J47" s="18">
        <v>2400</v>
      </c>
      <c r="K47" s="9">
        <f t="shared" si="54"/>
        <v>127.81065088757396</v>
      </c>
      <c r="L47" s="17">
        <v>18.777777777777779</v>
      </c>
      <c r="M47" s="10">
        <f>AVERAGE(M38:M46)</f>
        <v>2160.8719311478171</v>
      </c>
      <c r="N47" s="9">
        <f>M47/L47</f>
        <v>115.07602000195476</v>
      </c>
      <c r="O47" s="11">
        <f>L47-I47</f>
        <v>0</v>
      </c>
      <c r="P47" s="12">
        <f t="shared" si="51"/>
        <v>-12.734630885619197</v>
      </c>
      <c r="Q47" s="189">
        <f t="shared" si="52"/>
        <v>0.90036330464492387</v>
      </c>
      <c r="R47" s="470"/>
      <c r="S47" s="24"/>
      <c r="T47" s="24"/>
      <c r="U47" s="9"/>
      <c r="V47" s="192"/>
      <c r="W47" s="9"/>
      <c r="X47" s="9"/>
      <c r="Y47" s="456"/>
      <c r="Z47" s="456"/>
      <c r="AA47" s="11">
        <f t="shared" si="2"/>
        <v>-239.12806885218288</v>
      </c>
      <c r="AB47" s="189">
        <f t="shared" si="57"/>
        <v>0.90036330464492376</v>
      </c>
      <c r="AC47" s="470"/>
    </row>
    <row r="48" spans="1:29" ht="15.75" customHeight="1">
      <c r="A48" s="488" t="s">
        <v>162</v>
      </c>
      <c r="B48" s="26" t="s">
        <v>33</v>
      </c>
      <c r="C48" s="491" t="s">
        <v>34</v>
      </c>
      <c r="D48" s="492"/>
      <c r="E48" s="26">
        <v>27.17</v>
      </c>
      <c r="F48" s="193">
        <v>2800</v>
      </c>
      <c r="G48" s="188">
        <f t="shared" ref="G48:G56" si="59">E48*F48</f>
        <v>76076</v>
      </c>
      <c r="H48" s="76">
        <v>2</v>
      </c>
      <c r="I48" s="191">
        <v>10</v>
      </c>
      <c r="J48" s="18">
        <v>3000</v>
      </c>
      <c r="K48" s="9">
        <f t="shared" si="54"/>
        <v>300</v>
      </c>
      <c r="L48" s="191">
        <v>10</v>
      </c>
      <c r="M48" s="10">
        <f t="shared" ref="M48:M49" si="60">F48/V48*60</f>
        <v>2709.6774193548399</v>
      </c>
      <c r="N48" s="10">
        <f t="shared" ref="N48:N57" si="61">M48/L48</f>
        <v>270.96774193548401</v>
      </c>
      <c r="O48" s="11">
        <f t="shared" ref="O48:O57" si="62">L48-I48</f>
        <v>0</v>
      </c>
      <c r="P48" s="12">
        <f t="shared" si="51"/>
        <v>-29.032258064515986</v>
      </c>
      <c r="Q48" s="189">
        <f t="shared" si="52"/>
        <v>0.90322580645161343</v>
      </c>
      <c r="R48" s="493">
        <f>Q57</f>
        <v>0.90468683736680644</v>
      </c>
      <c r="S48" s="24">
        <v>0.20833333333333334</v>
      </c>
      <c r="T48" s="24">
        <v>0.25138888888888888</v>
      </c>
      <c r="U48" s="15"/>
      <c r="V48" s="192">
        <f t="shared" ref="V48:V56" si="63">(T48-S48)*24*60</f>
        <v>61.999999999999979</v>
      </c>
      <c r="W48" s="188"/>
      <c r="X48" s="188"/>
      <c r="Y48" s="473"/>
      <c r="Z48" s="474"/>
      <c r="AA48" s="11">
        <f t="shared" si="2"/>
        <v>-290.32258064516009</v>
      </c>
      <c r="AB48" s="189">
        <f t="shared" si="57"/>
        <v>0.90322580645161332</v>
      </c>
      <c r="AC48" s="493">
        <f>AB57</f>
        <v>0.90468683736680633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193">
        <v>3000</v>
      </c>
      <c r="G49" s="188">
        <f t="shared" si="59"/>
        <v>63390</v>
      </c>
      <c r="H49" s="76">
        <v>2</v>
      </c>
      <c r="I49" s="191">
        <v>10</v>
      </c>
      <c r="J49" s="18">
        <v>3000</v>
      </c>
      <c r="K49" s="9">
        <f t="shared" si="54"/>
        <v>300</v>
      </c>
      <c r="L49" s="191">
        <v>10</v>
      </c>
      <c r="M49" s="10">
        <f t="shared" si="60"/>
        <v>2727.272727272727</v>
      </c>
      <c r="N49" s="10">
        <f t="shared" si="61"/>
        <v>272.72727272727269</v>
      </c>
      <c r="O49" s="11">
        <f t="shared" si="62"/>
        <v>0</v>
      </c>
      <c r="P49" s="12">
        <f t="shared" si="51"/>
        <v>-27.272727272727309</v>
      </c>
      <c r="Q49" s="189">
        <f t="shared" si="52"/>
        <v>0.90909090909090895</v>
      </c>
      <c r="R49" s="494"/>
      <c r="S49" s="24">
        <v>0.25486111111111109</v>
      </c>
      <c r="T49" s="24">
        <v>0.30069444444444443</v>
      </c>
      <c r="U49" s="188">
        <f>(S49-T48)*24*60</f>
        <v>4.9999999999999822</v>
      </c>
      <c r="V49" s="192">
        <f t="shared" si="63"/>
        <v>66</v>
      </c>
      <c r="W49" s="14"/>
      <c r="X49" s="14"/>
      <c r="Y49" s="473"/>
      <c r="Z49" s="474"/>
      <c r="AA49" s="11">
        <f t="shared" si="2"/>
        <v>-272.72727272727298</v>
      </c>
      <c r="AB49" s="189">
        <f t="shared" si="57"/>
        <v>0.90909090909090906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193">
        <v>3000</v>
      </c>
      <c r="G50" s="188">
        <f t="shared" si="59"/>
        <v>105359.99999999999</v>
      </c>
      <c r="H50" s="76">
        <v>2</v>
      </c>
      <c r="I50" s="191">
        <v>10</v>
      </c>
      <c r="J50" s="18">
        <v>3000</v>
      </c>
      <c r="K50" s="9">
        <f t="shared" si="54"/>
        <v>300</v>
      </c>
      <c r="L50" s="191">
        <v>10</v>
      </c>
      <c r="M50" s="10">
        <f>F50/V50*60</f>
        <v>2727.272727272727</v>
      </c>
      <c r="N50" s="10">
        <f t="shared" si="61"/>
        <v>272.72727272727269</v>
      </c>
      <c r="O50" s="11">
        <f t="shared" si="62"/>
        <v>0</v>
      </c>
      <c r="P50" s="12">
        <f t="shared" si="51"/>
        <v>-27.272727272727309</v>
      </c>
      <c r="Q50" s="189">
        <f t="shared" si="52"/>
        <v>0.90909090909090895</v>
      </c>
      <c r="R50" s="494"/>
      <c r="S50" s="24">
        <v>0.30416666666666664</v>
      </c>
      <c r="T50" s="24">
        <v>0.35</v>
      </c>
      <c r="U50" s="188">
        <f t="shared" ref="U50:U56" si="64">(S50-T49)*24*60</f>
        <v>4.9999999999999822</v>
      </c>
      <c r="V50" s="192">
        <f t="shared" si="63"/>
        <v>66</v>
      </c>
      <c r="W50" s="14"/>
      <c r="X50" s="14"/>
      <c r="Y50" s="473"/>
      <c r="Z50" s="474"/>
      <c r="AA50" s="11">
        <f t="shared" si="2"/>
        <v>-272.72727272727298</v>
      </c>
      <c r="AB50" s="189">
        <f t="shared" si="57"/>
        <v>0.90909090909090906</v>
      </c>
      <c r="AC50" s="494"/>
    </row>
    <row r="51" spans="1:29" ht="15.75" customHeight="1">
      <c r="A51" s="489" t="s">
        <v>9</v>
      </c>
      <c r="B51" s="26" t="s">
        <v>33</v>
      </c>
      <c r="C51" s="491" t="s">
        <v>67</v>
      </c>
      <c r="D51" s="492"/>
      <c r="E51" s="26">
        <v>40.18</v>
      </c>
      <c r="F51" s="193">
        <v>2746</v>
      </c>
      <c r="G51" s="188">
        <f t="shared" si="59"/>
        <v>110334.28</v>
      </c>
      <c r="H51" s="76" t="s">
        <v>57</v>
      </c>
      <c r="I51" s="191">
        <v>10</v>
      </c>
      <c r="J51" s="18">
        <v>3000</v>
      </c>
      <c r="K51" s="9">
        <f t="shared" si="54"/>
        <v>300</v>
      </c>
      <c r="L51" s="191">
        <v>10</v>
      </c>
      <c r="M51" s="10">
        <f t="shared" ref="M51:M56" si="65">F51/V51*60</f>
        <v>2700.9836065573759</v>
      </c>
      <c r="N51" s="10">
        <f t="shared" si="61"/>
        <v>270.09836065573757</v>
      </c>
      <c r="O51" s="11">
        <f t="shared" si="62"/>
        <v>0</v>
      </c>
      <c r="P51" s="12">
        <f t="shared" si="51"/>
        <v>-29.901639344262435</v>
      </c>
      <c r="Q51" s="189">
        <f t="shared" si="52"/>
        <v>0.90032786885245852</v>
      </c>
      <c r="R51" s="494"/>
      <c r="S51" s="24">
        <v>0.35555555555555551</v>
      </c>
      <c r="T51" s="24">
        <v>0.39791666666666664</v>
      </c>
      <c r="U51" s="188">
        <f t="shared" si="64"/>
        <v>7.9999999999999716</v>
      </c>
      <c r="V51" s="192">
        <f t="shared" si="63"/>
        <v>61.000000000000021</v>
      </c>
      <c r="W51" s="14"/>
      <c r="X51" s="14"/>
      <c r="Y51" s="473"/>
      <c r="Z51" s="474"/>
      <c r="AA51" s="11">
        <f t="shared" si="2"/>
        <v>-299.01639344262412</v>
      </c>
      <c r="AB51" s="189">
        <f t="shared" si="57"/>
        <v>0.90032786885245863</v>
      </c>
      <c r="AC51" s="494"/>
    </row>
    <row r="52" spans="1:29" ht="15.75" customHeight="1">
      <c r="A52" s="489" t="s">
        <v>9</v>
      </c>
      <c r="B52" s="26" t="s">
        <v>33</v>
      </c>
      <c r="C52" s="491" t="s">
        <v>73</v>
      </c>
      <c r="D52" s="492"/>
      <c r="E52" s="26">
        <v>28.5</v>
      </c>
      <c r="F52" s="193">
        <v>2133</v>
      </c>
      <c r="G52" s="188">
        <f t="shared" si="59"/>
        <v>60790.5</v>
      </c>
      <c r="H52" s="76" t="s">
        <v>57</v>
      </c>
      <c r="I52" s="191">
        <v>10</v>
      </c>
      <c r="J52" s="18">
        <v>3000</v>
      </c>
      <c r="K52" s="9">
        <f t="shared" si="54"/>
        <v>300</v>
      </c>
      <c r="L52" s="191">
        <v>10</v>
      </c>
      <c r="M52" s="10">
        <f t="shared" si="65"/>
        <v>2722.978723404256</v>
      </c>
      <c r="N52" s="10">
        <f t="shared" si="61"/>
        <v>272.29787234042561</v>
      </c>
      <c r="O52" s="11">
        <f t="shared" si="62"/>
        <v>0</v>
      </c>
      <c r="P52" s="12">
        <f t="shared" si="51"/>
        <v>-27.702127659574387</v>
      </c>
      <c r="Q52" s="189">
        <f>N52/K52</f>
        <v>0.90765957446808543</v>
      </c>
      <c r="R52" s="494"/>
      <c r="S52" s="24">
        <v>0.40138888888888885</v>
      </c>
      <c r="T52" s="24">
        <v>0.43402777777777773</v>
      </c>
      <c r="U52" s="188">
        <f t="shared" si="64"/>
        <v>4.9999999999999822</v>
      </c>
      <c r="V52" s="192">
        <f t="shared" si="63"/>
        <v>46.999999999999993</v>
      </c>
      <c r="W52" s="14"/>
      <c r="X52" s="14"/>
      <c r="Y52" s="473"/>
      <c r="Z52" s="474"/>
      <c r="AA52" s="11">
        <f t="shared" si="2"/>
        <v>-277.02127659574398</v>
      </c>
      <c r="AB52" s="189">
        <f t="shared" si="57"/>
        <v>0.90765957446808532</v>
      </c>
      <c r="AC52" s="494"/>
    </row>
    <row r="53" spans="1:29" ht="15.75" customHeight="1">
      <c r="A53" s="489" t="s">
        <v>9</v>
      </c>
      <c r="B53" s="26" t="s">
        <v>33</v>
      </c>
      <c r="C53" s="491" t="s">
        <v>511</v>
      </c>
      <c r="D53" s="492"/>
      <c r="E53" s="26">
        <v>35.869999999999997</v>
      </c>
      <c r="F53" s="193">
        <v>5151</v>
      </c>
      <c r="G53" s="188">
        <f t="shared" si="59"/>
        <v>184766.37</v>
      </c>
      <c r="H53" s="76" t="s">
        <v>57</v>
      </c>
      <c r="I53" s="191">
        <v>10</v>
      </c>
      <c r="J53" s="18">
        <v>3000</v>
      </c>
      <c r="K53" s="9">
        <f t="shared" si="54"/>
        <v>300</v>
      </c>
      <c r="L53" s="191">
        <v>10</v>
      </c>
      <c r="M53" s="10">
        <f t="shared" si="65"/>
        <v>2687.4782608695655</v>
      </c>
      <c r="N53" s="10">
        <f t="shared" si="61"/>
        <v>268.74782608695654</v>
      </c>
      <c r="O53" s="11">
        <f t="shared" si="62"/>
        <v>0</v>
      </c>
      <c r="P53" s="12">
        <f t="shared" si="51"/>
        <v>-31.252173913043464</v>
      </c>
      <c r="Q53" s="189">
        <f t="shared" ref="Q53:Q57" si="66">N53/K53</f>
        <v>0.89582608695652177</v>
      </c>
      <c r="R53" s="494"/>
      <c r="S53" s="24">
        <v>0.43888888888888883</v>
      </c>
      <c r="T53" s="24">
        <v>0.51874999999999993</v>
      </c>
      <c r="U53" s="188">
        <f t="shared" si="64"/>
        <v>6.9999999999999751</v>
      </c>
      <c r="V53" s="192">
        <f t="shared" si="63"/>
        <v>114.99999999999999</v>
      </c>
      <c r="W53" s="14"/>
      <c r="X53" s="14"/>
      <c r="Y53" s="473"/>
      <c r="Z53" s="474"/>
      <c r="AA53" s="11">
        <f t="shared" si="2"/>
        <v>-312.52173913043453</v>
      </c>
      <c r="AB53" s="189">
        <f t="shared" si="57"/>
        <v>0.89582608695652177</v>
      </c>
      <c r="AC53" s="494"/>
    </row>
    <row r="54" spans="1:29" ht="15.75" customHeight="1">
      <c r="A54" s="489" t="s">
        <v>9</v>
      </c>
      <c r="B54" s="26" t="s">
        <v>33</v>
      </c>
      <c r="C54" s="491" t="s">
        <v>34</v>
      </c>
      <c r="D54" s="492"/>
      <c r="E54" s="26">
        <v>27.17</v>
      </c>
      <c r="F54" s="193">
        <v>3563</v>
      </c>
      <c r="G54" s="188">
        <f t="shared" si="59"/>
        <v>96806.71</v>
      </c>
      <c r="H54" s="76" t="s">
        <v>57</v>
      </c>
      <c r="I54" s="191">
        <v>10</v>
      </c>
      <c r="J54" s="18">
        <v>3000</v>
      </c>
      <c r="K54" s="9">
        <f t="shared" si="54"/>
        <v>300</v>
      </c>
      <c r="L54" s="191">
        <v>10</v>
      </c>
      <c r="M54" s="10">
        <f t="shared" si="65"/>
        <v>2706.0759493670871</v>
      </c>
      <c r="N54" s="10">
        <f t="shared" si="61"/>
        <v>270.60759493670872</v>
      </c>
      <c r="O54" s="11">
        <f t="shared" si="62"/>
        <v>0</v>
      </c>
      <c r="P54" s="12">
        <f t="shared" si="51"/>
        <v>-29.392405063291278</v>
      </c>
      <c r="Q54" s="189">
        <f t="shared" si="66"/>
        <v>0.90202531645569572</v>
      </c>
      <c r="R54" s="494"/>
      <c r="S54" s="24">
        <v>0.55833333333333324</v>
      </c>
      <c r="T54" s="24">
        <v>0.61319444444444438</v>
      </c>
      <c r="U54" s="188">
        <f t="shared" si="64"/>
        <v>56.999999999999957</v>
      </c>
      <c r="V54" s="192">
        <f t="shared" si="63"/>
        <v>79.000000000000043</v>
      </c>
      <c r="W54" s="14"/>
      <c r="X54" s="14"/>
      <c r="Y54" s="473"/>
      <c r="Z54" s="474"/>
      <c r="AA54" s="11">
        <f t="shared" si="2"/>
        <v>-293.92405063291289</v>
      </c>
      <c r="AB54" s="189">
        <f t="shared" si="57"/>
        <v>0.90202531645569572</v>
      </c>
      <c r="AC54" s="494"/>
    </row>
    <row r="55" spans="1:29" ht="15.75" customHeight="1">
      <c r="A55" s="489" t="s">
        <v>9</v>
      </c>
      <c r="B55" s="26" t="s">
        <v>33</v>
      </c>
      <c r="C55" s="491" t="s">
        <v>43</v>
      </c>
      <c r="D55" s="492"/>
      <c r="E55" s="26">
        <v>35.119999999999997</v>
      </c>
      <c r="F55" s="193">
        <v>1908</v>
      </c>
      <c r="G55" s="188">
        <f t="shared" si="59"/>
        <v>67008.959999999992</v>
      </c>
      <c r="H55" s="76" t="s">
        <v>57</v>
      </c>
      <c r="I55" s="191">
        <v>10</v>
      </c>
      <c r="J55" s="18">
        <v>3000</v>
      </c>
      <c r="K55" s="9">
        <f t="shared" si="54"/>
        <v>300</v>
      </c>
      <c r="L55" s="191">
        <v>10</v>
      </c>
      <c r="M55" s="10">
        <f t="shared" si="65"/>
        <v>2725.7142857142849</v>
      </c>
      <c r="N55" s="10">
        <f t="shared" si="61"/>
        <v>272.5714285714285</v>
      </c>
      <c r="O55" s="11">
        <f t="shared" si="62"/>
        <v>0</v>
      </c>
      <c r="P55" s="12">
        <f t="shared" si="51"/>
        <v>-27.428571428571502</v>
      </c>
      <c r="Q55" s="189">
        <f t="shared" si="66"/>
        <v>0.90857142857142836</v>
      </c>
      <c r="R55" s="494"/>
      <c r="S55" s="24">
        <v>0.61736111111111103</v>
      </c>
      <c r="T55" s="24">
        <v>0.6465277777777777</v>
      </c>
      <c r="U55" s="188">
        <f t="shared" si="64"/>
        <v>5.9999999999999787</v>
      </c>
      <c r="V55" s="192">
        <f t="shared" si="63"/>
        <v>42.000000000000014</v>
      </c>
      <c r="W55" s="14"/>
      <c r="X55" s="14"/>
      <c r="Y55" s="473"/>
      <c r="Z55" s="474"/>
      <c r="AA55" s="11">
        <f t="shared" si="2"/>
        <v>-274.28571428571513</v>
      </c>
      <c r="AB55" s="189">
        <f t="shared" si="57"/>
        <v>0.90857142857142825</v>
      </c>
      <c r="AC55" s="494"/>
    </row>
    <row r="56" spans="1:29" ht="15.75" customHeight="1">
      <c r="A56" s="489" t="s">
        <v>9</v>
      </c>
      <c r="B56" s="26" t="s">
        <v>33</v>
      </c>
      <c r="C56" s="491" t="s">
        <v>35</v>
      </c>
      <c r="D56" s="492"/>
      <c r="E56" s="26">
        <v>21.13</v>
      </c>
      <c r="F56" s="193">
        <v>1994</v>
      </c>
      <c r="G56" s="188">
        <f t="shared" si="59"/>
        <v>42133.22</v>
      </c>
      <c r="H56" s="76" t="s">
        <v>57</v>
      </c>
      <c r="I56" s="191">
        <v>10</v>
      </c>
      <c r="J56" s="18">
        <v>3000</v>
      </c>
      <c r="K56" s="9">
        <f t="shared" si="54"/>
        <v>300</v>
      </c>
      <c r="L56" s="191">
        <v>10</v>
      </c>
      <c r="M56" s="10">
        <f t="shared" si="65"/>
        <v>2719.090909090909</v>
      </c>
      <c r="N56" s="10">
        <f t="shared" si="61"/>
        <v>271.90909090909088</v>
      </c>
      <c r="O56" s="11">
        <f t="shared" si="62"/>
        <v>0</v>
      </c>
      <c r="P56" s="12">
        <f t="shared" si="51"/>
        <v>-28.090909090909122</v>
      </c>
      <c r="Q56" s="189">
        <f t="shared" si="66"/>
        <v>0.90636363636363626</v>
      </c>
      <c r="R56" s="494"/>
      <c r="S56" s="24">
        <v>0.65069444444444435</v>
      </c>
      <c r="T56" s="24">
        <v>0.68124999999999991</v>
      </c>
      <c r="U56" s="188">
        <f t="shared" si="64"/>
        <v>5.9999999999999787</v>
      </c>
      <c r="V56" s="192">
        <f t="shared" si="63"/>
        <v>44</v>
      </c>
      <c r="W56" s="14"/>
      <c r="X56" s="14"/>
      <c r="Y56" s="473"/>
      <c r="Z56" s="474"/>
      <c r="AA56" s="11">
        <f t="shared" si="2"/>
        <v>-280.90909090909099</v>
      </c>
      <c r="AB56" s="189">
        <f t="shared" si="57"/>
        <v>0.90636363636363637</v>
      </c>
      <c r="AC56" s="494"/>
    </row>
    <row r="57" spans="1:29" ht="15.75" customHeight="1">
      <c r="A57" s="490" t="s">
        <v>9</v>
      </c>
      <c r="B57" s="26" t="s">
        <v>695</v>
      </c>
      <c r="C57" s="497"/>
      <c r="D57" s="498"/>
      <c r="E57" s="190"/>
      <c r="F57" s="193"/>
      <c r="G57" s="188"/>
      <c r="H57" s="193"/>
      <c r="I57" s="17">
        <v>10</v>
      </c>
      <c r="J57" s="18">
        <v>3000</v>
      </c>
      <c r="K57" s="9">
        <f>J57/I57</f>
        <v>300</v>
      </c>
      <c r="L57" s="17">
        <v>10</v>
      </c>
      <c r="M57" s="10">
        <f>AVERAGE(M48:M56)</f>
        <v>2714.0605121004191</v>
      </c>
      <c r="N57" s="9">
        <f t="shared" si="61"/>
        <v>271.40605121004194</v>
      </c>
      <c r="O57" s="11">
        <f t="shared" si="62"/>
        <v>0</v>
      </c>
      <c r="P57" s="12">
        <f t="shared" si="51"/>
        <v>-28.593948789958063</v>
      </c>
      <c r="Q57" s="189">
        <f t="shared" si="66"/>
        <v>0.90468683736680644</v>
      </c>
      <c r="R57" s="495"/>
      <c r="S57" s="24"/>
      <c r="T57" s="24"/>
      <c r="U57" s="188"/>
      <c r="V57" s="192"/>
      <c r="W57" s="14"/>
      <c r="X57" s="14"/>
      <c r="Y57" s="473"/>
      <c r="Z57" s="474"/>
      <c r="AA57" s="11">
        <f t="shared" si="2"/>
        <v>-285.93948789958085</v>
      </c>
      <c r="AB57" s="189">
        <f t="shared" si="57"/>
        <v>0.90468683736680633</v>
      </c>
      <c r="AC57" s="495"/>
    </row>
    <row r="58" spans="1:29" ht="15.75" customHeight="1">
      <c r="A58" s="461" t="s">
        <v>698</v>
      </c>
      <c r="B58" s="26" t="s">
        <v>15</v>
      </c>
      <c r="C58" s="487" t="s">
        <v>20</v>
      </c>
      <c r="D58" s="487"/>
      <c r="E58" s="26">
        <v>46</v>
      </c>
      <c r="F58" s="27">
        <v>3348</v>
      </c>
      <c r="G58" s="188">
        <f t="shared" ref="G58:G61" si="67">E58*F58</f>
        <v>154008</v>
      </c>
      <c r="H58" s="76" t="s">
        <v>57</v>
      </c>
      <c r="I58" s="191">
        <v>17</v>
      </c>
      <c r="J58" s="18">
        <v>1500</v>
      </c>
      <c r="K58" s="9">
        <f t="shared" ref="K58:K61" si="68">J58/I58</f>
        <v>88.235294117647058</v>
      </c>
      <c r="L58" s="191">
        <v>17</v>
      </c>
      <c r="M58" s="10">
        <f t="shared" ref="M58:M61" si="69">F58/V58*60</f>
        <v>1348.1879194630869</v>
      </c>
      <c r="N58" s="10">
        <f>M58/L58</f>
        <v>79.305171733122762</v>
      </c>
      <c r="O58" s="11">
        <f>L58-I58</f>
        <v>0</v>
      </c>
      <c r="P58" s="12">
        <f>N58-K58</f>
        <v>-8.9301223845242959</v>
      </c>
      <c r="Q58" s="189">
        <f>N58/K58</f>
        <v>0.89879194630872461</v>
      </c>
      <c r="R58" s="470">
        <f>Q62</f>
        <v>0.90062821820433592</v>
      </c>
      <c r="S58" s="24">
        <v>0.29305555555555557</v>
      </c>
      <c r="T58" s="24">
        <v>0.39652777777777781</v>
      </c>
      <c r="U58" s="15"/>
      <c r="V58" s="192">
        <f t="shared" ref="V58:V61" si="70">(T58-S58)*24*60</f>
        <v>149.00000000000003</v>
      </c>
      <c r="W58" s="15"/>
      <c r="X58" s="15"/>
      <c r="Y58" s="456"/>
      <c r="Z58" s="456"/>
      <c r="AA58" s="11">
        <f t="shared" si="2"/>
        <v>-151.81208053691307</v>
      </c>
      <c r="AB58" s="189">
        <f t="shared" si="57"/>
        <v>0.89879194630872461</v>
      </c>
      <c r="AC58" s="470">
        <f>AB62</f>
        <v>0.90062821820433581</v>
      </c>
    </row>
    <row r="59" spans="1:29" ht="15.75" customHeight="1">
      <c r="A59" s="461" t="s">
        <v>10</v>
      </c>
      <c r="B59" s="26" t="s">
        <v>15</v>
      </c>
      <c r="C59" s="487" t="s">
        <v>75</v>
      </c>
      <c r="D59" s="487"/>
      <c r="E59" s="26">
        <v>46</v>
      </c>
      <c r="F59" s="27">
        <v>4193</v>
      </c>
      <c r="G59" s="188">
        <f t="shared" si="67"/>
        <v>192878</v>
      </c>
      <c r="H59" s="76" t="s">
        <v>57</v>
      </c>
      <c r="I59" s="191">
        <v>18</v>
      </c>
      <c r="J59" s="18">
        <v>1500</v>
      </c>
      <c r="K59" s="9">
        <f t="shared" si="68"/>
        <v>83.333333333333329</v>
      </c>
      <c r="L59" s="191">
        <v>18</v>
      </c>
      <c r="M59" s="10">
        <f t="shared" si="69"/>
        <v>1352.5806451612905</v>
      </c>
      <c r="N59" s="10">
        <f t="shared" ref="N59:N61" si="71">M59/L59</f>
        <v>75.143369175627242</v>
      </c>
      <c r="O59" s="11">
        <f t="shared" ref="O59:O61" si="72">L59-I59</f>
        <v>0</v>
      </c>
      <c r="P59" s="12">
        <f t="shared" ref="P59:P61" si="73">N59-K59</f>
        <v>-8.1899641577060862</v>
      </c>
      <c r="Q59" s="189">
        <f t="shared" ref="Q59:Q61" si="74">N59/K59</f>
        <v>0.901720430107527</v>
      </c>
      <c r="R59" s="470"/>
      <c r="S59" s="24">
        <v>0.40138888888888891</v>
      </c>
      <c r="T59" s="24">
        <v>0.53055555555555556</v>
      </c>
      <c r="U59" s="188">
        <f t="shared" ref="U59:U61" si="75">(S59-T58)*24*60</f>
        <v>6.9999999999999751</v>
      </c>
      <c r="V59" s="192">
        <f t="shared" si="70"/>
        <v>185.99999999999997</v>
      </c>
      <c r="W59" s="14"/>
      <c r="X59" s="14"/>
      <c r="Y59" s="456"/>
      <c r="Z59" s="456"/>
      <c r="AA59" s="11">
        <f t="shared" si="2"/>
        <v>-147.41935483870952</v>
      </c>
      <c r="AB59" s="189">
        <f t="shared" si="57"/>
        <v>0.901720430107527</v>
      </c>
      <c r="AC59" s="470"/>
    </row>
    <row r="60" spans="1:29" ht="15.75" customHeight="1">
      <c r="A60" s="461" t="s">
        <v>10</v>
      </c>
      <c r="B60" s="26" t="s">
        <v>13</v>
      </c>
      <c r="C60" s="491" t="s">
        <v>65</v>
      </c>
      <c r="D60" s="492"/>
      <c r="E60" s="26">
        <v>55.56</v>
      </c>
      <c r="F60" s="27">
        <v>2293</v>
      </c>
      <c r="G60" s="188">
        <f t="shared" si="67"/>
        <v>127399.08</v>
      </c>
      <c r="H60" s="76" t="s">
        <v>57</v>
      </c>
      <c r="I60" s="191">
        <v>17</v>
      </c>
      <c r="J60" s="18">
        <v>1500</v>
      </c>
      <c r="K60" s="9">
        <f t="shared" si="68"/>
        <v>88.235294117647058</v>
      </c>
      <c r="L60" s="191">
        <v>17</v>
      </c>
      <c r="M60" s="10">
        <f t="shared" si="69"/>
        <v>1348.8235294117653</v>
      </c>
      <c r="N60" s="10">
        <f t="shared" si="71"/>
        <v>79.342560553633248</v>
      </c>
      <c r="O60" s="11">
        <f t="shared" si="72"/>
        <v>0</v>
      </c>
      <c r="P60" s="12">
        <f t="shared" si="73"/>
        <v>-8.8927335640138097</v>
      </c>
      <c r="Q60" s="189">
        <f t="shared" si="74"/>
        <v>0.89921568627451021</v>
      </c>
      <c r="R60" s="470"/>
      <c r="S60" s="24">
        <v>0.70833333333333337</v>
      </c>
      <c r="T60" s="24">
        <v>0.77916666666666667</v>
      </c>
      <c r="U60" s="188">
        <f t="shared" si="75"/>
        <v>256.00000000000006</v>
      </c>
      <c r="V60" s="192">
        <f t="shared" si="70"/>
        <v>101.99999999999996</v>
      </c>
      <c r="W60" s="14"/>
      <c r="X60" s="14"/>
      <c r="Y60" s="185"/>
      <c r="Z60" s="186"/>
      <c r="AA60" s="11">
        <f t="shared" si="2"/>
        <v>-151.17647058823468</v>
      </c>
      <c r="AB60" s="189">
        <f t="shared" si="57"/>
        <v>0.89921568627451021</v>
      </c>
      <c r="AC60" s="470"/>
    </row>
    <row r="61" spans="1:29" ht="15.75" customHeight="1">
      <c r="A61" s="461" t="s">
        <v>10</v>
      </c>
      <c r="B61" s="26" t="s">
        <v>13</v>
      </c>
      <c r="C61" s="183" t="s">
        <v>64</v>
      </c>
      <c r="D61" s="184"/>
      <c r="E61" s="26">
        <v>55.32</v>
      </c>
      <c r="F61" s="27">
        <v>1783</v>
      </c>
      <c r="G61" s="188">
        <f t="shared" si="67"/>
        <v>98635.56</v>
      </c>
      <c r="H61" s="76" t="s">
        <v>57</v>
      </c>
      <c r="I61" s="191">
        <v>15</v>
      </c>
      <c r="J61" s="18">
        <v>1500</v>
      </c>
      <c r="K61" s="9">
        <f t="shared" si="68"/>
        <v>100</v>
      </c>
      <c r="L61" s="191">
        <v>15</v>
      </c>
      <c r="M61" s="10">
        <f t="shared" si="69"/>
        <v>1354.1772151898726</v>
      </c>
      <c r="N61" s="10">
        <f t="shared" si="71"/>
        <v>90.278481012658176</v>
      </c>
      <c r="O61" s="11">
        <f t="shared" si="72"/>
        <v>0</v>
      </c>
      <c r="P61" s="12">
        <f t="shared" si="73"/>
        <v>-9.721518987341824</v>
      </c>
      <c r="Q61" s="189">
        <f t="shared" si="74"/>
        <v>0.90278481012658174</v>
      </c>
      <c r="R61" s="470"/>
      <c r="S61" s="24">
        <v>0.78263888888888888</v>
      </c>
      <c r="T61" s="24">
        <v>0.83750000000000002</v>
      </c>
      <c r="U61" s="188">
        <f t="shared" si="75"/>
        <v>4.9999999999999822</v>
      </c>
      <c r="V61" s="192">
        <f t="shared" si="70"/>
        <v>79.000000000000043</v>
      </c>
      <c r="W61" s="14"/>
      <c r="X61" s="14"/>
      <c r="Y61" s="185"/>
      <c r="Z61" s="186"/>
      <c r="AA61" s="11">
        <f t="shared" si="2"/>
        <v>-145.82278481012736</v>
      </c>
      <c r="AB61" s="189">
        <f t="shared" si="57"/>
        <v>0.90278481012658174</v>
      </c>
      <c r="AC61" s="470"/>
    </row>
    <row r="62" spans="1:29">
      <c r="A62" s="496" t="s">
        <v>10</v>
      </c>
      <c r="B62" s="26" t="s">
        <v>81</v>
      </c>
      <c r="C62" s="466"/>
      <c r="D62" s="466"/>
      <c r="E62" s="187"/>
      <c r="F62" s="16"/>
      <c r="G62" s="9"/>
      <c r="H62" s="193"/>
      <c r="I62" s="17">
        <v>16.75</v>
      </c>
      <c r="J62" s="18">
        <v>1500</v>
      </c>
      <c r="K62" s="9">
        <f>J62/I62</f>
        <v>89.552238805970148</v>
      </c>
      <c r="L62" s="17">
        <v>16.75</v>
      </c>
      <c r="M62" s="10">
        <f>AVERAGE(M58:M61)</f>
        <v>1350.9423273065038</v>
      </c>
      <c r="N62" s="9">
        <f>M62/L62</f>
        <v>80.653273272030077</v>
      </c>
      <c r="O62" s="11">
        <f>L62-I62</f>
        <v>0</v>
      </c>
      <c r="P62" s="12">
        <f>N62-K62</f>
        <v>-8.8989655339400713</v>
      </c>
      <c r="Q62" s="189">
        <f>N62/K62</f>
        <v>0.90062821820433592</v>
      </c>
      <c r="R62" s="470"/>
      <c r="S62" s="25"/>
      <c r="T62" s="24"/>
      <c r="U62" s="9"/>
      <c r="V62" s="192"/>
      <c r="W62" s="9"/>
      <c r="X62" s="9"/>
      <c r="Y62" s="456"/>
      <c r="Z62" s="456"/>
      <c r="AA62" s="11">
        <f t="shared" si="2"/>
        <v>-149.05767269349622</v>
      </c>
      <c r="AB62" s="189">
        <f t="shared" si="57"/>
        <v>0.90062821820433581</v>
      </c>
      <c r="AC62" s="470"/>
    </row>
    <row r="63" spans="1:29" ht="15.75" customHeight="1">
      <c r="A63" s="499" t="s">
        <v>699</v>
      </c>
      <c r="B63" s="193" t="s">
        <v>33</v>
      </c>
      <c r="C63" s="487" t="s">
        <v>36</v>
      </c>
      <c r="D63" s="487"/>
      <c r="E63" s="26">
        <v>26.78</v>
      </c>
      <c r="F63" s="27">
        <v>2717</v>
      </c>
      <c r="G63" s="188">
        <f t="shared" ref="G63:G67" si="76">E63*F63</f>
        <v>72761.260000000009</v>
      </c>
      <c r="H63" s="76" t="s">
        <v>57</v>
      </c>
      <c r="I63" s="191">
        <v>10</v>
      </c>
      <c r="J63" s="18">
        <v>3000</v>
      </c>
      <c r="K63" s="9">
        <f t="shared" ref="K63:K67" si="77">J63/I63</f>
        <v>300</v>
      </c>
      <c r="L63" s="17">
        <v>10</v>
      </c>
      <c r="M63" s="10">
        <f t="shared" ref="M63:M67" si="78">F63/V63*60</f>
        <v>2716.9999999999986</v>
      </c>
      <c r="N63" s="9">
        <f>M63/L63</f>
        <v>271.69999999999987</v>
      </c>
      <c r="O63" s="11">
        <f t="shared" ref="O63:O67" si="79">L63-I63</f>
        <v>0</v>
      </c>
      <c r="P63" s="12">
        <f t="shared" ref="P63:P67" si="80">N63-K63</f>
        <v>-28.300000000000125</v>
      </c>
      <c r="Q63" s="189">
        <f>N63/K63</f>
        <v>0.90566666666666629</v>
      </c>
      <c r="R63" s="470">
        <f>Q68</f>
        <v>0.90134440477211553</v>
      </c>
      <c r="S63" s="24">
        <v>0.25069444444444444</v>
      </c>
      <c r="T63" s="24">
        <v>0.29236111111111113</v>
      </c>
      <c r="U63" s="188"/>
      <c r="V63" s="192">
        <f t="shared" ref="V63:V67" si="81">(T63-S63)*24*60</f>
        <v>60.000000000000028</v>
      </c>
      <c r="W63" s="15"/>
      <c r="X63" s="15"/>
      <c r="Y63" s="456"/>
      <c r="Z63" s="456"/>
      <c r="AA63" s="11">
        <f t="shared" si="2"/>
        <v>-283.00000000000136</v>
      </c>
      <c r="AB63" s="189">
        <f t="shared" si="57"/>
        <v>0.90566666666666618</v>
      </c>
      <c r="AC63" s="470">
        <f>AB68</f>
        <v>0.90134440477211553</v>
      </c>
    </row>
    <row r="64" spans="1:29" ht="15.75" customHeight="1">
      <c r="A64" s="499" t="s">
        <v>11</v>
      </c>
      <c r="B64" s="193" t="s">
        <v>33</v>
      </c>
      <c r="C64" s="487" t="s">
        <v>42</v>
      </c>
      <c r="D64" s="487"/>
      <c r="E64" s="26">
        <v>35.369999999999997</v>
      </c>
      <c r="F64" s="27">
        <v>1889</v>
      </c>
      <c r="G64" s="188">
        <f t="shared" si="76"/>
        <v>66813.929999999993</v>
      </c>
      <c r="H64" s="76" t="s">
        <v>57</v>
      </c>
      <c r="I64" s="191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2698.5714285714275</v>
      </c>
      <c r="N64" s="9">
        <f t="shared" ref="N64:N67" si="82">M64/L64</f>
        <v>269.85714285714278</v>
      </c>
      <c r="O64" s="11">
        <f t="shared" si="79"/>
        <v>0</v>
      </c>
      <c r="P64" s="12">
        <f t="shared" si="80"/>
        <v>-30.142857142857224</v>
      </c>
      <c r="Q64" s="189">
        <f t="shared" ref="Q64:Q67" si="83">N64/K64</f>
        <v>0.89952380952380928</v>
      </c>
      <c r="R64" s="470"/>
      <c r="S64" s="24">
        <v>0.29722222222222222</v>
      </c>
      <c r="T64" s="24">
        <v>0.3263888888888889</v>
      </c>
      <c r="U64" s="188">
        <f>(S64-T63)*24*60</f>
        <v>6.9999999999999751</v>
      </c>
      <c r="V64" s="192">
        <f t="shared" si="81"/>
        <v>42.000000000000014</v>
      </c>
      <c r="W64" s="188"/>
      <c r="X64" s="188"/>
      <c r="Y64" s="456"/>
      <c r="Z64" s="456"/>
      <c r="AA64" s="11">
        <f t="shared" si="2"/>
        <v>-301.42857142857247</v>
      </c>
      <c r="AB64" s="189">
        <f t="shared" si="57"/>
        <v>0.89952380952380917</v>
      </c>
      <c r="AC64" s="470"/>
    </row>
    <row r="65" spans="1:29" ht="15.75" customHeight="1">
      <c r="A65" s="499" t="s">
        <v>11</v>
      </c>
      <c r="B65" s="193" t="s">
        <v>33</v>
      </c>
      <c r="C65" s="487" t="s">
        <v>41</v>
      </c>
      <c r="D65" s="487"/>
      <c r="E65" s="26">
        <v>34.35</v>
      </c>
      <c r="F65" s="27">
        <v>1479</v>
      </c>
      <c r="G65" s="188">
        <f t="shared" si="76"/>
        <v>50803.65</v>
      </c>
      <c r="H65" s="76" t="s">
        <v>57</v>
      </c>
      <c r="I65" s="191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2689.0909090909122</v>
      </c>
      <c r="N65" s="9">
        <f t="shared" si="82"/>
        <v>268.90909090909122</v>
      </c>
      <c r="O65" s="11">
        <f t="shared" si="79"/>
        <v>0</v>
      </c>
      <c r="P65" s="12">
        <f t="shared" si="80"/>
        <v>-31.090909090908781</v>
      </c>
      <c r="Q65" s="189">
        <f t="shared" si="83"/>
        <v>0.89636363636363736</v>
      </c>
      <c r="R65" s="470"/>
      <c r="S65" s="24">
        <v>0.33194444444444443</v>
      </c>
      <c r="T65" s="24">
        <v>0.35486111111111107</v>
      </c>
      <c r="U65" s="188">
        <f t="shared" ref="U65:U67" si="84">(S65-T64)*24*60</f>
        <v>7.9999999999999716</v>
      </c>
      <c r="V65" s="192">
        <f t="shared" si="81"/>
        <v>32.999999999999964</v>
      </c>
      <c r="W65" s="188"/>
      <c r="X65" s="188"/>
      <c r="Y65" s="456"/>
      <c r="Z65" s="456"/>
      <c r="AA65" s="11">
        <f t="shared" si="2"/>
        <v>-310.90909090908781</v>
      </c>
      <c r="AB65" s="189">
        <f t="shared" si="57"/>
        <v>0.89636363636363736</v>
      </c>
      <c r="AC65" s="470"/>
    </row>
    <row r="66" spans="1:29" ht="15.75" customHeight="1">
      <c r="A66" s="499" t="s">
        <v>11</v>
      </c>
      <c r="B66" s="193" t="s">
        <v>15</v>
      </c>
      <c r="C66" s="487" t="s">
        <v>39</v>
      </c>
      <c r="D66" s="487"/>
      <c r="E66" s="26">
        <v>26.97</v>
      </c>
      <c r="F66" s="27">
        <v>3618</v>
      </c>
      <c r="G66" s="188">
        <f t="shared" si="76"/>
        <v>97577.459999999992</v>
      </c>
      <c r="H66" s="76" t="s">
        <v>57</v>
      </c>
      <c r="I66" s="191">
        <v>8</v>
      </c>
      <c r="J66" s="18">
        <v>1440</v>
      </c>
      <c r="K66" s="9">
        <f t="shared" si="77"/>
        <v>180</v>
      </c>
      <c r="L66" s="17">
        <v>8</v>
      </c>
      <c r="M66" s="10">
        <f t="shared" si="78"/>
        <v>1299.8802395209582</v>
      </c>
      <c r="N66" s="9">
        <f t="shared" si="82"/>
        <v>162.48502994011977</v>
      </c>
      <c r="O66" s="11">
        <f t="shared" si="79"/>
        <v>0</v>
      </c>
      <c r="P66" s="12">
        <f t="shared" si="80"/>
        <v>-17.514970059880227</v>
      </c>
      <c r="Q66" s="189">
        <f t="shared" si="83"/>
        <v>0.90269461077844315</v>
      </c>
      <c r="R66" s="470"/>
      <c r="S66" s="24">
        <v>0.35833333333333328</v>
      </c>
      <c r="T66" s="24">
        <v>0.47430555555555548</v>
      </c>
      <c r="U66" s="188">
        <f t="shared" si="84"/>
        <v>4.9999999999999822</v>
      </c>
      <c r="V66" s="192">
        <f t="shared" si="81"/>
        <v>166.99999999999997</v>
      </c>
      <c r="W66" s="188"/>
      <c r="X66" s="188"/>
      <c r="Y66" s="456"/>
      <c r="Z66" s="456"/>
      <c r="AA66" s="11">
        <f t="shared" si="2"/>
        <v>-140.11976047904182</v>
      </c>
      <c r="AB66" s="189">
        <f t="shared" si="57"/>
        <v>0.90269461077844315</v>
      </c>
      <c r="AC66" s="470"/>
    </row>
    <row r="67" spans="1:29">
      <c r="A67" s="500" t="s">
        <v>11</v>
      </c>
      <c r="B67" s="193" t="s">
        <v>33</v>
      </c>
      <c r="C67" s="487" t="s">
        <v>40</v>
      </c>
      <c r="D67" s="487"/>
      <c r="E67" s="26">
        <v>35.119999999999997</v>
      </c>
      <c r="F67" s="27">
        <v>1326</v>
      </c>
      <c r="G67" s="188">
        <f t="shared" si="76"/>
        <v>46569.119999999995</v>
      </c>
      <c r="H67" s="76" t="s">
        <v>57</v>
      </c>
      <c r="I67" s="191">
        <v>13</v>
      </c>
      <c r="J67" s="18">
        <v>2000</v>
      </c>
      <c r="K67" s="9">
        <f t="shared" si="77"/>
        <v>153.84615384615384</v>
      </c>
      <c r="L67" s="17">
        <v>13</v>
      </c>
      <c r="M67" s="10">
        <f t="shared" si="78"/>
        <v>1808.1818181818214</v>
      </c>
      <c r="N67" s="9">
        <f t="shared" si="82"/>
        <v>139.09090909090935</v>
      </c>
      <c r="O67" s="11">
        <f t="shared" si="79"/>
        <v>0</v>
      </c>
      <c r="P67" s="12">
        <f t="shared" si="80"/>
        <v>-14.75524475524449</v>
      </c>
      <c r="Q67" s="189">
        <f t="shared" si="83"/>
        <v>0.90409090909091083</v>
      </c>
      <c r="R67" s="470"/>
      <c r="S67" s="24">
        <v>0.47986111111111102</v>
      </c>
      <c r="T67" s="24">
        <v>0.51041666666666652</v>
      </c>
      <c r="U67" s="188">
        <f t="shared" si="84"/>
        <v>7.9999999999999716</v>
      </c>
      <c r="V67" s="192">
        <f t="shared" si="81"/>
        <v>43.999999999999922</v>
      </c>
      <c r="W67" s="14"/>
      <c r="X67" s="14"/>
      <c r="Y67" s="456"/>
      <c r="Z67" s="456"/>
      <c r="AA67" s="11">
        <f t="shared" si="2"/>
        <v>-191.81818181817857</v>
      </c>
      <c r="AB67" s="189">
        <f t="shared" si="57"/>
        <v>0.90409090909091072</v>
      </c>
      <c r="AC67" s="470"/>
    </row>
    <row r="68" spans="1:29">
      <c r="A68" s="500" t="s">
        <v>11</v>
      </c>
      <c r="B68" s="26" t="s">
        <v>81</v>
      </c>
      <c r="C68" s="466"/>
      <c r="D68" s="466"/>
      <c r="E68" s="187"/>
      <c r="F68" s="16"/>
      <c r="G68" s="9"/>
      <c r="H68" s="193"/>
      <c r="I68" s="17">
        <v>10.199999999999999</v>
      </c>
      <c r="J68" s="18">
        <v>2488</v>
      </c>
      <c r="K68" s="9">
        <f>J68/I68</f>
        <v>243.92156862745099</v>
      </c>
      <c r="L68" s="17">
        <v>10.199999999999999</v>
      </c>
      <c r="M68" s="10">
        <f>AVERAGE(M63:M67)</f>
        <v>2242.5448790730234</v>
      </c>
      <c r="N68" s="9">
        <f>M68/L68</f>
        <v>219.85734108559055</v>
      </c>
      <c r="O68" s="11">
        <f>L68-I68</f>
        <v>0</v>
      </c>
      <c r="P68" s="12">
        <f>N68-K68</f>
        <v>-24.064227541860447</v>
      </c>
      <c r="Q68" s="189">
        <f>N68/K68</f>
        <v>0.90134440477211553</v>
      </c>
      <c r="R68" s="470"/>
      <c r="S68" s="24"/>
      <c r="T68" s="24"/>
      <c r="U68" s="9"/>
      <c r="V68" s="192"/>
      <c r="W68" s="9"/>
      <c r="X68" s="9"/>
      <c r="Y68" s="456"/>
      <c r="Z68" s="456"/>
      <c r="AA68" s="11">
        <f t="shared" si="2"/>
        <v>-245.45512092697663</v>
      </c>
      <c r="AB68" s="189">
        <f t="shared" si="57"/>
        <v>0.90134440477211553</v>
      </c>
      <c r="AC68" s="470"/>
    </row>
    <row r="69" spans="1:29" ht="15.75" customHeight="1">
      <c r="A69" s="467" t="s">
        <v>164</v>
      </c>
      <c r="B69" s="193" t="s">
        <v>24</v>
      </c>
      <c r="C69" s="487" t="s">
        <v>83</v>
      </c>
      <c r="D69" s="487"/>
      <c r="E69" s="26">
        <v>32.03</v>
      </c>
      <c r="F69" s="193">
        <v>1887</v>
      </c>
      <c r="G69" s="188">
        <f t="shared" ref="G69:G75" si="85">E69*F69</f>
        <v>60440.61</v>
      </c>
      <c r="H69" s="76" t="s">
        <v>57</v>
      </c>
      <c r="I69" s="191">
        <v>19</v>
      </c>
      <c r="J69" s="18">
        <v>2400</v>
      </c>
      <c r="K69" s="9">
        <f t="shared" ref="K69:K71" si="86">J69/I69</f>
        <v>126.31578947368421</v>
      </c>
      <c r="L69" s="17">
        <v>19</v>
      </c>
      <c r="M69" s="10">
        <f>F69/V69*60</f>
        <v>2177.3076923076915</v>
      </c>
      <c r="N69" s="9">
        <f t="shared" ref="N69:N75" si="87">M69/L69</f>
        <v>114.59514170040481</v>
      </c>
      <c r="O69" s="11">
        <f t="shared" ref="O69:O75" si="88">L69-I69</f>
        <v>0</v>
      </c>
      <c r="P69" s="12">
        <f t="shared" ref="P69:P75" si="89">N69-K69</f>
        <v>-11.720647773279396</v>
      </c>
      <c r="Q69" s="189">
        <f>N69/K69</f>
        <v>0.90721153846153813</v>
      </c>
      <c r="R69" s="470">
        <f>Q76</f>
        <v>0.90168088352057207</v>
      </c>
      <c r="S69" s="24">
        <v>0.125</v>
      </c>
      <c r="T69" s="24">
        <v>0.16111111111111112</v>
      </c>
      <c r="U69" s="15"/>
      <c r="V69" s="192">
        <f t="shared" ref="V69:V75" si="90">(T69-S69)*24*60</f>
        <v>52.000000000000014</v>
      </c>
      <c r="W69" s="14"/>
      <c r="X69" s="14"/>
      <c r="Y69" s="456"/>
      <c r="Z69" s="456"/>
      <c r="AA69" s="11">
        <f t="shared" ref="AA69:AA76" si="91">M69-J69</f>
        <v>-222.69230769230853</v>
      </c>
      <c r="AB69" s="189">
        <f>M69/J69</f>
        <v>0.90721153846153813</v>
      </c>
      <c r="AC69" s="470">
        <f>AB76</f>
        <v>0.90168088352057207</v>
      </c>
    </row>
    <row r="70" spans="1:29" ht="15.75" customHeight="1">
      <c r="A70" s="467" t="s">
        <v>12</v>
      </c>
      <c r="B70" s="193" t="s">
        <v>24</v>
      </c>
      <c r="C70" s="487" t="s">
        <v>56</v>
      </c>
      <c r="D70" s="487"/>
      <c r="E70" s="26">
        <v>20.2</v>
      </c>
      <c r="F70" s="193">
        <v>2722</v>
      </c>
      <c r="G70" s="188">
        <f t="shared" si="85"/>
        <v>54984.4</v>
      </c>
      <c r="H70" s="76" t="s">
        <v>57</v>
      </c>
      <c r="I70" s="191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5" si="92">F70/V70*60</f>
        <v>2177.6</v>
      </c>
      <c r="N70" s="9">
        <f t="shared" si="87"/>
        <v>114.61052631578947</v>
      </c>
      <c r="O70" s="11">
        <f t="shared" si="88"/>
        <v>0</v>
      </c>
      <c r="P70" s="12">
        <f t="shared" si="89"/>
        <v>-11.705263157894734</v>
      </c>
      <c r="Q70" s="189">
        <f t="shared" ref="Q70:Q76" si="93">N70/K70</f>
        <v>0.90733333333333333</v>
      </c>
      <c r="R70" s="470"/>
      <c r="S70" s="24">
        <v>0.1784722222222222</v>
      </c>
      <c r="T70" s="24">
        <v>0.23055555555555554</v>
      </c>
      <c r="U70" s="188">
        <f>(S70-T69)*24*60</f>
        <v>24.99999999999995</v>
      </c>
      <c r="V70" s="192">
        <f t="shared" si="90"/>
        <v>75.000000000000014</v>
      </c>
      <c r="W70" s="14"/>
      <c r="X70" s="14"/>
      <c r="Y70" s="456"/>
      <c r="Z70" s="456"/>
      <c r="AA70" s="11">
        <f t="shared" si="91"/>
        <v>-222.40000000000009</v>
      </c>
      <c r="AB70" s="189">
        <f t="shared" ref="AB70:AB76" si="94">M70/J70</f>
        <v>0.90733333333333333</v>
      </c>
      <c r="AC70" s="470"/>
    </row>
    <row r="71" spans="1:29" ht="15.75" customHeight="1">
      <c r="A71" s="467" t="s">
        <v>12</v>
      </c>
      <c r="B71" s="193" t="s">
        <v>24</v>
      </c>
      <c r="C71" s="487" t="s">
        <v>45</v>
      </c>
      <c r="D71" s="487"/>
      <c r="E71" s="26">
        <v>19.02</v>
      </c>
      <c r="F71" s="193">
        <v>5500</v>
      </c>
      <c r="G71" s="188">
        <f t="shared" si="85"/>
        <v>104610</v>
      </c>
      <c r="H71" s="76">
        <v>2</v>
      </c>
      <c r="I71" s="191">
        <v>15</v>
      </c>
      <c r="J71" s="18">
        <v>2400</v>
      </c>
      <c r="K71" s="9">
        <f t="shared" si="86"/>
        <v>160</v>
      </c>
      <c r="L71" s="17">
        <v>15</v>
      </c>
      <c r="M71" s="10">
        <f t="shared" si="92"/>
        <v>2156.8627450980389</v>
      </c>
      <c r="N71" s="9">
        <f t="shared" si="87"/>
        <v>143.79084967320259</v>
      </c>
      <c r="O71" s="11">
        <f t="shared" si="88"/>
        <v>0</v>
      </c>
      <c r="P71" s="12">
        <f t="shared" si="89"/>
        <v>-16.209150326797413</v>
      </c>
      <c r="Q71" s="189">
        <f t="shared" si="93"/>
        <v>0.89869281045751614</v>
      </c>
      <c r="R71" s="470"/>
      <c r="S71" s="24">
        <v>0.23472222222222222</v>
      </c>
      <c r="T71" s="24">
        <v>0.34097222222222223</v>
      </c>
      <c r="U71" s="188">
        <f t="shared" ref="U71:U75" si="95">(S71-T70)*24*60</f>
        <v>6.0000000000000187</v>
      </c>
      <c r="V71" s="192">
        <f t="shared" si="90"/>
        <v>153.00000000000003</v>
      </c>
      <c r="W71" s="14"/>
      <c r="X71" s="14"/>
      <c r="Y71" s="456"/>
      <c r="Z71" s="456"/>
      <c r="AA71" s="11">
        <f t="shared" si="91"/>
        <v>-243.13725490196111</v>
      </c>
      <c r="AB71" s="189">
        <f t="shared" si="94"/>
        <v>0.89869281045751626</v>
      </c>
      <c r="AC71" s="470"/>
    </row>
    <row r="72" spans="1:29" ht="15.75" customHeight="1">
      <c r="A72" s="467" t="s">
        <v>12</v>
      </c>
      <c r="B72" s="193" t="s">
        <v>24</v>
      </c>
      <c r="C72" s="487" t="s">
        <v>46</v>
      </c>
      <c r="D72" s="487"/>
      <c r="E72" s="26">
        <v>25</v>
      </c>
      <c r="F72" s="193">
        <v>4700</v>
      </c>
      <c r="G72" s="188">
        <f t="shared" si="85"/>
        <v>117500</v>
      </c>
      <c r="H72" s="76" t="s">
        <v>57</v>
      </c>
      <c r="I72" s="191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2152.6717557251909</v>
      </c>
      <c r="N72" s="9">
        <f t="shared" si="87"/>
        <v>143.5114503816794</v>
      </c>
      <c r="O72" s="11">
        <f t="shared" si="88"/>
        <v>0</v>
      </c>
      <c r="P72" s="12">
        <f t="shared" si="89"/>
        <v>-16.488549618320604</v>
      </c>
      <c r="Q72" s="189">
        <f t="shared" si="93"/>
        <v>0.89694656488549618</v>
      </c>
      <c r="R72" s="470"/>
      <c r="S72" s="24">
        <v>0.34444444444444444</v>
      </c>
      <c r="T72" s="24">
        <v>0.43541666666666667</v>
      </c>
      <c r="U72" s="188">
        <f t="shared" si="95"/>
        <v>4.9999999999999822</v>
      </c>
      <c r="V72" s="192">
        <f t="shared" si="90"/>
        <v>131</v>
      </c>
      <c r="W72" s="14"/>
      <c r="X72" s="14"/>
      <c r="Y72" s="456"/>
      <c r="Z72" s="456"/>
      <c r="AA72" s="11">
        <f t="shared" si="91"/>
        <v>-247.32824427480909</v>
      </c>
      <c r="AB72" s="189">
        <f t="shared" si="94"/>
        <v>0.89694656488549618</v>
      </c>
      <c r="AC72" s="470"/>
    </row>
    <row r="73" spans="1:29" ht="15.75" customHeight="1">
      <c r="A73" s="467" t="s">
        <v>12</v>
      </c>
      <c r="B73" s="193" t="s">
        <v>24</v>
      </c>
      <c r="C73" s="487" t="s">
        <v>510</v>
      </c>
      <c r="D73" s="487"/>
      <c r="E73" s="26">
        <v>28.51</v>
      </c>
      <c r="F73" s="193">
        <v>3000</v>
      </c>
      <c r="G73" s="188">
        <f t="shared" si="85"/>
        <v>85530</v>
      </c>
      <c r="H73" s="76">
        <v>2</v>
      </c>
      <c r="I73" s="191">
        <v>20</v>
      </c>
      <c r="J73" s="18">
        <v>2400</v>
      </c>
      <c r="K73" s="9">
        <f t="shared" ref="K73:K76" si="96">J73/I73</f>
        <v>120</v>
      </c>
      <c r="L73" s="17">
        <v>20</v>
      </c>
      <c r="M73" s="10">
        <f t="shared" si="92"/>
        <v>2168.6746987951801</v>
      </c>
      <c r="N73" s="9">
        <f t="shared" si="87"/>
        <v>108.43373493975901</v>
      </c>
      <c r="O73" s="11">
        <f t="shared" si="88"/>
        <v>0</v>
      </c>
      <c r="P73" s="12">
        <f t="shared" si="89"/>
        <v>-11.566265060240994</v>
      </c>
      <c r="Q73" s="189">
        <f t="shared" si="93"/>
        <v>0.9036144578313251</v>
      </c>
      <c r="R73" s="470"/>
      <c r="S73" s="24">
        <v>0.44097222222222221</v>
      </c>
      <c r="T73" s="24">
        <v>0.49861111111111112</v>
      </c>
      <c r="U73" s="188">
        <f t="shared" si="95"/>
        <v>7.9999999999999716</v>
      </c>
      <c r="V73" s="192">
        <f t="shared" si="90"/>
        <v>83.000000000000028</v>
      </c>
      <c r="W73" s="14"/>
      <c r="X73" s="14"/>
      <c r="Y73" s="456"/>
      <c r="Z73" s="456"/>
      <c r="AA73" s="11">
        <f t="shared" si="91"/>
        <v>-231.32530120481988</v>
      </c>
      <c r="AB73" s="189">
        <f t="shared" si="94"/>
        <v>0.9036144578313251</v>
      </c>
      <c r="AC73" s="470"/>
    </row>
    <row r="74" spans="1:29" ht="15.75" customHeight="1">
      <c r="A74" s="467" t="s">
        <v>12</v>
      </c>
      <c r="B74" s="193" t="s">
        <v>24</v>
      </c>
      <c r="C74" s="487" t="s">
        <v>510</v>
      </c>
      <c r="D74" s="487"/>
      <c r="E74" s="26">
        <v>28.51</v>
      </c>
      <c r="F74" s="193">
        <v>4104</v>
      </c>
      <c r="G74" s="188">
        <f t="shared" si="85"/>
        <v>117005.04000000001</v>
      </c>
      <c r="H74" s="76" t="s">
        <v>57</v>
      </c>
      <c r="I74" s="191">
        <v>20</v>
      </c>
      <c r="J74" s="18">
        <v>2400</v>
      </c>
      <c r="K74" s="9">
        <f t="shared" si="96"/>
        <v>120</v>
      </c>
      <c r="L74" s="17">
        <v>20</v>
      </c>
      <c r="M74" s="10">
        <f t="shared" si="92"/>
        <v>2159.9999999999986</v>
      </c>
      <c r="N74" s="9">
        <f t="shared" si="87"/>
        <v>107.99999999999993</v>
      </c>
      <c r="O74" s="11">
        <f t="shared" si="88"/>
        <v>0</v>
      </c>
      <c r="P74" s="12">
        <f t="shared" si="89"/>
        <v>-12.000000000000071</v>
      </c>
      <c r="Q74" s="189">
        <f t="shared" si="93"/>
        <v>0.89999999999999936</v>
      </c>
      <c r="R74" s="470"/>
      <c r="S74" s="24">
        <v>0.53888888888888886</v>
      </c>
      <c r="T74" s="24">
        <v>0.61805555555555558</v>
      </c>
      <c r="U74" s="188">
        <f t="shared" si="95"/>
        <v>57.999999999999957</v>
      </c>
      <c r="V74" s="192">
        <f t="shared" si="90"/>
        <v>114.00000000000007</v>
      </c>
      <c r="W74" s="14"/>
      <c r="X74" s="14"/>
      <c r="Y74" s="456"/>
      <c r="Z74" s="456"/>
      <c r="AA74" s="11">
        <f t="shared" si="91"/>
        <v>-240.00000000000136</v>
      </c>
      <c r="AB74" s="189">
        <f t="shared" si="94"/>
        <v>0.89999999999999947</v>
      </c>
      <c r="AC74" s="470"/>
    </row>
    <row r="75" spans="1:29" ht="15.75" customHeight="1">
      <c r="A75" s="467" t="s">
        <v>12</v>
      </c>
      <c r="B75" s="193" t="s">
        <v>24</v>
      </c>
      <c r="C75" s="491" t="s">
        <v>45</v>
      </c>
      <c r="D75" s="492"/>
      <c r="E75" s="26">
        <v>19.02</v>
      </c>
      <c r="F75" s="193">
        <v>4418</v>
      </c>
      <c r="G75" s="188">
        <f t="shared" si="85"/>
        <v>84030.36</v>
      </c>
      <c r="H75" s="76" t="s">
        <v>57</v>
      </c>
      <c r="I75" s="191">
        <v>15</v>
      </c>
      <c r="J75" s="18">
        <v>2400</v>
      </c>
      <c r="K75" s="9">
        <f t="shared" si="96"/>
        <v>160</v>
      </c>
      <c r="L75" s="17">
        <v>15</v>
      </c>
      <c r="M75" s="10">
        <f t="shared" si="92"/>
        <v>2155.1219512195116</v>
      </c>
      <c r="N75" s="9">
        <f t="shared" si="87"/>
        <v>143.67479674796743</v>
      </c>
      <c r="O75" s="11">
        <f t="shared" si="88"/>
        <v>0</v>
      </c>
      <c r="P75" s="12">
        <f t="shared" si="89"/>
        <v>-16.325203252032566</v>
      </c>
      <c r="Q75" s="189">
        <f t="shared" si="93"/>
        <v>0.89796747967479651</v>
      </c>
      <c r="R75" s="470"/>
      <c r="S75" s="24">
        <v>0.62222222222222223</v>
      </c>
      <c r="T75" s="24">
        <v>0.70763888888888893</v>
      </c>
      <c r="U75" s="188">
        <f t="shared" si="95"/>
        <v>5.9999999999999787</v>
      </c>
      <c r="V75" s="192">
        <f t="shared" si="90"/>
        <v>123.00000000000004</v>
      </c>
      <c r="W75" s="14"/>
      <c r="X75" s="14"/>
      <c r="Y75" s="473"/>
      <c r="Z75" s="474"/>
      <c r="AA75" s="11">
        <f t="shared" si="91"/>
        <v>-244.87804878048837</v>
      </c>
      <c r="AB75" s="189">
        <f t="shared" si="94"/>
        <v>0.89796747967479651</v>
      </c>
      <c r="AC75" s="470"/>
    </row>
    <row r="76" spans="1:29" ht="16.5" customHeight="1">
      <c r="A76" s="501" t="s">
        <v>12</v>
      </c>
      <c r="B76" s="26" t="s">
        <v>81</v>
      </c>
      <c r="C76" s="466"/>
      <c r="D76" s="466"/>
      <c r="E76" s="187"/>
      <c r="F76" s="16"/>
      <c r="G76" s="9"/>
      <c r="H76" s="193"/>
      <c r="I76" s="17">
        <v>17.571428571428573</v>
      </c>
      <c r="J76" s="18">
        <v>2400</v>
      </c>
      <c r="K76" s="9">
        <f t="shared" si="96"/>
        <v>136.58536585365852</v>
      </c>
      <c r="L76" s="17">
        <v>17.571428571428573</v>
      </c>
      <c r="M76" s="10">
        <f>AVERAGE(M69:M75)</f>
        <v>2164.0341204493729</v>
      </c>
      <c r="N76" s="9">
        <f>M76/L76</f>
        <v>123.15641335890739</v>
      </c>
      <c r="O76" s="11">
        <f>L76-I76</f>
        <v>0</v>
      </c>
      <c r="P76" s="12">
        <f>N76-K76</f>
        <v>-13.42895249475113</v>
      </c>
      <c r="Q76" s="189">
        <f t="shared" si="93"/>
        <v>0.90168088352057207</v>
      </c>
      <c r="R76" s="470"/>
      <c r="S76" s="24"/>
      <c r="T76" s="24"/>
      <c r="U76" s="9"/>
      <c r="V76" s="192"/>
      <c r="W76" s="9"/>
      <c r="X76" s="9"/>
      <c r="Y76" s="456"/>
      <c r="Z76" s="456"/>
      <c r="AA76" s="11">
        <f t="shared" si="91"/>
        <v>-235.96587955062705</v>
      </c>
      <c r="AB76" s="189">
        <f t="shared" si="94"/>
        <v>0.90168088352057207</v>
      </c>
      <c r="AC76" s="470"/>
    </row>
    <row r="77" spans="1:29">
      <c r="D77" s="19"/>
      <c r="E77" s="19"/>
    </row>
  </sheetData>
  <mergeCells count="20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A14:A20"/>
    <mergeCell ref="C14:D14"/>
    <mergeCell ref="R14:R20"/>
    <mergeCell ref="Y14:Z14"/>
    <mergeCell ref="AC14:AC20"/>
    <mergeCell ref="C15:D15"/>
    <mergeCell ref="Y15:Z15"/>
    <mergeCell ref="C16:D16"/>
    <mergeCell ref="Y16:Z16"/>
    <mergeCell ref="C17:D17"/>
    <mergeCell ref="AC21:AC28"/>
    <mergeCell ref="C22:D22"/>
    <mergeCell ref="Y22:Z22"/>
    <mergeCell ref="C23:D23"/>
    <mergeCell ref="Y23:Z23"/>
    <mergeCell ref="C24:D24"/>
    <mergeCell ref="Y17:Z17"/>
    <mergeCell ref="C18:D18"/>
    <mergeCell ref="Y18:Z18"/>
    <mergeCell ref="C19:D19"/>
    <mergeCell ref="Y19:Z19"/>
    <mergeCell ref="C20:D20"/>
    <mergeCell ref="Y20:Z20"/>
    <mergeCell ref="Y24:Z24"/>
    <mergeCell ref="C25:D25"/>
    <mergeCell ref="Y25:Z25"/>
    <mergeCell ref="C26:D26"/>
    <mergeCell ref="Y26:Z26"/>
    <mergeCell ref="C27:D27"/>
    <mergeCell ref="Y27:Z27"/>
    <mergeCell ref="A21:A28"/>
    <mergeCell ref="C21:D21"/>
    <mergeCell ref="R21:R28"/>
    <mergeCell ref="Y21:Z21"/>
    <mergeCell ref="C28:D28"/>
    <mergeCell ref="Y28:Z28"/>
    <mergeCell ref="A29:A37"/>
    <mergeCell ref="C29:D29"/>
    <mergeCell ref="R29:R37"/>
    <mergeCell ref="Y29:Z29"/>
    <mergeCell ref="Y34:Z34"/>
    <mergeCell ref="C35:D35"/>
    <mergeCell ref="Y35:Z35"/>
    <mergeCell ref="C36:D36"/>
    <mergeCell ref="AC29:AC37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36:Z36"/>
    <mergeCell ref="C37:D37"/>
    <mergeCell ref="Y37:Z37"/>
    <mergeCell ref="A38:A47"/>
    <mergeCell ref="C38:D38"/>
    <mergeCell ref="R38:R47"/>
    <mergeCell ref="Y38:Z38"/>
    <mergeCell ref="Y43:Z43"/>
    <mergeCell ref="C44:D44"/>
    <mergeCell ref="Y44:Z44"/>
    <mergeCell ref="C45:D45"/>
    <mergeCell ref="Y45:Z45"/>
    <mergeCell ref="C46:D46"/>
    <mergeCell ref="Y46:Z46"/>
    <mergeCell ref="C47:D47"/>
    <mergeCell ref="Y47:Z47"/>
    <mergeCell ref="AC38:AC47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A48:A57"/>
    <mergeCell ref="C48:D48"/>
    <mergeCell ref="R48:R57"/>
    <mergeCell ref="Y48:Z48"/>
    <mergeCell ref="AC48:AC57"/>
    <mergeCell ref="C49:D49"/>
    <mergeCell ref="Y49:Z49"/>
    <mergeCell ref="C50:D50"/>
    <mergeCell ref="Y50:Z50"/>
    <mergeCell ref="C51:D51"/>
    <mergeCell ref="C55:D55"/>
    <mergeCell ref="Y55:Z55"/>
    <mergeCell ref="C56:D56"/>
    <mergeCell ref="Y56:Z56"/>
    <mergeCell ref="C57:D57"/>
    <mergeCell ref="Y57:Z57"/>
    <mergeCell ref="Y51:Z51"/>
    <mergeCell ref="C52:D52"/>
    <mergeCell ref="Y52:Z52"/>
    <mergeCell ref="C53:D53"/>
    <mergeCell ref="Y53:Z53"/>
    <mergeCell ref="C54:D54"/>
    <mergeCell ref="Y54:Z54"/>
    <mergeCell ref="AC63:AC68"/>
    <mergeCell ref="C64:D64"/>
    <mergeCell ref="Y64:Z64"/>
    <mergeCell ref="C65:D65"/>
    <mergeCell ref="Y65:Z65"/>
    <mergeCell ref="C66:D66"/>
    <mergeCell ref="A58:A62"/>
    <mergeCell ref="C58:D58"/>
    <mergeCell ref="R58:R62"/>
    <mergeCell ref="Y58:Z58"/>
    <mergeCell ref="AC58:AC62"/>
    <mergeCell ref="C59:D59"/>
    <mergeCell ref="Y59:Z59"/>
    <mergeCell ref="C60:D60"/>
    <mergeCell ref="C62:D62"/>
    <mergeCell ref="Y62:Z62"/>
    <mergeCell ref="Y66:Z66"/>
    <mergeCell ref="C67:D67"/>
    <mergeCell ref="Y67:Z67"/>
    <mergeCell ref="C68:D68"/>
    <mergeCell ref="Y68:Z68"/>
    <mergeCell ref="A69:A76"/>
    <mergeCell ref="C69:D69"/>
    <mergeCell ref="R69:R76"/>
    <mergeCell ref="Y69:Z69"/>
    <mergeCell ref="Y74:Z74"/>
    <mergeCell ref="A63:A68"/>
    <mergeCell ref="C63:D63"/>
    <mergeCell ref="R63:R68"/>
    <mergeCell ref="Y63:Z63"/>
    <mergeCell ref="C75:D75"/>
    <mergeCell ref="Y75:Z75"/>
    <mergeCell ref="C76:D76"/>
    <mergeCell ref="Y76:Z76"/>
    <mergeCell ref="AC69:AC76"/>
    <mergeCell ref="C70:D70"/>
    <mergeCell ref="Y70:Z70"/>
    <mergeCell ref="C71:D71"/>
    <mergeCell ref="Y71:Z71"/>
    <mergeCell ref="C72:D72"/>
    <mergeCell ref="Y72:Z72"/>
    <mergeCell ref="C73:D73"/>
    <mergeCell ref="Y73:Z73"/>
    <mergeCell ref="C74:D74"/>
  </mergeCells>
  <phoneticPr fontId="3" type="noConversion"/>
  <conditionalFormatting sqref="O66:O74 O76 O5:O9 O13:O15 O57:O63 O20:O53">
    <cfRule type="cellIs" dxfId="1123" priority="63" operator="greaterThan">
      <formula>0</formula>
    </cfRule>
  </conditionalFormatting>
  <conditionalFormatting sqref="P5:P7 P66:P67 AA66:AA67 P69:P74 P29:P36 P63 P9 P13:P15 P21:P27 P58:P61 P38:P53 AA5:AA63 AA69:AA76">
    <cfRule type="cellIs" dxfId="1122" priority="67" operator="lessThan">
      <formula>0</formula>
    </cfRule>
  </conditionalFormatting>
  <conditionalFormatting sqref="AB66:AB67 Q66:Q74 Q76 Q5:Q9 Q13:Q15 Q57:Q63 Q20:Q53 AB5:AB63 AB69:AB76">
    <cfRule type="cellIs" dxfId="1121" priority="64" operator="greaterThan">
      <formula>1</formula>
    </cfRule>
    <cfRule type="cellIs" dxfId="1120" priority="65" operator="lessThan">
      <formula>0.8</formula>
    </cfRule>
  </conditionalFormatting>
  <conditionalFormatting sqref="AC14:AC15 R14:R15 AC66 R66:R74 R20:R26 AC20:AC26 R28:R45 AC28:AC45 R76 AC5:AC9 R5:R9 R47:R53 AC47:AC53 AC57:AC63 R57:R63">
    <cfRule type="cellIs" dxfId="1119" priority="69" operator="lessThan">
      <formula>0.8</formula>
    </cfRule>
  </conditionalFormatting>
  <conditionalFormatting sqref="AC48">
    <cfRule type="cellIs" dxfId="1118" priority="71" operator="lessThan">
      <formula>0.8</formula>
    </cfRule>
  </conditionalFormatting>
  <conditionalFormatting sqref="AC21:AC26">
    <cfRule type="cellIs" dxfId="1117" priority="68" operator="lessThan">
      <formula>0.8</formula>
    </cfRule>
  </conditionalFormatting>
  <conditionalFormatting sqref="AC29">
    <cfRule type="cellIs" dxfId="1116" priority="70" operator="lessThan">
      <formula>0.8</formula>
    </cfRule>
  </conditionalFormatting>
  <conditionalFormatting sqref="AC38:AC45">
    <cfRule type="cellIs" dxfId="1115" priority="66" operator="lessThan">
      <formula>0.8</formula>
    </cfRule>
  </conditionalFormatting>
  <conditionalFormatting sqref="AA68">
    <cfRule type="cellIs" dxfId="1114" priority="62" operator="lessThan">
      <formula>0</formula>
    </cfRule>
  </conditionalFormatting>
  <conditionalFormatting sqref="AB68">
    <cfRule type="cellIs" dxfId="1113" priority="60" operator="greaterThan">
      <formula>1</formula>
    </cfRule>
    <cfRule type="cellIs" dxfId="1112" priority="61" operator="lessThan">
      <formula>0.8</formula>
    </cfRule>
  </conditionalFormatting>
  <conditionalFormatting sqref="O16:O17">
    <cfRule type="cellIs" dxfId="1111" priority="55" operator="greaterThan">
      <formula>0</formula>
    </cfRule>
  </conditionalFormatting>
  <conditionalFormatting sqref="P16:P17">
    <cfRule type="cellIs" dxfId="1110" priority="58" operator="lessThan">
      <formula>0</formula>
    </cfRule>
  </conditionalFormatting>
  <conditionalFormatting sqref="Q16:Q17">
    <cfRule type="cellIs" dxfId="1109" priority="56" operator="greaterThan">
      <formula>1</formula>
    </cfRule>
    <cfRule type="cellIs" dxfId="1108" priority="57" operator="lessThan">
      <formula>0.8</formula>
    </cfRule>
  </conditionalFormatting>
  <conditionalFormatting sqref="R16:R17 AC16:AC17">
    <cfRule type="cellIs" dxfId="1107" priority="59" operator="lessThan">
      <formula>0.8</formula>
    </cfRule>
  </conditionalFormatting>
  <conditionalFormatting sqref="O10:O12">
    <cfRule type="cellIs" dxfId="1106" priority="51" operator="greaterThan">
      <formula>0</formula>
    </cfRule>
  </conditionalFormatting>
  <conditionalFormatting sqref="P10:P12">
    <cfRule type="cellIs" dxfId="1105" priority="54" operator="lessThan">
      <formula>0</formula>
    </cfRule>
  </conditionalFormatting>
  <conditionalFormatting sqref="Q10:Q12">
    <cfRule type="cellIs" dxfId="1104" priority="52" operator="greaterThan">
      <formula>1</formula>
    </cfRule>
    <cfRule type="cellIs" dxfId="1103" priority="53" operator="lessThan">
      <formula>0.8</formula>
    </cfRule>
  </conditionalFormatting>
  <conditionalFormatting sqref="R46 AC46">
    <cfRule type="cellIs" dxfId="1102" priority="50" operator="lessThan">
      <formula>0.8</formula>
    </cfRule>
  </conditionalFormatting>
  <conditionalFormatting sqref="AC46">
    <cfRule type="cellIs" dxfId="1101" priority="49" operator="lessThan">
      <formula>0.8</formula>
    </cfRule>
  </conditionalFormatting>
  <conditionalFormatting sqref="O65">
    <cfRule type="cellIs" dxfId="1100" priority="44" operator="greaterThan">
      <formula>0</formula>
    </cfRule>
  </conditionalFormatting>
  <conditionalFormatting sqref="P65 AA65">
    <cfRule type="cellIs" dxfId="1099" priority="47" operator="lessThan">
      <formula>0</formula>
    </cfRule>
  </conditionalFormatting>
  <conditionalFormatting sqref="Q65 AB65">
    <cfRule type="cellIs" dxfId="1098" priority="45" operator="greaterThan">
      <formula>1</formula>
    </cfRule>
    <cfRule type="cellIs" dxfId="1097" priority="46" operator="lessThan">
      <formula>0.8</formula>
    </cfRule>
  </conditionalFormatting>
  <conditionalFormatting sqref="R65 AC65">
    <cfRule type="cellIs" dxfId="1096" priority="48" operator="lessThan">
      <formula>0.8</formula>
    </cfRule>
  </conditionalFormatting>
  <conditionalFormatting sqref="O75">
    <cfRule type="cellIs" dxfId="1095" priority="39" operator="greaterThan">
      <formula>0</formula>
    </cfRule>
  </conditionalFormatting>
  <conditionalFormatting sqref="P75">
    <cfRule type="cellIs" dxfId="1094" priority="42" operator="lessThan">
      <formula>0</formula>
    </cfRule>
  </conditionalFormatting>
  <conditionalFormatting sqref="Q75">
    <cfRule type="cellIs" dxfId="1093" priority="40" operator="greaterThan">
      <formula>1</formula>
    </cfRule>
    <cfRule type="cellIs" dxfId="1092" priority="41" operator="lessThan">
      <formula>0.8</formula>
    </cfRule>
  </conditionalFormatting>
  <conditionalFormatting sqref="R75">
    <cfRule type="cellIs" dxfId="1091" priority="43" operator="lessThan">
      <formula>0.8</formula>
    </cfRule>
  </conditionalFormatting>
  <conditionalFormatting sqref="O18:O19">
    <cfRule type="cellIs" dxfId="1090" priority="34" operator="greaterThan">
      <formula>0</formula>
    </cfRule>
  </conditionalFormatting>
  <conditionalFormatting sqref="P18:P19">
    <cfRule type="cellIs" dxfId="1089" priority="37" operator="lessThan">
      <formula>0</formula>
    </cfRule>
  </conditionalFormatting>
  <conditionalFormatting sqref="Q18:Q19">
    <cfRule type="cellIs" dxfId="1088" priority="35" operator="greaterThan">
      <formula>1</formula>
    </cfRule>
    <cfRule type="cellIs" dxfId="1087" priority="36" operator="lessThan">
      <formula>0.8</formula>
    </cfRule>
  </conditionalFormatting>
  <conditionalFormatting sqref="R18:R19 AC18:AC19">
    <cfRule type="cellIs" dxfId="1086" priority="38" operator="lessThan">
      <formula>0.8</formula>
    </cfRule>
  </conditionalFormatting>
  <conditionalFormatting sqref="O54">
    <cfRule type="cellIs" dxfId="1085" priority="28" operator="greaterThan">
      <formula>0</formula>
    </cfRule>
  </conditionalFormatting>
  <conditionalFormatting sqref="P54">
    <cfRule type="cellIs" dxfId="1084" priority="32" operator="lessThan">
      <formula>0</formula>
    </cfRule>
  </conditionalFormatting>
  <conditionalFormatting sqref="Q54">
    <cfRule type="cellIs" dxfId="1083" priority="29" operator="greaterThan">
      <formula>1</formula>
    </cfRule>
    <cfRule type="cellIs" dxfId="1082" priority="30" operator="lessThan">
      <formula>0.8</formula>
    </cfRule>
  </conditionalFormatting>
  <conditionalFormatting sqref="R54 AC54">
    <cfRule type="cellIs" dxfId="1081" priority="33" operator="lessThan">
      <formula>0.8</formula>
    </cfRule>
  </conditionalFormatting>
  <conditionalFormatting sqref="AC54">
    <cfRule type="cellIs" dxfId="1080" priority="31" operator="lessThan">
      <formula>0.8</formula>
    </cfRule>
  </conditionalFormatting>
  <conditionalFormatting sqref="O55">
    <cfRule type="cellIs" dxfId="1079" priority="22" operator="greaterThan">
      <formula>0</formula>
    </cfRule>
  </conditionalFormatting>
  <conditionalFormatting sqref="P55">
    <cfRule type="cellIs" dxfId="1078" priority="26" operator="lessThan">
      <formula>0</formula>
    </cfRule>
  </conditionalFormatting>
  <conditionalFormatting sqref="Q55">
    <cfRule type="cellIs" dxfId="1077" priority="23" operator="greaterThan">
      <formula>1</formula>
    </cfRule>
    <cfRule type="cellIs" dxfId="1076" priority="24" operator="lessThan">
      <formula>0.8</formula>
    </cfRule>
  </conditionalFormatting>
  <conditionalFormatting sqref="R55 AC55">
    <cfRule type="cellIs" dxfId="1075" priority="27" operator="lessThan">
      <formula>0.8</formula>
    </cfRule>
  </conditionalFormatting>
  <conditionalFormatting sqref="AC55">
    <cfRule type="cellIs" dxfId="1074" priority="25" operator="lessThan">
      <formula>0.8</formula>
    </cfRule>
  </conditionalFormatting>
  <conditionalFormatting sqref="R27 AC27">
    <cfRule type="cellIs" dxfId="1073" priority="21" operator="lessThan">
      <formula>0.8</formula>
    </cfRule>
  </conditionalFormatting>
  <conditionalFormatting sqref="AC27">
    <cfRule type="cellIs" dxfId="1072" priority="20" operator="lessThan">
      <formula>0.8</formula>
    </cfRule>
  </conditionalFormatting>
  <conditionalFormatting sqref="O56">
    <cfRule type="cellIs" dxfId="1071" priority="14" operator="greaterThan">
      <formula>0</formula>
    </cfRule>
  </conditionalFormatting>
  <conditionalFormatting sqref="P56">
    <cfRule type="cellIs" dxfId="1070" priority="18" operator="lessThan">
      <formula>0</formula>
    </cfRule>
  </conditionalFormatting>
  <conditionalFormatting sqref="Q56">
    <cfRule type="cellIs" dxfId="1069" priority="15" operator="greaterThan">
      <formula>1</formula>
    </cfRule>
    <cfRule type="cellIs" dxfId="1068" priority="16" operator="lessThan">
      <formula>0.8</formula>
    </cfRule>
  </conditionalFormatting>
  <conditionalFormatting sqref="R56 AC56">
    <cfRule type="cellIs" dxfId="1067" priority="19" operator="lessThan">
      <formula>0.8</formula>
    </cfRule>
  </conditionalFormatting>
  <conditionalFormatting sqref="AC56">
    <cfRule type="cellIs" dxfId="1066" priority="17" operator="lessThan">
      <formula>0.8</formula>
    </cfRule>
  </conditionalFormatting>
  <conditionalFormatting sqref="O64">
    <cfRule type="cellIs" dxfId="1065" priority="9" operator="greaterThan">
      <formula>0</formula>
    </cfRule>
  </conditionalFormatting>
  <conditionalFormatting sqref="P64 AA64">
    <cfRule type="cellIs" dxfId="1064" priority="12" operator="lessThan">
      <formula>0</formula>
    </cfRule>
  </conditionalFormatting>
  <conditionalFormatting sqref="Q64 AB64">
    <cfRule type="cellIs" dxfId="1063" priority="10" operator="greaterThan">
      <formula>1</formula>
    </cfRule>
    <cfRule type="cellIs" dxfId="1062" priority="11" operator="lessThan">
      <formula>0.8</formula>
    </cfRule>
  </conditionalFormatting>
  <conditionalFormatting sqref="R64 AC64">
    <cfRule type="cellIs" dxfId="1061" priority="13" operator="lessThan">
      <formula>0.8</formula>
    </cfRule>
  </conditionalFormatting>
  <conditionalFormatting sqref="P8">
    <cfRule type="cellIs" dxfId="1060" priority="8" operator="lessThan">
      <formula>0</formula>
    </cfRule>
  </conditionalFormatting>
  <conditionalFormatting sqref="P20">
    <cfRule type="cellIs" dxfId="1059" priority="7" operator="lessThan">
      <formula>0</formula>
    </cfRule>
  </conditionalFormatting>
  <conditionalFormatting sqref="P28">
    <cfRule type="cellIs" dxfId="1058" priority="6" operator="lessThan">
      <formula>0</formula>
    </cfRule>
  </conditionalFormatting>
  <conditionalFormatting sqref="P37">
    <cfRule type="cellIs" dxfId="1057" priority="5" operator="lessThan">
      <formula>0</formula>
    </cfRule>
  </conditionalFormatting>
  <conditionalFormatting sqref="P57">
    <cfRule type="cellIs" dxfId="1056" priority="4" operator="lessThan">
      <formula>0</formula>
    </cfRule>
  </conditionalFormatting>
  <conditionalFormatting sqref="P62">
    <cfRule type="cellIs" dxfId="1055" priority="3" operator="lessThan">
      <formula>0</formula>
    </cfRule>
  </conditionalFormatting>
  <conditionalFormatting sqref="P68">
    <cfRule type="cellIs" dxfId="1054" priority="2" operator="lessThan">
      <formula>0</formula>
    </cfRule>
  </conditionalFormatting>
  <conditionalFormatting sqref="P76">
    <cfRule type="cellIs" dxfId="1053" priority="1" operator="lessThan">
      <formula>0</formula>
    </cfRule>
  </conditionalFormatting>
  <dataValidations count="1">
    <dataValidation type="list" allowBlank="1" showInputMessage="1" showErrorMessage="1" sqref="Z8 Z67 Y5:Z7 Y8:Y67 Z10:Z63 Y68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1" sqref="B1:J2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82" t="s">
        <v>626</v>
      </c>
      <c r="C3" s="421" t="str">
        <f>TEXT('0712 4度C'!A2,"yyyy.mm.ddaaaa")</f>
        <v>2025.07.12星期六</v>
      </c>
      <c r="D3" s="421"/>
      <c r="E3" s="182" t="s">
        <v>127</v>
      </c>
      <c r="F3" s="422">
        <f>'0712 4度C'!D1</f>
        <v>136410</v>
      </c>
      <c r="G3" s="422"/>
      <c r="H3" s="182" t="s">
        <v>627</v>
      </c>
      <c r="I3" s="423">
        <f>'0712 4度C'!F1</f>
        <v>4638563.3599999994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128</v>
      </c>
      <c r="D4" s="424"/>
      <c r="E4" s="425" t="s">
        <v>92</v>
      </c>
      <c r="F4" s="425"/>
      <c r="G4" s="425" t="s">
        <v>628</v>
      </c>
      <c r="H4" s="425"/>
      <c r="I4" s="425" t="s">
        <v>629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130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140.72011451770291</v>
      </c>
      <c r="F6" s="424">
        <f>AVERAGE(D27:O27,D13:J13)</f>
        <v>143.88587788243277</v>
      </c>
      <c r="G6" s="429">
        <f>AVERAGE(D13:J13)</f>
        <v>143.88587788243277</v>
      </c>
      <c r="H6" s="429"/>
      <c r="I6" s="429">
        <f>AVERAGE(K13:M13)</f>
        <v>133.33333333333334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127.10230457811149</v>
      </c>
      <c r="F7" s="434">
        <f>AVERAGE(D28:O28,D14:J14)</f>
        <v>130.0860585555213</v>
      </c>
      <c r="G7" s="435">
        <f>AVERAGE(D14:J14)</f>
        <v>130.0860585555213</v>
      </c>
      <c r="H7" s="435"/>
      <c r="I7" s="435">
        <f>AVERAGE(K14:M14)</f>
        <v>120.14021196415526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0.90309469454320934</v>
      </c>
      <c r="F8" s="432">
        <f>AVERAGE(D15:J15,D29:O29)</f>
        <v>0.90395829458517707</v>
      </c>
      <c r="G8" s="437">
        <f>AVERAGE(D15:J15)</f>
        <v>0.90395829458517707</v>
      </c>
      <c r="H8" s="437"/>
      <c r="I8" s="437">
        <f>AVERAGE(K15:M15)</f>
        <v>0.9010796277786185</v>
      </c>
      <c r="J8" s="437"/>
      <c r="K8" s="34" t="s">
        <v>630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631</v>
      </c>
      <c r="L10" s="444"/>
      <c r="M10" s="445"/>
      <c r="P10" s="37"/>
      <c r="Q10" s="37"/>
    </row>
    <row r="11" spans="2:17" ht="17.25" customHeight="1">
      <c r="B11" s="431" t="s">
        <v>632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633</v>
      </c>
      <c r="H12" s="42" t="s">
        <v>100</v>
      </c>
      <c r="I12" s="42" t="s">
        <v>101</v>
      </c>
      <c r="J12" s="43" t="s">
        <v>634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635</v>
      </c>
      <c r="D13" s="45">
        <f>SUMIFS('0712 4度C'!$K:$K,'0712 4度C'!$A:$A,"燴飯線",'0712 4度C'!$B:$B,"平均")</f>
        <v>105.88235294117646</v>
      </c>
      <c r="E13" s="46">
        <f>SUMIFS('0712 4度C'!$K:$K,'0712 4度C'!$A:$A,"沙拉線一線",'0712 4度C'!$B:$B,"平均")</f>
        <v>80</v>
      </c>
      <c r="F13" s="47">
        <f>SUMIFS('0712 4度C'!$K:$K,'0712 4度C'!$A:$A,"沙拉線二線",'0712 4度C'!$B:$B,"平均")</f>
        <v>80.702127659574472</v>
      </c>
      <c r="G13" s="47">
        <f>SUMIFS('0712 4度C'!$K:$K,'0712 4度C'!$A:$A,"沙拉線三線",'0712 4度C'!$B:$B,"平均")</f>
        <v>107.14285714285714</v>
      </c>
      <c r="H13" s="47">
        <f>SUMIFS('0712 4度C'!$K:$K,'0712 4度C'!$A:$A,"自動包裝線",'0712 4度C'!$B:$B,"平均")</f>
        <v>300</v>
      </c>
      <c r="I13" s="47">
        <f>SUMIFS('0712 4度C'!$K:$K,'0712 4度C'!$A:$A,"涼麵一線",'0712 4度C'!$B:$B,"平均")</f>
        <v>89.552238805970148</v>
      </c>
      <c r="J13" s="48">
        <f>SUMIFS('0712 4度C'!$K:$K,'0712 4度C'!$A:$A,"三明治四線",'0712 4度C'!$B:$B,"平均")</f>
        <v>243.92156862745099</v>
      </c>
      <c r="K13" s="49">
        <f>SUMIFS('0712 4度C'!$K:$K,'0712 4度C'!$A:$A,"三明治一線",'0712 4度C'!$B:$B,"平均")</f>
        <v>136.36363636363635</v>
      </c>
      <c r="L13" s="50">
        <f>SUMIFS('0712 4度C'!$K:$K,'0712 4度C'!$A:$A,"三明治二線",'0712 4度C'!$B:$B,"平均")</f>
        <v>127.27272727272727</v>
      </c>
      <c r="M13" s="48">
        <f>SUMIFS('0712 4度C'!$K:$K,'0712 4度C'!$A:$A,"自動包裝二線",'0712 4度C'!$B:$B,"平均")</f>
        <v>136.36363636363635</v>
      </c>
    </row>
    <row r="14" spans="2:17" ht="39.6" customHeight="1">
      <c r="B14" s="447"/>
      <c r="C14" s="51" t="s">
        <v>88</v>
      </c>
      <c r="D14" s="52">
        <f>SUMIFS('0712 4度C'!$N:$N,'0712 4度C'!$A:$A,"燴飯線",'0712 4度C'!$B:$B,"平均")</f>
        <v>95.747517188693635</v>
      </c>
      <c r="E14" s="53">
        <f>SUMIFS('0712 4度C'!$N:$N,'0712 4度C'!$A:$A,"沙拉線一線",'0712 4度C'!$B:$B,"平均")</f>
        <v>72.11835425002522</v>
      </c>
      <c r="F14" s="53">
        <f>SUMIFS('0712 4度C'!$N:$N,'0712 4度C'!$A:$A,"沙拉線二線",'0712 4度C'!$B:$B,"平均")</f>
        <v>72.80651178828289</v>
      </c>
      <c r="G14" s="53">
        <f>SUMIFS('0712 4度C'!$N:$N,'0712 4度C'!$A:$A,"沙拉線三線",'0712 4度C'!$B:$B,"平均")</f>
        <v>97.262585637533547</v>
      </c>
      <c r="H14" s="53">
        <f>SUMIFS('0712 4度C'!$N:$N,'0712 4度C'!$A:$A,"自動包裝線",'0712 4度C'!$B:$B,"平均")</f>
        <v>270.90592223733881</v>
      </c>
      <c r="I14" s="53">
        <f>SUMIFS('0712 4度C'!$N:$N,'0712 4度C'!$A:$A,"涼麵一線",'0712 4度C'!$B:$B,"平均")</f>
        <v>80.919051501141027</v>
      </c>
      <c r="J14" s="54">
        <f>SUMIFS('0712 4度C'!$N:$N,'0712 4度C'!$A:$A,"三明治四線",'0712 4度C'!$B:$B,"平均")</f>
        <v>220.842467285634</v>
      </c>
      <c r="K14" s="55">
        <f>SUMIFS('0712 4度C'!$N:$N,'0712 4度C'!$A:$A,"三明治一線",'0712 4度C'!$B:$B,"平均")</f>
        <v>122.90389532320478</v>
      </c>
      <c r="L14" s="56">
        <f>SUMIFS('0712 4度C'!$N:$N,'0712 4度C'!$A:$A,"三明治二線",'0712 4度C'!$B:$B,"平均")</f>
        <v>114.83987478302024</v>
      </c>
      <c r="M14" s="54">
        <f>SUMIFS('0712 4度C'!$N:$N,'0712 4度C'!$A:$A,"自動包裝二線",'0712 4度C'!$B:$B,"平均")</f>
        <v>122.67686578624075</v>
      </c>
    </row>
    <row r="15" spans="2:17" ht="40.15" customHeight="1">
      <c r="B15" s="447"/>
      <c r="C15" s="57" t="s">
        <v>636</v>
      </c>
      <c r="D15" s="58">
        <f>D14/D13</f>
        <v>0.90428210678210663</v>
      </c>
      <c r="E15" s="59">
        <f t="shared" ref="E15:M15" si="0">E14/E13</f>
        <v>0.90147942812531523</v>
      </c>
      <c r="F15" s="59">
        <f t="shared" si="0"/>
        <v>0.90216347325317581</v>
      </c>
      <c r="G15" s="59">
        <f t="shared" si="0"/>
        <v>0.90778413261697977</v>
      </c>
      <c r="H15" s="59">
        <f>H14/H13</f>
        <v>0.90301974079112934</v>
      </c>
      <c r="I15" s="59">
        <f>I14/I13</f>
        <v>0.90359607509607476</v>
      </c>
      <c r="J15" s="60">
        <f>J14/J13</f>
        <v>0.90538310543145761</v>
      </c>
      <c r="K15" s="58">
        <f>K14/K13</f>
        <v>0.90129523237016851</v>
      </c>
      <c r="L15" s="59">
        <f>L14/L13</f>
        <v>0.90231330186658765</v>
      </c>
      <c r="M15" s="60">
        <f t="shared" si="0"/>
        <v>0.899630349099099</v>
      </c>
    </row>
    <row r="16" spans="2:17" ht="17.25" customHeight="1">
      <c r="B16" s="430" t="s">
        <v>136</v>
      </c>
      <c r="C16" s="181" t="s">
        <v>103</v>
      </c>
      <c r="D16" s="61">
        <f>VLOOKUP("燴飯線",'0712 4度C'!$A:$T,19,0)</f>
        <v>0.70833333333333337</v>
      </c>
      <c r="E16" s="24">
        <f>VLOOKUP("沙拉線一線",'0712 4度C'!$A:$T,19,0)</f>
        <v>0.12847222222222221</v>
      </c>
      <c r="F16" s="24">
        <f>VLOOKUP("沙拉線二線",'0712 4度C'!$A:$T,19,0)</f>
        <v>0.25</v>
      </c>
      <c r="G16" s="24">
        <f>VLOOKUP("沙拉線三線",'0712 4度C'!$A:$T,19,0)</f>
        <v>0.25</v>
      </c>
      <c r="H16" s="24">
        <f>VLOOKUP("自動包裝線",'0712 4度C'!$A:$T,19,0)</f>
        <v>0.20833333333333334</v>
      </c>
      <c r="I16" s="24">
        <f>VLOOKUP("涼麵一線",'0712 4度C'!$A:$T,19,0)</f>
        <v>0.29305555555555557</v>
      </c>
      <c r="J16" s="62">
        <f>VLOOKUP("三明治四線",'0712 4度C'!$A:$T,19,0)</f>
        <v>0.25069444444444444</v>
      </c>
      <c r="K16" s="63">
        <f>VLOOKUP("三明治一線",'0712 4度C'!$A:$T,19,0)</f>
        <v>0.125</v>
      </c>
      <c r="L16" s="64">
        <f>VLOOKUP("三明治二線",'0712 4度C'!$A:$T,19,0)</f>
        <v>0.125</v>
      </c>
      <c r="M16" s="65">
        <f>VLOOKUP("自動包裝二線",'0712 4度C'!$A:$T,19,0)</f>
        <v>0.125</v>
      </c>
    </row>
    <row r="17" spans="2:13" ht="17.25" customHeight="1">
      <c r="B17" s="431"/>
      <c r="C17" s="181" t="s">
        <v>637</v>
      </c>
      <c r="D17" s="63">
        <f>LOOKUP(2,1/(('0712 4度C'!$A:$A="燴飯線")*('0712 4度C'!$T:$T&lt;&gt;"")),'0712 4度C'!$T:$T)</f>
        <v>0.85555555555555562</v>
      </c>
      <c r="E17" s="24">
        <f>LOOKUP(2,1/(('0712 4度C'!$A:$A="沙拉線一線")*('0712 4度C'!$T:$T&lt;&gt;"")),'0712 4度C'!$T:$T)</f>
        <v>0.62361111111111101</v>
      </c>
      <c r="F17" s="24">
        <f>LOOKUP(2,1/(('0712 4度C'!$A:$A="沙拉線二線")*('0712 4度C'!$T:$T&lt;&gt;"")),'0712 4度C'!$T:$T)</f>
        <v>0.83402777777777781</v>
      </c>
      <c r="G17" s="24">
        <f>LOOKUP(2,1/(('0712 4度C'!$A:$A="沙拉線三線")*('0712 4度C'!$T:$T&lt;&gt;"")),'0712 4度C'!$T:$T)</f>
        <v>0.82291666666666674</v>
      </c>
      <c r="H17" s="24">
        <f>LOOKUP(2,1/(('0712 4度C'!$A:$A="自動包裝線")*('0712 4度C'!$T:$T&lt;&gt;"")),'0712 4度C'!$T:$T)</f>
        <v>0.57847222222222205</v>
      </c>
      <c r="I17" s="24">
        <f>LOOKUP(2,1/(('0712 4度C'!$A:$A="涼麵一線")*('0712 4度C'!$T:$T&lt;&gt;"")),'0712 4度C'!$T:$T)</f>
        <v>0.82361111111111118</v>
      </c>
      <c r="J17" s="62">
        <f>LOOKUP(2,1/(('0712 4度C'!$A:$A="三明治四線")*('0712 4度C'!$T:$T&lt;&gt;"")),'0712 4度C'!$T:$T)</f>
        <v>0.46458333333333329</v>
      </c>
      <c r="K17" s="61">
        <f>LOOKUP(2,1/(('0712 4度C'!$A:$A="三明治一線")*('0712 4度C'!$T:$T&lt;&gt;"")),'0712 4度C'!$T:$T)</f>
        <v>0.50555555555555554</v>
      </c>
      <c r="L17" s="24">
        <f>LOOKUP(2,1/(('0712 4度C'!$A:$A="三明治二線")*('0712 4度C'!$T:$T&lt;&gt;"")),'0712 4度C'!$T:$T)</f>
        <v>0.57152777777777775</v>
      </c>
      <c r="M17" s="62">
        <f>LOOKUP(2,1/(('0712 4度C'!$A:$A="自動包裝二線")*('0712 4度C'!$T:$T&lt;&gt;"")),'0712 4度C'!$T:$T)</f>
        <v>0.52777777777777768</v>
      </c>
    </row>
    <row r="18" spans="2:13" ht="17.25" customHeight="1">
      <c r="B18" s="431" t="s">
        <v>638</v>
      </c>
      <c r="C18" s="446"/>
      <c r="D18" s="66">
        <f>SUMIFS('0712 4度C'!$I:$I,'0712 4度C'!$A:$A,"燴飯線",'0712 4度C'!$B:$B,"平均")</f>
        <v>17</v>
      </c>
      <c r="E18" s="67">
        <f>SUMIFS('0712 4度C'!$I:$I,'0712 4度C'!$A:$A,"沙拉線一線",'0712 4度C'!$B:$B,"平均")</f>
        <v>18.75</v>
      </c>
      <c r="F18" s="67">
        <f>SUMIFS('0712 4度C'!$I:$I,'0712 4度C'!$A:$A,"沙拉線二線",'0712 4度C'!$B:$B,"平均")</f>
        <v>18.8</v>
      </c>
      <c r="G18" s="67">
        <f>SUMIFS('0712 4度C'!$I:$I,'0712 4度C'!$A:$A,"沙拉線三線",'0712 4度C'!$B:$B,"平均")</f>
        <v>16</v>
      </c>
      <c r="H18" s="67">
        <f>SUMIFS('0712 4度C'!$I:$I,'0712 4度C'!$A:$A,"自動包裝線",'0712 4度C'!$B:$B,"平均")</f>
        <v>10</v>
      </c>
      <c r="I18" s="67">
        <f>SUMIFS('0712 4度C'!$I:$I,'0712 4度C'!$A:$A,"涼麵一線",'0712 4度C'!$B:$B,"平均")</f>
        <v>16.75</v>
      </c>
      <c r="J18" s="68">
        <f>SUMIFS('0712 4度C'!$I:$I,'0712 4度C'!$A:$A,"三明治四線",'0712 4度C'!$B:$B,"平均")</f>
        <v>10.199999999999999</v>
      </c>
      <c r="K18" s="66">
        <f>SUMIFS('0712 4度C'!$I:$I,'0712 4度C'!$A:$A,"三明治一線",'0712 4度C'!$B:$B,"平均")</f>
        <v>17.600000000000001</v>
      </c>
      <c r="L18" s="67">
        <f>SUMIFS('0712 4度C'!$I:$I,'0712 4度C'!$A:$A,"三明治二線",'0712 4度C'!$B:$B,"平均")</f>
        <v>18.857142857142858</v>
      </c>
      <c r="M18" s="68">
        <f>SUMIFS('0712 4度C'!$I:$I,'0712 4度C'!$A:$A,"自動包裝二線",'0712 4度C'!$B:$B,"平均")</f>
        <v>17.600000000000001</v>
      </c>
    </row>
    <row r="19" spans="2:13" ht="17.25" customHeight="1">
      <c r="B19" s="448" t="s">
        <v>639</v>
      </c>
      <c r="C19" s="449"/>
      <c r="D19" s="69" t="s">
        <v>50</v>
      </c>
      <c r="E19" s="70" t="s">
        <v>51</v>
      </c>
      <c r="F19" s="70" t="s">
        <v>640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641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142</v>
      </c>
      <c r="G21" s="453"/>
      <c r="H21" s="73" t="s">
        <v>642</v>
      </c>
      <c r="I21" s="73" t="s">
        <v>643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05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zoomScale="80" zoomScaleNormal="80" workbookViewId="0">
      <pane ySplit="4" topLeftCell="A5" activePane="bottomLeft" state="frozen"/>
      <selection activeCell="B1" sqref="B1:J2"/>
      <selection pane="bottomLeft" activeCell="B1" sqref="B1:J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SUM(F5:F66)</f>
        <v>136410</v>
      </c>
      <c r="E1" s="188" t="s">
        <v>82</v>
      </c>
      <c r="F1" s="1">
        <f>SUM(G5:G66)</f>
        <v>4638563.3599999994</v>
      </c>
      <c r="G1" s="1" t="s">
        <v>111</v>
      </c>
      <c r="H1" s="4">
        <f>L8+L13+L49+L54+L19+L60+L33+L41+L27+L66</f>
        <v>161.55714285714285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45850</v>
      </c>
      <c r="B2" s="23" t="s">
        <v>355</v>
      </c>
      <c r="C2" s="2" t="s">
        <v>114</v>
      </c>
      <c r="D2" s="6">
        <f>AVERAGE(N8,N13,N49,N54,N19,N60,N27,N33,N41,N66)</f>
        <v>127.10230457811149</v>
      </c>
      <c r="E2" s="7" t="s">
        <v>0</v>
      </c>
      <c r="F2" s="8">
        <f>F1/D1</f>
        <v>34.004569752950658</v>
      </c>
      <c r="G2" s="1" t="s">
        <v>146</v>
      </c>
      <c r="H2" s="194">
        <f>COUNT(H5:H66)</f>
        <v>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115</v>
      </c>
      <c r="B3" s="456" t="s">
        <v>116</v>
      </c>
      <c r="C3" s="456" t="s">
        <v>147</v>
      </c>
      <c r="D3" s="456"/>
      <c r="E3" s="457" t="s">
        <v>117</v>
      </c>
      <c r="F3" s="456" t="s">
        <v>118</v>
      </c>
      <c r="G3" s="457" t="s">
        <v>148</v>
      </c>
      <c r="H3" s="463" t="s">
        <v>119</v>
      </c>
      <c r="I3" s="464" t="s">
        <v>76</v>
      </c>
      <c r="J3" s="465" t="s">
        <v>149</v>
      </c>
      <c r="K3" s="459" t="s">
        <v>114</v>
      </c>
      <c r="L3" s="464" t="s">
        <v>76</v>
      </c>
      <c r="M3" s="465" t="s">
        <v>149</v>
      </c>
      <c r="N3" s="459" t="s">
        <v>114</v>
      </c>
      <c r="O3" s="464" t="s">
        <v>76</v>
      </c>
      <c r="P3" s="459" t="s">
        <v>114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150</v>
      </c>
      <c r="X3" s="456"/>
      <c r="Y3" s="475" t="s">
        <v>120</v>
      </c>
      <c r="Z3" s="476"/>
      <c r="AA3" s="465" t="s">
        <v>149</v>
      </c>
      <c r="AB3" s="460" t="s">
        <v>121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93" t="s">
        <v>3</v>
      </c>
      <c r="T4" s="193" t="s">
        <v>4</v>
      </c>
      <c r="U4" s="463"/>
      <c r="V4" s="463"/>
      <c r="W4" s="188" t="s">
        <v>151</v>
      </c>
      <c r="X4" s="188" t="s">
        <v>122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193">
        <v>1205</v>
      </c>
      <c r="G5" s="188">
        <f>E5*F5</f>
        <v>56550.65</v>
      </c>
      <c r="H5" s="76" t="s">
        <v>57</v>
      </c>
      <c r="I5" s="191">
        <v>17</v>
      </c>
      <c r="J5" s="18">
        <v>1800</v>
      </c>
      <c r="K5" s="9">
        <f>J5/I5</f>
        <v>105.88235294117646</v>
      </c>
      <c r="L5" s="191">
        <v>17</v>
      </c>
      <c r="M5" s="10">
        <f>F5/V5*60</f>
        <v>1643.1818181818182</v>
      </c>
      <c r="N5" s="9">
        <f>M5/L5</f>
        <v>96.657754010695186</v>
      </c>
      <c r="O5" s="11">
        <f t="shared" ref="O5:O7" si="0">L5-I5</f>
        <v>0</v>
      </c>
      <c r="P5" s="12">
        <f t="shared" ref="P5:P7" si="1">N5-K5</f>
        <v>-9.2245989304812781</v>
      </c>
      <c r="Q5" s="189">
        <f>N5/K5</f>
        <v>0.91287878787878796</v>
      </c>
      <c r="R5" s="470">
        <f>Q8</f>
        <v>0.90428210678210663</v>
      </c>
      <c r="S5" s="24">
        <v>0.70833333333333337</v>
      </c>
      <c r="T5" s="24">
        <v>0.73888888888888893</v>
      </c>
      <c r="U5" s="188"/>
      <c r="V5" s="192">
        <f>(T5-S5)*24*60</f>
        <v>44</v>
      </c>
      <c r="W5" s="13"/>
      <c r="X5" s="13"/>
      <c r="Y5" s="456"/>
      <c r="Z5" s="456"/>
      <c r="AA5" s="11">
        <f t="shared" ref="AA5:AA66" si="2">M5-J5</f>
        <v>-156.81818181818176</v>
      </c>
      <c r="AB5" s="189">
        <f t="shared" ref="AB5:AB7" si="3">M5/J5</f>
        <v>0.91287878787878796</v>
      </c>
      <c r="AC5" s="470">
        <f>AB8</f>
        <v>0.90428210678210652</v>
      </c>
    </row>
    <row r="6" spans="1:29">
      <c r="A6" s="464" t="s">
        <v>152</v>
      </c>
      <c r="B6" s="26" t="s">
        <v>13</v>
      </c>
      <c r="C6" s="472" t="s">
        <v>60</v>
      </c>
      <c r="D6" s="472"/>
      <c r="E6" s="26">
        <v>50.49</v>
      </c>
      <c r="F6" s="193">
        <v>2077</v>
      </c>
      <c r="G6" s="188">
        <f t="shared" ref="G6:G7" si="4">E6*F6</f>
        <v>104867.73000000001</v>
      </c>
      <c r="H6" s="76" t="s">
        <v>57</v>
      </c>
      <c r="I6" s="191">
        <v>16</v>
      </c>
      <c r="J6" s="18">
        <v>1800</v>
      </c>
      <c r="K6" s="9">
        <f t="shared" ref="K6:K7" si="5">J6/I6</f>
        <v>112.5</v>
      </c>
      <c r="L6" s="191">
        <v>16</v>
      </c>
      <c r="M6" s="10">
        <f>F6/V6*60</f>
        <v>1618.4415584415576</v>
      </c>
      <c r="N6" s="9">
        <f t="shared" ref="N6:N7" si="6">M6/L6</f>
        <v>101.15259740259735</v>
      </c>
      <c r="O6" s="11">
        <f t="shared" si="0"/>
        <v>0</v>
      </c>
      <c r="P6" s="12">
        <f t="shared" si="1"/>
        <v>-11.347402597402649</v>
      </c>
      <c r="Q6" s="189">
        <f t="shared" ref="Q6:Q7" si="7">N6/K6</f>
        <v>0.89913419913419868</v>
      </c>
      <c r="R6" s="470"/>
      <c r="S6" s="24">
        <v>0.74305555555555558</v>
      </c>
      <c r="T6" s="24">
        <v>0.79652777777777783</v>
      </c>
      <c r="U6" s="188">
        <f>(S6-T5)*24*60</f>
        <v>5.9999999999999787</v>
      </c>
      <c r="V6" s="192">
        <f>(T6-S6)*24*60</f>
        <v>77.000000000000043</v>
      </c>
      <c r="W6" s="14"/>
      <c r="X6" s="14"/>
      <c r="Y6" s="456"/>
      <c r="Z6" s="456"/>
      <c r="AA6" s="11">
        <f t="shared" si="2"/>
        <v>-181.55844155844238</v>
      </c>
      <c r="AB6" s="189">
        <f t="shared" si="3"/>
        <v>0.89913419913419868</v>
      </c>
      <c r="AC6" s="470"/>
    </row>
    <row r="7" spans="1:29">
      <c r="A7" s="464" t="s">
        <v>152</v>
      </c>
      <c r="B7" s="26" t="s">
        <v>13</v>
      </c>
      <c r="C7" s="468" t="s">
        <v>448</v>
      </c>
      <c r="D7" s="469"/>
      <c r="E7" s="26">
        <v>50.67</v>
      </c>
      <c r="F7" s="193">
        <v>2162</v>
      </c>
      <c r="G7" s="188">
        <f t="shared" si="4"/>
        <v>109548.54000000001</v>
      </c>
      <c r="H7" s="76" t="s">
        <v>57</v>
      </c>
      <c r="I7" s="191">
        <v>18</v>
      </c>
      <c r="J7" s="18">
        <v>1800</v>
      </c>
      <c r="K7" s="9">
        <f t="shared" si="5"/>
        <v>100</v>
      </c>
      <c r="L7" s="191">
        <v>18</v>
      </c>
      <c r="M7" s="10">
        <f t="shared" ref="M7" si="8">F7/V7*60</f>
        <v>1621.4999999999995</v>
      </c>
      <c r="N7" s="9">
        <f t="shared" si="6"/>
        <v>90.083333333333314</v>
      </c>
      <c r="O7" s="11">
        <f t="shared" si="0"/>
        <v>0</v>
      </c>
      <c r="P7" s="12">
        <f t="shared" si="1"/>
        <v>-9.9166666666666856</v>
      </c>
      <c r="Q7" s="189">
        <f t="shared" si="7"/>
        <v>0.90083333333333315</v>
      </c>
      <c r="R7" s="470"/>
      <c r="S7" s="24">
        <v>0.8</v>
      </c>
      <c r="T7" s="24">
        <v>0.85555555555555562</v>
      </c>
      <c r="U7" s="188">
        <f t="shared" ref="U7" si="9">(S7-T6)*24*60</f>
        <v>4.9999999999999822</v>
      </c>
      <c r="V7" s="192">
        <f t="shared" ref="V7" si="10">(T7-S7)*24*60</f>
        <v>80.000000000000028</v>
      </c>
      <c r="W7" s="14"/>
      <c r="X7" s="14"/>
      <c r="Y7" s="473"/>
      <c r="Z7" s="474"/>
      <c r="AA7" s="11">
        <f t="shared" si="2"/>
        <v>-178.50000000000045</v>
      </c>
      <c r="AB7" s="189">
        <f t="shared" si="3"/>
        <v>0.90083333333333304</v>
      </c>
      <c r="AC7" s="470"/>
    </row>
    <row r="8" spans="1:29">
      <c r="A8" s="464" t="s">
        <v>152</v>
      </c>
      <c r="B8" s="26" t="s">
        <v>81</v>
      </c>
      <c r="C8" s="466"/>
      <c r="D8" s="466"/>
      <c r="E8" s="187"/>
      <c r="F8" s="16"/>
      <c r="G8" s="9"/>
      <c r="H8" s="19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1627.7077922077917</v>
      </c>
      <c r="N8" s="9">
        <f>M8/L8</f>
        <v>95.747517188693635</v>
      </c>
      <c r="O8" s="11">
        <f>L8-I8</f>
        <v>0</v>
      </c>
      <c r="P8" s="12">
        <f>N8-K8</f>
        <v>-10.134835752482829</v>
      </c>
      <c r="Q8" s="189">
        <f>N8/K8</f>
        <v>0.90428210678210663</v>
      </c>
      <c r="R8" s="470"/>
      <c r="S8" s="24"/>
      <c r="T8" s="24"/>
      <c r="U8" s="188"/>
      <c r="V8" s="192"/>
      <c r="W8" s="9"/>
      <c r="X8" s="9"/>
      <c r="Y8" s="456"/>
      <c r="Z8" s="456"/>
      <c r="AA8" s="11">
        <f t="shared" si="2"/>
        <v>-172.29220779220827</v>
      </c>
      <c r="AB8" s="189">
        <f>M8/J8</f>
        <v>0.90428210678210652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193">
        <v>1500</v>
      </c>
      <c r="G9" s="188">
        <f t="shared" ref="G9:G12" si="11">E9*F9</f>
        <v>59429.999999999993</v>
      </c>
      <c r="H9" s="76">
        <v>2</v>
      </c>
      <c r="I9" s="191">
        <v>19</v>
      </c>
      <c r="J9" s="18">
        <v>1500</v>
      </c>
      <c r="K9" s="9">
        <f t="shared" ref="K9:K12" si="12">J9/I9</f>
        <v>78.94736842105263</v>
      </c>
      <c r="L9" s="191">
        <v>19</v>
      </c>
      <c r="M9" s="10">
        <f t="shared" ref="M9:M12" si="13">F9/V9*60</f>
        <v>1363.6363636363635</v>
      </c>
      <c r="N9" s="9">
        <f t="shared" ref="N9:N12" si="14">M9/L9</f>
        <v>71.770334928229659</v>
      </c>
      <c r="O9" s="11">
        <f t="shared" ref="O9:O12" si="15">L9-I9</f>
        <v>0</v>
      </c>
      <c r="P9" s="12">
        <f>N9-K9</f>
        <v>-7.1770334928229715</v>
      </c>
      <c r="Q9" s="189">
        <f>N9/K9</f>
        <v>0.90909090909090906</v>
      </c>
      <c r="R9" s="470">
        <f>Q13</f>
        <v>0.90147942812531523</v>
      </c>
      <c r="S9" s="24">
        <v>0.12847222222222221</v>
      </c>
      <c r="T9" s="24">
        <v>0.17430555555555555</v>
      </c>
      <c r="U9" s="188"/>
      <c r="V9" s="192">
        <f t="shared" ref="V9:V12" si="16">(T9-S9)*24*60</f>
        <v>66</v>
      </c>
      <c r="W9" s="9"/>
      <c r="X9" s="9"/>
      <c r="Y9" s="456"/>
      <c r="Z9" s="456"/>
      <c r="AA9" s="11">
        <f t="shared" si="2"/>
        <v>-136.36363636363649</v>
      </c>
      <c r="AB9" s="189">
        <f>M9/J9</f>
        <v>0.90909090909090906</v>
      </c>
      <c r="AC9" s="470">
        <f>AB13</f>
        <v>0.90147942812531523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193">
        <v>4744</v>
      </c>
      <c r="G10" s="188">
        <f t="shared" si="11"/>
        <v>188811.19999999998</v>
      </c>
      <c r="H10" s="76" t="s">
        <v>57</v>
      </c>
      <c r="I10" s="191">
        <v>18</v>
      </c>
      <c r="J10" s="18">
        <v>1500</v>
      </c>
      <c r="K10" s="9">
        <f t="shared" si="12"/>
        <v>83.333333333333329</v>
      </c>
      <c r="L10" s="191">
        <v>18</v>
      </c>
      <c r="M10" s="10">
        <f t="shared" si="13"/>
        <v>1349.004739336493</v>
      </c>
      <c r="N10" s="9">
        <f t="shared" si="14"/>
        <v>74.944707740916272</v>
      </c>
      <c r="O10" s="11">
        <f t="shared" si="15"/>
        <v>0</v>
      </c>
      <c r="P10" s="12">
        <f t="shared" ref="P10:P12" si="17">N10-K10</f>
        <v>-8.388625592417057</v>
      </c>
      <c r="Q10" s="189">
        <f t="shared" ref="Q10:Q12" si="18">N10/K10</f>
        <v>0.89933649289099526</v>
      </c>
      <c r="R10" s="470"/>
      <c r="S10" s="24">
        <v>0.19861111111111113</v>
      </c>
      <c r="T10" s="24">
        <v>0.34513888888888888</v>
      </c>
      <c r="U10" s="188">
        <f>(S10-T9)*24*60</f>
        <v>35.000000000000036</v>
      </c>
      <c r="V10" s="192">
        <f t="shared" si="16"/>
        <v>210.99999999999997</v>
      </c>
      <c r="W10" s="14"/>
      <c r="X10" s="14"/>
      <c r="Y10" s="456"/>
      <c r="Z10" s="456"/>
      <c r="AA10" s="11">
        <f t="shared" si="2"/>
        <v>-150.995260663507</v>
      </c>
      <c r="AB10" s="189">
        <f t="shared" ref="AB10:AB27" si="19">M10/J10</f>
        <v>0.89933649289099538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193">
        <v>5414</v>
      </c>
      <c r="G11" s="188">
        <f t="shared" si="11"/>
        <v>212716.06</v>
      </c>
      <c r="H11" s="76" t="s">
        <v>57</v>
      </c>
      <c r="I11" s="191">
        <v>19</v>
      </c>
      <c r="J11" s="18">
        <v>1500</v>
      </c>
      <c r="K11" s="9">
        <f t="shared" si="12"/>
        <v>78.94736842105263</v>
      </c>
      <c r="L11" s="191">
        <v>19</v>
      </c>
      <c r="M11" s="10">
        <f t="shared" si="13"/>
        <v>1347.8838174273862</v>
      </c>
      <c r="N11" s="9">
        <f t="shared" si="14"/>
        <v>70.941253548809797</v>
      </c>
      <c r="O11" s="11">
        <f t="shared" si="15"/>
        <v>0</v>
      </c>
      <c r="P11" s="12">
        <f t="shared" si="17"/>
        <v>-8.0061148722428328</v>
      </c>
      <c r="Q11" s="189">
        <f t="shared" si="18"/>
        <v>0.89858921161825744</v>
      </c>
      <c r="R11" s="470"/>
      <c r="S11" s="24">
        <v>0.35347222222222219</v>
      </c>
      <c r="T11" s="24">
        <v>0.52083333333333326</v>
      </c>
      <c r="U11" s="188">
        <f t="shared" ref="U11:U12" si="20">(S11-T10)*24*60</f>
        <v>11.999999999999957</v>
      </c>
      <c r="V11" s="192">
        <f t="shared" si="16"/>
        <v>240.99999999999994</v>
      </c>
      <c r="W11" s="14"/>
      <c r="X11" s="14"/>
      <c r="Y11" s="456"/>
      <c r="Z11" s="456"/>
      <c r="AA11" s="11">
        <f t="shared" si="2"/>
        <v>-152.11618257261375</v>
      </c>
      <c r="AB11" s="189">
        <f t="shared" si="19"/>
        <v>0.89858921161825744</v>
      </c>
      <c r="AC11" s="470"/>
    </row>
    <row r="12" spans="1:29" ht="15.75" customHeight="1">
      <c r="A12" s="467" t="s">
        <v>5</v>
      </c>
      <c r="B12" s="26" t="s">
        <v>15</v>
      </c>
      <c r="C12" s="468" t="s">
        <v>16</v>
      </c>
      <c r="D12" s="469"/>
      <c r="E12" s="26">
        <v>39.619999999999997</v>
      </c>
      <c r="F12" s="193">
        <v>2045</v>
      </c>
      <c r="G12" s="188">
        <f t="shared" si="11"/>
        <v>81022.899999999994</v>
      </c>
      <c r="H12" s="76" t="s">
        <v>57</v>
      </c>
      <c r="I12" s="191">
        <v>19</v>
      </c>
      <c r="J12" s="18">
        <v>1500</v>
      </c>
      <c r="K12" s="9">
        <f t="shared" si="12"/>
        <v>78.94736842105263</v>
      </c>
      <c r="L12" s="191">
        <v>19</v>
      </c>
      <c r="M12" s="10">
        <f t="shared" si="13"/>
        <v>1348.3516483516482</v>
      </c>
      <c r="N12" s="9">
        <f t="shared" si="14"/>
        <v>70.965876229034123</v>
      </c>
      <c r="O12" s="11">
        <f t="shared" si="15"/>
        <v>0</v>
      </c>
      <c r="P12" s="12">
        <f t="shared" si="17"/>
        <v>-7.9814921920185071</v>
      </c>
      <c r="Q12" s="189">
        <f t="shared" si="18"/>
        <v>0.89890109890109893</v>
      </c>
      <c r="R12" s="470"/>
      <c r="S12" s="24">
        <v>0.56041666666666656</v>
      </c>
      <c r="T12" s="24">
        <v>0.62361111111111101</v>
      </c>
      <c r="U12" s="188">
        <f t="shared" si="20"/>
        <v>56.999999999999957</v>
      </c>
      <c r="V12" s="192">
        <f t="shared" si="16"/>
        <v>91</v>
      </c>
      <c r="W12" s="14"/>
      <c r="X12" s="14"/>
      <c r="Y12" s="456"/>
      <c r="Z12" s="456"/>
      <c r="AA12" s="11">
        <f t="shared" si="2"/>
        <v>-151.64835164835176</v>
      </c>
      <c r="AB12" s="189">
        <f t="shared" si="19"/>
        <v>0.89890109890109882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187"/>
      <c r="F13" s="18"/>
      <c r="G13" s="10"/>
      <c r="H13" s="193"/>
      <c r="I13" s="17">
        <v>18.75</v>
      </c>
      <c r="J13" s="18">
        <v>1500</v>
      </c>
      <c r="K13" s="9">
        <f>J13/I13</f>
        <v>80</v>
      </c>
      <c r="L13" s="17">
        <v>18.75</v>
      </c>
      <c r="M13" s="10">
        <f>AVERAGE(M9:M12)</f>
        <v>1352.2191421879729</v>
      </c>
      <c r="N13" s="9">
        <f>M13/L13</f>
        <v>72.11835425002522</v>
      </c>
      <c r="O13" s="11">
        <f>L13-I13</f>
        <v>0</v>
      </c>
      <c r="P13" s="12">
        <f>N13-K13</f>
        <v>-7.8816457499747798</v>
      </c>
      <c r="Q13" s="189">
        <f>N13/K13</f>
        <v>0.90147942812531523</v>
      </c>
      <c r="R13" s="470"/>
      <c r="S13" s="24"/>
      <c r="T13" s="24"/>
      <c r="U13" s="9"/>
      <c r="V13" s="192"/>
      <c r="W13" s="9"/>
      <c r="X13" s="9"/>
      <c r="Y13" s="456"/>
      <c r="Z13" s="456"/>
      <c r="AA13" s="11">
        <f t="shared" si="2"/>
        <v>-147.78085781202708</v>
      </c>
      <c r="AB13" s="189">
        <f t="shared" si="19"/>
        <v>0.90147942812531523</v>
      </c>
      <c r="AC13" s="470"/>
    </row>
    <row r="14" spans="1:29" ht="16.5" customHeight="1">
      <c r="A14" s="480" t="s">
        <v>124</v>
      </c>
      <c r="B14" s="193" t="s">
        <v>18</v>
      </c>
      <c r="C14" s="477" t="s">
        <v>19</v>
      </c>
      <c r="D14" s="477"/>
      <c r="E14" s="26">
        <v>41</v>
      </c>
      <c r="F14" s="193">
        <v>1785</v>
      </c>
      <c r="G14" s="188">
        <f t="shared" ref="G14:G18" si="21">E14*F14</f>
        <v>73185</v>
      </c>
      <c r="H14" s="76" t="s">
        <v>57</v>
      </c>
      <c r="I14" s="191">
        <v>26</v>
      </c>
      <c r="J14" s="18">
        <v>1286</v>
      </c>
      <c r="K14" s="9">
        <f>J14/I14</f>
        <v>49.46153846153846</v>
      </c>
      <c r="L14" s="191">
        <v>26</v>
      </c>
      <c r="M14" s="10">
        <f>F14/V14*60</f>
        <v>1164.1304347826085</v>
      </c>
      <c r="N14" s="9">
        <f t="shared" ref="N14:N26" si="22">M14/L14</f>
        <v>44.774247491638789</v>
      </c>
      <c r="O14" s="11">
        <f t="shared" ref="O14" si="23">L14-I14</f>
        <v>0</v>
      </c>
      <c r="P14" s="12">
        <f t="shared" ref="P14" si="24">N14-K14</f>
        <v>-4.6872909698996708</v>
      </c>
      <c r="Q14" s="189">
        <f>N14/K14</f>
        <v>0.90523361958212178</v>
      </c>
      <c r="R14" s="470">
        <f>Q19</f>
        <v>0.90216347325317581</v>
      </c>
      <c r="S14" s="24">
        <v>0.25</v>
      </c>
      <c r="T14" s="24">
        <v>0.31388888888888888</v>
      </c>
      <c r="U14" s="188"/>
      <c r="V14" s="192">
        <f>(T14-S14)*24*60</f>
        <v>92</v>
      </c>
      <c r="W14" s="15"/>
      <c r="X14" s="15"/>
      <c r="Y14" s="456"/>
      <c r="Z14" s="456"/>
      <c r="AA14" s="11">
        <f t="shared" si="2"/>
        <v>-121.86956521739148</v>
      </c>
      <c r="AB14" s="189">
        <f t="shared" si="19"/>
        <v>0.90523361958212167</v>
      </c>
      <c r="AC14" s="470">
        <f>AB19</f>
        <v>0.90216347325317581</v>
      </c>
    </row>
    <row r="15" spans="1:29" ht="16.5" customHeight="1">
      <c r="A15" s="481" t="s">
        <v>6</v>
      </c>
      <c r="B15" s="193" t="s">
        <v>15</v>
      </c>
      <c r="C15" s="477" t="s">
        <v>68</v>
      </c>
      <c r="D15" s="477"/>
      <c r="E15" s="26">
        <v>39.29</v>
      </c>
      <c r="F15" s="193">
        <v>1918</v>
      </c>
      <c r="G15" s="188">
        <f t="shared" si="21"/>
        <v>75358.22</v>
      </c>
      <c r="H15" s="76" t="s">
        <v>57</v>
      </c>
      <c r="I15" s="191">
        <v>18</v>
      </c>
      <c r="J15" s="18">
        <v>1500</v>
      </c>
      <c r="K15" s="9">
        <f>J15/I15</f>
        <v>83.333333333333329</v>
      </c>
      <c r="L15" s="191">
        <v>18</v>
      </c>
      <c r="M15" s="10">
        <f>F15/V15*60</f>
        <v>1353.8823529411764</v>
      </c>
      <c r="N15" s="9">
        <f t="shared" si="22"/>
        <v>75.215686274509792</v>
      </c>
      <c r="O15" s="11">
        <f>L15-I15</f>
        <v>0</v>
      </c>
      <c r="P15" s="12">
        <f>N15-K15</f>
        <v>-8.1176470588235361</v>
      </c>
      <c r="Q15" s="189">
        <f>N15/K15</f>
        <v>0.90258823529411758</v>
      </c>
      <c r="R15" s="470"/>
      <c r="S15" s="24">
        <v>0.32361111111111107</v>
      </c>
      <c r="T15" s="24">
        <v>0.38263888888888886</v>
      </c>
      <c r="U15" s="188">
        <f>(S15-T14)*24*60</f>
        <v>13.99999999999995</v>
      </c>
      <c r="V15" s="192">
        <f>(T15-S15)*24*60</f>
        <v>85.000000000000014</v>
      </c>
      <c r="W15" s="14"/>
      <c r="X15" s="14"/>
      <c r="Y15" s="456"/>
      <c r="Z15" s="456"/>
      <c r="AA15" s="11">
        <f t="shared" si="2"/>
        <v>-146.11764705882365</v>
      </c>
      <c r="AB15" s="189">
        <f t="shared" si="19"/>
        <v>0.90258823529411758</v>
      </c>
      <c r="AC15" s="470"/>
    </row>
    <row r="16" spans="1:29" ht="16.5" customHeight="1">
      <c r="A16" s="481" t="s">
        <v>6</v>
      </c>
      <c r="B16" s="193" t="s">
        <v>15</v>
      </c>
      <c r="C16" s="477" t="s">
        <v>54</v>
      </c>
      <c r="D16" s="477"/>
      <c r="E16" s="26">
        <v>39.29</v>
      </c>
      <c r="F16" s="193">
        <v>2852</v>
      </c>
      <c r="G16" s="188">
        <f t="shared" si="21"/>
        <v>112055.08</v>
      </c>
      <c r="H16" s="76" t="s">
        <v>57</v>
      </c>
      <c r="I16" s="191">
        <v>17</v>
      </c>
      <c r="J16" s="18">
        <v>1500</v>
      </c>
      <c r="K16" s="9">
        <f t="shared" ref="K16:K18" si="25">J16/I16</f>
        <v>88.235294117647058</v>
      </c>
      <c r="L16" s="191">
        <v>17</v>
      </c>
      <c r="M16" s="10">
        <f t="shared" ref="M16:M18" si="26">F16/V16*60</f>
        <v>1347.4015748031493</v>
      </c>
      <c r="N16" s="9">
        <f t="shared" si="22"/>
        <v>79.258916164891133</v>
      </c>
      <c r="O16" s="11">
        <f t="shared" ref="O16:O18" si="27">L16-I16</f>
        <v>0</v>
      </c>
      <c r="P16" s="12">
        <f t="shared" ref="P16:P18" si="28">N16-K16</f>
        <v>-8.9763779527559251</v>
      </c>
      <c r="Q16" s="189">
        <f t="shared" ref="Q16:Q26" si="29">N16/K16</f>
        <v>0.8982677165354328</v>
      </c>
      <c r="R16" s="470"/>
      <c r="S16" s="24">
        <v>0.39097222222222217</v>
      </c>
      <c r="T16" s="24">
        <v>0.47916666666666663</v>
      </c>
      <c r="U16" s="188">
        <f t="shared" ref="U16:U18" si="30">(S16-T15)*24*60</f>
        <v>11.999999999999957</v>
      </c>
      <c r="V16" s="192">
        <f t="shared" ref="V16:V18" si="31">(T16-S16)*24*60</f>
        <v>127.00000000000003</v>
      </c>
      <c r="W16" s="14"/>
      <c r="X16" s="14"/>
      <c r="Y16" s="456"/>
      <c r="Z16" s="456"/>
      <c r="AA16" s="11">
        <f t="shared" si="2"/>
        <v>-152.59842519685071</v>
      </c>
      <c r="AB16" s="189">
        <f t="shared" si="19"/>
        <v>0.8982677165354328</v>
      </c>
      <c r="AC16" s="470"/>
    </row>
    <row r="17" spans="1:29" ht="16.5" customHeight="1">
      <c r="A17" s="481" t="s">
        <v>6</v>
      </c>
      <c r="B17" s="193" t="s">
        <v>13</v>
      </c>
      <c r="C17" s="477" t="s">
        <v>63</v>
      </c>
      <c r="D17" s="477"/>
      <c r="E17" s="26">
        <v>50.98</v>
      </c>
      <c r="F17" s="193">
        <v>2477</v>
      </c>
      <c r="G17" s="188">
        <f t="shared" si="21"/>
        <v>126277.45999999999</v>
      </c>
      <c r="H17" s="76" t="s">
        <v>57</v>
      </c>
      <c r="I17" s="191">
        <v>17</v>
      </c>
      <c r="J17" s="18">
        <v>1800</v>
      </c>
      <c r="K17" s="9">
        <f t="shared" si="25"/>
        <v>105.88235294117646</v>
      </c>
      <c r="L17" s="191">
        <v>17</v>
      </c>
      <c r="M17" s="10">
        <f t="shared" si="26"/>
        <v>1615.4347826086957</v>
      </c>
      <c r="N17" s="9">
        <f t="shared" si="22"/>
        <v>95.025575447570333</v>
      </c>
      <c r="O17" s="11">
        <f t="shared" si="27"/>
        <v>0</v>
      </c>
      <c r="P17" s="12">
        <f t="shared" si="28"/>
        <v>-10.856777493606131</v>
      </c>
      <c r="Q17" s="189">
        <f t="shared" si="29"/>
        <v>0.89746376811594208</v>
      </c>
      <c r="R17" s="470"/>
      <c r="S17" s="24">
        <v>0.70833333333333337</v>
      </c>
      <c r="T17" s="24">
        <v>0.77222222222222225</v>
      </c>
      <c r="U17" s="188">
        <f t="shared" si="30"/>
        <v>330.00000000000011</v>
      </c>
      <c r="V17" s="192">
        <f t="shared" si="31"/>
        <v>92</v>
      </c>
      <c r="W17" s="14"/>
      <c r="X17" s="14"/>
      <c r="Y17" s="456"/>
      <c r="Z17" s="456"/>
      <c r="AA17" s="11">
        <f t="shared" si="2"/>
        <v>-184.56521739130426</v>
      </c>
      <c r="AB17" s="189">
        <f t="shared" si="19"/>
        <v>0.89746376811594208</v>
      </c>
      <c r="AC17" s="470"/>
    </row>
    <row r="18" spans="1:29" ht="16.5" customHeight="1">
      <c r="A18" s="481" t="s">
        <v>6</v>
      </c>
      <c r="B18" s="193" t="s">
        <v>13</v>
      </c>
      <c r="C18" s="477" t="s">
        <v>66</v>
      </c>
      <c r="D18" s="477"/>
      <c r="E18" s="26">
        <v>57.73</v>
      </c>
      <c r="F18" s="193">
        <v>1840</v>
      </c>
      <c r="G18" s="188">
        <f t="shared" si="21"/>
        <v>106223.2</v>
      </c>
      <c r="H18" s="76" t="s">
        <v>57</v>
      </c>
      <c r="I18" s="191">
        <v>16</v>
      </c>
      <c r="J18" s="18">
        <v>1500</v>
      </c>
      <c r="K18" s="9">
        <f t="shared" si="25"/>
        <v>93.75</v>
      </c>
      <c r="L18" s="191">
        <v>16</v>
      </c>
      <c r="M18" s="10">
        <f t="shared" si="26"/>
        <v>1362.9629629629624</v>
      </c>
      <c r="N18" s="9">
        <f t="shared" si="22"/>
        <v>85.185185185185148</v>
      </c>
      <c r="O18" s="11">
        <f t="shared" si="27"/>
        <v>0</v>
      </c>
      <c r="P18" s="12">
        <f t="shared" si="28"/>
        <v>-8.5648148148148522</v>
      </c>
      <c r="Q18" s="189">
        <f t="shared" si="29"/>
        <v>0.90864197530864155</v>
      </c>
      <c r="R18" s="470"/>
      <c r="S18" s="24">
        <v>0.77777777777777779</v>
      </c>
      <c r="T18" s="24">
        <v>0.83402777777777781</v>
      </c>
      <c r="U18" s="188">
        <f t="shared" si="30"/>
        <v>7.9999999999999716</v>
      </c>
      <c r="V18" s="192">
        <f t="shared" si="31"/>
        <v>81.000000000000028</v>
      </c>
      <c r="W18" s="14"/>
      <c r="X18" s="14"/>
      <c r="Y18" s="456"/>
      <c r="Z18" s="456"/>
      <c r="AA18" s="11">
        <f t="shared" si="2"/>
        <v>-137.03703703703763</v>
      </c>
      <c r="AB18" s="189">
        <f t="shared" si="19"/>
        <v>0.90864197530864155</v>
      </c>
      <c r="AC18" s="470"/>
    </row>
    <row r="19" spans="1:29" ht="16.5" customHeight="1">
      <c r="A19" s="481" t="s">
        <v>6</v>
      </c>
      <c r="B19" s="26" t="s">
        <v>81</v>
      </c>
      <c r="C19" s="466"/>
      <c r="D19" s="466"/>
      <c r="E19" s="187"/>
      <c r="F19" s="16"/>
      <c r="G19" s="9"/>
      <c r="H19" s="193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1368.7624216197185</v>
      </c>
      <c r="N19" s="9">
        <f t="shared" si="22"/>
        <v>72.80651178828289</v>
      </c>
      <c r="O19" s="11">
        <f>L19-I19</f>
        <v>0</v>
      </c>
      <c r="P19" s="12">
        <f>N19-K19</f>
        <v>-7.8956158712915823</v>
      </c>
      <c r="Q19" s="189">
        <f t="shared" si="29"/>
        <v>0.90216347325317581</v>
      </c>
      <c r="R19" s="470"/>
      <c r="S19" s="24"/>
      <c r="T19" s="24"/>
      <c r="U19" s="188"/>
      <c r="V19" s="192"/>
      <c r="W19" s="9"/>
      <c r="X19" s="9"/>
      <c r="Y19" s="456"/>
      <c r="Z19" s="456"/>
      <c r="AA19" s="11">
        <f t="shared" si="2"/>
        <v>-148.43757838028159</v>
      </c>
      <c r="AB19" s="189">
        <f t="shared" si="19"/>
        <v>0.90216347325317581</v>
      </c>
      <c r="AC19" s="470"/>
    </row>
    <row r="20" spans="1:29" ht="15.75" customHeight="1">
      <c r="A20" s="478" t="s">
        <v>156</v>
      </c>
      <c r="B20" s="26" t="s">
        <v>21</v>
      </c>
      <c r="C20" s="477" t="s">
        <v>22</v>
      </c>
      <c r="D20" s="477"/>
      <c r="E20" s="26">
        <v>43.14</v>
      </c>
      <c r="F20" s="193">
        <v>1094</v>
      </c>
      <c r="G20" s="188">
        <f t="shared" ref="G20:G26" si="32">E20*F20</f>
        <v>47195.16</v>
      </c>
      <c r="H20" s="76" t="s">
        <v>57</v>
      </c>
      <c r="I20" s="191">
        <v>17</v>
      </c>
      <c r="J20" s="18">
        <v>1200</v>
      </c>
      <c r="K20" s="9">
        <f t="shared" ref="K20:K27" si="33">J20/I20</f>
        <v>70.588235294117652</v>
      </c>
      <c r="L20" s="191">
        <v>17</v>
      </c>
      <c r="M20" s="10">
        <f t="shared" ref="M20:M26" si="34">F20/V20*60</f>
        <v>1093.9999999999993</v>
      </c>
      <c r="N20" s="9">
        <f t="shared" si="22"/>
        <v>64.352941176470551</v>
      </c>
      <c r="O20" s="11">
        <f t="shared" ref="O20:O26" si="35">L20-I20</f>
        <v>0</v>
      </c>
      <c r="P20" s="12">
        <f t="shared" ref="P20:P26" si="36">N20-K20</f>
        <v>-6.2352941176471006</v>
      </c>
      <c r="Q20" s="189">
        <f t="shared" si="29"/>
        <v>0.91166666666666607</v>
      </c>
      <c r="R20" s="470">
        <f>Q27</f>
        <v>0.90778413261697977</v>
      </c>
      <c r="S20" s="24">
        <v>0.25</v>
      </c>
      <c r="T20" s="24">
        <v>0.29166666666666669</v>
      </c>
      <c r="U20" s="188"/>
      <c r="V20" s="192">
        <f>(T20-S20)*24*60</f>
        <v>60.000000000000028</v>
      </c>
      <c r="W20" s="15"/>
      <c r="X20" s="15"/>
      <c r="Y20" s="456"/>
      <c r="Z20" s="456"/>
      <c r="AA20" s="11">
        <f t="shared" si="2"/>
        <v>-106.00000000000068</v>
      </c>
      <c r="AB20" s="189">
        <f t="shared" si="19"/>
        <v>0.91166666666666607</v>
      </c>
      <c r="AC20" s="470">
        <f>AB27</f>
        <v>0.90778413261697977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193">
        <v>2335</v>
      </c>
      <c r="G21" s="188">
        <f t="shared" si="32"/>
        <v>134799.54999999999</v>
      </c>
      <c r="H21" s="76" t="s">
        <v>57</v>
      </c>
      <c r="I21" s="191">
        <v>16</v>
      </c>
      <c r="J21" s="18">
        <v>1800</v>
      </c>
      <c r="K21" s="9">
        <f t="shared" si="33"/>
        <v>112.5</v>
      </c>
      <c r="L21" s="191">
        <v>16</v>
      </c>
      <c r="M21" s="10">
        <f t="shared" si="34"/>
        <v>1629.0697674418602</v>
      </c>
      <c r="N21" s="9">
        <f t="shared" si="22"/>
        <v>101.81686046511626</v>
      </c>
      <c r="O21" s="11">
        <f t="shared" si="35"/>
        <v>0</v>
      </c>
      <c r="P21" s="12">
        <f t="shared" si="36"/>
        <v>-10.683139534883736</v>
      </c>
      <c r="Q21" s="189">
        <f t="shared" si="29"/>
        <v>0.90503875968992231</v>
      </c>
      <c r="R21" s="470"/>
      <c r="S21" s="24">
        <v>0.29583333333333334</v>
      </c>
      <c r="T21" s="24">
        <v>0.35555555555555557</v>
      </c>
      <c r="U21" s="188">
        <f>(S21-T20)*24*60</f>
        <v>5.9999999999999787</v>
      </c>
      <c r="V21" s="192">
        <f t="shared" ref="V21:V26" si="37">(T21-S21)*24*60</f>
        <v>86.000000000000014</v>
      </c>
      <c r="W21" s="14"/>
      <c r="X21" s="188"/>
      <c r="Y21" s="456"/>
      <c r="Z21" s="456"/>
      <c r="AA21" s="11">
        <f t="shared" si="2"/>
        <v>-170.93023255813978</v>
      </c>
      <c r="AB21" s="189">
        <f t="shared" si="19"/>
        <v>0.90503875968992231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193">
        <v>1587</v>
      </c>
      <c r="G22" s="188">
        <f t="shared" si="32"/>
        <v>85190.16</v>
      </c>
      <c r="H22" s="76" t="s">
        <v>57</v>
      </c>
      <c r="I22" s="191">
        <v>17</v>
      </c>
      <c r="J22" s="18">
        <v>1800</v>
      </c>
      <c r="K22" s="9">
        <f t="shared" si="33"/>
        <v>105.88235294117646</v>
      </c>
      <c r="L22" s="191">
        <v>17</v>
      </c>
      <c r="M22" s="10">
        <f t="shared" si="34"/>
        <v>1613.8983050847451</v>
      </c>
      <c r="N22" s="9">
        <f t="shared" si="22"/>
        <v>94.935194416749709</v>
      </c>
      <c r="O22" s="11">
        <f t="shared" si="35"/>
        <v>0</v>
      </c>
      <c r="P22" s="12">
        <f t="shared" si="36"/>
        <v>-10.947158524426754</v>
      </c>
      <c r="Q22" s="189">
        <f t="shared" si="29"/>
        <v>0.89661016949152506</v>
      </c>
      <c r="R22" s="470"/>
      <c r="S22" s="24">
        <v>0.35972222222222222</v>
      </c>
      <c r="T22" s="24">
        <v>0.40069444444444446</v>
      </c>
      <c r="U22" s="188">
        <f t="shared" ref="U22:U26" si="38">(S22-T21)*24*60</f>
        <v>5.9999999999999787</v>
      </c>
      <c r="V22" s="192">
        <f t="shared" si="37"/>
        <v>59.000000000000028</v>
      </c>
      <c r="W22" s="14"/>
      <c r="X22" s="188"/>
      <c r="Y22" s="456"/>
      <c r="Z22" s="456"/>
      <c r="AA22" s="11">
        <f t="shared" si="2"/>
        <v>-186.10169491525494</v>
      </c>
      <c r="AB22" s="189">
        <f t="shared" si="19"/>
        <v>0.89661016949152506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193">
        <v>1142</v>
      </c>
      <c r="G23" s="188">
        <f t="shared" si="32"/>
        <v>57865.14</v>
      </c>
      <c r="H23" s="76" t="s">
        <v>57</v>
      </c>
      <c r="I23" s="191">
        <v>16</v>
      </c>
      <c r="J23" s="18">
        <v>1800</v>
      </c>
      <c r="K23" s="9">
        <f t="shared" si="33"/>
        <v>112.5</v>
      </c>
      <c r="L23" s="191">
        <v>16</v>
      </c>
      <c r="M23" s="10">
        <f t="shared" si="34"/>
        <v>1631.4285714285709</v>
      </c>
      <c r="N23" s="9">
        <f t="shared" si="22"/>
        <v>101.96428571428568</v>
      </c>
      <c r="O23" s="11">
        <f t="shared" si="35"/>
        <v>0</v>
      </c>
      <c r="P23" s="12">
        <f t="shared" si="36"/>
        <v>-10.53571428571432</v>
      </c>
      <c r="Q23" s="189">
        <f t="shared" si="29"/>
        <v>0.90634920634920602</v>
      </c>
      <c r="R23" s="470"/>
      <c r="S23" s="24">
        <v>0.40416666666666667</v>
      </c>
      <c r="T23" s="24">
        <v>0.43333333333333335</v>
      </c>
      <c r="U23" s="188">
        <f t="shared" si="38"/>
        <v>4.9999999999999822</v>
      </c>
      <c r="V23" s="192">
        <f t="shared" si="37"/>
        <v>42.000000000000014</v>
      </c>
      <c r="W23" s="14"/>
      <c r="X23" s="188"/>
      <c r="Y23" s="456"/>
      <c r="Z23" s="456"/>
      <c r="AA23" s="11">
        <f t="shared" si="2"/>
        <v>-168.57142857142912</v>
      </c>
      <c r="AB23" s="189">
        <f t="shared" si="19"/>
        <v>0.90634920634920602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193">
        <v>2730</v>
      </c>
      <c r="G24" s="188">
        <f t="shared" si="32"/>
        <v>139011.6</v>
      </c>
      <c r="H24" s="76" t="s">
        <v>57</v>
      </c>
      <c r="I24" s="191">
        <v>16</v>
      </c>
      <c r="J24" s="18">
        <v>1800</v>
      </c>
      <c r="K24" s="9">
        <f t="shared" si="33"/>
        <v>112.5</v>
      </c>
      <c r="L24" s="191">
        <v>16</v>
      </c>
      <c r="M24" s="10">
        <f t="shared" si="34"/>
        <v>1621.7821782178225</v>
      </c>
      <c r="N24" s="9">
        <f t="shared" si="22"/>
        <v>101.36138613861391</v>
      </c>
      <c r="O24" s="11">
        <f t="shared" si="35"/>
        <v>0</v>
      </c>
      <c r="P24" s="12">
        <f t="shared" si="36"/>
        <v>-11.138613861386091</v>
      </c>
      <c r="Q24" s="189">
        <f t="shared" si="29"/>
        <v>0.90099009900990146</v>
      </c>
      <c r="R24" s="470"/>
      <c r="S24" s="24">
        <v>0.70833333333333337</v>
      </c>
      <c r="T24" s="24">
        <v>0.77847222222222223</v>
      </c>
      <c r="U24" s="188">
        <f t="shared" si="38"/>
        <v>396.00000000000006</v>
      </c>
      <c r="V24" s="192">
        <f t="shared" si="37"/>
        <v>100.99999999999996</v>
      </c>
      <c r="W24" s="14"/>
      <c r="X24" s="188"/>
      <c r="Y24" s="456"/>
      <c r="Z24" s="456"/>
      <c r="AA24" s="11">
        <f t="shared" si="2"/>
        <v>-178.21782178217745</v>
      </c>
      <c r="AB24" s="189">
        <f t="shared" si="19"/>
        <v>0.90099009900990146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193">
        <v>719</v>
      </c>
      <c r="G25" s="188">
        <f t="shared" si="32"/>
        <v>38301.130000000005</v>
      </c>
      <c r="H25" s="76" t="s">
        <v>57</v>
      </c>
      <c r="I25" s="191">
        <v>15</v>
      </c>
      <c r="J25" s="18">
        <v>1800</v>
      </c>
      <c r="K25" s="9">
        <f t="shared" si="33"/>
        <v>120</v>
      </c>
      <c r="L25" s="191">
        <v>15</v>
      </c>
      <c r="M25" s="10">
        <f t="shared" si="34"/>
        <v>1659.230769230765</v>
      </c>
      <c r="N25" s="9">
        <f t="shared" si="22"/>
        <v>110.61538461538433</v>
      </c>
      <c r="O25" s="11">
        <f t="shared" si="35"/>
        <v>0</v>
      </c>
      <c r="P25" s="12">
        <f t="shared" si="36"/>
        <v>-9.384615384615671</v>
      </c>
      <c r="Q25" s="189">
        <f t="shared" si="29"/>
        <v>0.92179487179486941</v>
      </c>
      <c r="R25" s="470"/>
      <c r="S25" s="24">
        <v>0.78333333333333333</v>
      </c>
      <c r="T25" s="24">
        <v>0.80138888888888893</v>
      </c>
      <c r="U25" s="188">
        <f t="shared" si="38"/>
        <v>6.9999999999999751</v>
      </c>
      <c r="V25" s="192">
        <f t="shared" si="37"/>
        <v>26.000000000000068</v>
      </c>
      <c r="W25" s="14"/>
      <c r="X25" s="15"/>
      <c r="Y25" s="456"/>
      <c r="Z25" s="456"/>
      <c r="AA25" s="11">
        <f t="shared" si="2"/>
        <v>-140.76923076923504</v>
      </c>
      <c r="AB25" s="189">
        <f t="shared" si="19"/>
        <v>0.92179487179486941</v>
      </c>
      <c r="AC25" s="470"/>
    </row>
    <row r="26" spans="1:29" ht="15.75" customHeight="1">
      <c r="A26" s="479" t="s">
        <v>7</v>
      </c>
      <c r="B26" s="26" t="s">
        <v>13</v>
      </c>
      <c r="C26" s="477" t="s">
        <v>61</v>
      </c>
      <c r="D26" s="477"/>
      <c r="E26" s="26">
        <v>49.91</v>
      </c>
      <c r="F26" s="193">
        <v>685</v>
      </c>
      <c r="G26" s="188">
        <f t="shared" si="32"/>
        <v>34188.35</v>
      </c>
      <c r="H26" s="76" t="s">
        <v>57</v>
      </c>
      <c r="I26" s="191">
        <v>15</v>
      </c>
      <c r="J26" s="18">
        <v>1800</v>
      </c>
      <c r="K26" s="9">
        <f t="shared" si="33"/>
        <v>120</v>
      </c>
      <c r="L26" s="191">
        <v>15</v>
      </c>
      <c r="M26" s="10">
        <f t="shared" si="34"/>
        <v>1643.9999999999952</v>
      </c>
      <c r="N26" s="9">
        <f t="shared" si="22"/>
        <v>109.59999999999968</v>
      </c>
      <c r="O26" s="11">
        <f t="shared" si="35"/>
        <v>0</v>
      </c>
      <c r="P26" s="12">
        <f t="shared" si="36"/>
        <v>-10.400000000000318</v>
      </c>
      <c r="Q26" s="189">
        <f t="shared" si="29"/>
        <v>0.91333333333333067</v>
      </c>
      <c r="R26" s="470"/>
      <c r="S26" s="24">
        <v>0.80555555555555558</v>
      </c>
      <c r="T26" s="24">
        <v>0.82291666666666674</v>
      </c>
      <c r="U26" s="188">
        <f t="shared" si="38"/>
        <v>5.9999999999999787</v>
      </c>
      <c r="V26" s="192">
        <f t="shared" si="37"/>
        <v>25.000000000000071</v>
      </c>
      <c r="W26" s="14"/>
      <c r="X26" s="15"/>
      <c r="Y26" s="473"/>
      <c r="Z26" s="474"/>
      <c r="AA26" s="11">
        <f t="shared" si="2"/>
        <v>-156.00000000000477</v>
      </c>
      <c r="AB26" s="189">
        <f t="shared" si="19"/>
        <v>0.91333333333333067</v>
      </c>
      <c r="AC26" s="470"/>
    </row>
    <row r="27" spans="1:29" ht="15.75" customHeight="1">
      <c r="A27" s="479" t="s">
        <v>7</v>
      </c>
      <c r="B27" s="26" t="s">
        <v>81</v>
      </c>
      <c r="C27" s="466"/>
      <c r="D27" s="466"/>
      <c r="E27" s="187"/>
      <c r="F27" s="193"/>
      <c r="G27" s="188"/>
      <c r="H27" s="193"/>
      <c r="I27" s="17">
        <v>16</v>
      </c>
      <c r="J27" s="18">
        <v>1714.2857142857142</v>
      </c>
      <c r="K27" s="9">
        <f t="shared" si="33"/>
        <v>107.14285714285714</v>
      </c>
      <c r="L27" s="17">
        <v>16</v>
      </c>
      <c r="M27" s="10">
        <f>AVERAGE(M20:M26)</f>
        <v>1556.2013702005368</v>
      </c>
      <c r="N27" s="9">
        <f>M27/L27</f>
        <v>97.262585637533547</v>
      </c>
      <c r="O27" s="11">
        <f>L27-I27</f>
        <v>0</v>
      </c>
      <c r="P27" s="12">
        <f>N27-K27</f>
        <v>-9.8802715053235914</v>
      </c>
      <c r="Q27" s="189">
        <f>N27/K27</f>
        <v>0.90778413261697977</v>
      </c>
      <c r="R27" s="470"/>
      <c r="S27" s="24"/>
      <c r="T27" s="24"/>
      <c r="U27" s="9"/>
      <c r="V27" s="192"/>
      <c r="W27" s="9"/>
      <c r="X27" s="9"/>
      <c r="Y27" s="456"/>
      <c r="Z27" s="456"/>
      <c r="AA27" s="11">
        <f t="shared" si="2"/>
        <v>-158.08434408517746</v>
      </c>
      <c r="AB27" s="189">
        <f t="shared" si="19"/>
        <v>0.90778413261697977</v>
      </c>
      <c r="AC27" s="470"/>
    </row>
    <row r="28" spans="1:29" ht="15.75" customHeight="1">
      <c r="A28" s="484" t="s">
        <v>644</v>
      </c>
      <c r="B28" s="26" t="s">
        <v>24</v>
      </c>
      <c r="C28" s="477" t="s">
        <v>25</v>
      </c>
      <c r="D28" s="477"/>
      <c r="E28" s="26">
        <v>20.52</v>
      </c>
      <c r="F28" s="193">
        <v>3365</v>
      </c>
      <c r="G28" s="188">
        <f t="shared" ref="G28:G32" si="39">E28*F28</f>
        <v>69049.8</v>
      </c>
      <c r="H28" s="76" t="s">
        <v>57</v>
      </c>
      <c r="I28" s="191">
        <v>18</v>
      </c>
      <c r="J28" s="18">
        <v>2400</v>
      </c>
      <c r="K28" s="9">
        <f>J28/I28</f>
        <v>133.33333333333334</v>
      </c>
      <c r="L28" s="191">
        <v>18</v>
      </c>
      <c r="M28" s="10">
        <f t="shared" ref="M28:M32" si="40">F28/V28*60</f>
        <v>2170.9677419354839</v>
      </c>
      <c r="N28" s="9">
        <f t="shared" ref="N28:N32" si="41">M28/L28</f>
        <v>120.60931899641577</v>
      </c>
      <c r="O28" s="11">
        <f t="shared" ref="O28:O32" si="42">L28-I28</f>
        <v>0</v>
      </c>
      <c r="P28" s="12">
        <f t="shared" ref="P28:P32" si="43">N28-K28</f>
        <v>-12.724014336917577</v>
      </c>
      <c r="Q28" s="189">
        <f t="shared" ref="Q28:Q32" si="44">N28/K28</f>
        <v>0.90456989247311814</v>
      </c>
      <c r="R28" s="470">
        <f>Q33</f>
        <v>0.90129523237016851</v>
      </c>
      <c r="S28" s="24">
        <v>0.125</v>
      </c>
      <c r="T28" s="24">
        <v>0.18958333333333333</v>
      </c>
      <c r="U28" s="188"/>
      <c r="V28" s="192">
        <f t="shared" ref="V28:V32" si="45">(T28-S28)*24*60</f>
        <v>92.999999999999986</v>
      </c>
      <c r="W28" s="14"/>
      <c r="X28" s="14"/>
      <c r="Y28" s="456"/>
      <c r="Z28" s="456"/>
      <c r="AA28" s="11">
        <f t="shared" si="2"/>
        <v>-229.0322580645161</v>
      </c>
      <c r="AB28" s="189">
        <f>M28/J28</f>
        <v>0.90456989247311825</v>
      </c>
      <c r="AC28" s="470">
        <f>AB33</f>
        <v>0.90129523237016851</v>
      </c>
    </row>
    <row r="29" spans="1:29" ht="15.75" customHeight="1">
      <c r="A29" s="484" t="s">
        <v>8</v>
      </c>
      <c r="B29" s="26" t="s">
        <v>24</v>
      </c>
      <c r="C29" s="477" t="s">
        <v>26</v>
      </c>
      <c r="D29" s="477"/>
      <c r="E29" s="26">
        <v>26.2</v>
      </c>
      <c r="F29" s="193">
        <v>3569</v>
      </c>
      <c r="G29" s="188">
        <f t="shared" si="39"/>
        <v>93507.8</v>
      </c>
      <c r="H29" s="76" t="s">
        <v>57</v>
      </c>
      <c r="I29" s="191">
        <v>20</v>
      </c>
      <c r="J29" s="18">
        <v>2400</v>
      </c>
      <c r="K29" s="9">
        <f t="shared" ref="K29:K33" si="46">J29/I29</f>
        <v>120</v>
      </c>
      <c r="L29" s="191">
        <v>20</v>
      </c>
      <c r="M29" s="10">
        <f t="shared" si="40"/>
        <v>2163.0303030303025</v>
      </c>
      <c r="N29" s="9">
        <f t="shared" si="41"/>
        <v>108.15151515151513</v>
      </c>
      <c r="O29" s="11">
        <f t="shared" si="42"/>
        <v>0</v>
      </c>
      <c r="P29" s="12">
        <f t="shared" si="43"/>
        <v>-11.848484848484873</v>
      </c>
      <c r="Q29" s="189">
        <f t="shared" si="44"/>
        <v>0.9012626262626261</v>
      </c>
      <c r="R29" s="470"/>
      <c r="S29" s="24">
        <v>0.20972222222222223</v>
      </c>
      <c r="T29" s="24">
        <v>0.27847222222222223</v>
      </c>
      <c r="U29" s="188">
        <f>(S29-T28)*24*60</f>
        <v>29.000000000000018</v>
      </c>
      <c r="V29" s="192">
        <f t="shared" si="45"/>
        <v>99.000000000000014</v>
      </c>
      <c r="W29" s="14"/>
      <c r="X29" s="14"/>
      <c r="Y29" s="456"/>
      <c r="Z29" s="456"/>
      <c r="AA29" s="11">
        <f t="shared" si="2"/>
        <v>-236.96969696969745</v>
      </c>
      <c r="AB29" s="189">
        <f t="shared" ref="AB29:AB32" si="47">M29/J29</f>
        <v>0.9012626262626261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193">
        <v>5631</v>
      </c>
      <c r="G30" s="188">
        <f t="shared" si="39"/>
        <v>176193.99</v>
      </c>
      <c r="H30" s="76" t="s">
        <v>57</v>
      </c>
      <c r="I30" s="191">
        <v>16</v>
      </c>
      <c r="J30" s="18">
        <v>2400</v>
      </c>
      <c r="K30" s="9">
        <f t="shared" si="46"/>
        <v>150</v>
      </c>
      <c r="L30" s="191">
        <v>16</v>
      </c>
      <c r="M30" s="10">
        <f t="shared" si="40"/>
        <v>2151.9745222929937</v>
      </c>
      <c r="N30" s="9">
        <f t="shared" si="41"/>
        <v>134.49840764331211</v>
      </c>
      <c r="O30" s="11">
        <f t="shared" si="42"/>
        <v>0</v>
      </c>
      <c r="P30" s="12">
        <f t="shared" si="43"/>
        <v>-15.501592356687894</v>
      </c>
      <c r="Q30" s="189">
        <f t="shared" si="44"/>
        <v>0.89665605095541401</v>
      </c>
      <c r="R30" s="470"/>
      <c r="S30" s="24">
        <v>0.28194444444444444</v>
      </c>
      <c r="T30" s="24">
        <v>0.39097222222222222</v>
      </c>
      <c r="U30" s="188">
        <f t="shared" ref="U30:U32" si="48">(S30-T29)*24*60</f>
        <v>4.9999999999999822</v>
      </c>
      <c r="V30" s="192">
        <f t="shared" si="45"/>
        <v>157</v>
      </c>
      <c r="W30" s="14"/>
      <c r="X30" s="14"/>
      <c r="Y30" s="456"/>
      <c r="Z30" s="456"/>
      <c r="AA30" s="11">
        <f t="shared" si="2"/>
        <v>-248.0254777070063</v>
      </c>
      <c r="AB30" s="189">
        <f t="shared" si="47"/>
        <v>0.89665605095541401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193">
        <v>3000</v>
      </c>
      <c r="G31" s="188">
        <f t="shared" si="39"/>
        <v>72750</v>
      </c>
      <c r="H31" s="76">
        <v>2</v>
      </c>
      <c r="I31" s="191">
        <v>18</v>
      </c>
      <c r="J31" s="18">
        <v>2400</v>
      </c>
      <c r="K31" s="9">
        <f t="shared" si="46"/>
        <v>133.33333333333334</v>
      </c>
      <c r="L31" s="191">
        <v>18</v>
      </c>
      <c r="M31" s="10">
        <f t="shared" si="40"/>
        <v>2168.6746987951801</v>
      </c>
      <c r="N31" s="9">
        <f t="shared" si="41"/>
        <v>120.48192771084334</v>
      </c>
      <c r="O31" s="11">
        <f t="shared" si="42"/>
        <v>0</v>
      </c>
      <c r="P31" s="12">
        <f t="shared" si="43"/>
        <v>-12.851405622490006</v>
      </c>
      <c r="Q31" s="189">
        <f t="shared" si="44"/>
        <v>0.90361445783132499</v>
      </c>
      <c r="R31" s="470"/>
      <c r="S31" s="24">
        <v>0.39652777777777776</v>
      </c>
      <c r="T31" s="24">
        <v>0.45416666666666666</v>
      </c>
      <c r="U31" s="188">
        <f t="shared" si="48"/>
        <v>7.9999999999999716</v>
      </c>
      <c r="V31" s="192">
        <f t="shared" si="45"/>
        <v>83.000000000000028</v>
      </c>
      <c r="W31" s="14"/>
      <c r="X31" s="14"/>
      <c r="Y31" s="456"/>
      <c r="Z31" s="456"/>
      <c r="AA31" s="11">
        <f t="shared" si="2"/>
        <v>-231.32530120481988</v>
      </c>
      <c r="AB31" s="189">
        <f t="shared" si="47"/>
        <v>0.9036144578313251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193">
        <v>2413</v>
      </c>
      <c r="G32" s="188">
        <f t="shared" si="39"/>
        <v>53930.55</v>
      </c>
      <c r="H32" s="76" t="s">
        <v>57</v>
      </c>
      <c r="I32" s="191">
        <v>16</v>
      </c>
      <c r="J32" s="18">
        <v>2400</v>
      </c>
      <c r="K32" s="9">
        <f t="shared" si="46"/>
        <v>150</v>
      </c>
      <c r="L32" s="191">
        <v>16</v>
      </c>
      <c r="M32" s="10">
        <f t="shared" si="40"/>
        <v>2160.8955223880594</v>
      </c>
      <c r="N32" s="9">
        <f t="shared" si="41"/>
        <v>135.05597014925371</v>
      </c>
      <c r="O32" s="11">
        <f t="shared" si="42"/>
        <v>0</v>
      </c>
      <c r="P32" s="12">
        <f t="shared" si="43"/>
        <v>-14.94402985074629</v>
      </c>
      <c r="Q32" s="189">
        <f t="shared" si="44"/>
        <v>0.90037313432835808</v>
      </c>
      <c r="R32" s="470"/>
      <c r="S32" s="24">
        <v>0.45902777777777776</v>
      </c>
      <c r="T32" s="24">
        <v>0.50555555555555554</v>
      </c>
      <c r="U32" s="188">
        <f t="shared" si="48"/>
        <v>6.9999999999999751</v>
      </c>
      <c r="V32" s="192">
        <f t="shared" si="45"/>
        <v>67</v>
      </c>
      <c r="W32" s="14"/>
      <c r="X32" s="14"/>
      <c r="Y32" s="456"/>
      <c r="Z32" s="456"/>
      <c r="AA32" s="11">
        <f t="shared" si="2"/>
        <v>-239.10447761194064</v>
      </c>
      <c r="AB32" s="189">
        <f t="shared" si="47"/>
        <v>0.90037313432835808</v>
      </c>
      <c r="AC32" s="470"/>
    </row>
    <row r="33" spans="1:29" ht="15.75" customHeight="1">
      <c r="A33" s="484" t="s">
        <v>8</v>
      </c>
      <c r="B33" s="26" t="s">
        <v>645</v>
      </c>
      <c r="C33" s="466"/>
      <c r="D33" s="466"/>
      <c r="E33" s="187"/>
      <c r="F33" s="193"/>
      <c r="G33" s="188"/>
      <c r="H33" s="193"/>
      <c r="I33" s="17">
        <v>17.600000000000001</v>
      </c>
      <c r="J33" s="18">
        <v>2400</v>
      </c>
      <c r="K33" s="9">
        <f t="shared" si="46"/>
        <v>136.36363636363635</v>
      </c>
      <c r="L33" s="17">
        <v>17.600000000000001</v>
      </c>
      <c r="M33" s="10">
        <f>AVERAGE(M28:M32)</f>
        <v>2163.1085576884043</v>
      </c>
      <c r="N33" s="9">
        <f>M33/L33</f>
        <v>122.90389532320478</v>
      </c>
      <c r="O33" s="11">
        <f>L33-I33</f>
        <v>0</v>
      </c>
      <c r="P33" s="12">
        <f>N33-K33</f>
        <v>-13.459741040431567</v>
      </c>
      <c r="Q33" s="189">
        <f>N33/K33</f>
        <v>0.90129523237016851</v>
      </c>
      <c r="R33" s="470"/>
      <c r="S33" s="24"/>
      <c r="T33" s="24"/>
      <c r="U33" s="188"/>
      <c r="V33" s="192"/>
      <c r="W33" s="188"/>
      <c r="X33" s="188"/>
      <c r="Y33" s="456"/>
      <c r="Z33" s="456"/>
      <c r="AA33" s="11">
        <f t="shared" si="2"/>
        <v>-236.89144231159571</v>
      </c>
      <c r="AB33" s="189">
        <f>M33/J33</f>
        <v>0.90129523237016851</v>
      </c>
      <c r="AC33" s="470"/>
    </row>
    <row r="34" spans="1:29" ht="15.75" customHeight="1">
      <c r="A34" s="485" t="s">
        <v>158</v>
      </c>
      <c r="B34" s="26" t="s">
        <v>24</v>
      </c>
      <c r="C34" s="487" t="s">
        <v>29</v>
      </c>
      <c r="D34" s="487"/>
      <c r="E34" s="26">
        <v>26.2</v>
      </c>
      <c r="F34" s="193">
        <v>4464</v>
      </c>
      <c r="G34" s="188">
        <f t="shared" ref="G34:G40" si="49">E34*F34</f>
        <v>116956.8</v>
      </c>
      <c r="H34" s="76" t="s">
        <v>57</v>
      </c>
      <c r="I34" s="191">
        <v>18</v>
      </c>
      <c r="J34" s="18">
        <v>2400</v>
      </c>
      <c r="K34" s="9">
        <f>J34/I34</f>
        <v>133.33333333333334</v>
      </c>
      <c r="L34" s="191">
        <v>18</v>
      </c>
      <c r="M34" s="10">
        <f>F34/V34*60</f>
        <v>2159.9999999999991</v>
      </c>
      <c r="N34" s="9">
        <f>M34/L34</f>
        <v>119.99999999999994</v>
      </c>
      <c r="O34" s="11">
        <f t="shared" ref="O34:O40" si="50">L34-I34</f>
        <v>0</v>
      </c>
      <c r="P34" s="12">
        <f t="shared" ref="P34:P49" si="51">N34-K34</f>
        <v>-13.3333333333334</v>
      </c>
      <c r="Q34" s="189">
        <f t="shared" ref="Q34:Q45" si="52">N34/K34</f>
        <v>0.89999999999999947</v>
      </c>
      <c r="R34" s="470">
        <f>Q41</f>
        <v>0.90231330186658765</v>
      </c>
      <c r="S34" s="24">
        <v>0.125</v>
      </c>
      <c r="T34" s="24">
        <v>0.21111111111111114</v>
      </c>
      <c r="U34" s="188"/>
      <c r="V34" s="192">
        <f t="shared" ref="V34:V40" si="53">(T34-S34)*24*60</f>
        <v>124.00000000000004</v>
      </c>
      <c r="W34" s="15"/>
      <c r="X34" s="15"/>
      <c r="Y34" s="456"/>
      <c r="Z34" s="456"/>
      <c r="AA34" s="11">
        <f t="shared" si="2"/>
        <v>-240.00000000000091</v>
      </c>
      <c r="AB34" s="189">
        <f>M34/J34</f>
        <v>0.89999999999999958</v>
      </c>
      <c r="AC34" s="470">
        <f>AB41</f>
        <v>0.90231330186658754</v>
      </c>
    </row>
    <row r="35" spans="1:29" ht="15.75" customHeight="1">
      <c r="A35" s="485" t="s">
        <v>646</v>
      </c>
      <c r="B35" s="26" t="s">
        <v>24</v>
      </c>
      <c r="C35" s="487" t="s">
        <v>31</v>
      </c>
      <c r="D35" s="487"/>
      <c r="E35" s="26">
        <v>24.45</v>
      </c>
      <c r="F35" s="193">
        <v>1927</v>
      </c>
      <c r="G35" s="188">
        <f t="shared" si="49"/>
        <v>47115.15</v>
      </c>
      <c r="H35" s="76" t="s">
        <v>57</v>
      </c>
      <c r="I35" s="191">
        <v>20</v>
      </c>
      <c r="J35" s="18">
        <v>2400</v>
      </c>
      <c r="K35" s="9">
        <f t="shared" ref="K35:K48" si="54">J35/I35</f>
        <v>120</v>
      </c>
      <c r="L35" s="191">
        <v>20</v>
      </c>
      <c r="M35" s="10">
        <f t="shared" ref="M35:M40" si="55">F35/V35*60</f>
        <v>2181.5094339622633</v>
      </c>
      <c r="N35" s="9">
        <f t="shared" ref="N35:N40" si="56">M35/L35</f>
        <v>109.07547169811316</v>
      </c>
      <c r="O35" s="11">
        <f t="shared" si="50"/>
        <v>0</v>
      </c>
      <c r="P35" s="12">
        <f t="shared" si="51"/>
        <v>-10.924528301886838</v>
      </c>
      <c r="Q35" s="189">
        <f t="shared" si="52"/>
        <v>0.90896226415094306</v>
      </c>
      <c r="R35" s="470"/>
      <c r="S35" s="24">
        <v>0.21597222222222226</v>
      </c>
      <c r="T35" s="24">
        <v>0.25277777777777782</v>
      </c>
      <c r="U35" s="188">
        <f>(S35-T34)*24*60</f>
        <v>7.0000000000000151</v>
      </c>
      <c r="V35" s="192">
        <f t="shared" si="53"/>
        <v>53.000000000000014</v>
      </c>
      <c r="W35" s="188"/>
      <c r="X35" s="188"/>
      <c r="Y35" s="456"/>
      <c r="Z35" s="456"/>
      <c r="AA35" s="11">
        <f t="shared" si="2"/>
        <v>-218.4905660377367</v>
      </c>
      <c r="AB35" s="189">
        <f t="shared" ref="AB35:AB60" si="57">M35/J35</f>
        <v>0.90896226415094306</v>
      </c>
      <c r="AC35" s="470"/>
    </row>
    <row r="36" spans="1:29">
      <c r="A36" s="486" t="s">
        <v>646</v>
      </c>
      <c r="B36" s="26" t="s">
        <v>24</v>
      </c>
      <c r="C36" s="487" t="s">
        <v>32</v>
      </c>
      <c r="D36" s="487"/>
      <c r="E36" s="26">
        <v>26.2</v>
      </c>
      <c r="F36" s="193">
        <v>2128</v>
      </c>
      <c r="G36" s="188">
        <f t="shared" si="49"/>
        <v>55753.599999999999</v>
      </c>
      <c r="H36" s="76" t="s">
        <v>57</v>
      </c>
      <c r="I36" s="191">
        <v>20</v>
      </c>
      <c r="J36" s="18">
        <v>2400</v>
      </c>
      <c r="K36" s="9">
        <f t="shared" si="54"/>
        <v>120</v>
      </c>
      <c r="L36" s="191">
        <v>20</v>
      </c>
      <c r="M36" s="10">
        <f t="shared" si="55"/>
        <v>2164.0677966101684</v>
      </c>
      <c r="N36" s="9">
        <f t="shared" si="56"/>
        <v>108.20338983050843</v>
      </c>
      <c r="O36" s="11">
        <f t="shared" si="50"/>
        <v>0</v>
      </c>
      <c r="P36" s="12">
        <f t="shared" si="51"/>
        <v>-11.796610169491572</v>
      </c>
      <c r="Q36" s="189">
        <f t="shared" si="52"/>
        <v>0.90169491525423695</v>
      </c>
      <c r="R36" s="470"/>
      <c r="S36" s="24">
        <v>0.25694444444444448</v>
      </c>
      <c r="T36" s="24">
        <v>0.29791666666666672</v>
      </c>
      <c r="U36" s="188">
        <f t="shared" ref="U36:U40" si="58">(S36-T35)*24*60</f>
        <v>5.9999999999999787</v>
      </c>
      <c r="V36" s="192">
        <f t="shared" si="53"/>
        <v>59.000000000000028</v>
      </c>
      <c r="W36" s="188"/>
      <c r="X36" s="188"/>
      <c r="Y36" s="456"/>
      <c r="Z36" s="456"/>
      <c r="AA36" s="11">
        <f t="shared" si="2"/>
        <v>-235.93220338983156</v>
      </c>
      <c r="AB36" s="189">
        <f t="shared" si="57"/>
        <v>0.90169491525423684</v>
      </c>
      <c r="AC36" s="470"/>
    </row>
    <row r="37" spans="1:29">
      <c r="A37" s="486" t="s">
        <v>158</v>
      </c>
      <c r="B37" s="26" t="s">
        <v>24</v>
      </c>
      <c r="C37" s="487" t="s">
        <v>30</v>
      </c>
      <c r="D37" s="487"/>
      <c r="E37" s="26">
        <v>26.39</v>
      </c>
      <c r="F37" s="193">
        <v>4018</v>
      </c>
      <c r="G37" s="188">
        <f t="shared" si="49"/>
        <v>106035.02</v>
      </c>
      <c r="H37" s="76" t="s">
        <v>57</v>
      </c>
      <c r="I37" s="191">
        <v>19</v>
      </c>
      <c r="J37" s="18">
        <v>2400</v>
      </c>
      <c r="K37" s="9">
        <f t="shared" si="54"/>
        <v>126.31578947368421</v>
      </c>
      <c r="L37" s="191">
        <v>19</v>
      </c>
      <c r="M37" s="10">
        <f t="shared" si="55"/>
        <v>2152.5</v>
      </c>
      <c r="N37" s="9">
        <f t="shared" si="56"/>
        <v>113.28947368421052</v>
      </c>
      <c r="O37" s="11">
        <f t="shared" si="50"/>
        <v>0</v>
      </c>
      <c r="P37" s="12">
        <f t="shared" si="51"/>
        <v>-13.026315789473685</v>
      </c>
      <c r="Q37" s="189">
        <f t="shared" si="52"/>
        <v>0.89687499999999998</v>
      </c>
      <c r="R37" s="470"/>
      <c r="S37" s="24">
        <v>0.30277777777777781</v>
      </c>
      <c r="T37" s="24">
        <v>0.38055555555555559</v>
      </c>
      <c r="U37" s="188">
        <f t="shared" si="58"/>
        <v>6.9999999999999751</v>
      </c>
      <c r="V37" s="192">
        <f t="shared" si="53"/>
        <v>112</v>
      </c>
      <c r="W37" s="14"/>
      <c r="X37" s="14"/>
      <c r="Y37" s="456"/>
      <c r="Z37" s="456"/>
      <c r="AA37" s="11">
        <f t="shared" si="2"/>
        <v>-247.5</v>
      </c>
      <c r="AB37" s="189">
        <f t="shared" si="57"/>
        <v>0.89687499999999998</v>
      </c>
      <c r="AC37" s="470"/>
    </row>
    <row r="38" spans="1:29">
      <c r="A38" s="486" t="s">
        <v>646</v>
      </c>
      <c r="B38" s="26" t="s">
        <v>24</v>
      </c>
      <c r="C38" s="487" t="s">
        <v>27</v>
      </c>
      <c r="D38" s="487"/>
      <c r="E38" s="26">
        <v>20.52</v>
      </c>
      <c r="F38" s="193">
        <v>2656</v>
      </c>
      <c r="G38" s="188">
        <f t="shared" si="49"/>
        <v>54501.119999999995</v>
      </c>
      <c r="H38" s="76" t="s">
        <v>57</v>
      </c>
      <c r="I38" s="191">
        <v>18</v>
      </c>
      <c r="J38" s="18">
        <v>2400</v>
      </c>
      <c r="K38" s="9">
        <f t="shared" si="54"/>
        <v>133.33333333333334</v>
      </c>
      <c r="L38" s="191">
        <v>18</v>
      </c>
      <c r="M38" s="10">
        <f t="shared" si="55"/>
        <v>2153.5135135135147</v>
      </c>
      <c r="N38" s="9">
        <f t="shared" si="56"/>
        <v>119.63963963963971</v>
      </c>
      <c r="O38" s="11">
        <f t="shared" si="50"/>
        <v>0</v>
      </c>
      <c r="P38" s="12">
        <f t="shared" si="51"/>
        <v>-13.693693693693632</v>
      </c>
      <c r="Q38" s="189">
        <f t="shared" si="52"/>
        <v>0.89729729729729779</v>
      </c>
      <c r="R38" s="470"/>
      <c r="S38" s="24">
        <v>0.3840277777777778</v>
      </c>
      <c r="T38" s="24">
        <v>0.43541666666666667</v>
      </c>
      <c r="U38" s="188">
        <f t="shared" si="58"/>
        <v>4.9999999999999822</v>
      </c>
      <c r="V38" s="192">
        <f t="shared" si="53"/>
        <v>73.999999999999972</v>
      </c>
      <c r="W38" s="14"/>
      <c r="X38" s="14"/>
      <c r="Y38" s="456"/>
      <c r="Z38" s="456"/>
      <c r="AA38" s="11">
        <f t="shared" si="2"/>
        <v>-246.48648648648532</v>
      </c>
      <c r="AB38" s="189">
        <f t="shared" si="57"/>
        <v>0.89729729729729779</v>
      </c>
      <c r="AC38" s="470"/>
    </row>
    <row r="39" spans="1:29">
      <c r="A39" s="486" t="s">
        <v>646</v>
      </c>
      <c r="B39" s="26" t="s">
        <v>24</v>
      </c>
      <c r="C39" s="487" t="s">
        <v>55</v>
      </c>
      <c r="D39" s="487"/>
      <c r="E39" s="26">
        <v>26.2</v>
      </c>
      <c r="F39" s="193">
        <v>3096</v>
      </c>
      <c r="G39" s="188">
        <f t="shared" si="49"/>
        <v>81115.199999999997</v>
      </c>
      <c r="H39" s="76" t="s">
        <v>57</v>
      </c>
      <c r="I39" s="191">
        <v>19</v>
      </c>
      <c r="J39" s="18">
        <v>2400</v>
      </c>
      <c r="K39" s="9">
        <f t="shared" si="54"/>
        <v>126.31578947368421</v>
      </c>
      <c r="L39" s="191">
        <v>19</v>
      </c>
      <c r="M39" s="10">
        <f t="shared" si="55"/>
        <v>2159.9999999999995</v>
      </c>
      <c r="N39" s="9">
        <f t="shared" si="56"/>
        <v>113.68421052631577</v>
      </c>
      <c r="O39" s="11">
        <f t="shared" si="50"/>
        <v>0</v>
      </c>
      <c r="P39" s="12">
        <f t="shared" si="51"/>
        <v>-12.631578947368439</v>
      </c>
      <c r="Q39" s="189">
        <f t="shared" si="52"/>
        <v>0.8999999999999998</v>
      </c>
      <c r="R39" s="470"/>
      <c r="S39" s="24">
        <v>0.44097222222222221</v>
      </c>
      <c r="T39" s="24">
        <v>0.50069444444444444</v>
      </c>
      <c r="U39" s="188">
        <f t="shared" si="58"/>
        <v>7.9999999999999716</v>
      </c>
      <c r="V39" s="192">
        <f t="shared" si="53"/>
        <v>86.000000000000014</v>
      </c>
      <c r="W39" s="14"/>
      <c r="X39" s="14"/>
      <c r="Y39" s="456"/>
      <c r="Z39" s="456"/>
      <c r="AA39" s="11">
        <f t="shared" si="2"/>
        <v>-240.00000000000045</v>
      </c>
      <c r="AB39" s="189">
        <f t="shared" si="57"/>
        <v>0.8999999999999998</v>
      </c>
      <c r="AC39" s="470"/>
    </row>
    <row r="40" spans="1:29">
      <c r="A40" s="486" t="s">
        <v>646</v>
      </c>
      <c r="B40" s="26" t="s">
        <v>24</v>
      </c>
      <c r="C40" s="487" t="s">
        <v>84</v>
      </c>
      <c r="D40" s="487"/>
      <c r="E40" s="26">
        <v>24.25</v>
      </c>
      <c r="F40" s="193">
        <v>1604</v>
      </c>
      <c r="G40" s="188">
        <f t="shared" si="49"/>
        <v>38897</v>
      </c>
      <c r="H40" s="76" t="s">
        <v>57</v>
      </c>
      <c r="I40" s="191">
        <v>18</v>
      </c>
      <c r="J40" s="18">
        <v>2400</v>
      </c>
      <c r="K40" s="9">
        <f t="shared" si="54"/>
        <v>133.33333333333334</v>
      </c>
      <c r="L40" s="191">
        <v>18</v>
      </c>
      <c r="M40" s="10">
        <f t="shared" si="55"/>
        <v>2187.272727272727</v>
      </c>
      <c r="N40" s="9">
        <f t="shared" si="56"/>
        <v>121.5151515151515</v>
      </c>
      <c r="O40" s="11">
        <f t="shared" si="50"/>
        <v>0</v>
      </c>
      <c r="P40" s="12">
        <f t="shared" si="51"/>
        <v>-11.818181818181841</v>
      </c>
      <c r="Q40" s="189">
        <f t="shared" si="52"/>
        <v>0.91136363636363615</v>
      </c>
      <c r="R40" s="470"/>
      <c r="S40" s="24">
        <v>0.54097222222222219</v>
      </c>
      <c r="T40" s="24">
        <v>0.57152777777777775</v>
      </c>
      <c r="U40" s="188">
        <f t="shared" si="58"/>
        <v>57.999999999999957</v>
      </c>
      <c r="V40" s="192">
        <f t="shared" si="53"/>
        <v>44</v>
      </c>
      <c r="W40" s="14"/>
      <c r="X40" s="14"/>
      <c r="Y40" s="473"/>
      <c r="Z40" s="474"/>
      <c r="AA40" s="11">
        <f t="shared" si="2"/>
        <v>-212.72727272727298</v>
      </c>
      <c r="AB40" s="189">
        <f t="shared" si="57"/>
        <v>0.91136363636363626</v>
      </c>
      <c r="AC40" s="470"/>
    </row>
    <row r="41" spans="1:29">
      <c r="A41" s="486" t="s">
        <v>647</v>
      </c>
      <c r="B41" s="16" t="s">
        <v>81</v>
      </c>
      <c r="C41" s="466"/>
      <c r="D41" s="466"/>
      <c r="E41" s="187"/>
      <c r="F41" s="16"/>
      <c r="G41" s="9"/>
      <c r="H41" s="193"/>
      <c r="I41" s="17">
        <v>18.857142857142858</v>
      </c>
      <c r="J41" s="18">
        <v>2400</v>
      </c>
      <c r="K41" s="9">
        <f t="shared" si="54"/>
        <v>127.27272727272727</v>
      </c>
      <c r="L41" s="17">
        <v>18.857142857142858</v>
      </c>
      <c r="M41" s="10">
        <f>AVERAGE(M34:M40)</f>
        <v>2165.5519244798102</v>
      </c>
      <c r="N41" s="9">
        <f>M41/L41</f>
        <v>114.83987478302024</v>
      </c>
      <c r="O41" s="11">
        <f>L41-I41</f>
        <v>0</v>
      </c>
      <c r="P41" s="12">
        <f t="shared" si="51"/>
        <v>-12.432852489707031</v>
      </c>
      <c r="Q41" s="189">
        <f t="shared" si="52"/>
        <v>0.90231330186658765</v>
      </c>
      <c r="R41" s="470"/>
      <c r="S41" s="24"/>
      <c r="T41" s="24"/>
      <c r="U41" s="9"/>
      <c r="V41" s="192"/>
      <c r="W41" s="9"/>
      <c r="X41" s="9"/>
      <c r="Y41" s="456"/>
      <c r="Z41" s="456"/>
      <c r="AA41" s="11">
        <f t="shared" si="2"/>
        <v>-234.44807552018983</v>
      </c>
      <c r="AB41" s="189">
        <f t="shared" si="57"/>
        <v>0.90231330186658754</v>
      </c>
      <c r="AC41" s="470"/>
    </row>
    <row r="42" spans="1:29" ht="15.75" customHeight="1">
      <c r="A42" s="488" t="s">
        <v>162</v>
      </c>
      <c r="B42" s="26" t="s">
        <v>33</v>
      </c>
      <c r="C42" s="491" t="s">
        <v>34</v>
      </c>
      <c r="D42" s="492"/>
      <c r="E42" s="26">
        <v>27.17</v>
      </c>
      <c r="F42" s="193">
        <v>2800</v>
      </c>
      <c r="G42" s="188">
        <f t="shared" ref="G42:G48" si="59">E42*F42</f>
        <v>76076</v>
      </c>
      <c r="H42" s="76">
        <v>2</v>
      </c>
      <c r="I42" s="191">
        <v>10</v>
      </c>
      <c r="J42" s="18">
        <v>3000</v>
      </c>
      <c r="K42" s="9">
        <f t="shared" si="54"/>
        <v>300</v>
      </c>
      <c r="L42" s="191">
        <v>10</v>
      </c>
      <c r="M42" s="10">
        <f t="shared" ref="M42:M43" si="60">F42/V42*60</f>
        <v>2709.6774193548399</v>
      </c>
      <c r="N42" s="10">
        <f t="shared" ref="N42:N49" si="61">M42/L42</f>
        <v>270.96774193548401</v>
      </c>
      <c r="O42" s="11">
        <f t="shared" ref="O42:O49" si="62">L42-I42</f>
        <v>0</v>
      </c>
      <c r="P42" s="12">
        <f t="shared" si="51"/>
        <v>-29.032258064515986</v>
      </c>
      <c r="Q42" s="189">
        <f t="shared" si="52"/>
        <v>0.90322580645161343</v>
      </c>
      <c r="R42" s="493">
        <f>Q49</f>
        <v>0.90301974079112934</v>
      </c>
      <c r="S42" s="24">
        <v>0.20833333333333334</v>
      </c>
      <c r="T42" s="24">
        <v>0.25138888888888888</v>
      </c>
      <c r="U42" s="15"/>
      <c r="V42" s="192">
        <f t="shared" ref="V42:V48" si="63">(T42-S42)*24*60</f>
        <v>61.999999999999979</v>
      </c>
      <c r="W42" s="188"/>
      <c r="X42" s="188"/>
      <c r="Y42" s="473"/>
      <c r="Z42" s="474"/>
      <c r="AA42" s="11">
        <f t="shared" si="2"/>
        <v>-290.32258064516009</v>
      </c>
      <c r="AB42" s="189">
        <f t="shared" si="57"/>
        <v>0.90322580645161332</v>
      </c>
      <c r="AC42" s="493">
        <f>AB49</f>
        <v>0.90301974079112945</v>
      </c>
    </row>
    <row r="43" spans="1:29" ht="15.75" customHeight="1">
      <c r="A43" s="489" t="s">
        <v>9</v>
      </c>
      <c r="B43" s="26" t="s">
        <v>33</v>
      </c>
      <c r="C43" s="491" t="s">
        <v>35</v>
      </c>
      <c r="D43" s="492"/>
      <c r="E43" s="26">
        <v>21.13</v>
      </c>
      <c r="F43" s="193">
        <v>3966</v>
      </c>
      <c r="G43" s="188">
        <f t="shared" si="59"/>
        <v>83801.58</v>
      </c>
      <c r="H43" s="76" t="s">
        <v>57</v>
      </c>
      <c r="I43" s="191">
        <v>10</v>
      </c>
      <c r="J43" s="18">
        <v>3000</v>
      </c>
      <c r="K43" s="9">
        <f t="shared" si="54"/>
        <v>300</v>
      </c>
      <c r="L43" s="191">
        <v>10</v>
      </c>
      <c r="M43" s="10">
        <f t="shared" si="60"/>
        <v>2704.090909090909</v>
      </c>
      <c r="N43" s="10">
        <f t="shared" si="61"/>
        <v>270.40909090909088</v>
      </c>
      <c r="O43" s="11">
        <f t="shared" si="62"/>
        <v>0</v>
      </c>
      <c r="P43" s="12">
        <f t="shared" si="51"/>
        <v>-29.590909090909122</v>
      </c>
      <c r="Q43" s="189">
        <f t="shared" si="52"/>
        <v>0.90136363636363626</v>
      </c>
      <c r="R43" s="494"/>
      <c r="S43" s="24">
        <v>0.25486111111111109</v>
      </c>
      <c r="T43" s="24">
        <v>0.31597222222222221</v>
      </c>
      <c r="U43" s="188">
        <f>(S43-T42)*24*60</f>
        <v>4.9999999999999822</v>
      </c>
      <c r="V43" s="192">
        <f t="shared" si="63"/>
        <v>88</v>
      </c>
      <c r="W43" s="14"/>
      <c r="X43" s="14"/>
      <c r="Y43" s="473"/>
      <c r="Z43" s="474"/>
      <c r="AA43" s="11">
        <f t="shared" si="2"/>
        <v>-295.90909090909099</v>
      </c>
      <c r="AB43" s="189">
        <f t="shared" si="57"/>
        <v>0.90136363636363637</v>
      </c>
      <c r="AC43" s="494"/>
    </row>
    <row r="44" spans="1:29" ht="15.75" customHeight="1">
      <c r="A44" s="489" t="s">
        <v>9</v>
      </c>
      <c r="B44" s="26" t="s">
        <v>33</v>
      </c>
      <c r="C44" s="491" t="s">
        <v>43</v>
      </c>
      <c r="D44" s="492"/>
      <c r="E44" s="26">
        <v>35.119999999999997</v>
      </c>
      <c r="F44" s="193">
        <v>3808</v>
      </c>
      <c r="G44" s="188">
        <f t="shared" si="59"/>
        <v>133736.95999999999</v>
      </c>
      <c r="H44" s="76" t="s">
        <v>57</v>
      </c>
      <c r="I44" s="191">
        <v>10</v>
      </c>
      <c r="J44" s="18">
        <v>3000</v>
      </c>
      <c r="K44" s="9">
        <f t="shared" si="54"/>
        <v>300</v>
      </c>
      <c r="L44" s="191">
        <v>10</v>
      </c>
      <c r="M44" s="10">
        <f>F44/V44*60</f>
        <v>2687.9999999999995</v>
      </c>
      <c r="N44" s="10">
        <f t="shared" si="61"/>
        <v>268.79999999999995</v>
      </c>
      <c r="O44" s="11">
        <f t="shared" si="62"/>
        <v>0</v>
      </c>
      <c r="P44" s="12">
        <f t="shared" si="51"/>
        <v>-31.200000000000045</v>
      </c>
      <c r="Q44" s="189">
        <f t="shared" si="52"/>
        <v>0.8959999999999998</v>
      </c>
      <c r="R44" s="494"/>
      <c r="S44" s="24">
        <v>0.32152777777777775</v>
      </c>
      <c r="T44" s="24">
        <v>0.38055555555555554</v>
      </c>
      <c r="U44" s="188">
        <f t="shared" ref="U44:U48" si="64">(S44-T43)*24*60</f>
        <v>7.9999999999999716</v>
      </c>
      <c r="V44" s="192">
        <f t="shared" si="63"/>
        <v>85.000000000000014</v>
      </c>
      <c r="W44" s="14"/>
      <c r="X44" s="14"/>
      <c r="Y44" s="473"/>
      <c r="Z44" s="474"/>
      <c r="AA44" s="11">
        <f t="shared" si="2"/>
        <v>-312.00000000000045</v>
      </c>
      <c r="AB44" s="189">
        <f t="shared" si="57"/>
        <v>0.8959999999999998</v>
      </c>
      <c r="AC44" s="494"/>
    </row>
    <row r="45" spans="1:29" ht="15.75" customHeight="1">
      <c r="A45" s="489" t="s">
        <v>9</v>
      </c>
      <c r="B45" s="26" t="s">
        <v>33</v>
      </c>
      <c r="C45" s="491" t="s">
        <v>67</v>
      </c>
      <c r="D45" s="492"/>
      <c r="E45" s="26">
        <v>40.18</v>
      </c>
      <c r="F45" s="193">
        <v>2458</v>
      </c>
      <c r="G45" s="188">
        <f t="shared" si="59"/>
        <v>98762.44</v>
      </c>
      <c r="H45" s="76" t="s">
        <v>57</v>
      </c>
      <c r="I45" s="191">
        <v>10</v>
      </c>
      <c r="J45" s="18">
        <v>3000</v>
      </c>
      <c r="K45" s="9">
        <f t="shared" si="54"/>
        <v>300</v>
      </c>
      <c r="L45" s="191">
        <v>10</v>
      </c>
      <c r="M45" s="10">
        <f t="shared" ref="M45:M48" si="65">F45/V45*60</f>
        <v>2731.1111111111122</v>
      </c>
      <c r="N45" s="10">
        <f t="shared" si="61"/>
        <v>273.1111111111112</v>
      </c>
      <c r="O45" s="11">
        <f t="shared" si="62"/>
        <v>0</v>
      </c>
      <c r="P45" s="12">
        <f t="shared" si="51"/>
        <v>-26.8888888888888</v>
      </c>
      <c r="Q45" s="189">
        <f t="shared" si="52"/>
        <v>0.91037037037037072</v>
      </c>
      <c r="R45" s="494"/>
      <c r="S45" s="24">
        <v>0.38472222222222219</v>
      </c>
      <c r="T45" s="24">
        <v>0.42222222222222217</v>
      </c>
      <c r="U45" s="188">
        <f t="shared" si="64"/>
        <v>5.9999999999999787</v>
      </c>
      <c r="V45" s="192">
        <f t="shared" si="63"/>
        <v>53.999999999999972</v>
      </c>
      <c r="W45" s="14"/>
      <c r="X45" s="14"/>
      <c r="Y45" s="473"/>
      <c r="Z45" s="474"/>
      <c r="AA45" s="11">
        <f t="shared" si="2"/>
        <v>-268.88888888888778</v>
      </c>
      <c r="AB45" s="189">
        <f t="shared" si="57"/>
        <v>0.91037037037037072</v>
      </c>
      <c r="AC45" s="494"/>
    </row>
    <row r="46" spans="1:29" ht="15.75" customHeight="1">
      <c r="A46" s="489" t="s">
        <v>9</v>
      </c>
      <c r="B46" s="26" t="s">
        <v>33</v>
      </c>
      <c r="C46" s="491" t="s">
        <v>73</v>
      </c>
      <c r="D46" s="492"/>
      <c r="E46" s="26">
        <v>28.5</v>
      </c>
      <c r="F46" s="193">
        <v>1774</v>
      </c>
      <c r="G46" s="188">
        <f t="shared" si="59"/>
        <v>50559</v>
      </c>
      <c r="H46" s="76" t="s">
        <v>57</v>
      </c>
      <c r="I46" s="191">
        <v>10</v>
      </c>
      <c r="J46" s="18">
        <v>3000</v>
      </c>
      <c r="K46" s="9">
        <f t="shared" si="54"/>
        <v>300</v>
      </c>
      <c r="L46" s="191">
        <v>10</v>
      </c>
      <c r="M46" s="10">
        <f t="shared" si="65"/>
        <v>2729.2307692307677</v>
      </c>
      <c r="N46" s="10">
        <f t="shared" si="61"/>
        <v>272.92307692307679</v>
      </c>
      <c r="O46" s="11">
        <f t="shared" si="62"/>
        <v>0</v>
      </c>
      <c r="P46" s="12">
        <f t="shared" si="51"/>
        <v>-27.076923076923208</v>
      </c>
      <c r="Q46" s="189">
        <f>N46/K46</f>
        <v>0.90974358974358926</v>
      </c>
      <c r="R46" s="494"/>
      <c r="S46" s="24">
        <v>0.42569444444444438</v>
      </c>
      <c r="T46" s="24">
        <v>0.45277777777777772</v>
      </c>
      <c r="U46" s="188">
        <f t="shared" si="64"/>
        <v>4.9999999999999822</v>
      </c>
      <c r="V46" s="192">
        <f t="shared" si="63"/>
        <v>39.000000000000021</v>
      </c>
      <c r="W46" s="14"/>
      <c r="X46" s="14"/>
      <c r="Y46" s="473"/>
      <c r="Z46" s="474"/>
      <c r="AA46" s="11">
        <f t="shared" si="2"/>
        <v>-270.76923076923231</v>
      </c>
      <c r="AB46" s="189">
        <f t="shared" si="57"/>
        <v>0.90974358974358926</v>
      </c>
      <c r="AC46" s="494"/>
    </row>
    <row r="47" spans="1:29" ht="15.75" customHeight="1">
      <c r="A47" s="489" t="s">
        <v>9</v>
      </c>
      <c r="B47" s="26" t="s">
        <v>33</v>
      </c>
      <c r="C47" s="491" t="s">
        <v>511</v>
      </c>
      <c r="D47" s="492"/>
      <c r="E47" s="26">
        <v>35.869999999999997</v>
      </c>
      <c r="F47" s="193">
        <v>3090</v>
      </c>
      <c r="G47" s="188">
        <f t="shared" si="59"/>
        <v>110838.29999999999</v>
      </c>
      <c r="H47" s="76" t="s">
        <v>57</v>
      </c>
      <c r="I47" s="191">
        <v>10</v>
      </c>
      <c r="J47" s="18">
        <v>3000</v>
      </c>
      <c r="K47" s="9">
        <f t="shared" si="54"/>
        <v>300</v>
      </c>
      <c r="L47" s="191">
        <v>10</v>
      </c>
      <c r="M47" s="10">
        <f t="shared" si="65"/>
        <v>2686.9565217391337</v>
      </c>
      <c r="N47" s="10">
        <f t="shared" si="61"/>
        <v>268.69565217391334</v>
      </c>
      <c r="O47" s="11">
        <f t="shared" si="62"/>
        <v>0</v>
      </c>
      <c r="P47" s="12">
        <f t="shared" si="51"/>
        <v>-31.304347826086655</v>
      </c>
      <c r="Q47" s="189">
        <f t="shared" ref="Q47:Q49" si="66">N47/K47</f>
        <v>0.89565217391304452</v>
      </c>
      <c r="R47" s="494"/>
      <c r="S47" s="24">
        <v>0.45833333333333326</v>
      </c>
      <c r="T47" s="24">
        <v>0.50624999999999987</v>
      </c>
      <c r="U47" s="188">
        <f t="shared" si="64"/>
        <v>7.9999999999999716</v>
      </c>
      <c r="V47" s="192">
        <f t="shared" si="63"/>
        <v>68.999999999999915</v>
      </c>
      <c r="W47" s="14"/>
      <c r="X47" s="14"/>
      <c r="Y47" s="473"/>
      <c r="Z47" s="474"/>
      <c r="AA47" s="11">
        <f t="shared" si="2"/>
        <v>-313.04347826086632</v>
      </c>
      <c r="AB47" s="189">
        <f t="shared" si="57"/>
        <v>0.89565217391304452</v>
      </c>
      <c r="AC47" s="494"/>
    </row>
    <row r="48" spans="1:29" ht="15.75" customHeight="1">
      <c r="A48" s="489" t="s">
        <v>9</v>
      </c>
      <c r="B48" s="26" t="s">
        <v>33</v>
      </c>
      <c r="C48" s="491" t="s">
        <v>34</v>
      </c>
      <c r="D48" s="492"/>
      <c r="E48" s="26">
        <v>27.17</v>
      </c>
      <c r="F48" s="193">
        <v>2081</v>
      </c>
      <c r="G48" s="188">
        <f t="shared" si="59"/>
        <v>56540.770000000004</v>
      </c>
      <c r="H48" s="76" t="s">
        <v>57</v>
      </c>
      <c r="I48" s="191">
        <v>10</v>
      </c>
      <c r="J48" s="18">
        <v>3000</v>
      </c>
      <c r="K48" s="9">
        <f t="shared" si="54"/>
        <v>300</v>
      </c>
      <c r="L48" s="191">
        <v>10</v>
      </c>
      <c r="M48" s="10">
        <f t="shared" si="65"/>
        <v>2714.3478260869565</v>
      </c>
      <c r="N48" s="10">
        <f t="shared" si="61"/>
        <v>271.43478260869563</v>
      </c>
      <c r="O48" s="11">
        <f t="shared" si="62"/>
        <v>0</v>
      </c>
      <c r="P48" s="12">
        <f t="shared" si="51"/>
        <v>-28.565217391304373</v>
      </c>
      <c r="Q48" s="189">
        <f t="shared" si="66"/>
        <v>0.90478260869565208</v>
      </c>
      <c r="R48" s="494"/>
      <c r="S48" s="24">
        <v>0.54652777777777761</v>
      </c>
      <c r="T48" s="24">
        <v>0.57847222222222205</v>
      </c>
      <c r="U48" s="188">
        <f t="shared" si="64"/>
        <v>57.999999999999957</v>
      </c>
      <c r="V48" s="192">
        <f t="shared" si="63"/>
        <v>46</v>
      </c>
      <c r="W48" s="14"/>
      <c r="X48" s="14"/>
      <c r="Y48" s="473"/>
      <c r="Z48" s="474"/>
      <c r="AA48" s="11">
        <f t="shared" si="2"/>
        <v>-285.6521739130435</v>
      </c>
      <c r="AB48" s="189">
        <f t="shared" si="57"/>
        <v>0.90478260869565219</v>
      </c>
      <c r="AC48" s="494"/>
    </row>
    <row r="49" spans="1:29" ht="15.75" customHeight="1">
      <c r="A49" s="490" t="s">
        <v>9</v>
      </c>
      <c r="B49" s="26" t="s">
        <v>81</v>
      </c>
      <c r="C49" s="497"/>
      <c r="D49" s="498"/>
      <c r="E49" s="190"/>
      <c r="F49" s="193"/>
      <c r="G49" s="188"/>
      <c r="H49" s="193"/>
      <c r="I49" s="17">
        <v>10</v>
      </c>
      <c r="J49" s="18">
        <v>3000</v>
      </c>
      <c r="K49" s="9">
        <f>J49/I49</f>
        <v>300</v>
      </c>
      <c r="L49" s="17">
        <v>10</v>
      </c>
      <c r="M49" s="10">
        <f>AVERAGE(M42:M48)</f>
        <v>2709.0592223733884</v>
      </c>
      <c r="N49" s="9">
        <f t="shared" si="61"/>
        <v>270.90592223733881</v>
      </c>
      <c r="O49" s="11">
        <f t="shared" si="62"/>
        <v>0</v>
      </c>
      <c r="P49" s="12">
        <f t="shared" si="51"/>
        <v>-29.094077762661186</v>
      </c>
      <c r="Q49" s="189">
        <f t="shared" si="66"/>
        <v>0.90301974079112934</v>
      </c>
      <c r="R49" s="495"/>
      <c r="S49" s="24"/>
      <c r="T49" s="24"/>
      <c r="U49" s="188"/>
      <c r="V49" s="192"/>
      <c r="W49" s="14"/>
      <c r="X49" s="14"/>
      <c r="Y49" s="473"/>
      <c r="Z49" s="474"/>
      <c r="AA49" s="11">
        <f t="shared" si="2"/>
        <v>-290.94077762661163</v>
      </c>
      <c r="AB49" s="189">
        <f t="shared" si="57"/>
        <v>0.90301974079112945</v>
      </c>
      <c r="AC49" s="495"/>
    </row>
    <row r="50" spans="1:29" ht="15.75" customHeight="1">
      <c r="A50" s="461" t="s">
        <v>648</v>
      </c>
      <c r="B50" s="26" t="s">
        <v>15</v>
      </c>
      <c r="C50" s="487" t="s">
        <v>20</v>
      </c>
      <c r="D50" s="487"/>
      <c r="E50" s="26">
        <v>46</v>
      </c>
      <c r="F50" s="27">
        <v>2504</v>
      </c>
      <c r="G50" s="188">
        <f t="shared" ref="G50:G53" si="67">E50*F50</f>
        <v>115184</v>
      </c>
      <c r="H50" s="76" t="s">
        <v>57</v>
      </c>
      <c r="I50" s="191">
        <v>17</v>
      </c>
      <c r="J50" s="18">
        <v>1500</v>
      </c>
      <c r="K50" s="9">
        <f t="shared" ref="K50:K53" si="68">J50/I50</f>
        <v>88.235294117647058</v>
      </c>
      <c r="L50" s="191">
        <v>17</v>
      </c>
      <c r="M50" s="10">
        <f t="shared" ref="M50:M53" si="69">F50/V50*60</f>
        <v>1353.5135135135135</v>
      </c>
      <c r="N50" s="10">
        <f>M50/L50</f>
        <v>79.618441971383149</v>
      </c>
      <c r="O50" s="11">
        <f>L50-I50</f>
        <v>0</v>
      </c>
      <c r="P50" s="12">
        <f>N50-K50</f>
        <v>-8.6168521462639092</v>
      </c>
      <c r="Q50" s="189">
        <f>N50/K50</f>
        <v>0.90234234234234234</v>
      </c>
      <c r="R50" s="470">
        <f>Q54</f>
        <v>0.90359607509607476</v>
      </c>
      <c r="S50" s="24">
        <v>0.29305555555555557</v>
      </c>
      <c r="T50" s="24">
        <v>0.37013888888888891</v>
      </c>
      <c r="U50" s="15"/>
      <c r="V50" s="192">
        <f t="shared" ref="V50:V53" si="70">(T50-S50)*24*60</f>
        <v>111</v>
      </c>
      <c r="W50" s="15"/>
      <c r="X50" s="15"/>
      <c r="Y50" s="456"/>
      <c r="Z50" s="456"/>
      <c r="AA50" s="11">
        <f t="shared" si="2"/>
        <v>-146.48648648648646</v>
      </c>
      <c r="AB50" s="189">
        <f t="shared" si="57"/>
        <v>0.90234234234234234</v>
      </c>
      <c r="AC50" s="470">
        <f>AB54</f>
        <v>0.90359607509607487</v>
      </c>
    </row>
    <row r="51" spans="1:29" ht="15.75" customHeight="1">
      <c r="A51" s="461" t="s">
        <v>10</v>
      </c>
      <c r="B51" s="26" t="s">
        <v>15</v>
      </c>
      <c r="C51" s="487" t="s">
        <v>75</v>
      </c>
      <c r="D51" s="487"/>
      <c r="E51" s="26">
        <v>46</v>
      </c>
      <c r="F51" s="27">
        <v>3217</v>
      </c>
      <c r="G51" s="188">
        <f t="shared" si="67"/>
        <v>147982</v>
      </c>
      <c r="H51" s="76" t="s">
        <v>57</v>
      </c>
      <c r="I51" s="191">
        <v>18</v>
      </c>
      <c r="J51" s="18">
        <v>1500</v>
      </c>
      <c r="K51" s="9">
        <f t="shared" si="68"/>
        <v>83.333333333333329</v>
      </c>
      <c r="L51" s="191">
        <v>18</v>
      </c>
      <c r="M51" s="10">
        <f t="shared" si="69"/>
        <v>1349.7902097902099</v>
      </c>
      <c r="N51" s="10">
        <f t="shared" ref="N51:N53" si="71">M51/L51</f>
        <v>74.988344988344991</v>
      </c>
      <c r="O51" s="11">
        <f t="shared" ref="O51:O53" si="72">L51-I51</f>
        <v>0</v>
      </c>
      <c r="P51" s="12">
        <f t="shared" ref="P51:P53" si="73">N51-K51</f>
        <v>-8.3449883449883373</v>
      </c>
      <c r="Q51" s="189">
        <f t="shared" ref="Q51:Q53" si="74">N51/K51</f>
        <v>0.89986013986013991</v>
      </c>
      <c r="R51" s="470"/>
      <c r="S51" s="24">
        <v>0.37569444444444444</v>
      </c>
      <c r="T51" s="24">
        <v>0.47499999999999998</v>
      </c>
      <c r="U51" s="188">
        <f t="shared" ref="U51:U53" si="75">(S51-T50)*24*60</f>
        <v>7.9999999999999716</v>
      </c>
      <c r="V51" s="192">
        <f t="shared" si="70"/>
        <v>142.99999999999997</v>
      </c>
      <c r="W51" s="14"/>
      <c r="X51" s="14"/>
      <c r="Y51" s="456"/>
      <c r="Z51" s="456"/>
      <c r="AA51" s="11">
        <f t="shared" si="2"/>
        <v>-150.20979020979007</v>
      </c>
      <c r="AB51" s="189">
        <f t="shared" si="57"/>
        <v>0.89986013986013991</v>
      </c>
      <c r="AC51" s="470"/>
    </row>
    <row r="52" spans="1:29" ht="15.75" customHeight="1">
      <c r="A52" s="461" t="s">
        <v>10</v>
      </c>
      <c r="B52" s="26" t="s">
        <v>13</v>
      </c>
      <c r="C52" s="491" t="s">
        <v>65</v>
      </c>
      <c r="D52" s="492"/>
      <c r="E52" s="26">
        <v>55.56</v>
      </c>
      <c r="F52" s="27">
        <v>1998</v>
      </c>
      <c r="G52" s="188">
        <f t="shared" si="67"/>
        <v>111008.88</v>
      </c>
      <c r="H52" s="76" t="s">
        <v>57</v>
      </c>
      <c r="I52" s="191">
        <v>17</v>
      </c>
      <c r="J52" s="18">
        <v>1500</v>
      </c>
      <c r="K52" s="9">
        <f t="shared" si="68"/>
        <v>88.235294117647058</v>
      </c>
      <c r="L52" s="191">
        <v>17</v>
      </c>
      <c r="M52" s="10">
        <f t="shared" si="69"/>
        <v>1362.2727272727273</v>
      </c>
      <c r="N52" s="10">
        <f t="shared" si="71"/>
        <v>80.133689839572185</v>
      </c>
      <c r="O52" s="11">
        <f t="shared" si="72"/>
        <v>0</v>
      </c>
      <c r="P52" s="12">
        <f t="shared" si="73"/>
        <v>-8.1016042780748734</v>
      </c>
      <c r="Q52" s="189">
        <f t="shared" si="74"/>
        <v>0.90818181818181809</v>
      </c>
      <c r="R52" s="470"/>
      <c r="S52" s="24">
        <v>0.70833333333333337</v>
      </c>
      <c r="T52" s="24">
        <v>0.76944444444444449</v>
      </c>
      <c r="U52" s="188">
        <f t="shared" si="75"/>
        <v>336.00000000000011</v>
      </c>
      <c r="V52" s="192">
        <f t="shared" si="70"/>
        <v>88</v>
      </c>
      <c r="W52" s="14"/>
      <c r="X52" s="14"/>
      <c r="Y52" s="185"/>
      <c r="Z52" s="186"/>
      <c r="AA52" s="11">
        <f t="shared" si="2"/>
        <v>-137.72727272727275</v>
      </c>
      <c r="AB52" s="189">
        <f t="shared" si="57"/>
        <v>0.9081818181818182</v>
      </c>
      <c r="AC52" s="470"/>
    </row>
    <row r="53" spans="1:29" ht="15.75" customHeight="1">
      <c r="A53" s="461" t="s">
        <v>10</v>
      </c>
      <c r="B53" s="26" t="s">
        <v>13</v>
      </c>
      <c r="C53" s="183" t="s">
        <v>64</v>
      </c>
      <c r="D53" s="184"/>
      <c r="E53" s="26">
        <v>55.32</v>
      </c>
      <c r="F53" s="27">
        <v>1582</v>
      </c>
      <c r="G53" s="188">
        <f t="shared" si="67"/>
        <v>87516.24</v>
      </c>
      <c r="H53" s="76" t="s">
        <v>57</v>
      </c>
      <c r="I53" s="191">
        <v>15</v>
      </c>
      <c r="J53" s="18">
        <v>1500</v>
      </c>
      <c r="K53" s="9">
        <f t="shared" si="68"/>
        <v>100</v>
      </c>
      <c r="L53" s="191">
        <v>15</v>
      </c>
      <c r="M53" s="10">
        <f t="shared" si="69"/>
        <v>1355.9999999999986</v>
      </c>
      <c r="N53" s="10">
        <f t="shared" si="71"/>
        <v>90.399999999999906</v>
      </c>
      <c r="O53" s="11">
        <f t="shared" si="72"/>
        <v>0</v>
      </c>
      <c r="P53" s="12">
        <f t="shared" si="73"/>
        <v>-9.6000000000000938</v>
      </c>
      <c r="Q53" s="189">
        <f t="shared" si="74"/>
        <v>0.90399999999999903</v>
      </c>
      <c r="R53" s="470"/>
      <c r="S53" s="24">
        <v>0.77500000000000002</v>
      </c>
      <c r="T53" s="24">
        <v>0.82361111111111118</v>
      </c>
      <c r="U53" s="188">
        <f t="shared" si="75"/>
        <v>7.9999999999999716</v>
      </c>
      <c r="V53" s="192">
        <f t="shared" si="70"/>
        <v>70.000000000000071</v>
      </c>
      <c r="W53" s="14"/>
      <c r="X53" s="14"/>
      <c r="Y53" s="185"/>
      <c r="Z53" s="186"/>
      <c r="AA53" s="11">
        <f t="shared" si="2"/>
        <v>-144.00000000000136</v>
      </c>
      <c r="AB53" s="189">
        <f t="shared" si="57"/>
        <v>0.90399999999999914</v>
      </c>
      <c r="AC53" s="470"/>
    </row>
    <row r="54" spans="1:29">
      <c r="A54" s="496" t="s">
        <v>10</v>
      </c>
      <c r="B54" s="26" t="s">
        <v>645</v>
      </c>
      <c r="C54" s="466"/>
      <c r="D54" s="466"/>
      <c r="E54" s="187"/>
      <c r="F54" s="16"/>
      <c r="G54" s="9"/>
      <c r="H54" s="193"/>
      <c r="I54" s="17">
        <v>16.75</v>
      </c>
      <c r="J54" s="18">
        <v>1500</v>
      </c>
      <c r="K54" s="9">
        <f>J54/I54</f>
        <v>89.552238805970148</v>
      </c>
      <c r="L54" s="17">
        <v>16.75</v>
      </c>
      <c r="M54" s="10">
        <f>AVERAGE(M50:M53)</f>
        <v>1355.3941126441123</v>
      </c>
      <c r="N54" s="9">
        <f>M54/L54</f>
        <v>80.919051501141027</v>
      </c>
      <c r="O54" s="11">
        <f>L54-I54</f>
        <v>0</v>
      </c>
      <c r="P54" s="12">
        <f>N54-K54</f>
        <v>-8.6331873048291214</v>
      </c>
      <c r="Q54" s="189">
        <f>N54/K54</f>
        <v>0.90359607509607476</v>
      </c>
      <c r="R54" s="470"/>
      <c r="S54" s="25"/>
      <c r="T54" s="24"/>
      <c r="U54" s="9"/>
      <c r="V54" s="192"/>
      <c r="W54" s="9"/>
      <c r="X54" s="9"/>
      <c r="Y54" s="456"/>
      <c r="Z54" s="456"/>
      <c r="AA54" s="11">
        <f t="shared" si="2"/>
        <v>-144.60588735588772</v>
      </c>
      <c r="AB54" s="189">
        <f t="shared" si="57"/>
        <v>0.90359607509607487</v>
      </c>
      <c r="AC54" s="470"/>
    </row>
    <row r="55" spans="1:29" ht="15.75" customHeight="1">
      <c r="A55" s="499" t="s">
        <v>163</v>
      </c>
      <c r="B55" s="193" t="s">
        <v>33</v>
      </c>
      <c r="C55" s="487" t="s">
        <v>36</v>
      </c>
      <c r="D55" s="487"/>
      <c r="E55" s="26">
        <v>26.78</v>
      </c>
      <c r="F55" s="27">
        <v>2216</v>
      </c>
      <c r="G55" s="188">
        <f t="shared" ref="G55:G59" si="76">E55*F55</f>
        <v>59344.480000000003</v>
      </c>
      <c r="H55" s="76" t="s">
        <v>57</v>
      </c>
      <c r="I55" s="191">
        <v>10</v>
      </c>
      <c r="J55" s="18">
        <v>3000</v>
      </c>
      <c r="K55" s="9">
        <f t="shared" ref="K55:K59" si="77">J55/I55</f>
        <v>300</v>
      </c>
      <c r="L55" s="17">
        <v>10</v>
      </c>
      <c r="M55" s="10">
        <f t="shared" ref="M55:M59" si="78">F55/V55*60</f>
        <v>2713.4693877551026</v>
      </c>
      <c r="N55" s="9">
        <f>M55/L55</f>
        <v>271.34693877551024</v>
      </c>
      <c r="O55" s="11">
        <f t="shared" ref="O55:O59" si="79">L55-I55</f>
        <v>0</v>
      </c>
      <c r="P55" s="12">
        <f t="shared" ref="P55:P59" si="80">N55-K55</f>
        <v>-28.653061224489761</v>
      </c>
      <c r="Q55" s="189">
        <f>N55/K55</f>
        <v>0.90448979591836742</v>
      </c>
      <c r="R55" s="470">
        <f>Q60</f>
        <v>0.90538310543145761</v>
      </c>
      <c r="S55" s="24">
        <v>0.25069444444444444</v>
      </c>
      <c r="T55" s="24">
        <v>0.28472222222222221</v>
      </c>
      <c r="U55" s="188"/>
      <c r="V55" s="192">
        <f t="shared" ref="V55:V59" si="81">(T55-S55)*24*60</f>
        <v>48.999999999999986</v>
      </c>
      <c r="W55" s="15"/>
      <c r="X55" s="15"/>
      <c r="Y55" s="456"/>
      <c r="Z55" s="456"/>
      <c r="AA55" s="11">
        <f t="shared" si="2"/>
        <v>-286.53061224489738</v>
      </c>
      <c r="AB55" s="189">
        <f t="shared" si="57"/>
        <v>0.90448979591836753</v>
      </c>
      <c r="AC55" s="470">
        <f>AB60</f>
        <v>0.90538310543145761</v>
      </c>
    </row>
    <row r="56" spans="1:29" ht="15.75" customHeight="1">
      <c r="A56" s="499" t="s">
        <v>11</v>
      </c>
      <c r="B56" s="193" t="s">
        <v>33</v>
      </c>
      <c r="C56" s="487" t="s">
        <v>42</v>
      </c>
      <c r="D56" s="487"/>
      <c r="E56" s="26">
        <v>35.369999999999997</v>
      </c>
      <c r="F56" s="27">
        <v>1612</v>
      </c>
      <c r="G56" s="188">
        <f t="shared" si="76"/>
        <v>57016.439999999995</v>
      </c>
      <c r="H56" s="76" t="s">
        <v>57</v>
      </c>
      <c r="I56" s="191">
        <v>10</v>
      </c>
      <c r="J56" s="18">
        <v>3000</v>
      </c>
      <c r="K56" s="9">
        <f t="shared" si="77"/>
        <v>300</v>
      </c>
      <c r="L56" s="17">
        <v>10</v>
      </c>
      <c r="M56" s="10">
        <f t="shared" si="78"/>
        <v>2763.4285714285684</v>
      </c>
      <c r="N56" s="9">
        <f t="shared" ref="N56:N59" si="82">M56/L56</f>
        <v>276.34285714285681</v>
      </c>
      <c r="O56" s="11">
        <f t="shared" si="79"/>
        <v>0</v>
      </c>
      <c r="P56" s="12">
        <f t="shared" si="80"/>
        <v>-23.657142857143185</v>
      </c>
      <c r="Q56" s="189">
        <f t="shared" ref="Q56:Q59" si="83">N56/K56</f>
        <v>0.92114285714285604</v>
      </c>
      <c r="R56" s="470"/>
      <c r="S56" s="24">
        <v>0.28888888888888886</v>
      </c>
      <c r="T56" s="24">
        <v>0.31319444444444444</v>
      </c>
      <c r="U56" s="188">
        <f>(S56-T55)*24*60</f>
        <v>5.9999999999999787</v>
      </c>
      <c r="V56" s="192">
        <f t="shared" si="81"/>
        <v>35.000000000000036</v>
      </c>
      <c r="W56" s="188"/>
      <c r="X56" s="188"/>
      <c r="Y56" s="456"/>
      <c r="Z56" s="456"/>
      <c r="AA56" s="11">
        <f t="shared" si="2"/>
        <v>-236.57142857143162</v>
      </c>
      <c r="AB56" s="189">
        <f t="shared" si="57"/>
        <v>0.92114285714285615</v>
      </c>
      <c r="AC56" s="470"/>
    </row>
    <row r="57" spans="1:29" ht="15.75" customHeight="1">
      <c r="A57" s="499" t="s">
        <v>11</v>
      </c>
      <c r="B57" s="193" t="s">
        <v>33</v>
      </c>
      <c r="C57" s="487" t="s">
        <v>41</v>
      </c>
      <c r="D57" s="487"/>
      <c r="E57" s="26">
        <v>34.35</v>
      </c>
      <c r="F57" s="27">
        <v>1256</v>
      </c>
      <c r="G57" s="188">
        <f t="shared" si="76"/>
        <v>43143.6</v>
      </c>
      <c r="H57" s="76" t="s">
        <v>57</v>
      </c>
      <c r="I57" s="191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2691.4285714285734</v>
      </c>
      <c r="N57" s="9">
        <f t="shared" si="82"/>
        <v>269.14285714285734</v>
      </c>
      <c r="O57" s="11">
        <f t="shared" si="79"/>
        <v>0</v>
      </c>
      <c r="P57" s="12">
        <f t="shared" si="80"/>
        <v>-30.857142857142662</v>
      </c>
      <c r="Q57" s="189">
        <f t="shared" si="83"/>
        <v>0.8971428571428578</v>
      </c>
      <c r="R57" s="470"/>
      <c r="S57" s="24">
        <v>0.31874999999999998</v>
      </c>
      <c r="T57" s="24">
        <v>0.33819444444444441</v>
      </c>
      <c r="U57" s="188">
        <f t="shared" ref="U57:U59" si="84">(S57-T56)*24*60</f>
        <v>7.9999999999999716</v>
      </c>
      <c r="V57" s="192">
        <f t="shared" si="81"/>
        <v>27.999999999999979</v>
      </c>
      <c r="W57" s="188"/>
      <c r="X57" s="188"/>
      <c r="Y57" s="456"/>
      <c r="Z57" s="456"/>
      <c r="AA57" s="11">
        <f t="shared" si="2"/>
        <v>-308.57142857142662</v>
      </c>
      <c r="AB57" s="189">
        <f t="shared" si="57"/>
        <v>0.8971428571428578</v>
      </c>
      <c r="AC57" s="470"/>
    </row>
    <row r="58" spans="1:29" ht="15.75" customHeight="1">
      <c r="A58" s="499" t="s">
        <v>11</v>
      </c>
      <c r="B58" s="193" t="s">
        <v>15</v>
      </c>
      <c r="C58" s="487" t="s">
        <v>39</v>
      </c>
      <c r="D58" s="487"/>
      <c r="E58" s="26">
        <v>26.97</v>
      </c>
      <c r="F58" s="27">
        <v>2859</v>
      </c>
      <c r="G58" s="188">
        <f t="shared" si="76"/>
        <v>77107.23</v>
      </c>
      <c r="H58" s="76" t="s">
        <v>57</v>
      </c>
      <c r="I58" s="191">
        <v>8</v>
      </c>
      <c r="J58" s="18">
        <v>1440</v>
      </c>
      <c r="K58" s="9">
        <f t="shared" si="77"/>
        <v>180</v>
      </c>
      <c r="L58" s="17">
        <v>8</v>
      </c>
      <c r="M58" s="10">
        <f t="shared" si="78"/>
        <v>1289.7744360902257</v>
      </c>
      <c r="N58" s="9">
        <f t="shared" si="82"/>
        <v>161.22180451127821</v>
      </c>
      <c r="O58" s="11">
        <f t="shared" si="79"/>
        <v>0</v>
      </c>
      <c r="P58" s="12">
        <f t="shared" si="80"/>
        <v>-18.778195488721792</v>
      </c>
      <c r="Q58" s="189">
        <f t="shared" si="83"/>
        <v>0.8956766917293234</v>
      </c>
      <c r="R58" s="470"/>
      <c r="S58" s="24">
        <v>0.34166666666666662</v>
      </c>
      <c r="T58" s="24">
        <v>0.43402777777777773</v>
      </c>
      <c r="U58" s="188">
        <f t="shared" si="84"/>
        <v>4.9999999999999822</v>
      </c>
      <c r="V58" s="192">
        <f t="shared" si="81"/>
        <v>133</v>
      </c>
      <c r="W58" s="188"/>
      <c r="X58" s="188"/>
      <c r="Y58" s="456"/>
      <c r="Z58" s="456"/>
      <c r="AA58" s="11">
        <f t="shared" si="2"/>
        <v>-150.22556390977434</v>
      </c>
      <c r="AB58" s="189">
        <f t="shared" si="57"/>
        <v>0.8956766917293234</v>
      </c>
      <c r="AC58" s="470"/>
    </row>
    <row r="59" spans="1:29">
      <c r="A59" s="500" t="s">
        <v>11</v>
      </c>
      <c r="B59" s="193" t="s">
        <v>33</v>
      </c>
      <c r="C59" s="487" t="s">
        <v>40</v>
      </c>
      <c r="D59" s="487"/>
      <c r="E59" s="26">
        <v>35.119999999999997</v>
      </c>
      <c r="F59" s="27">
        <v>1113</v>
      </c>
      <c r="G59" s="188">
        <f t="shared" si="76"/>
        <v>39088.559999999998</v>
      </c>
      <c r="H59" s="76" t="s">
        <v>57</v>
      </c>
      <c r="I59" s="191">
        <v>13</v>
      </c>
      <c r="J59" s="18">
        <v>2000</v>
      </c>
      <c r="K59" s="9">
        <f t="shared" si="77"/>
        <v>153.84615384615384</v>
      </c>
      <c r="L59" s="17">
        <v>13</v>
      </c>
      <c r="M59" s="10">
        <f t="shared" si="78"/>
        <v>1804.8648648648636</v>
      </c>
      <c r="N59" s="9">
        <f t="shared" si="82"/>
        <v>138.83575883575875</v>
      </c>
      <c r="O59" s="11">
        <f t="shared" si="79"/>
        <v>0</v>
      </c>
      <c r="P59" s="12">
        <f t="shared" si="80"/>
        <v>-15.010395010395087</v>
      </c>
      <c r="Q59" s="189">
        <f t="shared" si="83"/>
        <v>0.90243243243243199</v>
      </c>
      <c r="R59" s="470"/>
      <c r="S59" s="24">
        <v>0.43888888888888883</v>
      </c>
      <c r="T59" s="24">
        <v>0.46458333333333329</v>
      </c>
      <c r="U59" s="188">
        <f t="shared" si="84"/>
        <v>6.9999999999999751</v>
      </c>
      <c r="V59" s="192">
        <f t="shared" si="81"/>
        <v>37.000000000000028</v>
      </c>
      <c r="W59" s="14"/>
      <c r="X59" s="14"/>
      <c r="Y59" s="456"/>
      <c r="Z59" s="456"/>
      <c r="AA59" s="11">
        <f t="shared" si="2"/>
        <v>-195.13513513513635</v>
      </c>
      <c r="AB59" s="189">
        <f t="shared" si="57"/>
        <v>0.90243243243243187</v>
      </c>
      <c r="AC59" s="470"/>
    </row>
    <row r="60" spans="1:29">
      <c r="A60" s="500" t="s">
        <v>11</v>
      </c>
      <c r="B60" s="26" t="s">
        <v>645</v>
      </c>
      <c r="C60" s="466"/>
      <c r="D60" s="466"/>
      <c r="E60" s="187"/>
      <c r="F60" s="16"/>
      <c r="G60" s="9"/>
      <c r="H60" s="193"/>
      <c r="I60" s="17">
        <v>10.199999999999999</v>
      </c>
      <c r="J60" s="18">
        <v>2488</v>
      </c>
      <c r="K60" s="9">
        <f>J60/I60</f>
        <v>243.92156862745099</v>
      </c>
      <c r="L60" s="17">
        <v>10.199999999999999</v>
      </c>
      <c r="M60" s="10">
        <f>AVERAGE(M55:M59)</f>
        <v>2252.5931663134666</v>
      </c>
      <c r="N60" s="9">
        <f>M60/L60</f>
        <v>220.842467285634</v>
      </c>
      <c r="O60" s="11">
        <f>L60-I60</f>
        <v>0</v>
      </c>
      <c r="P60" s="12">
        <f>N60-K60</f>
        <v>-23.079101341816994</v>
      </c>
      <c r="Q60" s="189">
        <f>N60/K60</f>
        <v>0.90538310543145761</v>
      </c>
      <c r="R60" s="470"/>
      <c r="S60" s="24"/>
      <c r="T60" s="24"/>
      <c r="U60" s="9"/>
      <c r="V60" s="192"/>
      <c r="W60" s="9"/>
      <c r="X60" s="9"/>
      <c r="Y60" s="456"/>
      <c r="Z60" s="456"/>
      <c r="AA60" s="11">
        <f t="shared" si="2"/>
        <v>-235.40683368653345</v>
      </c>
      <c r="AB60" s="189">
        <f t="shared" si="57"/>
        <v>0.90538310543145761</v>
      </c>
      <c r="AC60" s="470"/>
    </row>
    <row r="61" spans="1:29" ht="15.75" customHeight="1">
      <c r="A61" s="467" t="s">
        <v>649</v>
      </c>
      <c r="B61" s="193" t="s">
        <v>24</v>
      </c>
      <c r="C61" s="487" t="s">
        <v>45</v>
      </c>
      <c r="D61" s="487"/>
      <c r="E61" s="26">
        <v>19.02</v>
      </c>
      <c r="F61" s="193">
        <v>6632</v>
      </c>
      <c r="G61" s="188">
        <f t="shared" ref="G61:G65" si="85">E61*F61</f>
        <v>126140.64</v>
      </c>
      <c r="H61" s="76" t="s">
        <v>57</v>
      </c>
      <c r="I61" s="191">
        <v>15</v>
      </c>
      <c r="J61" s="18">
        <v>2400</v>
      </c>
      <c r="K61" s="9">
        <f t="shared" ref="K61:K63" si="86">J61/I61</f>
        <v>160</v>
      </c>
      <c r="L61" s="17">
        <v>15</v>
      </c>
      <c r="M61" s="10">
        <f>F61/V61*60</f>
        <v>2150.9189189189192</v>
      </c>
      <c r="N61" s="9">
        <f t="shared" ref="N61:N65" si="87">M61/L61</f>
        <v>143.39459459459462</v>
      </c>
      <c r="O61" s="11">
        <f t="shared" ref="O61:O65" si="88">L61-I61</f>
        <v>0</v>
      </c>
      <c r="P61" s="12">
        <f t="shared" ref="P61:P65" si="89">N61-K61</f>
        <v>-16.605405405405378</v>
      </c>
      <c r="Q61" s="189">
        <f>N61/K61</f>
        <v>0.89621621621621639</v>
      </c>
      <c r="R61" s="470">
        <f>Q66</f>
        <v>0.899630349099099</v>
      </c>
      <c r="S61" s="24">
        <v>0.125</v>
      </c>
      <c r="T61" s="24">
        <v>0.25347222222222221</v>
      </c>
      <c r="U61" s="15"/>
      <c r="V61" s="192">
        <f t="shared" ref="V61:V65" si="90">(T61-S61)*24*60</f>
        <v>184.99999999999997</v>
      </c>
      <c r="W61" s="14"/>
      <c r="X61" s="14"/>
      <c r="Y61" s="456"/>
      <c r="Z61" s="456"/>
      <c r="AA61" s="11">
        <f t="shared" si="2"/>
        <v>-249.08108108108081</v>
      </c>
      <c r="AB61" s="189">
        <f>M61/J61</f>
        <v>0.89621621621621628</v>
      </c>
      <c r="AC61" s="470">
        <f>AB66</f>
        <v>0.899630349099099</v>
      </c>
    </row>
    <row r="62" spans="1:29" ht="15.75" customHeight="1">
      <c r="A62" s="467" t="s">
        <v>12</v>
      </c>
      <c r="B62" s="193" t="s">
        <v>24</v>
      </c>
      <c r="C62" s="487" t="s">
        <v>56</v>
      </c>
      <c r="D62" s="487"/>
      <c r="E62" s="26">
        <v>20.2</v>
      </c>
      <c r="F62" s="193">
        <v>1836</v>
      </c>
      <c r="G62" s="188">
        <f t="shared" si="85"/>
        <v>37087.199999999997</v>
      </c>
      <c r="H62" s="76" t="s">
        <v>57</v>
      </c>
      <c r="I62" s="191">
        <v>19</v>
      </c>
      <c r="J62" s="18">
        <v>2400</v>
      </c>
      <c r="K62" s="9">
        <f t="shared" si="86"/>
        <v>126.31578947368421</v>
      </c>
      <c r="L62" s="17">
        <v>19</v>
      </c>
      <c r="M62" s="10">
        <f t="shared" ref="M62:M65" si="91">F62/V62*60</f>
        <v>2160.0000000000009</v>
      </c>
      <c r="N62" s="9">
        <f t="shared" si="87"/>
        <v>113.68421052631584</v>
      </c>
      <c r="O62" s="11">
        <f t="shared" si="88"/>
        <v>0</v>
      </c>
      <c r="P62" s="12">
        <f t="shared" si="89"/>
        <v>-12.631578947368368</v>
      </c>
      <c r="Q62" s="189">
        <f t="shared" ref="Q62:Q66" si="92">N62/K62</f>
        <v>0.90000000000000047</v>
      </c>
      <c r="R62" s="470"/>
      <c r="S62" s="24">
        <v>0.25763888888888886</v>
      </c>
      <c r="T62" s="24">
        <v>0.29305555555555551</v>
      </c>
      <c r="U62" s="188">
        <f>(S62-T61)*24*60</f>
        <v>5.9999999999999787</v>
      </c>
      <c r="V62" s="192">
        <f t="shared" si="90"/>
        <v>50.999999999999979</v>
      </c>
      <c r="W62" s="14"/>
      <c r="X62" s="14"/>
      <c r="Y62" s="456"/>
      <c r="Z62" s="456"/>
      <c r="AA62" s="11">
        <f t="shared" si="2"/>
        <v>-239.99999999999909</v>
      </c>
      <c r="AB62" s="189">
        <f t="shared" ref="AB62:AB66" si="93">M62/J62</f>
        <v>0.90000000000000036</v>
      </c>
      <c r="AC62" s="470"/>
    </row>
    <row r="63" spans="1:29" ht="15.75" customHeight="1">
      <c r="A63" s="467" t="s">
        <v>12</v>
      </c>
      <c r="B63" s="193" t="s">
        <v>24</v>
      </c>
      <c r="C63" s="487" t="s">
        <v>83</v>
      </c>
      <c r="D63" s="487"/>
      <c r="E63" s="26">
        <v>32.03</v>
      </c>
      <c r="F63" s="193">
        <v>1326</v>
      </c>
      <c r="G63" s="188">
        <f t="shared" si="85"/>
        <v>42471.78</v>
      </c>
      <c r="H63" s="76" t="s">
        <v>57</v>
      </c>
      <c r="I63" s="191">
        <v>19</v>
      </c>
      <c r="J63" s="18">
        <v>2400</v>
      </c>
      <c r="K63" s="9">
        <f t="shared" si="86"/>
        <v>126.31578947368421</v>
      </c>
      <c r="L63" s="17">
        <v>19</v>
      </c>
      <c r="M63" s="10">
        <f t="shared" si="91"/>
        <v>2150.2702702702686</v>
      </c>
      <c r="N63" s="9">
        <f t="shared" si="87"/>
        <v>113.17211948790887</v>
      </c>
      <c r="O63" s="11">
        <f t="shared" si="88"/>
        <v>0</v>
      </c>
      <c r="P63" s="12">
        <f t="shared" si="89"/>
        <v>-13.143669985775333</v>
      </c>
      <c r="Q63" s="189">
        <f t="shared" si="92"/>
        <v>0.89594594594594523</v>
      </c>
      <c r="R63" s="470"/>
      <c r="S63" s="24">
        <v>0.29861111111111105</v>
      </c>
      <c r="T63" s="24">
        <v>0.32430555555555551</v>
      </c>
      <c r="U63" s="188">
        <f t="shared" ref="U63:U65" si="94">(S63-T62)*24*60</f>
        <v>7.9999999999999716</v>
      </c>
      <c r="V63" s="192">
        <f t="shared" si="90"/>
        <v>37.000000000000028</v>
      </c>
      <c r="W63" s="14"/>
      <c r="X63" s="14"/>
      <c r="Y63" s="456"/>
      <c r="Z63" s="456"/>
      <c r="AA63" s="11">
        <f t="shared" si="2"/>
        <v>-249.72972972973139</v>
      </c>
      <c r="AB63" s="189">
        <f t="shared" si="93"/>
        <v>0.89594594594594523</v>
      </c>
      <c r="AC63" s="470"/>
    </row>
    <row r="64" spans="1:29" ht="15.75" customHeight="1">
      <c r="A64" s="467" t="s">
        <v>12</v>
      </c>
      <c r="B64" s="193" t="s">
        <v>24</v>
      </c>
      <c r="C64" s="487" t="s">
        <v>46</v>
      </c>
      <c r="D64" s="487"/>
      <c r="E64" s="26">
        <v>25</v>
      </c>
      <c r="F64" s="193">
        <v>3190</v>
      </c>
      <c r="G64" s="188">
        <f t="shared" si="85"/>
        <v>79750</v>
      </c>
      <c r="H64" s="76" t="s">
        <v>57</v>
      </c>
      <c r="I64" s="191">
        <v>15</v>
      </c>
      <c r="J64" s="18">
        <v>2400</v>
      </c>
      <c r="K64" s="9">
        <f>J64/I64</f>
        <v>160</v>
      </c>
      <c r="L64" s="17">
        <v>15</v>
      </c>
      <c r="M64" s="10">
        <f t="shared" si="91"/>
        <v>2175</v>
      </c>
      <c r="N64" s="9">
        <f t="shared" si="87"/>
        <v>145</v>
      </c>
      <c r="O64" s="11">
        <f t="shared" si="88"/>
        <v>0</v>
      </c>
      <c r="P64" s="12">
        <f t="shared" si="89"/>
        <v>-15</v>
      </c>
      <c r="Q64" s="189">
        <f t="shared" si="92"/>
        <v>0.90625</v>
      </c>
      <c r="R64" s="470"/>
      <c r="S64" s="24">
        <v>0.32847222222222217</v>
      </c>
      <c r="T64" s="24">
        <v>0.38958333333333328</v>
      </c>
      <c r="U64" s="188">
        <f t="shared" si="94"/>
        <v>5.9999999999999787</v>
      </c>
      <c r="V64" s="192">
        <f t="shared" si="90"/>
        <v>88</v>
      </c>
      <c r="W64" s="14"/>
      <c r="X64" s="14"/>
      <c r="Y64" s="456"/>
      <c r="Z64" s="456"/>
      <c r="AA64" s="11">
        <f t="shared" si="2"/>
        <v>-225</v>
      </c>
      <c r="AB64" s="189">
        <f t="shared" si="93"/>
        <v>0.90625</v>
      </c>
      <c r="AC64" s="470"/>
    </row>
    <row r="65" spans="1:29" ht="15.75" customHeight="1">
      <c r="A65" s="467" t="s">
        <v>12</v>
      </c>
      <c r="B65" s="193" t="s">
        <v>24</v>
      </c>
      <c r="C65" s="487" t="s">
        <v>510</v>
      </c>
      <c r="D65" s="487"/>
      <c r="E65" s="26">
        <v>28.51</v>
      </c>
      <c r="F65" s="193">
        <v>6910</v>
      </c>
      <c r="G65" s="188">
        <f t="shared" si="85"/>
        <v>197004.1</v>
      </c>
      <c r="H65" s="76" t="s">
        <v>57</v>
      </c>
      <c r="I65" s="191">
        <v>20</v>
      </c>
      <c r="J65" s="18">
        <v>2400</v>
      </c>
      <c r="K65" s="9">
        <f t="shared" ref="K65:K66" si="95">J65/I65</f>
        <v>120</v>
      </c>
      <c r="L65" s="17">
        <v>20</v>
      </c>
      <c r="M65" s="10">
        <f t="shared" si="91"/>
        <v>2159.3750000000005</v>
      </c>
      <c r="N65" s="9">
        <f t="shared" si="87"/>
        <v>107.96875000000003</v>
      </c>
      <c r="O65" s="11">
        <f t="shared" si="88"/>
        <v>0</v>
      </c>
      <c r="P65" s="12">
        <f t="shared" si="89"/>
        <v>-12.031249999999972</v>
      </c>
      <c r="Q65" s="189">
        <f t="shared" si="92"/>
        <v>0.89973958333333359</v>
      </c>
      <c r="R65" s="470"/>
      <c r="S65" s="24">
        <v>0.39444444444444438</v>
      </c>
      <c r="T65" s="24">
        <v>0.52777777777777768</v>
      </c>
      <c r="U65" s="188">
        <f t="shared" si="94"/>
        <v>6.9999999999999751</v>
      </c>
      <c r="V65" s="192">
        <f t="shared" si="90"/>
        <v>191.99999999999994</v>
      </c>
      <c r="W65" s="14"/>
      <c r="X65" s="14"/>
      <c r="Y65" s="456"/>
      <c r="Z65" s="456"/>
      <c r="AA65" s="11">
        <f t="shared" si="2"/>
        <v>-240.62499999999955</v>
      </c>
      <c r="AB65" s="189">
        <f t="shared" si="93"/>
        <v>0.89973958333333348</v>
      </c>
      <c r="AC65" s="470"/>
    </row>
    <row r="66" spans="1:29" ht="16.5" customHeight="1">
      <c r="A66" s="501" t="s">
        <v>12</v>
      </c>
      <c r="B66" s="26" t="s">
        <v>81</v>
      </c>
      <c r="C66" s="466"/>
      <c r="D66" s="466"/>
      <c r="E66" s="187"/>
      <c r="F66" s="16"/>
      <c r="G66" s="9"/>
      <c r="H66" s="193"/>
      <c r="I66" s="17">
        <v>17.600000000000001</v>
      </c>
      <c r="J66" s="18">
        <v>2400</v>
      </c>
      <c r="K66" s="9">
        <f t="shared" si="95"/>
        <v>136.36363636363635</v>
      </c>
      <c r="L66" s="17">
        <v>17.600000000000001</v>
      </c>
      <c r="M66" s="10">
        <f>AVERAGE(M61:M65)</f>
        <v>2159.1128378378376</v>
      </c>
      <c r="N66" s="9">
        <f>M66/L66</f>
        <v>122.67686578624075</v>
      </c>
      <c r="O66" s="11">
        <f>L66-I66</f>
        <v>0</v>
      </c>
      <c r="P66" s="12">
        <f>N66-K66</f>
        <v>-13.686770577395592</v>
      </c>
      <c r="Q66" s="189">
        <f t="shared" si="92"/>
        <v>0.899630349099099</v>
      </c>
      <c r="R66" s="470"/>
      <c r="S66" s="24"/>
      <c r="T66" s="24"/>
      <c r="U66" s="9"/>
      <c r="V66" s="192"/>
      <c r="W66" s="9"/>
      <c r="X66" s="9"/>
      <c r="Y66" s="456"/>
      <c r="Z66" s="456"/>
      <c r="AA66" s="11">
        <f t="shared" si="2"/>
        <v>-240.88716216216244</v>
      </c>
      <c r="AB66" s="189">
        <f t="shared" si="93"/>
        <v>0.899630349099099</v>
      </c>
      <c r="AC66" s="470"/>
    </row>
    <row r="67" spans="1:29">
      <c r="D67" s="19"/>
      <c r="E67" s="19"/>
    </row>
  </sheetData>
  <mergeCells count="18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27"/>
    <mergeCell ref="C20:D20"/>
    <mergeCell ref="R20:R27"/>
    <mergeCell ref="Y20:Z20"/>
    <mergeCell ref="Y25:Z25"/>
    <mergeCell ref="A14:A19"/>
    <mergeCell ref="C14:D14"/>
    <mergeCell ref="R14:R19"/>
    <mergeCell ref="Y14:Z14"/>
    <mergeCell ref="AC20:AC27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6:D26"/>
    <mergeCell ref="Y26:Z26"/>
    <mergeCell ref="C27:D27"/>
    <mergeCell ref="Y27:Z27"/>
    <mergeCell ref="A28:A33"/>
    <mergeCell ref="C28:D28"/>
    <mergeCell ref="R28:R33"/>
    <mergeCell ref="Y28:Z28"/>
    <mergeCell ref="Y33:Z33"/>
    <mergeCell ref="AC34:AC41"/>
    <mergeCell ref="C35:D35"/>
    <mergeCell ref="Y35:Z35"/>
    <mergeCell ref="C36:D36"/>
    <mergeCell ref="Y36:Z36"/>
    <mergeCell ref="C37:D37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7:Z37"/>
    <mergeCell ref="C38:D38"/>
    <mergeCell ref="Y38:Z38"/>
    <mergeCell ref="C39:D39"/>
    <mergeCell ref="Y39:Z39"/>
    <mergeCell ref="C40:D40"/>
    <mergeCell ref="Y40:Z40"/>
    <mergeCell ref="A34:A41"/>
    <mergeCell ref="C34:D34"/>
    <mergeCell ref="R34:R41"/>
    <mergeCell ref="Y34:Z34"/>
    <mergeCell ref="C41:D41"/>
    <mergeCell ref="Y41:Z41"/>
    <mergeCell ref="A42:A49"/>
    <mergeCell ref="C42:D42"/>
    <mergeCell ref="R42:R49"/>
    <mergeCell ref="Y42:Z42"/>
    <mergeCell ref="Y47:Z47"/>
    <mergeCell ref="C48:D48"/>
    <mergeCell ref="Y48:Z48"/>
    <mergeCell ref="C49:D49"/>
    <mergeCell ref="Y49:Z49"/>
    <mergeCell ref="A50:A54"/>
    <mergeCell ref="C50:D50"/>
    <mergeCell ref="R50:R54"/>
    <mergeCell ref="Y50:Z50"/>
    <mergeCell ref="AC50:AC54"/>
    <mergeCell ref="C51:D51"/>
    <mergeCell ref="Y51:Z51"/>
    <mergeCell ref="C52:D52"/>
    <mergeCell ref="C54:D54"/>
    <mergeCell ref="Y54:Z54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55:A60"/>
    <mergeCell ref="C55:D55"/>
    <mergeCell ref="R55:R60"/>
    <mergeCell ref="Y55:Z55"/>
    <mergeCell ref="AC55:AC60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  <mergeCell ref="Y60:Z60"/>
    <mergeCell ref="Y64:Z64"/>
    <mergeCell ref="C65:D65"/>
    <mergeCell ref="Y65:Z65"/>
    <mergeCell ref="A61:A66"/>
    <mergeCell ref="C61:D61"/>
    <mergeCell ref="R61:R66"/>
    <mergeCell ref="Y61:Z61"/>
    <mergeCell ref="AC61:AC66"/>
    <mergeCell ref="C62:D62"/>
    <mergeCell ref="Y62:Z62"/>
    <mergeCell ref="C63:D63"/>
    <mergeCell ref="Y63:Z63"/>
    <mergeCell ref="C64:D64"/>
    <mergeCell ref="C66:D66"/>
    <mergeCell ref="Y66:Z66"/>
  </mergeCells>
  <phoneticPr fontId="3" type="noConversion"/>
  <conditionalFormatting sqref="O58:O66 O5:O9 O13:O15 O49:O55 O19:O47">
    <cfRule type="cellIs" dxfId="1051" priority="44" operator="greaterThan">
      <formula>0</formula>
    </cfRule>
  </conditionalFormatting>
  <conditionalFormatting sqref="P5:P7 P58:P59 AA58:AA59 P61:P65 P28:P32 P55 P9 P13:P15 P20:P26 P50:P53 P34:P47 AA5:AA55 AA61:AA66">
    <cfRule type="cellIs" dxfId="1050" priority="48" operator="lessThan">
      <formula>0</formula>
    </cfRule>
  </conditionalFormatting>
  <conditionalFormatting sqref="AB58:AB59 Q58:Q66 Q5:Q9 Q13:Q15 Q49:Q55 Q19:Q47 AB5:AB55 AB61:AB66">
    <cfRule type="cellIs" dxfId="1049" priority="45" operator="greaterThan">
      <formula>1</formula>
    </cfRule>
    <cfRule type="cellIs" dxfId="1048" priority="46" operator="lessThan">
      <formula>0.8</formula>
    </cfRule>
  </conditionalFormatting>
  <conditionalFormatting sqref="AC14:AC15 R14:R15 AC58 R19:R25 AC19:AC25 R58:R66 AC5:AC9 R5:R9 R27:R47 AC27:AC47 AC49:AC55 R49:R55">
    <cfRule type="cellIs" dxfId="1047" priority="50" operator="lessThan">
      <formula>0.8</formula>
    </cfRule>
  </conditionalFormatting>
  <conditionalFormatting sqref="AC42">
    <cfRule type="cellIs" dxfId="1046" priority="52" operator="lessThan">
      <formula>0.8</formula>
    </cfRule>
  </conditionalFormatting>
  <conditionalFormatting sqref="AC20:AC25">
    <cfRule type="cellIs" dxfId="1045" priority="49" operator="lessThan">
      <formula>0.8</formula>
    </cfRule>
  </conditionalFormatting>
  <conditionalFormatting sqref="AC28">
    <cfRule type="cellIs" dxfId="1044" priority="51" operator="lessThan">
      <formula>0.8</formula>
    </cfRule>
  </conditionalFormatting>
  <conditionalFormatting sqref="AC34:AC40">
    <cfRule type="cellIs" dxfId="1043" priority="47" operator="lessThan">
      <formula>0.8</formula>
    </cfRule>
  </conditionalFormatting>
  <conditionalFormatting sqref="AA60">
    <cfRule type="cellIs" dxfId="1042" priority="43" operator="lessThan">
      <formula>0</formula>
    </cfRule>
  </conditionalFormatting>
  <conditionalFormatting sqref="AB60">
    <cfRule type="cellIs" dxfId="1041" priority="41" operator="greaterThan">
      <formula>1</formula>
    </cfRule>
    <cfRule type="cellIs" dxfId="1040" priority="42" operator="lessThan">
      <formula>0.8</formula>
    </cfRule>
  </conditionalFormatting>
  <conditionalFormatting sqref="O16:O17">
    <cfRule type="cellIs" dxfId="1039" priority="36" operator="greaterThan">
      <formula>0</formula>
    </cfRule>
  </conditionalFormatting>
  <conditionalFormatting sqref="P16:P17">
    <cfRule type="cellIs" dxfId="1038" priority="39" operator="lessThan">
      <formula>0</formula>
    </cfRule>
  </conditionalFormatting>
  <conditionalFormatting sqref="Q16:Q17">
    <cfRule type="cellIs" dxfId="1037" priority="37" operator="greaterThan">
      <formula>1</formula>
    </cfRule>
    <cfRule type="cellIs" dxfId="1036" priority="38" operator="lessThan">
      <formula>0.8</formula>
    </cfRule>
  </conditionalFormatting>
  <conditionalFormatting sqref="R16:R17 AC16:AC17">
    <cfRule type="cellIs" dxfId="1035" priority="40" operator="lessThan">
      <formula>0.8</formula>
    </cfRule>
  </conditionalFormatting>
  <conditionalFormatting sqref="O10:O12">
    <cfRule type="cellIs" dxfId="1034" priority="32" operator="greaterThan">
      <formula>0</formula>
    </cfRule>
  </conditionalFormatting>
  <conditionalFormatting sqref="P10:P12">
    <cfRule type="cellIs" dxfId="1033" priority="35" operator="lessThan">
      <formula>0</formula>
    </cfRule>
  </conditionalFormatting>
  <conditionalFormatting sqref="Q10:Q12">
    <cfRule type="cellIs" dxfId="1032" priority="33" operator="greaterThan">
      <formula>1</formula>
    </cfRule>
    <cfRule type="cellIs" dxfId="1031" priority="34" operator="lessThan">
      <formula>0.8</formula>
    </cfRule>
  </conditionalFormatting>
  <conditionalFormatting sqref="O57">
    <cfRule type="cellIs" dxfId="1030" priority="27" operator="greaterThan">
      <formula>0</formula>
    </cfRule>
  </conditionalFormatting>
  <conditionalFormatting sqref="P57 AA57">
    <cfRule type="cellIs" dxfId="1029" priority="30" operator="lessThan">
      <formula>0</formula>
    </cfRule>
  </conditionalFormatting>
  <conditionalFormatting sqref="Q57 AB57">
    <cfRule type="cellIs" dxfId="1028" priority="28" operator="greaterThan">
      <formula>1</formula>
    </cfRule>
    <cfRule type="cellIs" dxfId="1027" priority="29" operator="lessThan">
      <formula>0.8</formula>
    </cfRule>
  </conditionalFormatting>
  <conditionalFormatting sqref="R57 AC57">
    <cfRule type="cellIs" dxfId="1026" priority="31" operator="lessThan">
      <formula>0.8</formula>
    </cfRule>
  </conditionalFormatting>
  <conditionalFormatting sqref="O18">
    <cfRule type="cellIs" dxfId="1025" priority="22" operator="greaterThan">
      <formula>0</formula>
    </cfRule>
  </conditionalFormatting>
  <conditionalFormatting sqref="P18">
    <cfRule type="cellIs" dxfId="1024" priority="25" operator="lessThan">
      <formula>0</formula>
    </cfRule>
  </conditionalFormatting>
  <conditionalFormatting sqref="Q18">
    <cfRule type="cellIs" dxfId="1023" priority="23" operator="greaterThan">
      <formula>1</formula>
    </cfRule>
    <cfRule type="cellIs" dxfId="1022" priority="24" operator="lessThan">
      <formula>0.8</formula>
    </cfRule>
  </conditionalFormatting>
  <conditionalFormatting sqref="R18 AC18">
    <cfRule type="cellIs" dxfId="1021" priority="26" operator="lessThan">
      <formula>0.8</formula>
    </cfRule>
  </conditionalFormatting>
  <conditionalFormatting sqref="O48">
    <cfRule type="cellIs" dxfId="1020" priority="16" operator="greaterThan">
      <formula>0</formula>
    </cfRule>
  </conditionalFormatting>
  <conditionalFormatting sqref="P48">
    <cfRule type="cellIs" dxfId="1019" priority="20" operator="lessThan">
      <formula>0</formula>
    </cfRule>
  </conditionalFormatting>
  <conditionalFormatting sqref="Q48">
    <cfRule type="cellIs" dxfId="1018" priority="17" operator="greaterThan">
      <formula>1</formula>
    </cfRule>
    <cfRule type="cellIs" dxfId="1017" priority="18" operator="lessThan">
      <formula>0.8</formula>
    </cfRule>
  </conditionalFormatting>
  <conditionalFormatting sqref="R48 AC48">
    <cfRule type="cellIs" dxfId="1016" priority="21" operator="lessThan">
      <formula>0.8</formula>
    </cfRule>
  </conditionalFormatting>
  <conditionalFormatting sqref="AC48">
    <cfRule type="cellIs" dxfId="1015" priority="19" operator="lessThan">
      <formula>0.8</formula>
    </cfRule>
  </conditionalFormatting>
  <conditionalFormatting sqref="R26 AC26">
    <cfRule type="cellIs" dxfId="1014" priority="15" operator="lessThan">
      <formula>0.8</formula>
    </cfRule>
  </conditionalFormatting>
  <conditionalFormatting sqref="AC26">
    <cfRule type="cellIs" dxfId="1013" priority="14" operator="lessThan">
      <formula>0.8</formula>
    </cfRule>
  </conditionalFormatting>
  <conditionalFormatting sqref="O56">
    <cfRule type="cellIs" dxfId="1012" priority="9" operator="greaterThan">
      <formula>0</formula>
    </cfRule>
  </conditionalFormatting>
  <conditionalFormatting sqref="P56 AA56">
    <cfRule type="cellIs" dxfId="1011" priority="12" operator="lessThan">
      <formula>0</formula>
    </cfRule>
  </conditionalFormatting>
  <conditionalFormatting sqref="Q56 AB56">
    <cfRule type="cellIs" dxfId="1010" priority="10" operator="greaterThan">
      <formula>1</formula>
    </cfRule>
    <cfRule type="cellIs" dxfId="1009" priority="11" operator="lessThan">
      <formula>0.8</formula>
    </cfRule>
  </conditionalFormatting>
  <conditionalFormatting sqref="R56 AC56">
    <cfRule type="cellIs" dxfId="1008" priority="13" operator="lessThan">
      <formula>0.8</formula>
    </cfRule>
  </conditionalFormatting>
  <conditionalFormatting sqref="P8">
    <cfRule type="cellIs" dxfId="1007" priority="8" operator="lessThan">
      <formula>0</formula>
    </cfRule>
  </conditionalFormatting>
  <conditionalFormatting sqref="P19">
    <cfRule type="cellIs" dxfId="1006" priority="7" operator="lessThan">
      <formula>0</formula>
    </cfRule>
  </conditionalFormatting>
  <conditionalFormatting sqref="P27">
    <cfRule type="cellIs" dxfId="1005" priority="6" operator="lessThan">
      <formula>0</formula>
    </cfRule>
  </conditionalFormatting>
  <conditionalFormatting sqref="P33">
    <cfRule type="cellIs" dxfId="1004" priority="5" operator="lessThan">
      <formula>0</formula>
    </cfRule>
  </conditionalFormatting>
  <conditionalFormatting sqref="P49">
    <cfRule type="cellIs" dxfId="1003" priority="4" operator="lessThan">
      <formula>0</formula>
    </cfRule>
  </conditionalFormatting>
  <conditionalFormatting sqref="P54">
    <cfRule type="cellIs" dxfId="1002" priority="3" operator="lessThan">
      <formula>0</formula>
    </cfRule>
  </conditionalFormatting>
  <conditionalFormatting sqref="P60">
    <cfRule type="cellIs" dxfId="1001" priority="2" operator="lessThan">
      <formula>0</formula>
    </cfRule>
  </conditionalFormatting>
  <conditionalFormatting sqref="P66">
    <cfRule type="cellIs" dxfId="1000" priority="1" operator="lessThan">
      <formula>0</formula>
    </cfRule>
  </conditionalFormatting>
  <dataValidations count="1">
    <dataValidation type="list" allowBlank="1" showInputMessage="1" showErrorMessage="1" sqref="Z8 Z59 Y5:Z7 Y8:Y59 Z10:Z55 Y60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1" sqref="B1:J2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82" t="s">
        <v>610</v>
      </c>
      <c r="C3" s="421" t="str">
        <f>TEXT('0711 4度C'!A2,"yyyy.mm.ddaaaa")</f>
        <v>2025.07.11星期五</v>
      </c>
      <c r="D3" s="421"/>
      <c r="E3" s="182" t="s">
        <v>611</v>
      </c>
      <c r="F3" s="422">
        <f>'0711 4度C'!D1</f>
        <v>134245</v>
      </c>
      <c r="G3" s="422"/>
      <c r="H3" s="182" t="s">
        <v>90</v>
      </c>
      <c r="I3" s="423">
        <f>'0711 4度C'!F1</f>
        <v>4504772.7999999989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612</v>
      </c>
      <c r="D4" s="424"/>
      <c r="E4" s="425" t="s">
        <v>92</v>
      </c>
      <c r="F4" s="425"/>
      <c r="G4" s="425" t="s">
        <v>129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130</v>
      </c>
      <c r="F5" s="424"/>
      <c r="G5" s="426" t="s">
        <v>94</v>
      </c>
      <c r="H5" s="426"/>
      <c r="I5" s="427" t="s">
        <v>613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140.72011451770291</v>
      </c>
      <c r="F6" s="424">
        <f>AVERAGE(D27:O27,D13:J13)</f>
        <v>143.88587788243277</v>
      </c>
      <c r="G6" s="429">
        <f>AVERAGE(D13:J13)</f>
        <v>143.88587788243277</v>
      </c>
      <c r="H6" s="429"/>
      <c r="I6" s="429">
        <f>AVERAGE(K13:M13)</f>
        <v>133.33333333333334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127.23867313675426</v>
      </c>
      <c r="F7" s="434">
        <f>AVERAGE(D28:O28,D14:J14)</f>
        <v>130.23200513516764</v>
      </c>
      <c r="G7" s="435">
        <f>AVERAGE(D14:J14)</f>
        <v>130.23200513516764</v>
      </c>
      <c r="H7" s="435"/>
      <c r="I7" s="435">
        <f>AVERAGE(K14:M14)</f>
        <v>120.25423180712305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0.90388460404442128</v>
      </c>
      <c r="F8" s="432">
        <f>AVERAGE(D15:J15,D29:O29)</f>
        <v>0.90473220540416555</v>
      </c>
      <c r="G8" s="437">
        <f>AVERAGE(D15:J15)</f>
        <v>0.90473220540416555</v>
      </c>
      <c r="H8" s="437"/>
      <c r="I8" s="437">
        <f>AVERAGE(K15:M15)</f>
        <v>0.90190686753835114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614</v>
      </c>
      <c r="F12" s="42" t="s">
        <v>132</v>
      </c>
      <c r="G12" s="42" t="s">
        <v>99</v>
      </c>
      <c r="H12" s="42" t="s">
        <v>100</v>
      </c>
      <c r="I12" s="42" t="s">
        <v>615</v>
      </c>
      <c r="J12" s="43" t="s">
        <v>616</v>
      </c>
      <c r="K12" s="41" t="s">
        <v>134</v>
      </c>
      <c r="L12" s="42" t="s">
        <v>617</v>
      </c>
      <c r="M12" s="43" t="s">
        <v>135</v>
      </c>
    </row>
    <row r="13" spans="2:17" ht="40.15" customHeight="1">
      <c r="B13" s="447" t="s">
        <v>114</v>
      </c>
      <c r="C13" s="44" t="s">
        <v>87</v>
      </c>
      <c r="D13" s="45">
        <f>SUMIFS('0711 4度C'!$K:$K,'0711 4度C'!$A:$A,"燴飯線",'0711 4度C'!$B:$B,"平均")</f>
        <v>105.88235294117646</v>
      </c>
      <c r="E13" s="46">
        <f>SUMIFS('0711 4度C'!$K:$K,'0711 4度C'!$A:$A,"沙拉線一線",'0711 4度C'!$B:$B,"平均")</f>
        <v>80</v>
      </c>
      <c r="F13" s="47">
        <f>SUMIFS('0711 4度C'!$K:$K,'0711 4度C'!$A:$A,"沙拉線二線",'0711 4度C'!$B:$B,"平均")</f>
        <v>80.702127659574472</v>
      </c>
      <c r="G13" s="47">
        <f>SUMIFS('0711 4度C'!$K:$K,'0711 4度C'!$A:$A,"沙拉線三線",'0711 4度C'!$B:$B,"平均")</f>
        <v>107.14285714285714</v>
      </c>
      <c r="H13" s="47">
        <f>SUMIFS('0711 4度C'!$K:$K,'0711 4度C'!$A:$A,"自動包裝線",'0711 4度C'!$B:$B,"平均")</f>
        <v>300</v>
      </c>
      <c r="I13" s="47">
        <f>SUMIFS('0711 4度C'!$K:$K,'0711 4度C'!$A:$A,"涼麵一線",'0711 4度C'!$B:$B,"平均")</f>
        <v>89.552238805970148</v>
      </c>
      <c r="J13" s="48">
        <f>SUMIFS('0711 4度C'!$K:$K,'0711 4度C'!$A:$A,"三明治四線",'0711 4度C'!$B:$B,"平均")</f>
        <v>243.92156862745099</v>
      </c>
      <c r="K13" s="49">
        <f>SUMIFS('0711 4度C'!$K:$K,'0711 4度C'!$A:$A,"三明治一線",'0711 4度C'!$B:$B,"平均")</f>
        <v>136.36363636363635</v>
      </c>
      <c r="L13" s="50">
        <f>SUMIFS('0711 4度C'!$K:$K,'0711 4度C'!$A:$A,"三明治二線",'0711 4度C'!$B:$B,"平均")</f>
        <v>127.27272727272727</v>
      </c>
      <c r="M13" s="48">
        <f>SUMIFS('0711 4度C'!$K:$K,'0711 4度C'!$A:$A,"自動包裝二線",'0711 4度C'!$B:$B,"平均")</f>
        <v>136.36363636363635</v>
      </c>
    </row>
    <row r="14" spans="2:17" ht="39.6" customHeight="1">
      <c r="B14" s="447"/>
      <c r="C14" s="51" t="s">
        <v>618</v>
      </c>
      <c r="D14" s="52">
        <f>SUMIFS('0711 4度C'!$N:$N,'0711 4度C'!$A:$A,"燴飯線",'0711 4度C'!$B:$B,"平均")</f>
        <v>96.336970987490048</v>
      </c>
      <c r="E14" s="53">
        <f>SUMIFS('0711 4度C'!$N:$N,'0711 4度C'!$A:$A,"沙拉線一線",'0711 4度C'!$B:$B,"平均")</f>
        <v>72.005920745920733</v>
      </c>
      <c r="F14" s="53">
        <f>SUMIFS('0711 4度C'!$N:$N,'0711 4度C'!$A:$A,"沙拉線二線",'0711 4度C'!$B:$B,"平均")</f>
        <v>72.893786975953262</v>
      </c>
      <c r="G14" s="53">
        <f>SUMIFS('0711 4度C'!$N:$N,'0711 4度C'!$A:$A,"沙拉線三線",'0711 4度C'!$B:$B,"平均")</f>
        <v>97.313331761664784</v>
      </c>
      <c r="H14" s="53">
        <f>SUMIFS('0711 4度C'!$N:$N,'0711 4度C'!$A:$A,"自動包裝線",'0711 4度C'!$B:$B,"平均")</f>
        <v>271.02492947889783</v>
      </c>
      <c r="I14" s="53">
        <f>SUMIFS('0711 4度C'!$N:$N,'0711 4度C'!$A:$A,"涼麵一線",'0711 4度C'!$B:$B,"平均")</f>
        <v>80.653731556764782</v>
      </c>
      <c r="J14" s="54">
        <f>SUMIFS('0711 4度C'!$N:$N,'0711 4度C'!$A:$A,"三明治四線",'0711 4度C'!$B:$B,"平均")</f>
        <v>221.39536443948205</v>
      </c>
      <c r="K14" s="55">
        <f>SUMIFS('0711 4度C'!$N:$N,'0711 4度C'!$A:$A,"三明治一線",'0711 4度C'!$B:$B,"平均")</f>
        <v>123.01485094638608</v>
      </c>
      <c r="L14" s="56">
        <f>SUMIFS('0711 4度C'!$N:$N,'0711 4度C'!$A:$A,"三明治二線",'0711 4度C'!$B:$B,"平均")</f>
        <v>114.7888690932063</v>
      </c>
      <c r="M14" s="54">
        <f>SUMIFS('0711 4度C'!$N:$N,'0711 4度C'!$A:$A,"自動包裝二線",'0711 4度C'!$B:$B,"平均")</f>
        <v>122.95897538177678</v>
      </c>
    </row>
    <row r="15" spans="2:17" ht="40.15" customHeight="1">
      <c r="B15" s="447"/>
      <c r="C15" s="57" t="s">
        <v>102</v>
      </c>
      <c r="D15" s="58">
        <f>D14/D13</f>
        <v>0.9098491704374061</v>
      </c>
      <c r="E15" s="59">
        <f t="shared" ref="E15:M15" si="0">E14/E13</f>
        <v>0.90007400932400916</v>
      </c>
      <c r="F15" s="59">
        <f t="shared" si="0"/>
        <v>0.90324492166353887</v>
      </c>
      <c r="G15" s="59">
        <f t="shared" si="0"/>
        <v>0.90825776310887141</v>
      </c>
      <c r="H15" s="59">
        <f>H14/H13</f>
        <v>0.90341643159632612</v>
      </c>
      <c r="I15" s="59">
        <f>I14/I13</f>
        <v>0.90063333571720672</v>
      </c>
      <c r="J15" s="60">
        <f>J14/J13</f>
        <v>0.90764980598179934</v>
      </c>
      <c r="K15" s="58">
        <f>K14/K13</f>
        <v>0.90210890694016466</v>
      </c>
      <c r="L15" s="59">
        <f>L14/L13</f>
        <v>0.9019125428751924</v>
      </c>
      <c r="M15" s="60">
        <f t="shared" si="0"/>
        <v>0.90169915279969648</v>
      </c>
    </row>
    <row r="16" spans="2:17" ht="17.25" customHeight="1">
      <c r="B16" s="430" t="s">
        <v>136</v>
      </c>
      <c r="C16" s="181" t="s">
        <v>103</v>
      </c>
      <c r="D16" s="61">
        <f>VLOOKUP("燴飯線",'0711 4度C'!$A:$T,19,0)</f>
        <v>0.70833333333333337</v>
      </c>
      <c r="E16" s="24">
        <f>VLOOKUP("沙拉線一線",'0711 4度C'!$A:$T,19,0)</f>
        <v>0.12986111111111112</v>
      </c>
      <c r="F16" s="24">
        <f>VLOOKUP("沙拉線二線",'0711 4度C'!$A:$T,19,0)</f>
        <v>0.25</v>
      </c>
      <c r="G16" s="24">
        <f>VLOOKUP("沙拉線三線",'0711 4度C'!$A:$T,19,0)</f>
        <v>0.25</v>
      </c>
      <c r="H16" s="24">
        <f>VLOOKUP("自動包裝線",'0711 4度C'!$A:$T,19,0)</f>
        <v>0.16666666666666666</v>
      </c>
      <c r="I16" s="24">
        <f>VLOOKUP("涼麵一線",'0711 4度C'!$A:$T,19,0)</f>
        <v>0.29305555555555557</v>
      </c>
      <c r="J16" s="62">
        <f>VLOOKUP("三明治四線",'0711 4度C'!$A:$T,19,0)</f>
        <v>0.25069444444444444</v>
      </c>
      <c r="K16" s="63">
        <f>VLOOKUP("三明治一線",'0711 4度C'!$A:$T,19,0)</f>
        <v>0.125</v>
      </c>
      <c r="L16" s="64">
        <f>VLOOKUP("三明治二線",'0711 4度C'!$A:$T,19,0)</f>
        <v>0.125</v>
      </c>
      <c r="M16" s="65">
        <f>VLOOKUP("自動包裝二線",'0711 4度C'!$A:$T,19,0)</f>
        <v>0.125</v>
      </c>
    </row>
    <row r="17" spans="2:13" ht="17.25" customHeight="1">
      <c r="B17" s="431"/>
      <c r="C17" s="181" t="s">
        <v>619</v>
      </c>
      <c r="D17" s="63">
        <f>LOOKUP(2,1/(('0711 4度C'!$A:$A="燴飯線")*('0711 4度C'!$T:$T&lt;&gt;"")),'0711 4度C'!$T:$T)</f>
        <v>0.83333333333333326</v>
      </c>
      <c r="E17" s="24">
        <f>LOOKUP(2,1/(('0711 4度C'!$A:$A="沙拉線一線")*('0711 4度C'!$T:$T&lt;&gt;"")),'0711 4度C'!$T:$T)</f>
        <v>0.6020833333333333</v>
      </c>
      <c r="F17" s="24">
        <f>LOOKUP(2,1/(('0711 4度C'!$A:$A="沙拉線二線")*('0711 4度C'!$T:$T&lt;&gt;"")),'0711 4度C'!$T:$T)</f>
        <v>0.82291666666666674</v>
      </c>
      <c r="G17" s="24">
        <f>LOOKUP(2,1/(('0711 4度C'!$A:$A="沙拉線三線")*('0711 4度C'!$T:$T&lt;&gt;"")),'0711 4度C'!$T:$T)</f>
        <v>0.81180555555555545</v>
      </c>
      <c r="H17" s="24">
        <f>LOOKUP(2,1/(('0711 4度C'!$A:$A="自動包裝線")*('0711 4度C'!$T:$T&lt;&gt;"")),'0711 4度C'!$T:$T)</f>
        <v>0.56111111111111112</v>
      </c>
      <c r="I17" s="24">
        <f>LOOKUP(2,1/(('0711 4度C'!$A:$A="涼麵一線")*('0711 4度C'!$T:$T&lt;&gt;"")),'0711 4度C'!$T:$T)</f>
        <v>0.80763888888888891</v>
      </c>
      <c r="J17" s="62">
        <f>LOOKUP(2,1/(('0711 4度C'!$A:$A="三明治四線")*('0711 4度C'!$T:$T&lt;&gt;"")),'0711 4度C'!$T:$T)</f>
        <v>0.46180555555555552</v>
      </c>
      <c r="K17" s="61">
        <f>LOOKUP(2,1/(('0711 4度C'!$A:$A="三明治一線")*('0711 4度C'!$T:$T&lt;&gt;"")),'0711 4度C'!$T:$T)</f>
        <v>0.51597222222222217</v>
      </c>
      <c r="L17" s="24">
        <f>LOOKUP(2,1/(('0711 4度C'!$A:$A="三明治二線")*('0711 4度C'!$T:$T&lt;&gt;"")),'0711 4度C'!$T:$T)</f>
        <v>0.57986111111111105</v>
      </c>
      <c r="M17" s="62">
        <f>LOOKUP(2,1/(('0711 4度C'!$A:$A="自動包裝二線")*('0711 4度C'!$T:$T&lt;&gt;"")),'0711 4度C'!$T:$T)</f>
        <v>0.52430555555555547</v>
      </c>
    </row>
    <row r="18" spans="2:13" ht="17.25" customHeight="1">
      <c r="B18" s="431" t="s">
        <v>620</v>
      </c>
      <c r="C18" s="446"/>
      <c r="D18" s="66">
        <f>SUMIFS('0711 4度C'!$I:$I,'0711 4度C'!$A:$A,"燴飯線",'0711 4度C'!$B:$B,"平均")</f>
        <v>17</v>
      </c>
      <c r="E18" s="67">
        <f>SUMIFS('0711 4度C'!$I:$I,'0711 4度C'!$A:$A,"沙拉線一線",'0711 4度C'!$B:$B,"平均")</f>
        <v>18.75</v>
      </c>
      <c r="F18" s="67">
        <f>SUMIFS('0711 4度C'!$I:$I,'0711 4度C'!$A:$A,"沙拉線二線",'0711 4度C'!$B:$B,"平均")</f>
        <v>18.8</v>
      </c>
      <c r="G18" s="67">
        <f>SUMIFS('0711 4度C'!$I:$I,'0711 4度C'!$A:$A,"沙拉線三線",'0711 4度C'!$B:$B,"平均")</f>
        <v>16</v>
      </c>
      <c r="H18" s="67">
        <f>SUMIFS('0711 4度C'!$I:$I,'0711 4度C'!$A:$A,"自動包裝線",'0711 4度C'!$B:$B,"平均")</f>
        <v>10</v>
      </c>
      <c r="I18" s="67">
        <f>SUMIFS('0711 4度C'!$I:$I,'0711 4度C'!$A:$A,"涼麵一線",'0711 4度C'!$B:$B,"平均")</f>
        <v>16.75</v>
      </c>
      <c r="J18" s="68">
        <f>SUMIFS('0711 4度C'!$I:$I,'0711 4度C'!$A:$A,"三明治四線",'0711 4度C'!$B:$B,"平均")</f>
        <v>10.199999999999999</v>
      </c>
      <c r="K18" s="66">
        <f>SUMIFS('0711 4度C'!$I:$I,'0711 4度C'!$A:$A,"三明治一線",'0711 4度C'!$B:$B,"平均")</f>
        <v>17.600000000000001</v>
      </c>
      <c r="L18" s="67">
        <f>SUMIFS('0711 4度C'!$I:$I,'0711 4度C'!$A:$A,"三明治二線",'0711 4度C'!$B:$B,"平均")</f>
        <v>18.857142857142858</v>
      </c>
      <c r="M18" s="68">
        <f>SUMIFS('0711 4度C'!$I:$I,'0711 4度C'!$A:$A,"自動包裝二線",'0711 4度C'!$B:$B,"平均")</f>
        <v>17.600000000000001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621</v>
      </c>
      <c r="G19" s="70" t="s">
        <v>621</v>
      </c>
      <c r="H19" s="70" t="s">
        <v>52</v>
      </c>
      <c r="I19" s="70" t="s">
        <v>50</v>
      </c>
      <c r="J19" s="71" t="s">
        <v>52</v>
      </c>
      <c r="K19" s="69" t="s">
        <v>622</v>
      </c>
      <c r="L19" s="70" t="s">
        <v>105</v>
      </c>
      <c r="M19" s="71" t="s">
        <v>105</v>
      </c>
    </row>
    <row r="20" spans="2:13" ht="17.25" customHeight="1">
      <c r="B20" s="448" t="s">
        <v>623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142</v>
      </c>
      <c r="G21" s="453"/>
      <c r="H21" s="73" t="s">
        <v>624</v>
      </c>
      <c r="I21" s="73" t="s">
        <v>625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8"/>
  <sheetViews>
    <sheetView zoomScale="80" zoomScaleNormal="80" workbookViewId="0">
      <pane ySplit="4" topLeftCell="A5" activePane="bottomLeft" state="frozen"/>
      <selection activeCell="B1" sqref="B1:J2"/>
      <selection pane="bottomLeft" activeCell="B1" sqref="B1:J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SUM(F5:F67)</f>
        <v>134245</v>
      </c>
      <c r="E1" s="188" t="s">
        <v>82</v>
      </c>
      <c r="F1" s="1">
        <f>SUM(G5:G67)</f>
        <v>4504772.7999999989</v>
      </c>
      <c r="G1" s="1" t="s">
        <v>111</v>
      </c>
      <c r="H1" s="4">
        <f>L8+L13+L50+L55+L19+L61+L33+L41+L27+L67</f>
        <v>161.55714285714285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45849</v>
      </c>
      <c r="B2" s="23" t="s">
        <v>303</v>
      </c>
      <c r="C2" s="2" t="s">
        <v>114</v>
      </c>
      <c r="D2" s="6">
        <f>AVERAGE(N8,N13,N50,N55,N19,N61,N27,N33,N41,N67)</f>
        <v>127.23867313675427</v>
      </c>
      <c r="E2" s="7" t="s">
        <v>0</v>
      </c>
      <c r="F2" s="8">
        <f>F1/D1</f>
        <v>33.55635442660806</v>
      </c>
      <c r="G2" s="1" t="s">
        <v>146</v>
      </c>
      <c r="H2" s="194">
        <f>COUNT(H5:H67)</f>
        <v>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115</v>
      </c>
      <c r="B3" s="456" t="s">
        <v>116</v>
      </c>
      <c r="C3" s="456" t="s">
        <v>147</v>
      </c>
      <c r="D3" s="456"/>
      <c r="E3" s="457" t="s">
        <v>117</v>
      </c>
      <c r="F3" s="456" t="s">
        <v>118</v>
      </c>
      <c r="G3" s="457" t="s">
        <v>148</v>
      </c>
      <c r="H3" s="463" t="s">
        <v>119</v>
      </c>
      <c r="I3" s="464" t="s">
        <v>76</v>
      </c>
      <c r="J3" s="465" t="s">
        <v>149</v>
      </c>
      <c r="K3" s="459" t="s">
        <v>114</v>
      </c>
      <c r="L3" s="464" t="s">
        <v>76</v>
      </c>
      <c r="M3" s="465" t="s">
        <v>149</v>
      </c>
      <c r="N3" s="459" t="s">
        <v>114</v>
      </c>
      <c r="O3" s="464" t="s">
        <v>76</v>
      </c>
      <c r="P3" s="459" t="s">
        <v>114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150</v>
      </c>
      <c r="X3" s="456"/>
      <c r="Y3" s="475" t="s">
        <v>120</v>
      </c>
      <c r="Z3" s="476"/>
      <c r="AA3" s="465" t="s">
        <v>149</v>
      </c>
      <c r="AB3" s="460" t="s">
        <v>121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93" t="s">
        <v>3</v>
      </c>
      <c r="T4" s="193" t="s">
        <v>4</v>
      </c>
      <c r="U4" s="463"/>
      <c r="V4" s="463"/>
      <c r="W4" s="188" t="s">
        <v>151</v>
      </c>
      <c r="X4" s="188" t="s">
        <v>122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193">
        <v>938</v>
      </c>
      <c r="G5" s="188">
        <f>E5*F5</f>
        <v>44020.34</v>
      </c>
      <c r="H5" s="76" t="s">
        <v>57</v>
      </c>
      <c r="I5" s="191">
        <v>17</v>
      </c>
      <c r="J5" s="18">
        <v>1800</v>
      </c>
      <c r="K5" s="9">
        <f>J5/I5</f>
        <v>105.88235294117646</v>
      </c>
      <c r="L5" s="191">
        <v>17</v>
      </c>
      <c r="M5" s="10">
        <f>F5/V5*60</f>
        <v>1655.2941176470567</v>
      </c>
      <c r="N5" s="9">
        <f>M5/L5</f>
        <v>97.370242214532752</v>
      </c>
      <c r="O5" s="11">
        <f t="shared" ref="O5:O7" si="0">L5-I5</f>
        <v>0</v>
      </c>
      <c r="P5" s="12">
        <f t="shared" ref="P5:P7" si="1">N5-K5</f>
        <v>-8.5121107266437122</v>
      </c>
      <c r="Q5" s="189">
        <f>N5/K5</f>
        <v>0.91960784313725386</v>
      </c>
      <c r="R5" s="470">
        <f>Q8</f>
        <v>0.9098491704374061</v>
      </c>
      <c r="S5" s="24">
        <v>0.70833333333333337</v>
      </c>
      <c r="T5" s="24">
        <v>0.73194444444444451</v>
      </c>
      <c r="U5" s="188"/>
      <c r="V5" s="192">
        <f>(T5-S5)*24*60</f>
        <v>34.000000000000043</v>
      </c>
      <c r="W5" s="13"/>
      <c r="X5" s="13"/>
      <c r="Y5" s="456"/>
      <c r="Z5" s="456"/>
      <c r="AA5" s="11">
        <f t="shared" ref="AA5:AA67" si="2">M5-J5</f>
        <v>-144.70588235294326</v>
      </c>
      <c r="AB5" s="189">
        <f t="shared" ref="AB5:AB7" si="3">M5/J5</f>
        <v>0.91960784313725374</v>
      </c>
      <c r="AC5" s="470">
        <f>AB8</f>
        <v>0.90984917043740599</v>
      </c>
    </row>
    <row r="6" spans="1:29">
      <c r="A6" s="464" t="s">
        <v>152</v>
      </c>
      <c r="B6" s="26" t="s">
        <v>13</v>
      </c>
      <c r="C6" s="472" t="s">
        <v>60</v>
      </c>
      <c r="D6" s="472"/>
      <c r="E6" s="26">
        <v>50.49</v>
      </c>
      <c r="F6" s="193">
        <v>1761</v>
      </c>
      <c r="G6" s="188">
        <f t="shared" ref="G6:G7" si="4">E6*F6</f>
        <v>88912.89</v>
      </c>
      <c r="H6" s="76" t="s">
        <v>57</v>
      </c>
      <c r="I6" s="191">
        <v>16</v>
      </c>
      <c r="J6" s="18">
        <v>1800</v>
      </c>
      <c r="K6" s="9">
        <f t="shared" ref="K6:K7" si="5">J6/I6</f>
        <v>112.5</v>
      </c>
      <c r="L6" s="191">
        <v>16</v>
      </c>
      <c r="M6" s="10">
        <f>F6/V6*60</f>
        <v>1625.5384615384633</v>
      </c>
      <c r="N6" s="9">
        <f t="shared" ref="N6:N7" si="6">M6/L6</f>
        <v>101.59615384615395</v>
      </c>
      <c r="O6" s="11">
        <f t="shared" si="0"/>
        <v>0</v>
      </c>
      <c r="P6" s="12">
        <f t="shared" si="1"/>
        <v>-10.903846153846047</v>
      </c>
      <c r="Q6" s="189">
        <f t="shared" ref="Q6:Q7" si="7">N6/K6</f>
        <v>0.903076923076924</v>
      </c>
      <c r="R6" s="470"/>
      <c r="S6" s="24">
        <v>0.73611111111111116</v>
      </c>
      <c r="T6" s="24">
        <v>0.78125</v>
      </c>
      <c r="U6" s="188">
        <f>(S6-T5)*24*60</f>
        <v>5.9999999999999787</v>
      </c>
      <c r="V6" s="192">
        <f>(T6-S6)*24*60</f>
        <v>64.999999999999929</v>
      </c>
      <c r="W6" s="14"/>
      <c r="X6" s="14"/>
      <c r="Y6" s="456"/>
      <c r="Z6" s="456"/>
      <c r="AA6" s="11">
        <f t="shared" si="2"/>
        <v>-174.46153846153675</v>
      </c>
      <c r="AB6" s="189">
        <f t="shared" si="3"/>
        <v>0.903076923076924</v>
      </c>
      <c r="AC6" s="470"/>
    </row>
    <row r="7" spans="1:29">
      <c r="A7" s="464" t="s">
        <v>152</v>
      </c>
      <c r="B7" s="26" t="s">
        <v>13</v>
      </c>
      <c r="C7" s="468" t="s">
        <v>448</v>
      </c>
      <c r="D7" s="469"/>
      <c r="E7" s="26">
        <v>50.67</v>
      </c>
      <c r="F7" s="193">
        <v>1850</v>
      </c>
      <c r="G7" s="188">
        <f t="shared" si="4"/>
        <v>93739.5</v>
      </c>
      <c r="H7" s="76" t="s">
        <v>57</v>
      </c>
      <c r="I7" s="191">
        <v>18</v>
      </c>
      <c r="J7" s="18">
        <v>1800</v>
      </c>
      <c r="K7" s="9">
        <f t="shared" si="5"/>
        <v>100</v>
      </c>
      <c r="L7" s="191">
        <v>18</v>
      </c>
      <c r="M7" s="10">
        <f t="shared" ref="M7" si="8">F7/V7*60</f>
        <v>1632.3529411764725</v>
      </c>
      <c r="N7" s="9">
        <f t="shared" si="6"/>
        <v>90.686274509804036</v>
      </c>
      <c r="O7" s="11">
        <f t="shared" si="0"/>
        <v>0</v>
      </c>
      <c r="P7" s="12">
        <f t="shared" si="1"/>
        <v>-9.3137254901959636</v>
      </c>
      <c r="Q7" s="189">
        <f t="shared" si="7"/>
        <v>0.90686274509804032</v>
      </c>
      <c r="R7" s="470"/>
      <c r="S7" s="24">
        <v>0.78611111111111109</v>
      </c>
      <c r="T7" s="24">
        <v>0.83333333333333326</v>
      </c>
      <c r="U7" s="188">
        <f t="shared" ref="U7" si="9">(S7-T6)*24*60</f>
        <v>6.9999999999999751</v>
      </c>
      <c r="V7" s="192">
        <f t="shared" ref="V7" si="10">(T7-S7)*24*60</f>
        <v>67.999999999999915</v>
      </c>
      <c r="W7" s="14"/>
      <c r="X7" s="14"/>
      <c r="Y7" s="473"/>
      <c r="Z7" s="474"/>
      <c r="AA7" s="11">
        <f t="shared" si="2"/>
        <v>-167.64705882352746</v>
      </c>
      <c r="AB7" s="189">
        <f t="shared" si="3"/>
        <v>0.90686274509804032</v>
      </c>
      <c r="AC7" s="470"/>
    </row>
    <row r="8" spans="1:29">
      <c r="A8" s="464" t="s">
        <v>152</v>
      </c>
      <c r="B8" s="26" t="s">
        <v>81</v>
      </c>
      <c r="C8" s="466"/>
      <c r="D8" s="466"/>
      <c r="E8" s="187"/>
      <c r="F8" s="16"/>
      <c r="G8" s="9"/>
      <c r="H8" s="193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1637.7285067873308</v>
      </c>
      <c r="N8" s="9">
        <f>M8/L8</f>
        <v>96.336970987490048</v>
      </c>
      <c r="O8" s="11">
        <f>L8-I8</f>
        <v>0</v>
      </c>
      <c r="P8" s="12">
        <f>N8-K8</f>
        <v>-9.545381953686416</v>
      </c>
      <c r="Q8" s="189">
        <f>N8/K8</f>
        <v>0.9098491704374061</v>
      </c>
      <c r="R8" s="470"/>
      <c r="S8" s="24"/>
      <c r="T8" s="24"/>
      <c r="U8" s="188"/>
      <c r="V8" s="192"/>
      <c r="W8" s="9"/>
      <c r="X8" s="9"/>
      <c r="Y8" s="456"/>
      <c r="Z8" s="456"/>
      <c r="AA8" s="11">
        <f t="shared" si="2"/>
        <v>-162.27149321266916</v>
      </c>
      <c r="AB8" s="189">
        <f>M8/J8</f>
        <v>0.90984917043740599</v>
      </c>
      <c r="AC8" s="470"/>
    </row>
    <row r="9" spans="1:29" ht="15.75" customHeight="1">
      <c r="A9" s="467" t="s">
        <v>123</v>
      </c>
      <c r="B9" s="26" t="s">
        <v>15</v>
      </c>
      <c r="C9" s="468" t="s">
        <v>16</v>
      </c>
      <c r="D9" s="469"/>
      <c r="E9" s="26">
        <v>39.619999999999997</v>
      </c>
      <c r="F9" s="193">
        <v>1500</v>
      </c>
      <c r="G9" s="188">
        <f t="shared" ref="G9:G12" si="11">E9*F9</f>
        <v>59429.999999999993</v>
      </c>
      <c r="H9" s="76">
        <v>2</v>
      </c>
      <c r="I9" s="191">
        <v>19</v>
      </c>
      <c r="J9" s="18">
        <v>1500</v>
      </c>
      <c r="K9" s="9">
        <f t="shared" ref="K9:K12" si="12">J9/I9</f>
        <v>78.94736842105263</v>
      </c>
      <c r="L9" s="191">
        <v>19</v>
      </c>
      <c r="M9" s="10">
        <f t="shared" ref="M9:M12" si="13">F9/V9*60</f>
        <v>1363.6363636363635</v>
      </c>
      <c r="N9" s="9">
        <f t="shared" ref="N9:N12" si="14">M9/L9</f>
        <v>71.770334928229659</v>
      </c>
      <c r="O9" s="11">
        <f t="shared" ref="O9:O12" si="15">L9-I9</f>
        <v>0</v>
      </c>
      <c r="P9" s="12">
        <f>N9-K9</f>
        <v>-7.1770334928229715</v>
      </c>
      <c r="Q9" s="189">
        <f>N9/K9</f>
        <v>0.90909090909090906</v>
      </c>
      <c r="R9" s="470">
        <f>Q13</f>
        <v>0.90007400932400916</v>
      </c>
      <c r="S9" s="24">
        <v>0.12986111111111112</v>
      </c>
      <c r="T9" s="24">
        <v>0.17569444444444446</v>
      </c>
      <c r="U9" s="188"/>
      <c r="V9" s="192">
        <f t="shared" ref="V9:V12" si="16">(T9-S9)*24*60</f>
        <v>66</v>
      </c>
      <c r="W9" s="9"/>
      <c r="X9" s="9"/>
      <c r="Y9" s="456"/>
      <c r="Z9" s="456"/>
      <c r="AA9" s="11">
        <f t="shared" si="2"/>
        <v>-136.36363636363649</v>
      </c>
      <c r="AB9" s="189">
        <f>M9/J9</f>
        <v>0.90909090909090906</v>
      </c>
      <c r="AC9" s="470">
        <f>AB13</f>
        <v>0.90007400932400927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193">
        <v>4662</v>
      </c>
      <c r="G10" s="188">
        <f t="shared" si="11"/>
        <v>185547.59999999998</v>
      </c>
      <c r="H10" s="76" t="s">
        <v>57</v>
      </c>
      <c r="I10" s="191">
        <v>18</v>
      </c>
      <c r="J10" s="18">
        <v>1500</v>
      </c>
      <c r="K10" s="9">
        <f t="shared" si="12"/>
        <v>83.333333333333329</v>
      </c>
      <c r="L10" s="191">
        <v>18</v>
      </c>
      <c r="M10" s="10">
        <f t="shared" si="13"/>
        <v>1344.8076923076924</v>
      </c>
      <c r="N10" s="9">
        <f t="shared" si="14"/>
        <v>74.711538461538467</v>
      </c>
      <c r="O10" s="11">
        <f t="shared" si="15"/>
        <v>0</v>
      </c>
      <c r="P10" s="12">
        <f t="shared" ref="P10:P12" si="17">N10-K10</f>
        <v>-8.6217948717948616</v>
      </c>
      <c r="Q10" s="189">
        <f t="shared" ref="Q10:Q12" si="18">N10/K10</f>
        <v>0.89653846153846162</v>
      </c>
      <c r="R10" s="470"/>
      <c r="S10" s="24">
        <v>0.19791666666666669</v>
      </c>
      <c r="T10" s="24">
        <v>0.34236111111111112</v>
      </c>
      <c r="U10" s="188">
        <f>(S10-T9)*24*60</f>
        <v>32.000000000000007</v>
      </c>
      <c r="V10" s="192">
        <f t="shared" si="16"/>
        <v>207.99999999999997</v>
      </c>
      <c r="W10" s="14"/>
      <c r="X10" s="14"/>
      <c r="Y10" s="456"/>
      <c r="Z10" s="456"/>
      <c r="AA10" s="11">
        <f t="shared" si="2"/>
        <v>-155.19230769230762</v>
      </c>
      <c r="AB10" s="189">
        <f t="shared" ref="AB10:AB27" si="19">M10/J10</f>
        <v>0.89653846153846162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39.29</v>
      </c>
      <c r="F11" s="193">
        <v>4712</v>
      </c>
      <c r="G11" s="188">
        <f t="shared" si="11"/>
        <v>185134.48</v>
      </c>
      <c r="H11" s="76" t="s">
        <v>57</v>
      </c>
      <c r="I11" s="191">
        <v>19</v>
      </c>
      <c r="J11" s="18">
        <v>1500</v>
      </c>
      <c r="K11" s="9">
        <f t="shared" si="12"/>
        <v>78.94736842105263</v>
      </c>
      <c r="L11" s="191">
        <v>19</v>
      </c>
      <c r="M11" s="10">
        <f t="shared" si="13"/>
        <v>1346.285714285714</v>
      </c>
      <c r="N11" s="9">
        <f t="shared" si="14"/>
        <v>70.857142857142847</v>
      </c>
      <c r="O11" s="11">
        <f t="shared" si="15"/>
        <v>0</v>
      </c>
      <c r="P11" s="12">
        <f t="shared" si="17"/>
        <v>-8.0902255639097831</v>
      </c>
      <c r="Q11" s="189">
        <f t="shared" si="18"/>
        <v>0.89752380952380939</v>
      </c>
      <c r="R11" s="470"/>
      <c r="S11" s="24">
        <v>0.35347222222222219</v>
      </c>
      <c r="T11" s="24">
        <v>0.49930555555555556</v>
      </c>
      <c r="U11" s="188">
        <f t="shared" ref="U11:U12" si="20">(S11-T10)*24*60</f>
        <v>15.999999999999943</v>
      </c>
      <c r="V11" s="192">
        <f t="shared" si="16"/>
        <v>210.00000000000006</v>
      </c>
      <c r="W11" s="14"/>
      <c r="X11" s="14"/>
      <c r="Y11" s="456"/>
      <c r="Z11" s="456"/>
      <c r="AA11" s="11">
        <f t="shared" si="2"/>
        <v>-153.71428571428601</v>
      </c>
      <c r="AB11" s="189">
        <f t="shared" si="19"/>
        <v>0.89752380952380928</v>
      </c>
      <c r="AC11" s="470"/>
    </row>
    <row r="12" spans="1:29" ht="15.75" customHeight="1">
      <c r="A12" s="467" t="s">
        <v>5</v>
      </c>
      <c r="B12" s="26" t="s">
        <v>15</v>
      </c>
      <c r="C12" s="468" t="s">
        <v>16</v>
      </c>
      <c r="D12" s="469"/>
      <c r="E12" s="26">
        <v>39.619999999999997</v>
      </c>
      <c r="F12" s="193">
        <v>2041</v>
      </c>
      <c r="G12" s="188">
        <f t="shared" si="11"/>
        <v>80864.42</v>
      </c>
      <c r="H12" s="76" t="s">
        <v>57</v>
      </c>
      <c r="I12" s="191">
        <v>19</v>
      </c>
      <c r="J12" s="18">
        <v>1500</v>
      </c>
      <c r="K12" s="9">
        <f t="shared" si="12"/>
        <v>78.94736842105263</v>
      </c>
      <c r="L12" s="191">
        <v>19</v>
      </c>
      <c r="M12" s="10">
        <f t="shared" si="13"/>
        <v>1345.7142857142856</v>
      </c>
      <c r="N12" s="9">
        <f t="shared" si="14"/>
        <v>70.827067669172919</v>
      </c>
      <c r="O12" s="11">
        <f t="shared" si="15"/>
        <v>0</v>
      </c>
      <c r="P12" s="12">
        <f t="shared" si="17"/>
        <v>-8.1203007518797108</v>
      </c>
      <c r="Q12" s="189">
        <f t="shared" si="18"/>
        <v>0.89714285714285702</v>
      </c>
      <c r="R12" s="470"/>
      <c r="S12" s="24">
        <v>0.53888888888888886</v>
      </c>
      <c r="T12" s="24">
        <v>0.6020833333333333</v>
      </c>
      <c r="U12" s="188">
        <f t="shared" si="20"/>
        <v>56.999999999999957</v>
      </c>
      <c r="V12" s="192">
        <f t="shared" si="16"/>
        <v>91</v>
      </c>
      <c r="W12" s="14"/>
      <c r="X12" s="14"/>
      <c r="Y12" s="456"/>
      <c r="Z12" s="456"/>
      <c r="AA12" s="11">
        <f t="shared" si="2"/>
        <v>-154.28571428571445</v>
      </c>
      <c r="AB12" s="189">
        <f t="shared" si="19"/>
        <v>0.89714285714285702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187"/>
      <c r="F13" s="18"/>
      <c r="G13" s="10"/>
      <c r="H13" s="193"/>
      <c r="I13" s="17">
        <v>18.75</v>
      </c>
      <c r="J13" s="18">
        <v>1500</v>
      </c>
      <c r="K13" s="9">
        <f>J13/I13</f>
        <v>80</v>
      </c>
      <c r="L13" s="17">
        <v>18.75</v>
      </c>
      <c r="M13" s="10">
        <f>AVERAGE(M9:M12)</f>
        <v>1350.1110139860139</v>
      </c>
      <c r="N13" s="9">
        <f>M13/L13</f>
        <v>72.005920745920733</v>
      </c>
      <c r="O13" s="11">
        <f>L13-I13</f>
        <v>0</v>
      </c>
      <c r="P13" s="12">
        <f>N13-K13</f>
        <v>-7.9940792540792671</v>
      </c>
      <c r="Q13" s="189">
        <f>N13/K13</f>
        <v>0.90007400932400916</v>
      </c>
      <c r="R13" s="470"/>
      <c r="S13" s="24"/>
      <c r="T13" s="24"/>
      <c r="U13" s="9"/>
      <c r="V13" s="192"/>
      <c r="W13" s="9"/>
      <c r="X13" s="9"/>
      <c r="Y13" s="456"/>
      <c r="Z13" s="456"/>
      <c r="AA13" s="11">
        <f t="shared" si="2"/>
        <v>-149.88898601398614</v>
      </c>
      <c r="AB13" s="189">
        <f t="shared" si="19"/>
        <v>0.90007400932400927</v>
      </c>
      <c r="AC13" s="470"/>
    </row>
    <row r="14" spans="1:29" ht="16.5" customHeight="1">
      <c r="A14" s="480" t="s">
        <v>124</v>
      </c>
      <c r="B14" s="193" t="s">
        <v>18</v>
      </c>
      <c r="C14" s="477" t="s">
        <v>19</v>
      </c>
      <c r="D14" s="477"/>
      <c r="E14" s="26">
        <v>41</v>
      </c>
      <c r="F14" s="193">
        <v>1646</v>
      </c>
      <c r="G14" s="188">
        <f t="shared" ref="G14:G18" si="21">E14*F14</f>
        <v>67486</v>
      </c>
      <c r="H14" s="76" t="s">
        <v>57</v>
      </c>
      <c r="I14" s="191">
        <v>26</v>
      </c>
      <c r="J14" s="18">
        <v>1286</v>
      </c>
      <c r="K14" s="9">
        <f>J14/I14</f>
        <v>49.46153846153846</v>
      </c>
      <c r="L14" s="191">
        <v>26</v>
      </c>
      <c r="M14" s="10">
        <f>F14/V14*60</f>
        <v>1161.8823529411761</v>
      </c>
      <c r="N14" s="9">
        <f t="shared" ref="N14:N26" si="22">M14/L14</f>
        <v>44.687782805429848</v>
      </c>
      <c r="O14" s="11">
        <f t="shared" ref="O14" si="23">L14-I14</f>
        <v>0</v>
      </c>
      <c r="P14" s="12">
        <f t="shared" ref="P14" si="24">N14-K14</f>
        <v>-4.7737556561086123</v>
      </c>
      <c r="Q14" s="189">
        <f>N14/K14</f>
        <v>0.9034854999542582</v>
      </c>
      <c r="R14" s="470">
        <f>Q19</f>
        <v>0.90324492166353887</v>
      </c>
      <c r="S14" s="24">
        <v>0.25</v>
      </c>
      <c r="T14" s="24">
        <v>0.30902777777777779</v>
      </c>
      <c r="U14" s="188"/>
      <c r="V14" s="192">
        <f>(T14-S14)*24*60</f>
        <v>85.000000000000014</v>
      </c>
      <c r="W14" s="15"/>
      <c r="X14" s="15"/>
      <c r="Y14" s="456"/>
      <c r="Z14" s="456"/>
      <c r="AA14" s="11">
        <f t="shared" si="2"/>
        <v>-124.11764705882388</v>
      </c>
      <c r="AB14" s="189">
        <f t="shared" si="19"/>
        <v>0.90348549995425831</v>
      </c>
      <c r="AC14" s="470">
        <f>AB19</f>
        <v>0.90324492166353898</v>
      </c>
    </row>
    <row r="15" spans="1:29" ht="16.5" customHeight="1">
      <c r="A15" s="481" t="s">
        <v>6</v>
      </c>
      <c r="B15" s="193" t="s">
        <v>15</v>
      </c>
      <c r="C15" s="477" t="s">
        <v>68</v>
      </c>
      <c r="D15" s="477"/>
      <c r="E15" s="26">
        <v>39.29</v>
      </c>
      <c r="F15" s="193">
        <v>1896</v>
      </c>
      <c r="G15" s="188">
        <f t="shared" si="21"/>
        <v>74493.84</v>
      </c>
      <c r="H15" s="76" t="s">
        <v>57</v>
      </c>
      <c r="I15" s="191">
        <v>18</v>
      </c>
      <c r="J15" s="18">
        <v>1500</v>
      </c>
      <c r="K15" s="9">
        <f>J15/I15</f>
        <v>83.333333333333329</v>
      </c>
      <c r="L15" s="191">
        <v>18</v>
      </c>
      <c r="M15" s="10">
        <f>F15/V15*60</f>
        <v>1354.2857142857138</v>
      </c>
      <c r="N15" s="9">
        <f t="shared" si="22"/>
        <v>75.238095238095212</v>
      </c>
      <c r="O15" s="11">
        <f>L15-I15</f>
        <v>0</v>
      </c>
      <c r="P15" s="12">
        <f>N15-K15</f>
        <v>-8.0952380952381162</v>
      </c>
      <c r="Q15" s="189">
        <f>N15/K15</f>
        <v>0.90285714285714258</v>
      </c>
      <c r="R15" s="470"/>
      <c r="S15" s="24">
        <v>0.32013888888888886</v>
      </c>
      <c r="T15" s="24">
        <v>0.37847222222222221</v>
      </c>
      <c r="U15" s="188">
        <f>(S15-T14)*24*60</f>
        <v>15.999999999999943</v>
      </c>
      <c r="V15" s="192">
        <f>(T15-S15)*24*60</f>
        <v>84.000000000000028</v>
      </c>
      <c r="W15" s="14"/>
      <c r="X15" s="14"/>
      <c r="Y15" s="456"/>
      <c r="Z15" s="456"/>
      <c r="AA15" s="11">
        <f t="shared" si="2"/>
        <v>-145.71428571428623</v>
      </c>
      <c r="AB15" s="189">
        <f t="shared" si="19"/>
        <v>0.90285714285714247</v>
      </c>
      <c r="AC15" s="470"/>
    </row>
    <row r="16" spans="1:29" ht="16.5" customHeight="1">
      <c r="A16" s="481" t="s">
        <v>6</v>
      </c>
      <c r="B16" s="193" t="s">
        <v>15</v>
      </c>
      <c r="C16" s="477" t="s">
        <v>54</v>
      </c>
      <c r="D16" s="477"/>
      <c r="E16" s="26">
        <v>39.29</v>
      </c>
      <c r="F16" s="193">
        <v>2873</v>
      </c>
      <c r="G16" s="188">
        <f t="shared" si="21"/>
        <v>112880.17</v>
      </c>
      <c r="H16" s="76" t="s">
        <v>57</v>
      </c>
      <c r="I16" s="191">
        <v>17</v>
      </c>
      <c r="J16" s="18">
        <v>1500</v>
      </c>
      <c r="K16" s="9">
        <f t="shared" ref="K16:K18" si="25">J16/I16</f>
        <v>88.235294117647058</v>
      </c>
      <c r="L16" s="191">
        <v>17</v>
      </c>
      <c r="M16" s="10">
        <f t="shared" ref="M16:M18" si="26">F16/V16*60</f>
        <v>1346.7187499999998</v>
      </c>
      <c r="N16" s="9">
        <f t="shared" si="22"/>
        <v>79.218749999999986</v>
      </c>
      <c r="O16" s="11">
        <f t="shared" ref="O16:O18" si="27">L16-I16</f>
        <v>0</v>
      </c>
      <c r="P16" s="12">
        <f t="shared" ref="P16:P18" si="28">N16-K16</f>
        <v>-9.0165441176470722</v>
      </c>
      <c r="Q16" s="189">
        <f t="shared" ref="Q16:Q26" si="29">N16/K16</f>
        <v>0.8978124999999999</v>
      </c>
      <c r="R16" s="470"/>
      <c r="S16" s="24">
        <v>0.38749999999999996</v>
      </c>
      <c r="T16" s="24">
        <v>0.47638888888888886</v>
      </c>
      <c r="U16" s="188">
        <f t="shared" ref="U16:U18" si="30">(S16-T15)*24*60</f>
        <v>12.999999999999954</v>
      </c>
      <c r="V16" s="192">
        <f t="shared" ref="V16:V18" si="31">(T16-S16)*24*60</f>
        <v>128.00000000000003</v>
      </c>
      <c r="W16" s="14"/>
      <c r="X16" s="14"/>
      <c r="Y16" s="456"/>
      <c r="Z16" s="456"/>
      <c r="AA16" s="11">
        <f t="shared" si="2"/>
        <v>-153.28125000000023</v>
      </c>
      <c r="AB16" s="189">
        <f t="shared" si="19"/>
        <v>0.8978124999999999</v>
      </c>
      <c r="AC16" s="470"/>
    </row>
    <row r="17" spans="1:29" ht="16.5" customHeight="1">
      <c r="A17" s="481" t="s">
        <v>6</v>
      </c>
      <c r="B17" s="193" t="s">
        <v>13</v>
      </c>
      <c r="C17" s="477" t="s">
        <v>63</v>
      </c>
      <c r="D17" s="477"/>
      <c r="E17" s="26">
        <v>50.98</v>
      </c>
      <c r="F17" s="193">
        <v>2285</v>
      </c>
      <c r="G17" s="188">
        <f t="shared" si="21"/>
        <v>116489.29999999999</v>
      </c>
      <c r="H17" s="76" t="s">
        <v>57</v>
      </c>
      <c r="I17" s="191">
        <v>17</v>
      </c>
      <c r="J17" s="18">
        <v>1800</v>
      </c>
      <c r="K17" s="9">
        <f t="shared" si="25"/>
        <v>105.88235294117646</v>
      </c>
      <c r="L17" s="191">
        <v>17</v>
      </c>
      <c r="M17" s="10">
        <f t="shared" si="26"/>
        <v>1632.1428571428564</v>
      </c>
      <c r="N17" s="9">
        <f t="shared" si="22"/>
        <v>96.008403361344492</v>
      </c>
      <c r="O17" s="11">
        <f t="shared" si="27"/>
        <v>0</v>
      </c>
      <c r="P17" s="12">
        <f t="shared" si="28"/>
        <v>-9.8739495798319723</v>
      </c>
      <c r="Q17" s="189">
        <f t="shared" si="29"/>
        <v>0.90674603174603141</v>
      </c>
      <c r="R17" s="470"/>
      <c r="S17" s="24">
        <v>0.70833333333333337</v>
      </c>
      <c r="T17" s="24">
        <v>0.76666666666666672</v>
      </c>
      <c r="U17" s="188">
        <f t="shared" si="30"/>
        <v>334.00000000000011</v>
      </c>
      <c r="V17" s="192">
        <f t="shared" si="31"/>
        <v>84.000000000000028</v>
      </c>
      <c r="W17" s="14"/>
      <c r="X17" s="14"/>
      <c r="Y17" s="456"/>
      <c r="Z17" s="456"/>
      <c r="AA17" s="11">
        <f t="shared" si="2"/>
        <v>-167.85714285714357</v>
      </c>
      <c r="AB17" s="189">
        <f t="shared" si="19"/>
        <v>0.9067460317460313</v>
      </c>
      <c r="AC17" s="470"/>
    </row>
    <row r="18" spans="1:29" ht="16.5" customHeight="1">
      <c r="A18" s="481" t="s">
        <v>6</v>
      </c>
      <c r="B18" s="193" t="s">
        <v>13</v>
      </c>
      <c r="C18" s="477" t="s">
        <v>66</v>
      </c>
      <c r="D18" s="477"/>
      <c r="E18" s="26">
        <v>57.73</v>
      </c>
      <c r="F18" s="193">
        <v>1651</v>
      </c>
      <c r="G18" s="188">
        <f t="shared" si="21"/>
        <v>95312.23</v>
      </c>
      <c r="H18" s="76" t="s">
        <v>57</v>
      </c>
      <c r="I18" s="191">
        <v>16</v>
      </c>
      <c r="J18" s="18">
        <v>1500</v>
      </c>
      <c r="K18" s="9">
        <f t="shared" si="25"/>
        <v>93.75</v>
      </c>
      <c r="L18" s="191">
        <v>16</v>
      </c>
      <c r="M18" s="10">
        <f t="shared" si="26"/>
        <v>1356.9863013698618</v>
      </c>
      <c r="N18" s="9">
        <f t="shared" si="22"/>
        <v>84.811643835616366</v>
      </c>
      <c r="O18" s="11">
        <f t="shared" si="27"/>
        <v>0</v>
      </c>
      <c r="P18" s="12">
        <f t="shared" si="28"/>
        <v>-8.9383561643836345</v>
      </c>
      <c r="Q18" s="189">
        <f t="shared" si="29"/>
        <v>0.90465753424657458</v>
      </c>
      <c r="R18" s="470"/>
      <c r="S18" s="24">
        <v>0.77222222222222225</v>
      </c>
      <c r="T18" s="24">
        <v>0.82291666666666674</v>
      </c>
      <c r="U18" s="188">
        <f t="shared" si="30"/>
        <v>7.9999999999999716</v>
      </c>
      <c r="V18" s="192">
        <f t="shared" si="31"/>
        <v>73.000000000000057</v>
      </c>
      <c r="W18" s="14"/>
      <c r="X18" s="14"/>
      <c r="Y18" s="456"/>
      <c r="Z18" s="456"/>
      <c r="AA18" s="11">
        <f t="shared" si="2"/>
        <v>-143.01369863013815</v>
      </c>
      <c r="AB18" s="189">
        <f t="shared" si="19"/>
        <v>0.90465753424657458</v>
      </c>
      <c r="AC18" s="470"/>
    </row>
    <row r="19" spans="1:29" ht="16.5" customHeight="1">
      <c r="A19" s="481" t="s">
        <v>6</v>
      </c>
      <c r="B19" s="26" t="s">
        <v>81</v>
      </c>
      <c r="C19" s="466"/>
      <c r="D19" s="466"/>
      <c r="E19" s="187"/>
      <c r="F19" s="16"/>
      <c r="G19" s="9"/>
      <c r="H19" s="193"/>
      <c r="I19" s="17">
        <v>18.8</v>
      </c>
      <c r="J19" s="18">
        <v>1517.2</v>
      </c>
      <c r="K19" s="9">
        <f>J19/I19</f>
        <v>80.702127659574472</v>
      </c>
      <c r="L19" s="17">
        <v>18.8</v>
      </c>
      <c r="M19" s="10">
        <f>AVERAGE(M14:M18)</f>
        <v>1370.4031951479215</v>
      </c>
      <c r="N19" s="9">
        <f t="shared" si="22"/>
        <v>72.893786975953262</v>
      </c>
      <c r="O19" s="11">
        <f>L19-I19</f>
        <v>0</v>
      </c>
      <c r="P19" s="12">
        <f>N19-K19</f>
        <v>-7.8083406836212106</v>
      </c>
      <c r="Q19" s="189">
        <f t="shared" si="29"/>
        <v>0.90324492166353887</v>
      </c>
      <c r="R19" s="470"/>
      <c r="S19" s="24"/>
      <c r="T19" s="24"/>
      <c r="U19" s="188"/>
      <c r="V19" s="192"/>
      <c r="W19" s="9"/>
      <c r="X19" s="9"/>
      <c r="Y19" s="456"/>
      <c r="Z19" s="456"/>
      <c r="AA19" s="11">
        <f t="shared" si="2"/>
        <v>-146.79680485207859</v>
      </c>
      <c r="AB19" s="189">
        <f t="shared" si="19"/>
        <v>0.90324492166353898</v>
      </c>
      <c r="AC19" s="470"/>
    </row>
    <row r="20" spans="1:29" ht="15.75" customHeight="1">
      <c r="A20" s="478" t="s">
        <v>156</v>
      </c>
      <c r="B20" s="26" t="s">
        <v>21</v>
      </c>
      <c r="C20" s="477" t="s">
        <v>22</v>
      </c>
      <c r="D20" s="477"/>
      <c r="E20" s="26">
        <v>43.14</v>
      </c>
      <c r="F20" s="193">
        <v>1023</v>
      </c>
      <c r="G20" s="188">
        <f t="shared" ref="G20:G26" si="32">E20*F20</f>
        <v>44132.22</v>
      </c>
      <c r="H20" s="76" t="s">
        <v>57</v>
      </c>
      <c r="I20" s="191">
        <v>17</v>
      </c>
      <c r="J20" s="18">
        <v>1200</v>
      </c>
      <c r="K20" s="9">
        <f t="shared" ref="K20:K27" si="33">J20/I20</f>
        <v>70.588235294117652</v>
      </c>
      <c r="L20" s="191">
        <v>17</v>
      </c>
      <c r="M20" s="10">
        <f t="shared" ref="M20:M26" si="34">F20/V20*60</f>
        <v>1096.0714285714294</v>
      </c>
      <c r="N20" s="9">
        <f t="shared" si="22"/>
        <v>64.474789915966426</v>
      </c>
      <c r="O20" s="11">
        <f t="shared" ref="O20:O26" si="35">L20-I20</f>
        <v>0</v>
      </c>
      <c r="P20" s="12">
        <f t="shared" ref="P20:P26" si="36">N20-K20</f>
        <v>-6.1134453781512264</v>
      </c>
      <c r="Q20" s="189">
        <f t="shared" si="29"/>
        <v>0.91339285714285767</v>
      </c>
      <c r="R20" s="470">
        <f>Q27</f>
        <v>0.90825776310887141</v>
      </c>
      <c r="S20" s="24">
        <v>0.25</v>
      </c>
      <c r="T20" s="24">
        <v>0.28888888888888886</v>
      </c>
      <c r="U20" s="188"/>
      <c r="V20" s="192">
        <f>(T20-S20)*24*60</f>
        <v>55.999999999999957</v>
      </c>
      <c r="W20" s="15"/>
      <c r="X20" s="15"/>
      <c r="Y20" s="456"/>
      <c r="Z20" s="456"/>
      <c r="AA20" s="11">
        <f t="shared" si="2"/>
        <v>-103.92857142857065</v>
      </c>
      <c r="AB20" s="189">
        <f t="shared" si="19"/>
        <v>0.91339285714285778</v>
      </c>
      <c r="AC20" s="470">
        <f>AB27</f>
        <v>0.90825776310887141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193">
        <v>2358</v>
      </c>
      <c r="G21" s="188">
        <f t="shared" si="32"/>
        <v>136127.34</v>
      </c>
      <c r="H21" s="76" t="s">
        <v>57</v>
      </c>
      <c r="I21" s="191">
        <v>16</v>
      </c>
      <c r="J21" s="18">
        <v>1800</v>
      </c>
      <c r="K21" s="9">
        <f t="shared" si="33"/>
        <v>112.5</v>
      </c>
      <c r="L21" s="191">
        <v>16</v>
      </c>
      <c r="M21" s="10">
        <f t="shared" si="34"/>
        <v>1626.2068965517237</v>
      </c>
      <c r="N21" s="9">
        <f t="shared" si="22"/>
        <v>101.63793103448273</v>
      </c>
      <c r="O21" s="11">
        <f t="shared" si="35"/>
        <v>0</v>
      </c>
      <c r="P21" s="12">
        <f t="shared" si="36"/>
        <v>-10.862068965517267</v>
      </c>
      <c r="Q21" s="189">
        <f t="shared" si="29"/>
        <v>0.90344827586206877</v>
      </c>
      <c r="R21" s="470"/>
      <c r="S21" s="24">
        <v>0.2944444444444444</v>
      </c>
      <c r="T21" s="24">
        <v>0.35486111111111107</v>
      </c>
      <c r="U21" s="188">
        <f>(S21-T20)*24*60</f>
        <v>7.9999999999999716</v>
      </c>
      <c r="V21" s="192">
        <f t="shared" ref="V21:V26" si="37">(T21-S21)*24*60</f>
        <v>87.000000000000014</v>
      </c>
      <c r="W21" s="14"/>
      <c r="X21" s="188"/>
      <c r="Y21" s="456"/>
      <c r="Z21" s="456"/>
      <c r="AA21" s="11">
        <f t="shared" si="2"/>
        <v>-173.79310344827627</v>
      </c>
      <c r="AB21" s="189">
        <f t="shared" si="19"/>
        <v>0.90344827586206877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193">
        <v>1597</v>
      </c>
      <c r="G22" s="188">
        <f t="shared" si="32"/>
        <v>85726.96</v>
      </c>
      <c r="H22" s="76" t="s">
        <v>57</v>
      </c>
      <c r="I22" s="191">
        <v>17</v>
      </c>
      <c r="J22" s="18">
        <v>1800</v>
      </c>
      <c r="K22" s="9">
        <f t="shared" si="33"/>
        <v>105.88235294117646</v>
      </c>
      <c r="L22" s="191">
        <v>17</v>
      </c>
      <c r="M22" s="10">
        <f t="shared" si="34"/>
        <v>1624.0677966101687</v>
      </c>
      <c r="N22" s="9">
        <f t="shared" si="22"/>
        <v>95.533399800598161</v>
      </c>
      <c r="O22" s="11">
        <f t="shared" si="35"/>
        <v>0</v>
      </c>
      <c r="P22" s="12">
        <f t="shared" si="36"/>
        <v>-10.348953140578303</v>
      </c>
      <c r="Q22" s="189">
        <f t="shared" si="29"/>
        <v>0.90225988700564941</v>
      </c>
      <c r="R22" s="470"/>
      <c r="S22" s="24">
        <v>0.36041666666666661</v>
      </c>
      <c r="T22" s="24">
        <v>0.40138888888888885</v>
      </c>
      <c r="U22" s="188">
        <f t="shared" ref="U22:U26" si="38">(S22-T21)*24*60</f>
        <v>7.9999999999999716</v>
      </c>
      <c r="V22" s="192">
        <f t="shared" si="37"/>
        <v>59.000000000000028</v>
      </c>
      <c r="W22" s="14"/>
      <c r="X22" s="188"/>
      <c r="Y22" s="456"/>
      <c r="Z22" s="456"/>
      <c r="AA22" s="11">
        <f t="shared" si="2"/>
        <v>-175.93220338983133</v>
      </c>
      <c r="AB22" s="189">
        <f t="shared" si="19"/>
        <v>0.9022598870056493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193">
        <v>1100</v>
      </c>
      <c r="G23" s="188">
        <f t="shared" si="32"/>
        <v>55737</v>
      </c>
      <c r="H23" s="76" t="s">
        <v>57</v>
      </c>
      <c r="I23" s="191">
        <v>16</v>
      </c>
      <c r="J23" s="18">
        <v>1800</v>
      </c>
      <c r="K23" s="9">
        <f t="shared" si="33"/>
        <v>112.5</v>
      </c>
      <c r="L23" s="191">
        <v>16</v>
      </c>
      <c r="M23" s="10">
        <f t="shared" si="34"/>
        <v>1649.9999999999993</v>
      </c>
      <c r="N23" s="9">
        <f t="shared" si="22"/>
        <v>103.12499999999996</v>
      </c>
      <c r="O23" s="11">
        <f t="shared" si="35"/>
        <v>0</v>
      </c>
      <c r="P23" s="12">
        <f t="shared" si="36"/>
        <v>-9.3750000000000426</v>
      </c>
      <c r="Q23" s="189">
        <f t="shared" si="29"/>
        <v>0.9166666666666663</v>
      </c>
      <c r="R23" s="470"/>
      <c r="S23" s="24">
        <v>0.40624999999999994</v>
      </c>
      <c r="T23" s="24">
        <v>0.43402777777777773</v>
      </c>
      <c r="U23" s="188">
        <f t="shared" si="38"/>
        <v>6.9999999999999751</v>
      </c>
      <c r="V23" s="192">
        <f t="shared" si="37"/>
        <v>40.000000000000014</v>
      </c>
      <c r="W23" s="14"/>
      <c r="X23" s="188"/>
      <c r="Y23" s="456"/>
      <c r="Z23" s="456"/>
      <c r="AA23" s="11">
        <f t="shared" si="2"/>
        <v>-150.00000000000068</v>
      </c>
      <c r="AB23" s="189">
        <f t="shared" si="19"/>
        <v>0.9166666666666663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193">
        <v>2491</v>
      </c>
      <c r="G24" s="188">
        <f t="shared" si="32"/>
        <v>126841.72</v>
      </c>
      <c r="H24" s="76" t="s">
        <v>57</v>
      </c>
      <c r="I24" s="191">
        <v>16</v>
      </c>
      <c r="J24" s="18">
        <v>1800</v>
      </c>
      <c r="K24" s="9">
        <f t="shared" si="33"/>
        <v>112.5</v>
      </c>
      <c r="L24" s="191">
        <v>16</v>
      </c>
      <c r="M24" s="10">
        <f t="shared" si="34"/>
        <v>1624.5652173913043</v>
      </c>
      <c r="N24" s="9">
        <f t="shared" si="22"/>
        <v>101.53532608695652</v>
      </c>
      <c r="O24" s="11">
        <f t="shared" si="35"/>
        <v>0</v>
      </c>
      <c r="P24" s="12">
        <f t="shared" si="36"/>
        <v>-10.964673913043484</v>
      </c>
      <c r="Q24" s="189">
        <f t="shared" si="29"/>
        <v>0.90253623188405796</v>
      </c>
      <c r="R24" s="470"/>
      <c r="S24" s="24">
        <v>0.70833333333333337</v>
      </c>
      <c r="T24" s="24">
        <v>0.77222222222222225</v>
      </c>
      <c r="U24" s="188">
        <f t="shared" si="38"/>
        <v>395.00000000000011</v>
      </c>
      <c r="V24" s="192">
        <f t="shared" si="37"/>
        <v>92</v>
      </c>
      <c r="W24" s="14"/>
      <c r="X24" s="188"/>
      <c r="Y24" s="456"/>
      <c r="Z24" s="456"/>
      <c r="AA24" s="11">
        <f t="shared" si="2"/>
        <v>-175.43478260869574</v>
      </c>
      <c r="AB24" s="189">
        <f t="shared" si="19"/>
        <v>0.90253623188405796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193">
        <v>601</v>
      </c>
      <c r="G25" s="188">
        <f t="shared" si="32"/>
        <v>32015.27</v>
      </c>
      <c r="H25" s="76" t="s">
        <v>57</v>
      </c>
      <c r="I25" s="191">
        <v>15</v>
      </c>
      <c r="J25" s="18">
        <v>1800</v>
      </c>
      <c r="K25" s="9">
        <f t="shared" si="33"/>
        <v>120</v>
      </c>
      <c r="L25" s="191">
        <v>15</v>
      </c>
      <c r="M25" s="10">
        <f t="shared" si="34"/>
        <v>1639.0909090909149</v>
      </c>
      <c r="N25" s="9">
        <f t="shared" si="22"/>
        <v>109.27272727272766</v>
      </c>
      <c r="O25" s="11">
        <f t="shared" si="35"/>
        <v>0</v>
      </c>
      <c r="P25" s="12">
        <f t="shared" si="36"/>
        <v>-10.727272727272336</v>
      </c>
      <c r="Q25" s="189">
        <f t="shared" si="29"/>
        <v>0.91060606060606386</v>
      </c>
      <c r="R25" s="470"/>
      <c r="S25" s="24">
        <v>0.77638888888888891</v>
      </c>
      <c r="T25" s="24">
        <v>0.79166666666666663</v>
      </c>
      <c r="U25" s="188">
        <f t="shared" si="38"/>
        <v>5.9999999999999787</v>
      </c>
      <c r="V25" s="192">
        <f t="shared" si="37"/>
        <v>21.999999999999922</v>
      </c>
      <c r="W25" s="14"/>
      <c r="X25" s="15"/>
      <c r="Y25" s="456"/>
      <c r="Z25" s="456"/>
      <c r="AA25" s="11">
        <f t="shared" si="2"/>
        <v>-160.90909090908508</v>
      </c>
      <c r="AB25" s="189">
        <f t="shared" si="19"/>
        <v>0.91060606060606386</v>
      </c>
      <c r="AC25" s="470"/>
    </row>
    <row r="26" spans="1:29" ht="15.75" customHeight="1">
      <c r="A26" s="479" t="s">
        <v>7</v>
      </c>
      <c r="B26" s="26" t="s">
        <v>13</v>
      </c>
      <c r="C26" s="477" t="s">
        <v>61</v>
      </c>
      <c r="D26" s="477"/>
      <c r="E26" s="26">
        <v>49.91</v>
      </c>
      <c r="F26" s="193">
        <v>601</v>
      </c>
      <c r="G26" s="188">
        <f t="shared" si="32"/>
        <v>29995.909999999996</v>
      </c>
      <c r="H26" s="76" t="s">
        <v>57</v>
      </c>
      <c r="I26" s="191">
        <v>15</v>
      </c>
      <c r="J26" s="18">
        <v>1800</v>
      </c>
      <c r="K26" s="9">
        <f t="shared" si="33"/>
        <v>120</v>
      </c>
      <c r="L26" s="191">
        <v>15</v>
      </c>
      <c r="M26" s="10">
        <f t="shared" si="34"/>
        <v>1639.0909090909149</v>
      </c>
      <c r="N26" s="9">
        <f t="shared" si="22"/>
        <v>109.27272727272766</v>
      </c>
      <c r="O26" s="11">
        <f t="shared" si="35"/>
        <v>0</v>
      </c>
      <c r="P26" s="12">
        <f t="shared" si="36"/>
        <v>-10.727272727272336</v>
      </c>
      <c r="Q26" s="189">
        <f t="shared" si="29"/>
        <v>0.91060606060606386</v>
      </c>
      <c r="R26" s="470"/>
      <c r="S26" s="24">
        <v>0.79652777777777772</v>
      </c>
      <c r="T26" s="24">
        <v>0.81180555555555545</v>
      </c>
      <c r="U26" s="188">
        <f t="shared" si="38"/>
        <v>6.9999999999999751</v>
      </c>
      <c r="V26" s="192">
        <f t="shared" si="37"/>
        <v>21.999999999999922</v>
      </c>
      <c r="W26" s="14"/>
      <c r="X26" s="15"/>
      <c r="Y26" s="473"/>
      <c r="Z26" s="474"/>
      <c r="AA26" s="11">
        <f t="shared" si="2"/>
        <v>-160.90909090908508</v>
      </c>
      <c r="AB26" s="189">
        <f t="shared" si="19"/>
        <v>0.91060606060606386</v>
      </c>
      <c r="AC26" s="470"/>
    </row>
    <row r="27" spans="1:29" ht="15.75" customHeight="1">
      <c r="A27" s="479" t="s">
        <v>7</v>
      </c>
      <c r="B27" s="26" t="s">
        <v>81</v>
      </c>
      <c r="C27" s="466"/>
      <c r="D27" s="466"/>
      <c r="E27" s="187"/>
      <c r="F27" s="193"/>
      <c r="G27" s="188"/>
      <c r="H27" s="193"/>
      <c r="I27" s="17">
        <v>16</v>
      </c>
      <c r="J27" s="18">
        <v>1714.2857142857142</v>
      </c>
      <c r="K27" s="9">
        <f t="shared" si="33"/>
        <v>107.14285714285714</v>
      </c>
      <c r="L27" s="17">
        <v>16</v>
      </c>
      <c r="M27" s="10">
        <f>AVERAGE(M20:M26)</f>
        <v>1557.0133081866366</v>
      </c>
      <c r="N27" s="9">
        <f>M27/L27</f>
        <v>97.313331761664784</v>
      </c>
      <c r="O27" s="11">
        <f>L27-I27</f>
        <v>0</v>
      </c>
      <c r="P27" s="12">
        <f>N27-K27</f>
        <v>-9.8295253811923544</v>
      </c>
      <c r="Q27" s="189">
        <f>N27/K27</f>
        <v>0.90825776310887141</v>
      </c>
      <c r="R27" s="470"/>
      <c r="S27" s="24"/>
      <c r="T27" s="24"/>
      <c r="U27" s="9"/>
      <c r="V27" s="192"/>
      <c r="W27" s="9"/>
      <c r="X27" s="9"/>
      <c r="Y27" s="456"/>
      <c r="Z27" s="456"/>
      <c r="AA27" s="11">
        <f t="shared" si="2"/>
        <v>-157.27240609907767</v>
      </c>
      <c r="AB27" s="189">
        <f t="shared" si="19"/>
        <v>0.90825776310887141</v>
      </c>
      <c r="AC27" s="470"/>
    </row>
    <row r="28" spans="1:29" ht="15.75" customHeight="1">
      <c r="A28" s="484" t="s">
        <v>157</v>
      </c>
      <c r="B28" s="26" t="s">
        <v>24</v>
      </c>
      <c r="C28" s="477" t="s">
        <v>25</v>
      </c>
      <c r="D28" s="477"/>
      <c r="E28" s="26">
        <v>20.52</v>
      </c>
      <c r="F28" s="193">
        <v>3464</v>
      </c>
      <c r="G28" s="188">
        <f t="shared" ref="G28:G32" si="39">E28*F28</f>
        <v>71081.279999999999</v>
      </c>
      <c r="H28" s="76" t="s">
        <v>57</v>
      </c>
      <c r="I28" s="191">
        <v>18</v>
      </c>
      <c r="J28" s="18">
        <v>2400</v>
      </c>
      <c r="K28" s="9">
        <f>J28/I28</f>
        <v>133.33333333333334</v>
      </c>
      <c r="L28" s="191">
        <v>18</v>
      </c>
      <c r="M28" s="10">
        <f t="shared" ref="M28:M32" si="40">F28/V28*60</f>
        <v>2165.0000000000005</v>
      </c>
      <c r="N28" s="9">
        <f t="shared" ref="N28:N32" si="41">M28/L28</f>
        <v>120.2777777777778</v>
      </c>
      <c r="O28" s="11">
        <f t="shared" ref="O28:O32" si="42">L28-I28</f>
        <v>0</v>
      </c>
      <c r="P28" s="12">
        <f t="shared" ref="P28:P32" si="43">N28-K28</f>
        <v>-13.055555555555543</v>
      </c>
      <c r="Q28" s="189">
        <f t="shared" ref="Q28:Q32" si="44">N28/K28</f>
        <v>0.90208333333333346</v>
      </c>
      <c r="R28" s="470">
        <f>Q33</f>
        <v>0.90210890694016466</v>
      </c>
      <c r="S28" s="24">
        <v>0.125</v>
      </c>
      <c r="T28" s="24">
        <v>0.19166666666666665</v>
      </c>
      <c r="U28" s="188"/>
      <c r="V28" s="192">
        <f t="shared" ref="V28:V32" si="45">(T28-S28)*24*60</f>
        <v>95.999999999999972</v>
      </c>
      <c r="W28" s="14"/>
      <c r="X28" s="14"/>
      <c r="Y28" s="456"/>
      <c r="Z28" s="456"/>
      <c r="AA28" s="11">
        <f t="shared" si="2"/>
        <v>-234.99999999999955</v>
      </c>
      <c r="AB28" s="189">
        <f>M28/J28</f>
        <v>0.90208333333333357</v>
      </c>
      <c r="AC28" s="470">
        <f>AB33</f>
        <v>0.90210890694016466</v>
      </c>
    </row>
    <row r="29" spans="1:29" ht="15.75" customHeight="1">
      <c r="A29" s="484" t="s">
        <v>8</v>
      </c>
      <c r="B29" s="26" t="s">
        <v>24</v>
      </c>
      <c r="C29" s="477" t="s">
        <v>26</v>
      </c>
      <c r="D29" s="477"/>
      <c r="E29" s="26">
        <v>26.2</v>
      </c>
      <c r="F29" s="193">
        <v>3977</v>
      </c>
      <c r="G29" s="188">
        <f t="shared" si="39"/>
        <v>104197.4</v>
      </c>
      <c r="H29" s="76" t="s">
        <v>57</v>
      </c>
      <c r="I29" s="191">
        <v>20</v>
      </c>
      <c r="J29" s="18">
        <v>2400</v>
      </c>
      <c r="K29" s="9">
        <f t="shared" ref="K29:K33" si="46">J29/I29</f>
        <v>120</v>
      </c>
      <c r="L29" s="191">
        <v>20</v>
      </c>
      <c r="M29" s="10">
        <f t="shared" si="40"/>
        <v>2169.2727272727279</v>
      </c>
      <c r="N29" s="9">
        <f t="shared" si="41"/>
        <v>108.4636363636364</v>
      </c>
      <c r="O29" s="11">
        <f t="shared" si="42"/>
        <v>0</v>
      </c>
      <c r="P29" s="12">
        <f t="shared" si="43"/>
        <v>-11.536363636363603</v>
      </c>
      <c r="Q29" s="189">
        <f t="shared" si="44"/>
        <v>0.90386363636363665</v>
      </c>
      <c r="R29" s="470"/>
      <c r="S29" s="24">
        <v>0.21249999999999999</v>
      </c>
      <c r="T29" s="24">
        <v>0.28888888888888886</v>
      </c>
      <c r="U29" s="188">
        <f>(S29-T28)*24*60</f>
        <v>30.000000000000014</v>
      </c>
      <c r="V29" s="192">
        <f t="shared" si="45"/>
        <v>109.99999999999997</v>
      </c>
      <c r="W29" s="14"/>
      <c r="X29" s="14"/>
      <c r="Y29" s="456"/>
      <c r="Z29" s="456"/>
      <c r="AA29" s="11">
        <f t="shared" si="2"/>
        <v>-230.72727272727207</v>
      </c>
      <c r="AB29" s="189">
        <f t="shared" ref="AB29:AB32" si="47">M29/J29</f>
        <v>0.90386363636363665</v>
      </c>
      <c r="AC29" s="470"/>
    </row>
    <row r="30" spans="1:29" ht="15.75" customHeight="1">
      <c r="A30" s="484" t="s">
        <v>8</v>
      </c>
      <c r="B30" s="26" t="s">
        <v>24</v>
      </c>
      <c r="C30" s="477" t="s">
        <v>513</v>
      </c>
      <c r="D30" s="477"/>
      <c r="E30" s="26">
        <v>31.29</v>
      </c>
      <c r="F30" s="193">
        <v>5665</v>
      </c>
      <c r="G30" s="188">
        <f t="shared" si="39"/>
        <v>177257.85</v>
      </c>
      <c r="H30" s="76" t="s">
        <v>57</v>
      </c>
      <c r="I30" s="191">
        <v>16</v>
      </c>
      <c r="J30" s="18">
        <v>2400</v>
      </c>
      <c r="K30" s="9">
        <f t="shared" si="46"/>
        <v>150</v>
      </c>
      <c r="L30" s="191">
        <v>16</v>
      </c>
      <c r="M30" s="10">
        <f t="shared" si="40"/>
        <v>2164.9681528662418</v>
      </c>
      <c r="N30" s="9">
        <f t="shared" si="41"/>
        <v>135.31050955414011</v>
      </c>
      <c r="O30" s="11">
        <f t="shared" si="42"/>
        <v>0</v>
      </c>
      <c r="P30" s="12">
        <f t="shared" si="43"/>
        <v>-14.689490445859889</v>
      </c>
      <c r="Q30" s="189">
        <f t="shared" si="44"/>
        <v>0.90207006369426745</v>
      </c>
      <c r="R30" s="470"/>
      <c r="S30" s="24">
        <v>0.29374999999999996</v>
      </c>
      <c r="T30" s="24">
        <v>0.40277777777777773</v>
      </c>
      <c r="U30" s="188">
        <f t="shared" ref="U30:U32" si="48">(S30-T29)*24*60</f>
        <v>6.9999999999999751</v>
      </c>
      <c r="V30" s="192">
        <f t="shared" si="45"/>
        <v>157</v>
      </c>
      <c r="W30" s="14"/>
      <c r="X30" s="14"/>
      <c r="Y30" s="456"/>
      <c r="Z30" s="456"/>
      <c r="AA30" s="11">
        <f t="shared" si="2"/>
        <v>-235.03184713375822</v>
      </c>
      <c r="AB30" s="189">
        <f t="shared" si="47"/>
        <v>0.90207006369426745</v>
      </c>
      <c r="AC30" s="470"/>
    </row>
    <row r="31" spans="1:29" ht="15.75" customHeight="1">
      <c r="A31" s="484" t="s">
        <v>8</v>
      </c>
      <c r="B31" s="26" t="s">
        <v>24</v>
      </c>
      <c r="C31" s="477" t="s">
        <v>84</v>
      </c>
      <c r="D31" s="477"/>
      <c r="E31" s="26">
        <v>24.25</v>
      </c>
      <c r="F31" s="193">
        <v>3000</v>
      </c>
      <c r="G31" s="188">
        <f t="shared" si="39"/>
        <v>72750</v>
      </c>
      <c r="H31" s="76">
        <v>2</v>
      </c>
      <c r="I31" s="191">
        <v>18</v>
      </c>
      <c r="J31" s="18">
        <v>2400</v>
      </c>
      <c r="K31" s="9">
        <f t="shared" si="46"/>
        <v>133.33333333333334</v>
      </c>
      <c r="L31" s="191">
        <v>18</v>
      </c>
      <c r="M31" s="10">
        <f t="shared" si="40"/>
        <v>2168.6746987951801</v>
      </c>
      <c r="N31" s="9">
        <f t="shared" si="41"/>
        <v>120.48192771084334</v>
      </c>
      <c r="O31" s="11">
        <f t="shared" si="42"/>
        <v>0</v>
      </c>
      <c r="P31" s="12">
        <f t="shared" si="43"/>
        <v>-12.851405622490006</v>
      </c>
      <c r="Q31" s="189">
        <f t="shared" si="44"/>
        <v>0.90361445783132499</v>
      </c>
      <c r="R31" s="470"/>
      <c r="S31" s="24">
        <v>0.40694444444444439</v>
      </c>
      <c r="T31" s="24">
        <v>0.46458333333333329</v>
      </c>
      <c r="U31" s="188">
        <f t="shared" si="48"/>
        <v>5.9999999999999787</v>
      </c>
      <c r="V31" s="192">
        <f t="shared" si="45"/>
        <v>83.000000000000028</v>
      </c>
      <c r="W31" s="14"/>
      <c r="X31" s="14"/>
      <c r="Y31" s="456"/>
      <c r="Z31" s="456"/>
      <c r="AA31" s="11">
        <f t="shared" si="2"/>
        <v>-231.32530120481988</v>
      </c>
      <c r="AB31" s="189">
        <f t="shared" si="47"/>
        <v>0.9036144578313251</v>
      </c>
      <c r="AC31" s="470"/>
    </row>
    <row r="32" spans="1:29" ht="15.75" customHeight="1">
      <c r="A32" s="484" t="s">
        <v>8</v>
      </c>
      <c r="B32" s="26" t="s">
        <v>24</v>
      </c>
      <c r="C32" s="477" t="s">
        <v>69</v>
      </c>
      <c r="D32" s="477"/>
      <c r="E32" s="26">
        <v>22.35</v>
      </c>
      <c r="F32" s="193">
        <v>2481</v>
      </c>
      <c r="G32" s="188">
        <f t="shared" si="39"/>
        <v>55450.350000000006</v>
      </c>
      <c r="H32" s="76" t="s">
        <v>57</v>
      </c>
      <c r="I32" s="191">
        <v>16</v>
      </c>
      <c r="J32" s="18">
        <v>2400</v>
      </c>
      <c r="K32" s="9">
        <f t="shared" si="46"/>
        <v>150</v>
      </c>
      <c r="L32" s="191">
        <v>16</v>
      </c>
      <c r="M32" s="10">
        <f t="shared" si="40"/>
        <v>2157.391304347826</v>
      </c>
      <c r="N32" s="9">
        <f t="shared" si="41"/>
        <v>134.83695652173913</v>
      </c>
      <c r="O32" s="11">
        <f t="shared" si="42"/>
        <v>0</v>
      </c>
      <c r="P32" s="12">
        <f t="shared" si="43"/>
        <v>-15.163043478260875</v>
      </c>
      <c r="Q32" s="189">
        <f t="shared" si="44"/>
        <v>0.89891304347826084</v>
      </c>
      <c r="R32" s="470"/>
      <c r="S32" s="24">
        <v>0.4680555555555555</v>
      </c>
      <c r="T32" s="24">
        <v>0.51597222222222217</v>
      </c>
      <c r="U32" s="188">
        <f t="shared" si="48"/>
        <v>4.9999999999999822</v>
      </c>
      <c r="V32" s="192">
        <f t="shared" si="45"/>
        <v>69</v>
      </c>
      <c r="W32" s="14"/>
      <c r="X32" s="14"/>
      <c r="Y32" s="456"/>
      <c r="Z32" s="456"/>
      <c r="AA32" s="11">
        <f t="shared" si="2"/>
        <v>-242.60869565217399</v>
      </c>
      <c r="AB32" s="189">
        <f t="shared" si="47"/>
        <v>0.89891304347826084</v>
      </c>
      <c r="AC32" s="470"/>
    </row>
    <row r="33" spans="1:29" ht="15.75" customHeight="1">
      <c r="A33" s="484" t="s">
        <v>8</v>
      </c>
      <c r="B33" s="26" t="s">
        <v>81</v>
      </c>
      <c r="C33" s="466"/>
      <c r="D33" s="466"/>
      <c r="E33" s="187"/>
      <c r="F33" s="193"/>
      <c r="G33" s="188"/>
      <c r="H33" s="193"/>
      <c r="I33" s="17">
        <v>17.600000000000001</v>
      </c>
      <c r="J33" s="18">
        <v>2400</v>
      </c>
      <c r="K33" s="9">
        <f t="shared" si="46"/>
        <v>136.36363636363635</v>
      </c>
      <c r="L33" s="17">
        <v>17.600000000000001</v>
      </c>
      <c r="M33" s="10">
        <f>AVERAGE(M28:M32)</f>
        <v>2165.0613766563952</v>
      </c>
      <c r="N33" s="9">
        <f>M33/L33</f>
        <v>123.01485094638608</v>
      </c>
      <c r="O33" s="11">
        <f>L33-I33</f>
        <v>0</v>
      </c>
      <c r="P33" s="12">
        <f>N33-K33</f>
        <v>-13.348785417250269</v>
      </c>
      <c r="Q33" s="189">
        <f>N33/K33</f>
        <v>0.90210890694016466</v>
      </c>
      <c r="R33" s="470"/>
      <c r="S33" s="24"/>
      <c r="T33" s="24"/>
      <c r="U33" s="188"/>
      <c r="V33" s="192"/>
      <c r="W33" s="188"/>
      <c r="X33" s="188"/>
      <c r="Y33" s="456"/>
      <c r="Z33" s="456"/>
      <c r="AA33" s="11">
        <f t="shared" si="2"/>
        <v>-234.93862334360483</v>
      </c>
      <c r="AB33" s="189">
        <f>M33/J33</f>
        <v>0.90210890694016466</v>
      </c>
      <c r="AC33" s="470"/>
    </row>
    <row r="34" spans="1:29" ht="15.75" customHeight="1">
      <c r="A34" s="485" t="s">
        <v>158</v>
      </c>
      <c r="B34" s="26" t="s">
        <v>24</v>
      </c>
      <c r="C34" s="487" t="s">
        <v>29</v>
      </c>
      <c r="D34" s="487"/>
      <c r="E34" s="26">
        <v>26.2</v>
      </c>
      <c r="F34" s="193">
        <v>4560</v>
      </c>
      <c r="G34" s="188">
        <f t="shared" ref="G34:G40" si="49">E34*F34</f>
        <v>119472</v>
      </c>
      <c r="H34" s="76" t="s">
        <v>57</v>
      </c>
      <c r="I34" s="191">
        <v>18</v>
      </c>
      <c r="J34" s="18">
        <v>2400</v>
      </c>
      <c r="K34" s="9">
        <f>J34/I34</f>
        <v>133.33333333333334</v>
      </c>
      <c r="L34" s="191">
        <v>18</v>
      </c>
      <c r="M34" s="10">
        <f>F34/V34*60</f>
        <v>2154.3307086614168</v>
      </c>
      <c r="N34" s="9">
        <f>M34/L34</f>
        <v>119.68503937007871</v>
      </c>
      <c r="O34" s="11">
        <f t="shared" ref="O34:O40" si="50">L34-I34</f>
        <v>0</v>
      </c>
      <c r="P34" s="12">
        <f t="shared" ref="P34:P50" si="51">N34-K34</f>
        <v>-13.648293963254631</v>
      </c>
      <c r="Q34" s="189">
        <f t="shared" ref="Q34:Q45" si="52">N34/K34</f>
        <v>0.89763779527559029</v>
      </c>
      <c r="R34" s="470">
        <f>Q41</f>
        <v>0.9019125428751924</v>
      </c>
      <c r="S34" s="24">
        <v>0.125</v>
      </c>
      <c r="T34" s="24">
        <v>0.21319444444444446</v>
      </c>
      <c r="U34" s="188"/>
      <c r="V34" s="192">
        <f t="shared" ref="V34:V40" si="53">(T34-S34)*24*60</f>
        <v>127.00000000000003</v>
      </c>
      <c r="W34" s="15"/>
      <c r="X34" s="15"/>
      <c r="Y34" s="456"/>
      <c r="Z34" s="456"/>
      <c r="AA34" s="11">
        <f t="shared" si="2"/>
        <v>-245.66929133858321</v>
      </c>
      <c r="AB34" s="189">
        <f>M34/J34</f>
        <v>0.89763779527559029</v>
      </c>
      <c r="AC34" s="470">
        <f>AB41</f>
        <v>0.9019125428751924</v>
      </c>
    </row>
    <row r="35" spans="1:29" ht="15.75" customHeight="1">
      <c r="A35" s="485" t="s">
        <v>158</v>
      </c>
      <c r="B35" s="26" t="s">
        <v>24</v>
      </c>
      <c r="C35" s="487" t="s">
        <v>31</v>
      </c>
      <c r="D35" s="487"/>
      <c r="E35" s="26">
        <v>24.45</v>
      </c>
      <c r="F35" s="193">
        <v>2048</v>
      </c>
      <c r="G35" s="188">
        <f t="shared" si="49"/>
        <v>50073.599999999999</v>
      </c>
      <c r="H35" s="76" t="s">
        <v>57</v>
      </c>
      <c r="I35" s="191">
        <v>20</v>
      </c>
      <c r="J35" s="18">
        <v>2400</v>
      </c>
      <c r="K35" s="9">
        <f t="shared" ref="K35:K49" si="54">J35/I35</f>
        <v>120</v>
      </c>
      <c r="L35" s="191">
        <v>20</v>
      </c>
      <c r="M35" s="10">
        <f t="shared" ref="M35:M40" si="55">F35/V35*60</f>
        <v>2155.7894736842104</v>
      </c>
      <c r="N35" s="9">
        <f t="shared" ref="N35:N40" si="56">M35/L35</f>
        <v>107.78947368421052</v>
      </c>
      <c r="O35" s="11">
        <f t="shared" si="50"/>
        <v>0</v>
      </c>
      <c r="P35" s="12">
        <f t="shared" si="51"/>
        <v>-12.21052631578948</v>
      </c>
      <c r="Q35" s="189">
        <f t="shared" si="52"/>
        <v>0.89824561403508763</v>
      </c>
      <c r="R35" s="470"/>
      <c r="S35" s="24">
        <v>0.21875000000000003</v>
      </c>
      <c r="T35" s="24">
        <v>0.25833333333333336</v>
      </c>
      <c r="U35" s="188">
        <f>(S35-T34)*24*60</f>
        <v>8.0000000000000107</v>
      </c>
      <c r="V35" s="192">
        <f t="shared" si="53"/>
        <v>57</v>
      </c>
      <c r="W35" s="188"/>
      <c r="X35" s="188"/>
      <c r="Y35" s="456"/>
      <c r="Z35" s="456"/>
      <c r="AA35" s="11">
        <f t="shared" si="2"/>
        <v>-244.21052631578959</v>
      </c>
      <c r="AB35" s="189">
        <f t="shared" ref="AB35:AB61" si="57">M35/J35</f>
        <v>0.89824561403508763</v>
      </c>
      <c r="AC35" s="470"/>
    </row>
    <row r="36" spans="1:29">
      <c r="A36" s="486" t="s">
        <v>158</v>
      </c>
      <c r="B36" s="26" t="s">
        <v>24</v>
      </c>
      <c r="C36" s="487" t="s">
        <v>32</v>
      </c>
      <c r="D36" s="487"/>
      <c r="E36" s="26">
        <v>26.2</v>
      </c>
      <c r="F36" s="193">
        <v>2146</v>
      </c>
      <c r="G36" s="188">
        <f t="shared" si="49"/>
        <v>56225.2</v>
      </c>
      <c r="H36" s="76" t="s">
        <v>57</v>
      </c>
      <c r="I36" s="191">
        <v>20</v>
      </c>
      <c r="J36" s="18">
        <v>2400</v>
      </c>
      <c r="K36" s="9">
        <f t="shared" si="54"/>
        <v>120</v>
      </c>
      <c r="L36" s="191">
        <v>20</v>
      </c>
      <c r="M36" s="10">
        <f t="shared" si="55"/>
        <v>2182.372881355931</v>
      </c>
      <c r="N36" s="9">
        <f t="shared" si="56"/>
        <v>109.11864406779655</v>
      </c>
      <c r="O36" s="11">
        <f t="shared" si="50"/>
        <v>0</v>
      </c>
      <c r="P36" s="12">
        <f t="shared" si="51"/>
        <v>-10.881355932203448</v>
      </c>
      <c r="Q36" s="189">
        <f t="shared" si="52"/>
        <v>0.90932203389830457</v>
      </c>
      <c r="R36" s="470"/>
      <c r="S36" s="24">
        <v>0.26250000000000001</v>
      </c>
      <c r="T36" s="24">
        <v>0.30347222222222225</v>
      </c>
      <c r="U36" s="188">
        <f t="shared" ref="U36:U40" si="58">(S36-T35)*24*60</f>
        <v>5.9999999999999787</v>
      </c>
      <c r="V36" s="192">
        <f t="shared" si="53"/>
        <v>59.000000000000028</v>
      </c>
      <c r="W36" s="188"/>
      <c r="X36" s="188"/>
      <c r="Y36" s="456"/>
      <c r="Z36" s="456"/>
      <c r="AA36" s="11">
        <f t="shared" si="2"/>
        <v>-217.62711864406901</v>
      </c>
      <c r="AB36" s="189">
        <f t="shared" si="57"/>
        <v>0.90932203389830457</v>
      </c>
      <c r="AC36" s="470"/>
    </row>
    <row r="37" spans="1:29">
      <c r="A37" s="486" t="s">
        <v>158</v>
      </c>
      <c r="B37" s="26" t="s">
        <v>24</v>
      </c>
      <c r="C37" s="487" t="s">
        <v>30</v>
      </c>
      <c r="D37" s="487"/>
      <c r="E37" s="26">
        <v>26.39</v>
      </c>
      <c r="F37" s="193">
        <v>4175</v>
      </c>
      <c r="G37" s="188">
        <f t="shared" si="49"/>
        <v>110178.25</v>
      </c>
      <c r="H37" s="76" t="s">
        <v>57</v>
      </c>
      <c r="I37" s="191">
        <v>19</v>
      </c>
      <c r="J37" s="18">
        <v>2400</v>
      </c>
      <c r="K37" s="9">
        <f t="shared" si="54"/>
        <v>126.31578947368421</v>
      </c>
      <c r="L37" s="191">
        <v>19</v>
      </c>
      <c r="M37" s="10">
        <f t="shared" si="55"/>
        <v>2159.4827586206898</v>
      </c>
      <c r="N37" s="9">
        <f t="shared" si="56"/>
        <v>113.65698729582577</v>
      </c>
      <c r="O37" s="11">
        <f t="shared" si="50"/>
        <v>0</v>
      </c>
      <c r="P37" s="12">
        <f t="shared" si="51"/>
        <v>-12.658802177858433</v>
      </c>
      <c r="Q37" s="189">
        <f t="shared" si="52"/>
        <v>0.89978448275862077</v>
      </c>
      <c r="R37" s="470"/>
      <c r="S37" s="24">
        <v>0.30694444444444446</v>
      </c>
      <c r="T37" s="24">
        <v>0.38750000000000001</v>
      </c>
      <c r="U37" s="188">
        <f t="shared" si="58"/>
        <v>4.9999999999999822</v>
      </c>
      <c r="V37" s="192">
        <f t="shared" si="53"/>
        <v>115.99999999999999</v>
      </c>
      <c r="W37" s="14"/>
      <c r="X37" s="14"/>
      <c r="Y37" s="456"/>
      <c r="Z37" s="456"/>
      <c r="AA37" s="11">
        <f t="shared" si="2"/>
        <v>-240.51724137931024</v>
      </c>
      <c r="AB37" s="189">
        <f t="shared" si="57"/>
        <v>0.89978448275862077</v>
      </c>
      <c r="AC37" s="470"/>
    </row>
    <row r="38" spans="1:29">
      <c r="A38" s="486" t="s">
        <v>158</v>
      </c>
      <c r="B38" s="26" t="s">
        <v>24</v>
      </c>
      <c r="C38" s="487" t="s">
        <v>27</v>
      </c>
      <c r="D38" s="487"/>
      <c r="E38" s="26">
        <v>20.52</v>
      </c>
      <c r="F38" s="193">
        <v>2658</v>
      </c>
      <c r="G38" s="188">
        <f t="shared" si="49"/>
        <v>54542.159999999996</v>
      </c>
      <c r="H38" s="76" t="s">
        <v>57</v>
      </c>
      <c r="I38" s="191">
        <v>18</v>
      </c>
      <c r="J38" s="18">
        <v>2400</v>
      </c>
      <c r="K38" s="9">
        <f t="shared" si="54"/>
        <v>133.33333333333334</v>
      </c>
      <c r="L38" s="191">
        <v>18</v>
      </c>
      <c r="M38" s="10">
        <f t="shared" si="55"/>
        <v>2155.1351351351359</v>
      </c>
      <c r="N38" s="9">
        <f t="shared" si="56"/>
        <v>119.72972972972977</v>
      </c>
      <c r="O38" s="11">
        <f t="shared" si="50"/>
        <v>0</v>
      </c>
      <c r="P38" s="12">
        <f t="shared" si="51"/>
        <v>-13.603603603603574</v>
      </c>
      <c r="Q38" s="189">
        <f t="shared" si="52"/>
        <v>0.89797297297297318</v>
      </c>
      <c r="R38" s="470"/>
      <c r="S38" s="24">
        <v>0.39097222222222222</v>
      </c>
      <c r="T38" s="24">
        <v>0.44236111111111109</v>
      </c>
      <c r="U38" s="188">
        <f t="shared" si="58"/>
        <v>4.9999999999999822</v>
      </c>
      <c r="V38" s="192">
        <f t="shared" si="53"/>
        <v>73.999999999999972</v>
      </c>
      <c r="W38" s="14"/>
      <c r="X38" s="14"/>
      <c r="Y38" s="456"/>
      <c r="Z38" s="456"/>
      <c r="AA38" s="11">
        <f t="shared" si="2"/>
        <v>-244.8648648648641</v>
      </c>
      <c r="AB38" s="189">
        <f t="shared" si="57"/>
        <v>0.89797297297297329</v>
      </c>
      <c r="AC38" s="470"/>
    </row>
    <row r="39" spans="1:29">
      <c r="A39" s="486" t="s">
        <v>158</v>
      </c>
      <c r="B39" s="26" t="s">
        <v>24</v>
      </c>
      <c r="C39" s="487" t="s">
        <v>55</v>
      </c>
      <c r="D39" s="487"/>
      <c r="E39" s="26">
        <v>26.2</v>
      </c>
      <c r="F39" s="193">
        <v>3176</v>
      </c>
      <c r="G39" s="188">
        <f t="shared" si="49"/>
        <v>83211.199999999997</v>
      </c>
      <c r="H39" s="76" t="s">
        <v>57</v>
      </c>
      <c r="I39" s="191">
        <v>19</v>
      </c>
      <c r="J39" s="18">
        <v>2400</v>
      </c>
      <c r="K39" s="9">
        <f t="shared" si="54"/>
        <v>126.31578947368421</v>
      </c>
      <c r="L39" s="191">
        <v>19</v>
      </c>
      <c r="M39" s="10">
        <f t="shared" si="55"/>
        <v>2165.4545454545455</v>
      </c>
      <c r="N39" s="9">
        <f t="shared" si="56"/>
        <v>113.97129186602871</v>
      </c>
      <c r="O39" s="11">
        <f t="shared" si="50"/>
        <v>0</v>
      </c>
      <c r="P39" s="12">
        <f t="shared" si="51"/>
        <v>-12.344497607655498</v>
      </c>
      <c r="Q39" s="189">
        <f t="shared" si="52"/>
        <v>0.90227272727272734</v>
      </c>
      <c r="R39" s="470"/>
      <c r="S39" s="24">
        <v>0.44722222222222219</v>
      </c>
      <c r="T39" s="24">
        <v>0.5083333333333333</v>
      </c>
      <c r="U39" s="188">
        <f t="shared" si="58"/>
        <v>6.9999999999999751</v>
      </c>
      <c r="V39" s="192">
        <f t="shared" si="53"/>
        <v>88</v>
      </c>
      <c r="W39" s="14"/>
      <c r="X39" s="14"/>
      <c r="Y39" s="456"/>
      <c r="Z39" s="456"/>
      <c r="AA39" s="11">
        <f t="shared" si="2"/>
        <v>-234.5454545454545</v>
      </c>
      <c r="AB39" s="189">
        <f t="shared" si="57"/>
        <v>0.90227272727272734</v>
      </c>
      <c r="AC39" s="470"/>
    </row>
    <row r="40" spans="1:29">
      <c r="A40" s="486" t="s">
        <v>158</v>
      </c>
      <c r="B40" s="26" t="s">
        <v>24</v>
      </c>
      <c r="C40" s="487" t="s">
        <v>84</v>
      </c>
      <c r="D40" s="487"/>
      <c r="E40" s="26">
        <v>24.25</v>
      </c>
      <c r="F40" s="193">
        <v>1671</v>
      </c>
      <c r="G40" s="188">
        <f t="shared" si="49"/>
        <v>40521.75</v>
      </c>
      <c r="H40" s="76" t="s">
        <v>57</v>
      </c>
      <c r="I40" s="191">
        <v>18</v>
      </c>
      <c r="J40" s="18">
        <v>2400</v>
      </c>
      <c r="K40" s="9">
        <f t="shared" si="54"/>
        <v>133.33333333333334</v>
      </c>
      <c r="L40" s="191">
        <v>18</v>
      </c>
      <c r="M40" s="10">
        <f t="shared" si="55"/>
        <v>2179.5652173913045</v>
      </c>
      <c r="N40" s="9">
        <f t="shared" si="56"/>
        <v>121.08695652173914</v>
      </c>
      <c r="O40" s="11">
        <f t="shared" si="50"/>
        <v>0</v>
      </c>
      <c r="P40" s="12">
        <f t="shared" si="51"/>
        <v>-12.246376811594203</v>
      </c>
      <c r="Q40" s="189">
        <f t="shared" si="52"/>
        <v>0.90815217391304348</v>
      </c>
      <c r="R40" s="470"/>
      <c r="S40" s="24">
        <v>0.54791666666666661</v>
      </c>
      <c r="T40" s="24">
        <v>0.57986111111111105</v>
      </c>
      <c r="U40" s="188">
        <f t="shared" si="58"/>
        <v>56.999999999999957</v>
      </c>
      <c r="V40" s="192">
        <f t="shared" si="53"/>
        <v>46</v>
      </c>
      <c r="W40" s="14"/>
      <c r="X40" s="14"/>
      <c r="Y40" s="473"/>
      <c r="Z40" s="474"/>
      <c r="AA40" s="11">
        <f t="shared" si="2"/>
        <v>-220.43478260869551</v>
      </c>
      <c r="AB40" s="189">
        <f t="shared" si="57"/>
        <v>0.90815217391304348</v>
      </c>
      <c r="AC40" s="470"/>
    </row>
    <row r="41" spans="1:29">
      <c r="A41" s="486" t="s">
        <v>158</v>
      </c>
      <c r="B41" s="16" t="s">
        <v>81</v>
      </c>
      <c r="C41" s="466"/>
      <c r="D41" s="466"/>
      <c r="E41" s="187"/>
      <c r="F41" s="16"/>
      <c r="G41" s="9"/>
      <c r="H41" s="193"/>
      <c r="I41" s="17">
        <v>18.857142857142858</v>
      </c>
      <c r="J41" s="18">
        <v>2400</v>
      </c>
      <c r="K41" s="9">
        <f t="shared" si="54"/>
        <v>127.27272727272727</v>
      </c>
      <c r="L41" s="17">
        <v>18.857142857142858</v>
      </c>
      <c r="M41" s="10">
        <f>AVERAGE(M34:M40)</f>
        <v>2164.5901029004617</v>
      </c>
      <c r="N41" s="9">
        <f>M41/L41</f>
        <v>114.7888690932063</v>
      </c>
      <c r="O41" s="11">
        <f>L41-I41</f>
        <v>0</v>
      </c>
      <c r="P41" s="12">
        <f t="shared" si="51"/>
        <v>-12.483858179520965</v>
      </c>
      <c r="Q41" s="189">
        <f t="shared" si="52"/>
        <v>0.9019125428751924</v>
      </c>
      <c r="R41" s="470"/>
      <c r="S41" s="24"/>
      <c r="T41" s="24"/>
      <c r="U41" s="9"/>
      <c r="V41" s="192"/>
      <c r="W41" s="9"/>
      <c r="X41" s="9"/>
      <c r="Y41" s="456"/>
      <c r="Z41" s="456"/>
      <c r="AA41" s="11">
        <f t="shared" si="2"/>
        <v>-235.40989709953828</v>
      </c>
      <c r="AB41" s="189">
        <f t="shared" si="57"/>
        <v>0.9019125428751924</v>
      </c>
      <c r="AC41" s="470"/>
    </row>
    <row r="42" spans="1:29" ht="15.75" customHeight="1">
      <c r="A42" s="488" t="s">
        <v>162</v>
      </c>
      <c r="B42" s="26" t="s">
        <v>33</v>
      </c>
      <c r="C42" s="491" t="s">
        <v>34</v>
      </c>
      <c r="D42" s="492"/>
      <c r="E42" s="26">
        <v>27.17</v>
      </c>
      <c r="F42" s="193">
        <v>2800</v>
      </c>
      <c r="G42" s="188">
        <f t="shared" ref="G42:G49" si="59">E42*F42</f>
        <v>76076</v>
      </c>
      <c r="H42" s="76">
        <v>2</v>
      </c>
      <c r="I42" s="191">
        <v>10</v>
      </c>
      <c r="J42" s="18">
        <v>3000</v>
      </c>
      <c r="K42" s="9">
        <f t="shared" si="54"/>
        <v>300</v>
      </c>
      <c r="L42" s="191">
        <v>10</v>
      </c>
      <c r="M42" s="10">
        <f t="shared" ref="M42:M43" si="60">F42/V42*60</f>
        <v>2709.6774193548376</v>
      </c>
      <c r="N42" s="10">
        <f t="shared" ref="N42:N50" si="61">M42/L42</f>
        <v>270.96774193548379</v>
      </c>
      <c r="O42" s="11">
        <f t="shared" ref="O42:O50" si="62">L42-I42</f>
        <v>0</v>
      </c>
      <c r="P42" s="12">
        <f t="shared" si="51"/>
        <v>-29.032258064516213</v>
      </c>
      <c r="Q42" s="189">
        <f t="shared" si="52"/>
        <v>0.90322580645161266</v>
      </c>
      <c r="R42" s="493">
        <f>Q50</f>
        <v>0.90341643159632612</v>
      </c>
      <c r="S42" s="24">
        <v>0.16666666666666666</v>
      </c>
      <c r="T42" s="24">
        <v>0.20972222222222223</v>
      </c>
      <c r="U42" s="15"/>
      <c r="V42" s="192">
        <f t="shared" ref="V42:V49" si="63">(T42-S42)*24*60</f>
        <v>62.000000000000021</v>
      </c>
      <c r="W42" s="188"/>
      <c r="X42" s="188"/>
      <c r="Y42" s="473"/>
      <c r="Z42" s="474"/>
      <c r="AA42" s="11">
        <f t="shared" si="2"/>
        <v>-290.32258064516236</v>
      </c>
      <c r="AB42" s="189">
        <f t="shared" si="57"/>
        <v>0.90322580645161255</v>
      </c>
      <c r="AC42" s="493">
        <f>AB50</f>
        <v>0.90341643159632612</v>
      </c>
    </row>
    <row r="43" spans="1:29" ht="15.75" customHeight="1">
      <c r="A43" s="489" t="s">
        <v>9</v>
      </c>
      <c r="B43" s="26" t="s">
        <v>33</v>
      </c>
      <c r="C43" s="491" t="s">
        <v>35</v>
      </c>
      <c r="D43" s="492"/>
      <c r="E43" s="26">
        <v>21.13</v>
      </c>
      <c r="F43" s="193">
        <v>3918</v>
      </c>
      <c r="G43" s="188">
        <f t="shared" si="59"/>
        <v>82787.34</v>
      </c>
      <c r="H43" s="76" t="s">
        <v>57</v>
      </c>
      <c r="I43" s="191">
        <v>10</v>
      </c>
      <c r="J43" s="18">
        <v>3000</v>
      </c>
      <c r="K43" s="9">
        <f t="shared" si="54"/>
        <v>300</v>
      </c>
      <c r="L43" s="191">
        <v>10</v>
      </c>
      <c r="M43" s="10">
        <f t="shared" si="60"/>
        <v>2702.0689655172409</v>
      </c>
      <c r="N43" s="10">
        <f t="shared" si="61"/>
        <v>270.20689655172407</v>
      </c>
      <c r="O43" s="11">
        <f t="shared" si="62"/>
        <v>0</v>
      </c>
      <c r="P43" s="12">
        <f t="shared" si="51"/>
        <v>-29.793103448275929</v>
      </c>
      <c r="Q43" s="189">
        <f t="shared" si="52"/>
        <v>0.90068965517241362</v>
      </c>
      <c r="R43" s="494"/>
      <c r="S43" s="24">
        <v>0.22916666666666669</v>
      </c>
      <c r="T43" s="24">
        <v>0.28958333333333336</v>
      </c>
      <c r="U43" s="188">
        <f>(S43-T42)*24*60</f>
        <v>28.000000000000021</v>
      </c>
      <c r="V43" s="192">
        <f t="shared" si="63"/>
        <v>87.000000000000014</v>
      </c>
      <c r="W43" s="14"/>
      <c r="X43" s="14"/>
      <c r="Y43" s="473"/>
      <c r="Z43" s="474"/>
      <c r="AA43" s="11">
        <f t="shared" si="2"/>
        <v>-297.93103448275906</v>
      </c>
      <c r="AB43" s="189">
        <f t="shared" si="57"/>
        <v>0.90068965517241362</v>
      </c>
      <c r="AC43" s="494"/>
    </row>
    <row r="44" spans="1:29" ht="15.75" customHeight="1">
      <c r="A44" s="489" t="s">
        <v>9</v>
      </c>
      <c r="B44" s="26" t="s">
        <v>33</v>
      </c>
      <c r="C44" s="491" t="s">
        <v>43</v>
      </c>
      <c r="D44" s="492"/>
      <c r="E44" s="26">
        <v>35.119999999999997</v>
      </c>
      <c r="F44" s="193">
        <v>3906</v>
      </c>
      <c r="G44" s="188">
        <f t="shared" si="59"/>
        <v>137178.72</v>
      </c>
      <c r="H44" s="76" t="s">
        <v>57</v>
      </c>
      <c r="I44" s="191">
        <v>10</v>
      </c>
      <c r="J44" s="18">
        <v>3000</v>
      </c>
      <c r="K44" s="9">
        <f t="shared" si="54"/>
        <v>300</v>
      </c>
      <c r="L44" s="191">
        <v>10</v>
      </c>
      <c r="M44" s="10">
        <f>F44/V44*60</f>
        <v>2693.7931034482754</v>
      </c>
      <c r="N44" s="10">
        <f t="shared" si="61"/>
        <v>269.37931034482756</v>
      </c>
      <c r="O44" s="11">
        <f t="shared" si="62"/>
        <v>0</v>
      </c>
      <c r="P44" s="12">
        <f t="shared" si="51"/>
        <v>-30.620689655172441</v>
      </c>
      <c r="Q44" s="189">
        <f t="shared" si="52"/>
        <v>0.89793103448275857</v>
      </c>
      <c r="R44" s="494"/>
      <c r="S44" s="24">
        <v>0.29305555555555557</v>
      </c>
      <c r="T44" s="24">
        <v>0.35347222222222224</v>
      </c>
      <c r="U44" s="188">
        <f t="shared" ref="U44:U49" si="64">(S44-T43)*24*60</f>
        <v>4.9999999999999822</v>
      </c>
      <c r="V44" s="192">
        <f t="shared" si="63"/>
        <v>87.000000000000014</v>
      </c>
      <c r="W44" s="14"/>
      <c r="X44" s="14"/>
      <c r="Y44" s="473"/>
      <c r="Z44" s="474"/>
      <c r="AA44" s="11">
        <f t="shared" si="2"/>
        <v>-306.20689655172464</v>
      </c>
      <c r="AB44" s="189">
        <f t="shared" si="57"/>
        <v>0.89793103448275846</v>
      </c>
      <c r="AC44" s="494"/>
    </row>
    <row r="45" spans="1:29" ht="15.75" customHeight="1">
      <c r="A45" s="489" t="s">
        <v>9</v>
      </c>
      <c r="B45" s="26" t="s">
        <v>33</v>
      </c>
      <c r="C45" s="491" t="s">
        <v>67</v>
      </c>
      <c r="D45" s="492"/>
      <c r="E45" s="26">
        <v>40.18</v>
      </c>
      <c r="F45" s="193">
        <v>2385</v>
      </c>
      <c r="G45" s="188">
        <f t="shared" si="59"/>
        <v>95829.3</v>
      </c>
      <c r="H45" s="76" t="s">
        <v>57</v>
      </c>
      <c r="I45" s="191">
        <v>10</v>
      </c>
      <c r="J45" s="18">
        <v>3000</v>
      </c>
      <c r="K45" s="9">
        <f t="shared" si="54"/>
        <v>300</v>
      </c>
      <c r="L45" s="191">
        <v>10</v>
      </c>
      <c r="M45" s="10">
        <f t="shared" ref="M45:M49" si="65">F45/V45*60</f>
        <v>2700.0000000000014</v>
      </c>
      <c r="N45" s="10">
        <f t="shared" si="61"/>
        <v>270.00000000000011</v>
      </c>
      <c r="O45" s="11">
        <f t="shared" si="62"/>
        <v>0</v>
      </c>
      <c r="P45" s="12">
        <f t="shared" si="51"/>
        <v>-29.999999999999886</v>
      </c>
      <c r="Q45" s="189">
        <f t="shared" si="52"/>
        <v>0.90000000000000036</v>
      </c>
      <c r="R45" s="494"/>
      <c r="S45" s="24">
        <v>0.35694444444444445</v>
      </c>
      <c r="T45" s="24">
        <v>0.39374999999999999</v>
      </c>
      <c r="U45" s="188">
        <f t="shared" si="64"/>
        <v>4.9999999999999822</v>
      </c>
      <c r="V45" s="192">
        <f t="shared" si="63"/>
        <v>52.999999999999972</v>
      </c>
      <c r="W45" s="14"/>
      <c r="X45" s="14"/>
      <c r="Y45" s="473"/>
      <c r="Z45" s="474"/>
      <c r="AA45" s="11">
        <f t="shared" si="2"/>
        <v>-299.99999999999864</v>
      </c>
      <c r="AB45" s="189">
        <f t="shared" si="57"/>
        <v>0.90000000000000047</v>
      </c>
      <c r="AC45" s="494"/>
    </row>
    <row r="46" spans="1:29" ht="15.75" customHeight="1">
      <c r="A46" s="489" t="s">
        <v>9</v>
      </c>
      <c r="B46" s="26" t="s">
        <v>33</v>
      </c>
      <c r="C46" s="491" t="s">
        <v>73</v>
      </c>
      <c r="D46" s="492"/>
      <c r="E46" s="26">
        <v>28.5</v>
      </c>
      <c r="F46" s="193">
        <v>1636</v>
      </c>
      <c r="G46" s="188">
        <f t="shared" si="59"/>
        <v>46626</v>
      </c>
      <c r="H46" s="76" t="s">
        <v>57</v>
      </c>
      <c r="I46" s="191">
        <v>10</v>
      </c>
      <c r="J46" s="18">
        <v>3000</v>
      </c>
      <c r="K46" s="9">
        <f t="shared" si="54"/>
        <v>300</v>
      </c>
      <c r="L46" s="191">
        <v>10</v>
      </c>
      <c r="M46" s="10">
        <f t="shared" si="65"/>
        <v>2726.6666666666642</v>
      </c>
      <c r="N46" s="10">
        <f t="shared" si="61"/>
        <v>272.6666666666664</v>
      </c>
      <c r="O46" s="11">
        <f t="shared" si="62"/>
        <v>0</v>
      </c>
      <c r="P46" s="12">
        <f t="shared" si="51"/>
        <v>-27.333333333333599</v>
      </c>
      <c r="Q46" s="189">
        <f>N46/K46</f>
        <v>0.90888888888888797</v>
      </c>
      <c r="R46" s="494"/>
      <c r="S46" s="24">
        <v>0.39791666666666664</v>
      </c>
      <c r="T46" s="24">
        <v>0.42291666666666666</v>
      </c>
      <c r="U46" s="188">
        <f t="shared" si="64"/>
        <v>5.9999999999999787</v>
      </c>
      <c r="V46" s="192">
        <f t="shared" si="63"/>
        <v>36.000000000000028</v>
      </c>
      <c r="W46" s="14"/>
      <c r="X46" s="14"/>
      <c r="Y46" s="473"/>
      <c r="Z46" s="474"/>
      <c r="AA46" s="11">
        <f t="shared" si="2"/>
        <v>-273.33333333333576</v>
      </c>
      <c r="AB46" s="189">
        <f t="shared" si="57"/>
        <v>0.90888888888888808</v>
      </c>
      <c r="AC46" s="494"/>
    </row>
    <row r="47" spans="1:29" ht="15.75" customHeight="1">
      <c r="A47" s="489" t="s">
        <v>9</v>
      </c>
      <c r="B47" s="26" t="s">
        <v>33</v>
      </c>
      <c r="C47" s="491" t="s">
        <v>511</v>
      </c>
      <c r="D47" s="492"/>
      <c r="E47" s="26">
        <v>35.869999999999997</v>
      </c>
      <c r="F47" s="193">
        <v>2875</v>
      </c>
      <c r="G47" s="188">
        <f t="shared" si="59"/>
        <v>103126.24999999999</v>
      </c>
      <c r="H47" s="76" t="s">
        <v>57</v>
      </c>
      <c r="I47" s="191">
        <v>10</v>
      </c>
      <c r="J47" s="18">
        <v>3000</v>
      </c>
      <c r="K47" s="9">
        <f t="shared" si="54"/>
        <v>300</v>
      </c>
      <c r="L47" s="191">
        <v>10</v>
      </c>
      <c r="M47" s="10">
        <f t="shared" si="65"/>
        <v>2695.3124999999995</v>
      </c>
      <c r="N47" s="10">
        <f t="shared" si="61"/>
        <v>269.53124999999994</v>
      </c>
      <c r="O47" s="11">
        <f t="shared" si="62"/>
        <v>0</v>
      </c>
      <c r="P47" s="12">
        <f t="shared" si="51"/>
        <v>-30.468750000000057</v>
      </c>
      <c r="Q47" s="189">
        <f t="shared" ref="Q47:Q50" si="66">N47/K47</f>
        <v>0.89843749999999978</v>
      </c>
      <c r="R47" s="494"/>
      <c r="S47" s="24">
        <v>0.42638888888888887</v>
      </c>
      <c r="T47" s="24">
        <v>0.47083333333333333</v>
      </c>
      <c r="U47" s="188">
        <f t="shared" si="64"/>
        <v>4.9999999999999822</v>
      </c>
      <c r="V47" s="192">
        <f t="shared" si="63"/>
        <v>64.000000000000014</v>
      </c>
      <c r="W47" s="14"/>
      <c r="X47" s="14"/>
      <c r="Y47" s="473"/>
      <c r="Z47" s="474"/>
      <c r="AA47" s="11">
        <f t="shared" si="2"/>
        <v>-304.68750000000045</v>
      </c>
      <c r="AB47" s="189">
        <f t="shared" si="57"/>
        <v>0.89843749999999989</v>
      </c>
      <c r="AC47" s="494"/>
    </row>
    <row r="48" spans="1:29" ht="15.75" customHeight="1">
      <c r="A48" s="489" t="s">
        <v>9</v>
      </c>
      <c r="B48" s="26" t="s">
        <v>33</v>
      </c>
      <c r="C48" s="491" t="s">
        <v>37</v>
      </c>
      <c r="D48" s="492"/>
      <c r="E48" s="26">
        <v>34.36</v>
      </c>
      <c r="F48" s="193">
        <v>776</v>
      </c>
      <c r="G48" s="188">
        <f t="shared" si="59"/>
        <v>26663.360000000001</v>
      </c>
      <c r="H48" s="76" t="s">
        <v>57</v>
      </c>
      <c r="I48" s="191">
        <v>10</v>
      </c>
      <c r="J48" s="18">
        <v>3000</v>
      </c>
      <c r="K48" s="9">
        <f t="shared" si="54"/>
        <v>300</v>
      </c>
      <c r="L48" s="191">
        <v>10</v>
      </c>
      <c r="M48" s="10">
        <f t="shared" si="65"/>
        <v>2738.8235294117612</v>
      </c>
      <c r="N48" s="10">
        <f t="shared" si="61"/>
        <v>273.88235294117612</v>
      </c>
      <c r="O48" s="11">
        <f t="shared" si="62"/>
        <v>0</v>
      </c>
      <c r="P48" s="12">
        <f t="shared" si="51"/>
        <v>-26.117647058823877</v>
      </c>
      <c r="Q48" s="189">
        <f t="shared" si="66"/>
        <v>0.91294117647058703</v>
      </c>
      <c r="R48" s="494"/>
      <c r="S48" s="24">
        <v>0.47569444444444442</v>
      </c>
      <c r="T48" s="24">
        <v>0.48749999999999999</v>
      </c>
      <c r="U48" s="188">
        <f t="shared" si="64"/>
        <v>6.9999999999999751</v>
      </c>
      <c r="V48" s="192">
        <f t="shared" si="63"/>
        <v>17.000000000000021</v>
      </c>
      <c r="W48" s="14"/>
      <c r="X48" s="14"/>
      <c r="Y48" s="473"/>
      <c r="Z48" s="474"/>
      <c r="AA48" s="11">
        <f t="shared" si="2"/>
        <v>-261.17647058823877</v>
      </c>
      <c r="AB48" s="189">
        <f t="shared" si="57"/>
        <v>0.91294117647058703</v>
      </c>
      <c r="AC48" s="494"/>
    </row>
    <row r="49" spans="1:29" ht="15.75" customHeight="1">
      <c r="A49" s="489" t="s">
        <v>9</v>
      </c>
      <c r="B49" s="26" t="s">
        <v>33</v>
      </c>
      <c r="C49" s="491" t="s">
        <v>34</v>
      </c>
      <c r="D49" s="492"/>
      <c r="E49" s="26">
        <v>27.17</v>
      </c>
      <c r="F49" s="193">
        <v>2082</v>
      </c>
      <c r="G49" s="188">
        <f t="shared" si="59"/>
        <v>56567.94</v>
      </c>
      <c r="H49" s="76" t="s">
        <v>57</v>
      </c>
      <c r="I49" s="191">
        <v>10</v>
      </c>
      <c r="J49" s="18">
        <v>3000</v>
      </c>
      <c r="K49" s="9">
        <f t="shared" si="54"/>
        <v>300</v>
      </c>
      <c r="L49" s="191">
        <v>10</v>
      </c>
      <c r="M49" s="10">
        <f t="shared" si="65"/>
        <v>2715.6521739130435</v>
      </c>
      <c r="N49" s="10">
        <f t="shared" si="61"/>
        <v>271.56521739130437</v>
      </c>
      <c r="O49" s="11">
        <f t="shared" si="62"/>
        <v>0</v>
      </c>
      <c r="P49" s="12">
        <f t="shared" si="51"/>
        <v>-28.434782608695627</v>
      </c>
      <c r="Q49" s="189">
        <f t="shared" si="66"/>
        <v>0.90521739130434786</v>
      </c>
      <c r="R49" s="494"/>
      <c r="S49" s="24">
        <v>0.52916666666666667</v>
      </c>
      <c r="T49" s="24">
        <v>0.56111111111111112</v>
      </c>
      <c r="U49" s="188">
        <f t="shared" si="64"/>
        <v>60.000000000000028</v>
      </c>
      <c r="V49" s="192">
        <f t="shared" si="63"/>
        <v>46</v>
      </c>
      <c r="W49" s="14"/>
      <c r="X49" s="14"/>
      <c r="Y49" s="473"/>
      <c r="Z49" s="474"/>
      <c r="AA49" s="11">
        <f t="shared" si="2"/>
        <v>-284.3478260869565</v>
      </c>
      <c r="AB49" s="189">
        <f t="shared" si="57"/>
        <v>0.90521739130434786</v>
      </c>
      <c r="AC49" s="494"/>
    </row>
    <row r="50" spans="1:29" ht="15.75" customHeight="1">
      <c r="A50" s="490" t="s">
        <v>9</v>
      </c>
      <c r="B50" s="26" t="s">
        <v>81</v>
      </c>
      <c r="C50" s="497"/>
      <c r="D50" s="498"/>
      <c r="E50" s="190"/>
      <c r="F50" s="193"/>
      <c r="G50" s="188"/>
      <c r="H50" s="193"/>
      <c r="I50" s="17">
        <v>10</v>
      </c>
      <c r="J50" s="18">
        <v>3000</v>
      </c>
      <c r="K50" s="9">
        <f>J50/I50</f>
        <v>300</v>
      </c>
      <c r="L50" s="17">
        <v>10</v>
      </c>
      <c r="M50" s="10">
        <f>AVERAGE(M42:M49)</f>
        <v>2710.2492947889782</v>
      </c>
      <c r="N50" s="9">
        <f t="shared" si="61"/>
        <v>271.02492947889783</v>
      </c>
      <c r="O50" s="11">
        <f t="shared" si="62"/>
        <v>0</v>
      </c>
      <c r="P50" s="12">
        <f t="shared" si="51"/>
        <v>-28.975070521102168</v>
      </c>
      <c r="Q50" s="189">
        <f t="shared" si="66"/>
        <v>0.90341643159632612</v>
      </c>
      <c r="R50" s="495"/>
      <c r="S50" s="24"/>
      <c r="T50" s="24"/>
      <c r="U50" s="188"/>
      <c r="V50" s="192"/>
      <c r="W50" s="14"/>
      <c r="X50" s="14"/>
      <c r="Y50" s="473"/>
      <c r="Z50" s="474"/>
      <c r="AA50" s="11">
        <f t="shared" si="2"/>
        <v>-289.7507052110218</v>
      </c>
      <c r="AB50" s="189">
        <f t="shared" si="57"/>
        <v>0.90341643159632612</v>
      </c>
      <c r="AC50" s="495"/>
    </row>
    <row r="51" spans="1:29" ht="15.75" customHeight="1">
      <c r="A51" s="461" t="s">
        <v>125</v>
      </c>
      <c r="B51" s="26" t="s">
        <v>15</v>
      </c>
      <c r="C51" s="487" t="s">
        <v>20</v>
      </c>
      <c r="D51" s="487"/>
      <c r="E51" s="26">
        <v>46</v>
      </c>
      <c r="F51" s="27">
        <v>2410</v>
      </c>
      <c r="G51" s="188">
        <f t="shared" ref="G51:G54" si="67">E51*F51</f>
        <v>110860</v>
      </c>
      <c r="H51" s="76" t="s">
        <v>57</v>
      </c>
      <c r="I51" s="191">
        <v>17</v>
      </c>
      <c r="J51" s="18">
        <v>1500</v>
      </c>
      <c r="K51" s="9">
        <f t="shared" ref="K51:K54" si="68">J51/I51</f>
        <v>88.235294117647058</v>
      </c>
      <c r="L51" s="191">
        <v>17</v>
      </c>
      <c r="M51" s="10">
        <f t="shared" ref="M51:M54" si="69">F51/V51*60</f>
        <v>1351.4018691588783</v>
      </c>
      <c r="N51" s="10">
        <f>M51/L51</f>
        <v>79.494227597581073</v>
      </c>
      <c r="O51" s="11">
        <f>L51-I51</f>
        <v>0</v>
      </c>
      <c r="P51" s="12">
        <f>N51-K51</f>
        <v>-8.7410665200659849</v>
      </c>
      <c r="Q51" s="189">
        <f>N51/K51</f>
        <v>0.90093457943925215</v>
      </c>
      <c r="R51" s="470">
        <f>Q55</f>
        <v>0.90063333571720672</v>
      </c>
      <c r="S51" s="24">
        <v>0.29305555555555557</v>
      </c>
      <c r="T51" s="24">
        <v>0.36736111111111114</v>
      </c>
      <c r="U51" s="15"/>
      <c r="V51" s="192">
        <f t="shared" ref="V51:V54" si="70">(T51-S51)*24*60</f>
        <v>107.00000000000001</v>
      </c>
      <c r="W51" s="15"/>
      <c r="X51" s="15"/>
      <c r="Y51" s="456"/>
      <c r="Z51" s="456"/>
      <c r="AA51" s="11">
        <f t="shared" si="2"/>
        <v>-148.5981308411217</v>
      </c>
      <c r="AB51" s="189">
        <f t="shared" si="57"/>
        <v>0.90093457943925215</v>
      </c>
      <c r="AC51" s="470">
        <f>AB55</f>
        <v>0.90063333571720672</v>
      </c>
    </row>
    <row r="52" spans="1:29" ht="15.75" customHeight="1">
      <c r="A52" s="461" t="s">
        <v>10</v>
      </c>
      <c r="B52" s="26" t="s">
        <v>15</v>
      </c>
      <c r="C52" s="487" t="s">
        <v>75</v>
      </c>
      <c r="D52" s="487"/>
      <c r="E52" s="26">
        <v>46</v>
      </c>
      <c r="F52" s="27">
        <v>3129</v>
      </c>
      <c r="G52" s="188">
        <f t="shared" si="67"/>
        <v>143934</v>
      </c>
      <c r="H52" s="76" t="s">
        <v>57</v>
      </c>
      <c r="I52" s="191">
        <v>18</v>
      </c>
      <c r="J52" s="18">
        <v>1500</v>
      </c>
      <c r="K52" s="9">
        <f t="shared" si="68"/>
        <v>83.333333333333329</v>
      </c>
      <c r="L52" s="191">
        <v>18</v>
      </c>
      <c r="M52" s="10">
        <f t="shared" si="69"/>
        <v>1350.6474820143885</v>
      </c>
      <c r="N52" s="10">
        <f t="shared" ref="N52:N54" si="71">M52/L52</f>
        <v>75.035971223021591</v>
      </c>
      <c r="O52" s="11">
        <f t="shared" ref="O52:O54" si="72">L52-I52</f>
        <v>0</v>
      </c>
      <c r="P52" s="12">
        <f t="shared" ref="P52:P54" si="73">N52-K52</f>
        <v>-8.2973621103117381</v>
      </c>
      <c r="Q52" s="189">
        <f t="shared" ref="Q52:Q54" si="74">N52/K52</f>
        <v>0.90043165467625919</v>
      </c>
      <c r="R52" s="470"/>
      <c r="S52" s="24">
        <v>0.37083333333333335</v>
      </c>
      <c r="T52" s="24">
        <v>0.46736111111111112</v>
      </c>
      <c r="U52" s="188">
        <f t="shared" ref="U52:U54" si="75">(S52-T51)*24*60</f>
        <v>4.9999999999999822</v>
      </c>
      <c r="V52" s="192">
        <f t="shared" si="70"/>
        <v>139</v>
      </c>
      <c r="W52" s="14"/>
      <c r="X52" s="14"/>
      <c r="Y52" s="456"/>
      <c r="Z52" s="456"/>
      <c r="AA52" s="11">
        <f t="shared" si="2"/>
        <v>-149.35251798561148</v>
      </c>
      <c r="AB52" s="189">
        <f t="shared" si="57"/>
        <v>0.90043165467625896</v>
      </c>
      <c r="AC52" s="470"/>
    </row>
    <row r="53" spans="1:29" ht="15.75" customHeight="1">
      <c r="A53" s="461" t="s">
        <v>10</v>
      </c>
      <c r="B53" s="26" t="s">
        <v>13</v>
      </c>
      <c r="C53" s="491" t="s">
        <v>65</v>
      </c>
      <c r="D53" s="492"/>
      <c r="E53" s="26">
        <v>55.56</v>
      </c>
      <c r="F53" s="27">
        <v>1764</v>
      </c>
      <c r="G53" s="188">
        <f t="shared" si="67"/>
        <v>98007.840000000011</v>
      </c>
      <c r="H53" s="76" t="s">
        <v>57</v>
      </c>
      <c r="I53" s="191">
        <v>17</v>
      </c>
      <c r="J53" s="18">
        <v>1500</v>
      </c>
      <c r="K53" s="9">
        <f t="shared" si="68"/>
        <v>88.235294117647058</v>
      </c>
      <c r="L53" s="191">
        <v>17</v>
      </c>
      <c r="M53" s="10">
        <f t="shared" si="69"/>
        <v>1356.9230769230762</v>
      </c>
      <c r="N53" s="10">
        <f t="shared" si="71"/>
        <v>79.819004524886836</v>
      </c>
      <c r="O53" s="11">
        <f t="shared" si="72"/>
        <v>0</v>
      </c>
      <c r="P53" s="12">
        <f t="shared" si="73"/>
        <v>-8.4162895927602221</v>
      </c>
      <c r="Q53" s="189">
        <f t="shared" si="74"/>
        <v>0.90461538461538415</v>
      </c>
      <c r="R53" s="470"/>
      <c r="S53" s="24">
        <v>0.70833333333333337</v>
      </c>
      <c r="T53" s="24">
        <v>0.76250000000000007</v>
      </c>
      <c r="U53" s="188">
        <f t="shared" si="75"/>
        <v>347.00000000000006</v>
      </c>
      <c r="V53" s="192">
        <f t="shared" si="70"/>
        <v>78.000000000000043</v>
      </c>
      <c r="W53" s="14"/>
      <c r="X53" s="14"/>
      <c r="Y53" s="185"/>
      <c r="Z53" s="186"/>
      <c r="AA53" s="11">
        <f t="shared" si="2"/>
        <v>-143.07692307692378</v>
      </c>
      <c r="AB53" s="189">
        <f t="shared" si="57"/>
        <v>0.90461538461538415</v>
      </c>
      <c r="AC53" s="470"/>
    </row>
    <row r="54" spans="1:29" ht="15.75" customHeight="1">
      <c r="A54" s="461" t="s">
        <v>10</v>
      </c>
      <c r="B54" s="26" t="s">
        <v>13</v>
      </c>
      <c r="C54" s="183" t="s">
        <v>64</v>
      </c>
      <c r="D54" s="184"/>
      <c r="E54" s="26">
        <v>55.32</v>
      </c>
      <c r="F54" s="27">
        <v>1300</v>
      </c>
      <c r="G54" s="188">
        <f t="shared" si="67"/>
        <v>71916</v>
      </c>
      <c r="H54" s="76" t="s">
        <v>57</v>
      </c>
      <c r="I54" s="191">
        <v>15</v>
      </c>
      <c r="J54" s="18">
        <v>1500</v>
      </c>
      <c r="K54" s="9">
        <f t="shared" si="68"/>
        <v>100</v>
      </c>
      <c r="L54" s="191">
        <v>15</v>
      </c>
      <c r="M54" s="10">
        <f t="shared" si="69"/>
        <v>1344.8275862068974</v>
      </c>
      <c r="N54" s="10">
        <f t="shared" si="71"/>
        <v>89.655172413793167</v>
      </c>
      <c r="O54" s="11">
        <f t="shared" si="72"/>
        <v>0</v>
      </c>
      <c r="P54" s="12">
        <f t="shared" si="73"/>
        <v>-10.344827586206833</v>
      </c>
      <c r="Q54" s="189">
        <f t="shared" si="74"/>
        <v>0.89655172413793172</v>
      </c>
      <c r="R54" s="470"/>
      <c r="S54" s="24">
        <v>0.76736111111111116</v>
      </c>
      <c r="T54" s="24">
        <v>0.80763888888888891</v>
      </c>
      <c r="U54" s="188">
        <f t="shared" si="75"/>
        <v>6.9999999999999751</v>
      </c>
      <c r="V54" s="192">
        <f t="shared" si="70"/>
        <v>57.999999999999957</v>
      </c>
      <c r="W54" s="14"/>
      <c r="X54" s="14"/>
      <c r="Y54" s="185"/>
      <c r="Z54" s="186"/>
      <c r="AA54" s="11">
        <f t="shared" si="2"/>
        <v>-155.17241379310258</v>
      </c>
      <c r="AB54" s="189">
        <f t="shared" si="57"/>
        <v>0.8965517241379316</v>
      </c>
      <c r="AC54" s="470"/>
    </row>
    <row r="55" spans="1:29">
      <c r="A55" s="496" t="s">
        <v>10</v>
      </c>
      <c r="B55" s="26" t="s">
        <v>81</v>
      </c>
      <c r="C55" s="466"/>
      <c r="D55" s="466"/>
      <c r="E55" s="187"/>
      <c r="F55" s="16"/>
      <c r="G55" s="9"/>
      <c r="H55" s="193"/>
      <c r="I55" s="17">
        <v>16.75</v>
      </c>
      <c r="J55" s="18">
        <v>1500</v>
      </c>
      <c r="K55" s="9">
        <f>J55/I55</f>
        <v>89.552238805970148</v>
      </c>
      <c r="L55" s="17">
        <v>16.75</v>
      </c>
      <c r="M55" s="10">
        <f>AVERAGE(M51:M54)</f>
        <v>1350.9500035758101</v>
      </c>
      <c r="N55" s="9">
        <f>M55/L55</f>
        <v>80.653731556764782</v>
      </c>
      <c r="O55" s="11">
        <f>L55-I55</f>
        <v>0</v>
      </c>
      <c r="P55" s="12">
        <f>N55-K55</f>
        <v>-8.8985072492053661</v>
      </c>
      <c r="Q55" s="189">
        <f>N55/K55</f>
        <v>0.90063333571720672</v>
      </c>
      <c r="R55" s="470"/>
      <c r="S55" s="25"/>
      <c r="T55" s="24"/>
      <c r="U55" s="9"/>
      <c r="V55" s="192"/>
      <c r="W55" s="9"/>
      <c r="X55" s="9"/>
      <c r="Y55" s="456"/>
      <c r="Z55" s="456"/>
      <c r="AA55" s="11">
        <f t="shared" si="2"/>
        <v>-149.04999642418989</v>
      </c>
      <c r="AB55" s="189">
        <f t="shared" si="57"/>
        <v>0.90063333571720672</v>
      </c>
      <c r="AC55" s="470"/>
    </row>
    <row r="56" spans="1:29" ht="15.75" customHeight="1">
      <c r="A56" s="499" t="s">
        <v>163</v>
      </c>
      <c r="B56" s="193" t="s">
        <v>33</v>
      </c>
      <c r="C56" s="487" t="s">
        <v>36</v>
      </c>
      <c r="D56" s="487"/>
      <c r="E56" s="26">
        <v>26.78</v>
      </c>
      <c r="F56" s="27">
        <v>2183</v>
      </c>
      <c r="G56" s="188">
        <f t="shared" ref="G56:G60" si="76">E56*F56</f>
        <v>58460.740000000005</v>
      </c>
      <c r="H56" s="76" t="s">
        <v>57</v>
      </c>
      <c r="I56" s="191">
        <v>10</v>
      </c>
      <c r="J56" s="18">
        <v>3000</v>
      </c>
      <c r="K56" s="9">
        <f t="shared" ref="K56:K60" si="77">J56/I56</f>
        <v>300</v>
      </c>
      <c r="L56" s="17">
        <v>10</v>
      </c>
      <c r="M56" s="10">
        <f t="shared" ref="M56:M60" si="78">F56/V56*60</f>
        <v>2728.7500000000009</v>
      </c>
      <c r="N56" s="9">
        <f>M56/L56</f>
        <v>272.87500000000011</v>
      </c>
      <c r="O56" s="11">
        <f t="shared" ref="O56:O60" si="79">L56-I56</f>
        <v>0</v>
      </c>
      <c r="P56" s="12">
        <f t="shared" ref="P56:P60" si="80">N56-K56</f>
        <v>-27.124999999999886</v>
      </c>
      <c r="Q56" s="189">
        <f>N56/K56</f>
        <v>0.90958333333333374</v>
      </c>
      <c r="R56" s="470">
        <f>Q61</f>
        <v>0.90764980598179934</v>
      </c>
      <c r="S56" s="24">
        <v>0.25069444444444444</v>
      </c>
      <c r="T56" s="24">
        <v>0.28402777777777777</v>
      </c>
      <c r="U56" s="188"/>
      <c r="V56" s="192">
        <f t="shared" ref="V56:V60" si="81">(T56-S56)*24*60</f>
        <v>47.999999999999986</v>
      </c>
      <c r="W56" s="15"/>
      <c r="X56" s="15"/>
      <c r="Y56" s="456"/>
      <c r="Z56" s="456"/>
      <c r="AA56" s="11">
        <f t="shared" si="2"/>
        <v>-271.24999999999909</v>
      </c>
      <c r="AB56" s="189">
        <f t="shared" si="57"/>
        <v>0.90958333333333363</v>
      </c>
      <c r="AC56" s="470">
        <f>AB61</f>
        <v>0.90764980598179934</v>
      </c>
    </row>
    <row r="57" spans="1:29" ht="15.75" customHeight="1">
      <c r="A57" s="499" t="s">
        <v>11</v>
      </c>
      <c r="B57" s="193" t="s">
        <v>33</v>
      </c>
      <c r="C57" s="487" t="s">
        <v>42</v>
      </c>
      <c r="D57" s="487"/>
      <c r="E57" s="26">
        <v>35.369999999999997</v>
      </c>
      <c r="F57" s="27">
        <v>1482</v>
      </c>
      <c r="G57" s="188">
        <f t="shared" si="76"/>
        <v>52418.34</v>
      </c>
      <c r="H57" s="76" t="s">
        <v>57</v>
      </c>
      <c r="I57" s="191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2694.5454545454509</v>
      </c>
      <c r="N57" s="9">
        <f t="shared" ref="N57:N60" si="82">M57/L57</f>
        <v>269.4545454545451</v>
      </c>
      <c r="O57" s="11">
        <f t="shared" si="79"/>
        <v>0</v>
      </c>
      <c r="P57" s="12">
        <f t="shared" si="80"/>
        <v>-30.545454545454902</v>
      </c>
      <c r="Q57" s="189">
        <f t="shared" ref="Q57:Q60" si="83">N57/K57</f>
        <v>0.89818181818181697</v>
      </c>
      <c r="R57" s="470"/>
      <c r="S57" s="24">
        <v>0.2895833333333333</v>
      </c>
      <c r="T57" s="24">
        <v>0.3125</v>
      </c>
      <c r="U57" s="188">
        <f>(S57-T56)*24*60</f>
        <v>7.9999999999999716</v>
      </c>
      <c r="V57" s="192">
        <f t="shared" si="81"/>
        <v>33.000000000000043</v>
      </c>
      <c r="W57" s="188"/>
      <c r="X57" s="188"/>
      <c r="Y57" s="456"/>
      <c r="Z57" s="456"/>
      <c r="AA57" s="11">
        <f t="shared" si="2"/>
        <v>-305.45454545454913</v>
      </c>
      <c r="AB57" s="189">
        <f t="shared" si="57"/>
        <v>0.89818181818181697</v>
      </c>
      <c r="AC57" s="470"/>
    </row>
    <row r="58" spans="1:29" ht="15.75" customHeight="1">
      <c r="A58" s="499" t="s">
        <v>11</v>
      </c>
      <c r="B58" s="193" t="s">
        <v>33</v>
      </c>
      <c r="C58" s="487" t="s">
        <v>41</v>
      </c>
      <c r="D58" s="487"/>
      <c r="E58" s="26">
        <v>34.35</v>
      </c>
      <c r="F58" s="27">
        <v>1190</v>
      </c>
      <c r="G58" s="188">
        <f t="shared" si="76"/>
        <v>40876.5</v>
      </c>
      <c r="H58" s="76" t="s">
        <v>57</v>
      </c>
      <c r="I58" s="191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2746.1538461538476</v>
      </c>
      <c r="N58" s="9">
        <f t="shared" si="82"/>
        <v>274.61538461538476</v>
      </c>
      <c r="O58" s="11">
        <f t="shared" si="79"/>
        <v>0</v>
      </c>
      <c r="P58" s="12">
        <f t="shared" si="80"/>
        <v>-25.384615384615245</v>
      </c>
      <c r="Q58" s="189">
        <f t="shared" si="83"/>
        <v>0.9153846153846158</v>
      </c>
      <c r="R58" s="470"/>
      <c r="S58" s="24">
        <v>0.31666666666666665</v>
      </c>
      <c r="T58" s="24">
        <v>0.3347222222222222</v>
      </c>
      <c r="U58" s="188">
        <f t="shared" ref="U58:U60" si="84">(S58-T57)*24*60</f>
        <v>5.9999999999999787</v>
      </c>
      <c r="V58" s="192">
        <f t="shared" si="81"/>
        <v>25.999999999999986</v>
      </c>
      <c r="W58" s="188"/>
      <c r="X58" s="188"/>
      <c r="Y58" s="456"/>
      <c r="Z58" s="456"/>
      <c r="AA58" s="11">
        <f t="shared" si="2"/>
        <v>-253.84615384615245</v>
      </c>
      <c r="AB58" s="189">
        <f t="shared" si="57"/>
        <v>0.9153846153846158</v>
      </c>
      <c r="AC58" s="470"/>
    </row>
    <row r="59" spans="1:29" ht="15.75" customHeight="1">
      <c r="A59" s="499" t="s">
        <v>11</v>
      </c>
      <c r="B59" s="193" t="s">
        <v>15</v>
      </c>
      <c r="C59" s="487" t="s">
        <v>39</v>
      </c>
      <c r="D59" s="487"/>
      <c r="E59" s="26">
        <v>26.97</v>
      </c>
      <c r="F59" s="27">
        <v>2916</v>
      </c>
      <c r="G59" s="188">
        <f t="shared" si="76"/>
        <v>78644.51999999999</v>
      </c>
      <c r="H59" s="76" t="s">
        <v>57</v>
      </c>
      <c r="I59" s="191">
        <v>8</v>
      </c>
      <c r="J59" s="18">
        <v>1440</v>
      </c>
      <c r="K59" s="9">
        <f t="shared" si="77"/>
        <v>180</v>
      </c>
      <c r="L59" s="17">
        <v>8</v>
      </c>
      <c r="M59" s="10">
        <f t="shared" si="78"/>
        <v>1296</v>
      </c>
      <c r="N59" s="9">
        <f t="shared" si="82"/>
        <v>162</v>
      </c>
      <c r="O59" s="11">
        <f t="shared" si="79"/>
        <v>0</v>
      </c>
      <c r="P59" s="12">
        <f t="shared" si="80"/>
        <v>-18</v>
      </c>
      <c r="Q59" s="189">
        <f t="shared" si="83"/>
        <v>0.9</v>
      </c>
      <c r="R59" s="470"/>
      <c r="S59" s="24">
        <v>0.33958333333333329</v>
      </c>
      <c r="T59" s="24">
        <v>0.43333333333333329</v>
      </c>
      <c r="U59" s="188">
        <f t="shared" si="84"/>
        <v>6.9999999999999751</v>
      </c>
      <c r="V59" s="192">
        <f t="shared" si="81"/>
        <v>135</v>
      </c>
      <c r="W59" s="188"/>
      <c r="X59" s="188"/>
      <c r="Y59" s="456"/>
      <c r="Z59" s="456"/>
      <c r="AA59" s="11">
        <f t="shared" si="2"/>
        <v>-144</v>
      </c>
      <c r="AB59" s="189">
        <f t="shared" si="57"/>
        <v>0.9</v>
      </c>
      <c r="AC59" s="470"/>
    </row>
    <row r="60" spans="1:29">
      <c r="A60" s="500" t="s">
        <v>11</v>
      </c>
      <c r="B60" s="193" t="s">
        <v>33</v>
      </c>
      <c r="C60" s="487" t="s">
        <v>40</v>
      </c>
      <c r="D60" s="487"/>
      <c r="E60" s="26">
        <v>35.119999999999997</v>
      </c>
      <c r="F60" s="27">
        <v>1065</v>
      </c>
      <c r="G60" s="188">
        <f t="shared" si="76"/>
        <v>37402.799999999996</v>
      </c>
      <c r="H60" s="76" t="s">
        <v>57</v>
      </c>
      <c r="I60" s="191">
        <v>13</v>
      </c>
      <c r="J60" s="18">
        <v>2000</v>
      </c>
      <c r="K60" s="9">
        <f t="shared" si="77"/>
        <v>153.84615384615384</v>
      </c>
      <c r="L60" s="17">
        <v>13</v>
      </c>
      <c r="M60" s="10">
        <f t="shared" si="78"/>
        <v>1825.714285714284</v>
      </c>
      <c r="N60" s="9">
        <f t="shared" si="82"/>
        <v>140.4395604395603</v>
      </c>
      <c r="O60" s="11">
        <f t="shared" si="79"/>
        <v>0</v>
      </c>
      <c r="P60" s="12">
        <f t="shared" si="80"/>
        <v>-13.406593406593544</v>
      </c>
      <c r="Q60" s="189">
        <f t="shared" si="83"/>
        <v>0.91285714285714192</v>
      </c>
      <c r="R60" s="470"/>
      <c r="S60" s="24">
        <v>0.43749999999999994</v>
      </c>
      <c r="T60" s="24">
        <v>0.46180555555555552</v>
      </c>
      <c r="U60" s="188">
        <f t="shared" si="84"/>
        <v>5.9999999999999787</v>
      </c>
      <c r="V60" s="192">
        <f t="shared" si="81"/>
        <v>35.000000000000036</v>
      </c>
      <c r="W60" s="14"/>
      <c r="X60" s="14"/>
      <c r="Y60" s="456"/>
      <c r="Z60" s="456"/>
      <c r="AA60" s="11">
        <f t="shared" si="2"/>
        <v>-174.28571428571604</v>
      </c>
      <c r="AB60" s="189">
        <f t="shared" si="57"/>
        <v>0.91285714285714203</v>
      </c>
      <c r="AC60" s="470"/>
    </row>
    <row r="61" spans="1:29">
      <c r="A61" s="500" t="s">
        <v>11</v>
      </c>
      <c r="B61" s="26" t="s">
        <v>81</v>
      </c>
      <c r="C61" s="466"/>
      <c r="D61" s="466"/>
      <c r="E61" s="187"/>
      <c r="F61" s="16"/>
      <c r="G61" s="9"/>
      <c r="H61" s="193"/>
      <c r="I61" s="17">
        <v>10.199999999999999</v>
      </c>
      <c r="J61" s="18">
        <v>2488</v>
      </c>
      <c r="K61" s="9">
        <f>J61/I61</f>
        <v>243.92156862745099</v>
      </c>
      <c r="L61" s="17">
        <v>10.199999999999999</v>
      </c>
      <c r="M61" s="10">
        <f>AVERAGE(M56:M60)</f>
        <v>2258.2327172827167</v>
      </c>
      <c r="N61" s="9">
        <f>M61/L61</f>
        <v>221.39536443948205</v>
      </c>
      <c r="O61" s="11">
        <f>L61-I61</f>
        <v>0</v>
      </c>
      <c r="P61" s="12">
        <f>N61-K61</f>
        <v>-22.526204187968943</v>
      </c>
      <c r="Q61" s="189">
        <f>N61/K61</f>
        <v>0.90764980598179934</v>
      </c>
      <c r="R61" s="470"/>
      <c r="S61" s="24"/>
      <c r="T61" s="24"/>
      <c r="U61" s="9"/>
      <c r="V61" s="192"/>
      <c r="W61" s="9"/>
      <c r="X61" s="9"/>
      <c r="Y61" s="456"/>
      <c r="Z61" s="456"/>
      <c r="AA61" s="11">
        <f t="shared" si="2"/>
        <v>-229.76728271728325</v>
      </c>
      <c r="AB61" s="189">
        <f t="shared" si="57"/>
        <v>0.90764980598179934</v>
      </c>
      <c r="AC61" s="470"/>
    </row>
    <row r="62" spans="1:29" ht="15.75" customHeight="1">
      <c r="A62" s="467" t="s">
        <v>164</v>
      </c>
      <c r="B62" s="193" t="s">
        <v>24</v>
      </c>
      <c r="C62" s="487" t="s">
        <v>45</v>
      </c>
      <c r="D62" s="487"/>
      <c r="E62" s="26">
        <v>19.02</v>
      </c>
      <c r="F62" s="193">
        <v>6795</v>
      </c>
      <c r="G62" s="188">
        <f t="shared" ref="G62:G66" si="85">E62*F62</f>
        <v>129240.9</v>
      </c>
      <c r="H62" s="76" t="s">
        <v>57</v>
      </c>
      <c r="I62" s="191">
        <v>15</v>
      </c>
      <c r="J62" s="18">
        <v>2400</v>
      </c>
      <c r="K62" s="9">
        <f t="shared" ref="K62:K64" si="86">J62/I62</f>
        <v>160</v>
      </c>
      <c r="L62" s="17">
        <v>15</v>
      </c>
      <c r="M62" s="10">
        <f>F62/V62*60</f>
        <v>2157.1428571428573</v>
      </c>
      <c r="N62" s="9">
        <f t="shared" ref="N62:N66" si="87">M62/L62</f>
        <v>143.80952380952382</v>
      </c>
      <c r="O62" s="11">
        <f t="shared" ref="O62:O66" si="88">L62-I62</f>
        <v>0</v>
      </c>
      <c r="P62" s="12">
        <f t="shared" ref="P62:P66" si="89">N62-K62</f>
        <v>-16.190476190476176</v>
      </c>
      <c r="Q62" s="189">
        <f>N62/K62</f>
        <v>0.89880952380952395</v>
      </c>
      <c r="R62" s="470">
        <f>Q67</f>
        <v>0.90169915279969648</v>
      </c>
      <c r="S62" s="24">
        <v>0.125</v>
      </c>
      <c r="T62" s="24">
        <v>0.25624999999999998</v>
      </c>
      <c r="U62" s="15"/>
      <c r="V62" s="192">
        <f t="shared" ref="V62:V66" si="90">(T62-S62)*24*60</f>
        <v>188.99999999999997</v>
      </c>
      <c r="W62" s="14"/>
      <c r="X62" s="14"/>
      <c r="Y62" s="456"/>
      <c r="Z62" s="456"/>
      <c r="AA62" s="11">
        <f t="shared" si="2"/>
        <v>-242.85714285714266</v>
      </c>
      <c r="AB62" s="189">
        <f>M62/J62</f>
        <v>0.89880952380952384</v>
      </c>
      <c r="AC62" s="470">
        <f>AB67</f>
        <v>0.90169915279969648</v>
      </c>
    </row>
    <row r="63" spans="1:29" ht="15.75" customHeight="1">
      <c r="A63" s="467" t="s">
        <v>12</v>
      </c>
      <c r="B63" s="193" t="s">
        <v>24</v>
      </c>
      <c r="C63" s="487" t="s">
        <v>56</v>
      </c>
      <c r="D63" s="487"/>
      <c r="E63" s="26">
        <v>20.2</v>
      </c>
      <c r="F63" s="193">
        <v>1961</v>
      </c>
      <c r="G63" s="188">
        <f t="shared" si="85"/>
        <v>39612.199999999997</v>
      </c>
      <c r="H63" s="76" t="s">
        <v>57</v>
      </c>
      <c r="I63" s="191">
        <v>19</v>
      </c>
      <c r="J63" s="18">
        <v>2400</v>
      </c>
      <c r="K63" s="9">
        <f t="shared" si="86"/>
        <v>126.31578947368421</v>
      </c>
      <c r="L63" s="17">
        <v>19</v>
      </c>
      <c r="M63" s="10">
        <f t="shared" ref="M63:M66" si="91">F63/V63*60</f>
        <v>2178.8888888888901</v>
      </c>
      <c r="N63" s="9">
        <f t="shared" si="87"/>
        <v>114.67836257309948</v>
      </c>
      <c r="O63" s="11">
        <f t="shared" si="88"/>
        <v>0</v>
      </c>
      <c r="P63" s="12">
        <f t="shared" si="89"/>
        <v>-11.637426900584728</v>
      </c>
      <c r="Q63" s="189">
        <f t="shared" ref="Q63:Q67" si="92">N63/K63</f>
        <v>0.90787037037037088</v>
      </c>
      <c r="R63" s="470"/>
      <c r="S63" s="24">
        <v>0.26111111111111107</v>
      </c>
      <c r="T63" s="24">
        <v>0.29861111111111105</v>
      </c>
      <c r="U63" s="188">
        <f>(S63-T62)*24*60</f>
        <v>6.9999999999999751</v>
      </c>
      <c r="V63" s="192">
        <f t="shared" si="90"/>
        <v>53.999999999999972</v>
      </c>
      <c r="W63" s="14"/>
      <c r="X63" s="14"/>
      <c r="Y63" s="456"/>
      <c r="Z63" s="456"/>
      <c r="AA63" s="11">
        <f t="shared" si="2"/>
        <v>-221.11111111110995</v>
      </c>
      <c r="AB63" s="189">
        <f t="shared" ref="AB63:AB67" si="93">M63/J63</f>
        <v>0.90787037037037088</v>
      </c>
      <c r="AC63" s="470"/>
    </row>
    <row r="64" spans="1:29" ht="15.75" customHeight="1">
      <c r="A64" s="467" t="s">
        <v>12</v>
      </c>
      <c r="B64" s="193" t="s">
        <v>24</v>
      </c>
      <c r="C64" s="487" t="s">
        <v>83</v>
      </c>
      <c r="D64" s="487"/>
      <c r="E64" s="26">
        <v>32.03</v>
      </c>
      <c r="F64" s="193">
        <v>1399</v>
      </c>
      <c r="G64" s="188">
        <f t="shared" si="85"/>
        <v>44809.97</v>
      </c>
      <c r="H64" s="76" t="s">
        <v>57</v>
      </c>
      <c r="I64" s="191">
        <v>19</v>
      </c>
      <c r="J64" s="18">
        <v>2400</v>
      </c>
      <c r="K64" s="9">
        <f t="shared" si="86"/>
        <v>126.31578947368421</v>
      </c>
      <c r="L64" s="17">
        <v>19</v>
      </c>
      <c r="M64" s="10">
        <f t="shared" si="91"/>
        <v>2152.3076923076915</v>
      </c>
      <c r="N64" s="9">
        <f t="shared" si="87"/>
        <v>113.2793522267206</v>
      </c>
      <c r="O64" s="11">
        <f t="shared" si="88"/>
        <v>0</v>
      </c>
      <c r="P64" s="12">
        <f t="shared" si="89"/>
        <v>-13.036437246963601</v>
      </c>
      <c r="Q64" s="189">
        <f t="shared" si="92"/>
        <v>0.8967948717948715</v>
      </c>
      <c r="R64" s="470"/>
      <c r="S64" s="24">
        <v>0.3027777777777777</v>
      </c>
      <c r="T64" s="24">
        <v>0.32986111111111105</v>
      </c>
      <c r="U64" s="188">
        <f t="shared" ref="U64:U66" si="94">(S64-T63)*24*60</f>
        <v>5.9999999999999787</v>
      </c>
      <c r="V64" s="192">
        <f t="shared" si="90"/>
        <v>39.000000000000021</v>
      </c>
      <c r="W64" s="14"/>
      <c r="X64" s="14"/>
      <c r="Y64" s="456"/>
      <c r="Z64" s="456"/>
      <c r="AA64" s="11">
        <f t="shared" si="2"/>
        <v>-247.69230769230853</v>
      </c>
      <c r="AB64" s="189">
        <f t="shared" si="93"/>
        <v>0.8967948717948715</v>
      </c>
      <c r="AC64" s="470"/>
    </row>
    <row r="65" spans="1:29" ht="15.75" customHeight="1">
      <c r="A65" s="467" t="s">
        <v>12</v>
      </c>
      <c r="B65" s="193" t="s">
        <v>24</v>
      </c>
      <c r="C65" s="487" t="s">
        <v>46</v>
      </c>
      <c r="D65" s="487"/>
      <c r="E65" s="26">
        <v>25</v>
      </c>
      <c r="F65" s="193">
        <v>3331</v>
      </c>
      <c r="G65" s="188">
        <f t="shared" si="85"/>
        <v>83275</v>
      </c>
      <c r="H65" s="76" t="s">
        <v>57</v>
      </c>
      <c r="I65" s="191">
        <v>15</v>
      </c>
      <c r="J65" s="18">
        <v>2400</v>
      </c>
      <c r="K65" s="9">
        <f>J65/I65</f>
        <v>160</v>
      </c>
      <c r="L65" s="17">
        <v>15</v>
      </c>
      <c r="M65" s="10">
        <f t="shared" si="91"/>
        <v>2172.391304347826</v>
      </c>
      <c r="N65" s="9">
        <f t="shared" si="87"/>
        <v>144.82608695652172</v>
      </c>
      <c r="O65" s="11">
        <f t="shared" si="88"/>
        <v>0</v>
      </c>
      <c r="P65" s="12">
        <f t="shared" si="89"/>
        <v>-15.173913043478279</v>
      </c>
      <c r="Q65" s="189">
        <f t="shared" si="92"/>
        <v>0.90516304347826071</v>
      </c>
      <c r="R65" s="470"/>
      <c r="S65" s="24">
        <v>0.3340277777777777</v>
      </c>
      <c r="T65" s="24">
        <v>0.39791666666666659</v>
      </c>
      <c r="U65" s="188">
        <f t="shared" si="94"/>
        <v>5.9999999999999787</v>
      </c>
      <c r="V65" s="192">
        <f t="shared" si="90"/>
        <v>92</v>
      </c>
      <c r="W65" s="14"/>
      <c r="X65" s="14"/>
      <c r="Y65" s="456"/>
      <c r="Z65" s="456"/>
      <c r="AA65" s="11">
        <f t="shared" si="2"/>
        <v>-227.60869565217399</v>
      </c>
      <c r="AB65" s="189">
        <f t="shared" si="93"/>
        <v>0.90516304347826082</v>
      </c>
      <c r="AC65" s="470"/>
    </row>
    <row r="66" spans="1:29" ht="15.75" customHeight="1">
      <c r="A66" s="467" t="s">
        <v>12</v>
      </c>
      <c r="B66" s="193" t="s">
        <v>24</v>
      </c>
      <c r="C66" s="487" t="s">
        <v>510</v>
      </c>
      <c r="D66" s="487"/>
      <c r="E66" s="26">
        <v>28.51</v>
      </c>
      <c r="F66" s="193">
        <v>6335</v>
      </c>
      <c r="G66" s="188">
        <f t="shared" si="85"/>
        <v>180610.85</v>
      </c>
      <c r="H66" s="76" t="s">
        <v>57</v>
      </c>
      <c r="I66" s="191">
        <v>20</v>
      </c>
      <c r="J66" s="18">
        <v>2400</v>
      </c>
      <c r="K66" s="9">
        <f t="shared" ref="K66:K67" si="95">J66/I66</f>
        <v>120</v>
      </c>
      <c r="L66" s="17">
        <v>20</v>
      </c>
      <c r="M66" s="10">
        <f t="shared" si="91"/>
        <v>2159.659090909091</v>
      </c>
      <c r="N66" s="9">
        <f t="shared" si="87"/>
        <v>107.98295454545455</v>
      </c>
      <c r="O66" s="11">
        <f t="shared" si="88"/>
        <v>0</v>
      </c>
      <c r="P66" s="12">
        <f t="shared" si="89"/>
        <v>-12.017045454545453</v>
      </c>
      <c r="Q66" s="189">
        <f t="shared" si="92"/>
        <v>0.89985795454545459</v>
      </c>
      <c r="R66" s="470"/>
      <c r="S66" s="24">
        <v>0.40208333333333324</v>
      </c>
      <c r="T66" s="24">
        <v>0.52430555555555547</v>
      </c>
      <c r="U66" s="188">
        <f t="shared" si="94"/>
        <v>5.9999999999999787</v>
      </c>
      <c r="V66" s="192">
        <f t="shared" si="90"/>
        <v>176</v>
      </c>
      <c r="W66" s="14"/>
      <c r="X66" s="14"/>
      <c r="Y66" s="456"/>
      <c r="Z66" s="456"/>
      <c r="AA66" s="11">
        <f t="shared" si="2"/>
        <v>-240.34090909090901</v>
      </c>
      <c r="AB66" s="189">
        <f t="shared" si="93"/>
        <v>0.89985795454545459</v>
      </c>
      <c r="AC66" s="470"/>
    </row>
    <row r="67" spans="1:29" ht="16.5" customHeight="1">
      <c r="A67" s="501" t="s">
        <v>12</v>
      </c>
      <c r="B67" s="26" t="s">
        <v>81</v>
      </c>
      <c r="C67" s="466"/>
      <c r="D67" s="466"/>
      <c r="E67" s="187"/>
      <c r="F67" s="16"/>
      <c r="G67" s="9"/>
      <c r="H67" s="193"/>
      <c r="I67" s="17">
        <v>17.600000000000001</v>
      </c>
      <c r="J67" s="18">
        <v>2400</v>
      </c>
      <c r="K67" s="9">
        <f t="shared" si="95"/>
        <v>136.36363636363635</v>
      </c>
      <c r="L67" s="17">
        <v>17.600000000000001</v>
      </c>
      <c r="M67" s="10">
        <f>AVERAGE(M62:M66)</f>
        <v>2164.0779667192714</v>
      </c>
      <c r="N67" s="9">
        <f>M67/L67</f>
        <v>122.95897538177678</v>
      </c>
      <c r="O67" s="11">
        <f>L67-I67</f>
        <v>0</v>
      </c>
      <c r="P67" s="12">
        <f>N67-K67</f>
        <v>-13.404660981859564</v>
      </c>
      <c r="Q67" s="189">
        <f t="shared" si="92"/>
        <v>0.90169915279969648</v>
      </c>
      <c r="R67" s="470"/>
      <c r="S67" s="24"/>
      <c r="T67" s="24"/>
      <c r="U67" s="9"/>
      <c r="V67" s="192"/>
      <c r="W67" s="9"/>
      <c r="X67" s="9"/>
      <c r="Y67" s="456"/>
      <c r="Z67" s="456"/>
      <c r="AA67" s="11">
        <f t="shared" si="2"/>
        <v>-235.92203328072856</v>
      </c>
      <c r="AB67" s="189">
        <f t="shared" si="93"/>
        <v>0.90169915279969648</v>
      </c>
      <c r="AC67" s="470"/>
    </row>
    <row r="68" spans="1:29">
      <c r="D68" s="19"/>
      <c r="E68" s="19"/>
    </row>
  </sheetData>
  <mergeCells count="18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9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A20:A27"/>
    <mergeCell ref="C20:D20"/>
    <mergeCell ref="R20:R27"/>
    <mergeCell ref="Y20:Z20"/>
    <mergeCell ref="Y25:Z25"/>
    <mergeCell ref="A14:A19"/>
    <mergeCell ref="C14:D14"/>
    <mergeCell ref="R14:R19"/>
    <mergeCell ref="Y14:Z14"/>
    <mergeCell ref="AC20:AC27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C26:D26"/>
    <mergeCell ref="Y26:Z26"/>
    <mergeCell ref="C27:D27"/>
    <mergeCell ref="Y27:Z27"/>
    <mergeCell ref="A28:A33"/>
    <mergeCell ref="C28:D28"/>
    <mergeCell ref="R28:R33"/>
    <mergeCell ref="Y28:Z28"/>
    <mergeCell ref="Y33:Z33"/>
    <mergeCell ref="AC34:AC41"/>
    <mergeCell ref="C35:D35"/>
    <mergeCell ref="Y35:Z35"/>
    <mergeCell ref="C36:D36"/>
    <mergeCell ref="Y36:Z36"/>
    <mergeCell ref="C37:D37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7:Z37"/>
    <mergeCell ref="C38:D38"/>
    <mergeCell ref="Y38:Z38"/>
    <mergeCell ref="Y50:Z50"/>
    <mergeCell ref="C39:D39"/>
    <mergeCell ref="Y39:Z39"/>
    <mergeCell ref="C40:D40"/>
    <mergeCell ref="Y40:Z40"/>
    <mergeCell ref="A34:A41"/>
    <mergeCell ref="C34:D34"/>
    <mergeCell ref="R34:R41"/>
    <mergeCell ref="Y34:Z34"/>
    <mergeCell ref="C41:D41"/>
    <mergeCell ref="Y41:Z41"/>
    <mergeCell ref="A51:A55"/>
    <mergeCell ref="C51:D51"/>
    <mergeCell ref="R51:R55"/>
    <mergeCell ref="Y51:Z51"/>
    <mergeCell ref="AC42:AC50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42:A50"/>
    <mergeCell ref="C42:D42"/>
    <mergeCell ref="R42:R50"/>
    <mergeCell ref="Y42:Z42"/>
    <mergeCell ref="Y47:Z47"/>
    <mergeCell ref="C48:D48"/>
    <mergeCell ref="Y48:Z48"/>
    <mergeCell ref="C49:D49"/>
    <mergeCell ref="Y49:Z49"/>
    <mergeCell ref="C50:D50"/>
    <mergeCell ref="AC56:AC61"/>
    <mergeCell ref="C57:D57"/>
    <mergeCell ref="Y57:Z57"/>
    <mergeCell ref="C58:D58"/>
    <mergeCell ref="Y58:Z58"/>
    <mergeCell ref="C59:D59"/>
    <mergeCell ref="AC51:AC55"/>
    <mergeCell ref="C52:D52"/>
    <mergeCell ref="Y52:Z52"/>
    <mergeCell ref="C53:D53"/>
    <mergeCell ref="C55:D55"/>
    <mergeCell ref="Y55:Z55"/>
    <mergeCell ref="Y59:Z59"/>
    <mergeCell ref="C60:D60"/>
    <mergeCell ref="Y60:Z60"/>
    <mergeCell ref="C61:D61"/>
    <mergeCell ref="Y61:Z61"/>
    <mergeCell ref="A62:A67"/>
    <mergeCell ref="C62:D62"/>
    <mergeCell ref="R62:R67"/>
    <mergeCell ref="Y62:Z62"/>
    <mergeCell ref="Y67:Z67"/>
    <mergeCell ref="A56:A61"/>
    <mergeCell ref="C56:D56"/>
    <mergeCell ref="R56:R61"/>
    <mergeCell ref="Y56:Z56"/>
    <mergeCell ref="AC62:AC67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</mergeCells>
  <phoneticPr fontId="3" type="noConversion"/>
  <conditionalFormatting sqref="O59:O67 O5:O9 O13:O15 O50:O56 O19:O47">
    <cfRule type="cellIs" dxfId="998" priority="50" operator="greaterThan">
      <formula>0</formula>
    </cfRule>
  </conditionalFormatting>
  <conditionalFormatting sqref="P5:P7 P59:P60 AA59:AA60 P62:P66 P28:P32 P56 P9 P13:P15 P20:P26 P51:P54 P34:P47 AA5:AA56 AA62:AA67">
    <cfRule type="cellIs" dxfId="997" priority="54" operator="lessThan">
      <formula>0</formula>
    </cfRule>
  </conditionalFormatting>
  <conditionalFormatting sqref="AB59:AB60 Q59:Q67 Q5:Q9 Q13:Q15 Q50:Q56 Q19:Q47 AB5:AB56 AB62:AB67">
    <cfRule type="cellIs" dxfId="996" priority="51" operator="greaterThan">
      <formula>1</formula>
    </cfRule>
    <cfRule type="cellIs" dxfId="995" priority="52" operator="lessThan">
      <formula>0.8</formula>
    </cfRule>
  </conditionalFormatting>
  <conditionalFormatting sqref="AC14:AC15 R14:R15 AC59 R19:R25 AC19:AC25 R59:R67 AC5:AC9 R5:R9 R27:R47 AC27:AC47 AC50:AC56 R50:R56">
    <cfRule type="cellIs" dxfId="994" priority="56" operator="lessThan">
      <formula>0.8</formula>
    </cfRule>
  </conditionalFormatting>
  <conditionalFormatting sqref="AC42">
    <cfRule type="cellIs" dxfId="993" priority="58" operator="lessThan">
      <formula>0.8</formula>
    </cfRule>
  </conditionalFormatting>
  <conditionalFormatting sqref="AC20:AC25">
    <cfRule type="cellIs" dxfId="992" priority="55" operator="lessThan">
      <formula>0.8</formula>
    </cfRule>
  </conditionalFormatting>
  <conditionalFormatting sqref="AC28">
    <cfRule type="cellIs" dxfId="991" priority="57" operator="lessThan">
      <formula>0.8</formula>
    </cfRule>
  </conditionalFormatting>
  <conditionalFormatting sqref="AC34:AC40">
    <cfRule type="cellIs" dxfId="990" priority="53" operator="lessThan">
      <formula>0.8</formula>
    </cfRule>
  </conditionalFormatting>
  <conditionalFormatting sqref="AA61">
    <cfRule type="cellIs" dxfId="989" priority="49" operator="lessThan">
      <formula>0</formula>
    </cfRule>
  </conditionalFormatting>
  <conditionalFormatting sqref="AB61">
    <cfRule type="cellIs" dxfId="988" priority="47" operator="greaterThan">
      <formula>1</formula>
    </cfRule>
    <cfRule type="cellIs" dxfId="987" priority="48" operator="lessThan">
      <formula>0.8</formula>
    </cfRule>
  </conditionalFormatting>
  <conditionalFormatting sqref="O16:O17">
    <cfRule type="cellIs" dxfId="986" priority="42" operator="greaterThan">
      <formula>0</formula>
    </cfRule>
  </conditionalFormatting>
  <conditionalFormatting sqref="P16:P17">
    <cfRule type="cellIs" dxfId="985" priority="45" operator="lessThan">
      <formula>0</formula>
    </cfRule>
  </conditionalFormatting>
  <conditionalFormatting sqref="Q16:Q17">
    <cfRule type="cellIs" dxfId="984" priority="43" operator="greaterThan">
      <formula>1</formula>
    </cfRule>
    <cfRule type="cellIs" dxfId="983" priority="44" operator="lessThan">
      <formula>0.8</formula>
    </cfRule>
  </conditionalFormatting>
  <conditionalFormatting sqref="R16:R17 AC16:AC17">
    <cfRule type="cellIs" dxfId="982" priority="46" operator="lessThan">
      <formula>0.8</formula>
    </cfRule>
  </conditionalFormatting>
  <conditionalFormatting sqref="O10:O12">
    <cfRule type="cellIs" dxfId="981" priority="38" operator="greaterThan">
      <formula>0</formula>
    </cfRule>
  </conditionalFormatting>
  <conditionalFormatting sqref="P10:P12">
    <cfRule type="cellIs" dxfId="980" priority="41" operator="lessThan">
      <formula>0</formula>
    </cfRule>
  </conditionalFormatting>
  <conditionalFormatting sqref="Q10:Q12">
    <cfRule type="cellIs" dxfId="979" priority="39" operator="greaterThan">
      <formula>1</formula>
    </cfRule>
    <cfRule type="cellIs" dxfId="978" priority="40" operator="lessThan">
      <formula>0.8</formula>
    </cfRule>
  </conditionalFormatting>
  <conditionalFormatting sqref="O58">
    <cfRule type="cellIs" dxfId="977" priority="33" operator="greaterThan">
      <formula>0</formula>
    </cfRule>
  </conditionalFormatting>
  <conditionalFormatting sqref="P58 AA58">
    <cfRule type="cellIs" dxfId="976" priority="36" operator="lessThan">
      <formula>0</formula>
    </cfRule>
  </conditionalFormatting>
  <conditionalFormatting sqref="Q58 AB58">
    <cfRule type="cellIs" dxfId="975" priority="34" operator="greaterThan">
      <formula>1</formula>
    </cfRule>
    <cfRule type="cellIs" dxfId="974" priority="35" operator="lessThan">
      <formula>0.8</formula>
    </cfRule>
  </conditionalFormatting>
  <conditionalFormatting sqref="R58 AC58">
    <cfRule type="cellIs" dxfId="973" priority="37" operator="lessThan">
      <formula>0.8</formula>
    </cfRule>
  </conditionalFormatting>
  <conditionalFormatting sqref="O18">
    <cfRule type="cellIs" dxfId="972" priority="28" operator="greaterThan">
      <formula>0</formula>
    </cfRule>
  </conditionalFormatting>
  <conditionalFormatting sqref="P18">
    <cfRule type="cellIs" dxfId="971" priority="31" operator="lessThan">
      <formula>0</formula>
    </cfRule>
  </conditionalFormatting>
  <conditionalFormatting sqref="Q18">
    <cfRule type="cellIs" dxfId="970" priority="29" operator="greaterThan">
      <formula>1</formula>
    </cfRule>
    <cfRule type="cellIs" dxfId="969" priority="30" operator="lessThan">
      <formula>0.8</formula>
    </cfRule>
  </conditionalFormatting>
  <conditionalFormatting sqref="R18 AC18">
    <cfRule type="cellIs" dxfId="968" priority="32" operator="lessThan">
      <formula>0.8</formula>
    </cfRule>
  </conditionalFormatting>
  <conditionalFormatting sqref="O48">
    <cfRule type="cellIs" dxfId="967" priority="22" operator="greaterThan">
      <formula>0</formula>
    </cfRule>
  </conditionalFormatting>
  <conditionalFormatting sqref="P48">
    <cfRule type="cellIs" dxfId="966" priority="26" operator="lessThan">
      <formula>0</formula>
    </cfRule>
  </conditionalFormatting>
  <conditionalFormatting sqref="Q48">
    <cfRule type="cellIs" dxfId="965" priority="23" operator="greaterThan">
      <formula>1</formula>
    </cfRule>
    <cfRule type="cellIs" dxfId="964" priority="24" operator="lessThan">
      <formula>0.8</formula>
    </cfRule>
  </conditionalFormatting>
  <conditionalFormatting sqref="R48 AC48">
    <cfRule type="cellIs" dxfId="963" priority="27" operator="lessThan">
      <formula>0.8</formula>
    </cfRule>
  </conditionalFormatting>
  <conditionalFormatting sqref="AC48">
    <cfRule type="cellIs" dxfId="962" priority="25" operator="lessThan">
      <formula>0.8</formula>
    </cfRule>
  </conditionalFormatting>
  <conditionalFormatting sqref="O49">
    <cfRule type="cellIs" dxfId="961" priority="16" operator="greaterThan">
      <formula>0</formula>
    </cfRule>
  </conditionalFormatting>
  <conditionalFormatting sqref="P49">
    <cfRule type="cellIs" dxfId="960" priority="20" operator="lessThan">
      <formula>0</formula>
    </cfRule>
  </conditionalFormatting>
  <conditionalFormatting sqref="Q49">
    <cfRule type="cellIs" dxfId="959" priority="17" operator="greaterThan">
      <formula>1</formula>
    </cfRule>
    <cfRule type="cellIs" dxfId="958" priority="18" operator="lessThan">
      <formula>0.8</formula>
    </cfRule>
  </conditionalFormatting>
  <conditionalFormatting sqref="R49 AC49">
    <cfRule type="cellIs" dxfId="957" priority="21" operator="lessThan">
      <formula>0.8</formula>
    </cfRule>
  </conditionalFormatting>
  <conditionalFormatting sqref="AC49">
    <cfRule type="cellIs" dxfId="956" priority="19" operator="lessThan">
      <formula>0.8</formula>
    </cfRule>
  </conditionalFormatting>
  <conditionalFormatting sqref="R26 AC26">
    <cfRule type="cellIs" dxfId="955" priority="15" operator="lessThan">
      <formula>0.8</formula>
    </cfRule>
  </conditionalFormatting>
  <conditionalFormatting sqref="AC26">
    <cfRule type="cellIs" dxfId="954" priority="14" operator="lessThan">
      <formula>0.8</formula>
    </cfRule>
  </conditionalFormatting>
  <conditionalFormatting sqref="O57">
    <cfRule type="cellIs" dxfId="953" priority="9" operator="greaterThan">
      <formula>0</formula>
    </cfRule>
  </conditionalFormatting>
  <conditionalFormatting sqref="P57 AA57">
    <cfRule type="cellIs" dxfId="952" priority="12" operator="lessThan">
      <formula>0</formula>
    </cfRule>
  </conditionalFormatting>
  <conditionalFormatting sqref="Q57 AB57">
    <cfRule type="cellIs" dxfId="951" priority="10" operator="greaterThan">
      <formula>1</formula>
    </cfRule>
    <cfRule type="cellIs" dxfId="950" priority="11" operator="lessThan">
      <formula>0.8</formula>
    </cfRule>
  </conditionalFormatting>
  <conditionalFormatting sqref="R57 AC57">
    <cfRule type="cellIs" dxfId="949" priority="13" operator="lessThan">
      <formula>0.8</formula>
    </cfRule>
  </conditionalFormatting>
  <conditionalFormatting sqref="P8">
    <cfRule type="cellIs" dxfId="948" priority="8" operator="lessThan">
      <formula>0</formula>
    </cfRule>
  </conditionalFormatting>
  <conditionalFormatting sqref="P19">
    <cfRule type="cellIs" dxfId="947" priority="7" operator="lessThan">
      <formula>0</formula>
    </cfRule>
  </conditionalFormatting>
  <conditionalFormatting sqref="P27">
    <cfRule type="cellIs" dxfId="946" priority="6" operator="lessThan">
      <formula>0</formula>
    </cfRule>
  </conditionalFormatting>
  <conditionalFormatting sqref="P33">
    <cfRule type="cellIs" dxfId="945" priority="5" operator="lessThan">
      <formula>0</formula>
    </cfRule>
  </conditionalFormatting>
  <conditionalFormatting sqref="P50">
    <cfRule type="cellIs" dxfId="944" priority="4" operator="lessThan">
      <formula>0</formula>
    </cfRule>
  </conditionalFormatting>
  <conditionalFormatting sqref="P55">
    <cfRule type="cellIs" dxfId="943" priority="3" operator="lessThan">
      <formula>0</formula>
    </cfRule>
  </conditionalFormatting>
  <conditionalFormatting sqref="P61">
    <cfRule type="cellIs" dxfId="942" priority="2" operator="lessThan">
      <formula>0</formula>
    </cfRule>
  </conditionalFormatting>
  <conditionalFormatting sqref="P67">
    <cfRule type="cellIs" dxfId="941" priority="1" operator="lessThan">
      <formula>0</formula>
    </cfRule>
  </conditionalFormatting>
  <dataValidations count="1">
    <dataValidation type="list" allowBlank="1" showInputMessage="1" showErrorMessage="1" sqref="Z8 Z60 Y5:Z7 Y8:Y60 Z10:Z56 Y61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1" sqref="B1:J2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548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67" t="s">
        <v>549</v>
      </c>
      <c r="C3" s="421" t="str">
        <f>TEXT('0710 4度C'!A2,"yyyy.mm.ddaaaa")</f>
        <v>2025.07.10星期四</v>
      </c>
      <c r="D3" s="421"/>
      <c r="E3" s="167" t="s">
        <v>127</v>
      </c>
      <c r="F3" s="422">
        <f>'0710 4度C'!D1</f>
        <v>164363</v>
      </c>
      <c r="G3" s="422"/>
      <c r="H3" s="167" t="s">
        <v>550</v>
      </c>
      <c r="I3" s="423">
        <f>'0710 4度C'!F1</f>
        <v>5400328.7200000007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551</v>
      </c>
      <c r="D4" s="424"/>
      <c r="E4" s="425" t="s">
        <v>92</v>
      </c>
      <c r="F4" s="425"/>
      <c r="G4" s="425" t="s">
        <v>171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552</v>
      </c>
      <c r="D5" s="424"/>
      <c r="E5" s="424" t="s">
        <v>130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138.49870104395984</v>
      </c>
      <c r="F6" s="424">
        <f>AVERAGE(D27:O27,D13:J13)</f>
        <v>143.94628821677927</v>
      </c>
      <c r="G6" s="429">
        <f>AVERAGE(D13:J13)</f>
        <v>143.94628821677927</v>
      </c>
      <c r="H6" s="429"/>
      <c r="I6" s="429">
        <f>AVERAGE(K13:M13)</f>
        <v>125.78766430738119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125.44302807729215</v>
      </c>
      <c r="F7" s="434">
        <f>AVERAGE(D28:O28,D14:J14)</f>
        <v>130.51654131233803</v>
      </c>
      <c r="G7" s="435">
        <f>AVERAGE(D14:J14)</f>
        <v>130.51654131233803</v>
      </c>
      <c r="H7" s="435"/>
      <c r="I7" s="435">
        <f>AVERAGE(K14:M14)</f>
        <v>113.60483052885179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0.90480975803694652</v>
      </c>
      <c r="F8" s="432">
        <f>AVERAGE(D15:J15,D29:O29)</f>
        <v>0.90554232717488381</v>
      </c>
      <c r="G8" s="437">
        <f>AVERAGE(D15:J15)</f>
        <v>0.90554232717488381</v>
      </c>
      <c r="H8" s="437"/>
      <c r="I8" s="437">
        <f>AVERAGE(K15:M15)</f>
        <v>0.90310043004842633</v>
      </c>
      <c r="J8" s="437"/>
      <c r="K8" s="34" t="s">
        <v>553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554</v>
      </c>
      <c r="C10" s="439"/>
      <c r="D10" s="440" t="s">
        <v>555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556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557</v>
      </c>
      <c r="E12" s="42" t="s">
        <v>86</v>
      </c>
      <c r="F12" s="42" t="s">
        <v>558</v>
      </c>
      <c r="G12" s="42" t="s">
        <v>559</v>
      </c>
      <c r="H12" s="42" t="s">
        <v>560</v>
      </c>
      <c r="I12" s="42" t="s">
        <v>561</v>
      </c>
      <c r="J12" s="43" t="s">
        <v>133</v>
      </c>
      <c r="K12" s="41" t="s">
        <v>134</v>
      </c>
      <c r="L12" s="42" t="s">
        <v>562</v>
      </c>
      <c r="M12" s="43" t="s">
        <v>563</v>
      </c>
    </row>
    <row r="13" spans="2:17" ht="40.15" customHeight="1">
      <c r="B13" s="447" t="s">
        <v>564</v>
      </c>
      <c r="C13" s="44" t="s">
        <v>187</v>
      </c>
      <c r="D13" s="45">
        <f>SUMIFS('0710 4度C'!$K:$K,'0710 4度C'!$A:$A,"燴飯線",'0710 4度C'!$B:$B,"平均")</f>
        <v>105.88235294117646</v>
      </c>
      <c r="E13" s="46">
        <f>SUMIFS('0710 4度C'!$K:$K,'0710 4度C'!$A:$A,"沙拉線一線",'0710 4度C'!$B:$B,"平均")</f>
        <v>80</v>
      </c>
      <c r="F13" s="47">
        <f>SUMIFS('0710 4度C'!$K:$K,'0710 4度C'!$A:$A,"沙拉線二線",'0710 4度C'!$B:$B,"平均")</f>
        <v>81.124999999999986</v>
      </c>
      <c r="G13" s="47">
        <f>SUMIFS('0710 4度C'!$K:$K,'0710 4度C'!$A:$A,"沙拉線三線",'0710 4度C'!$B:$B,"平均")</f>
        <v>107.14285714285714</v>
      </c>
      <c r="H13" s="47">
        <f>SUMIFS('0710 4度C'!$K:$K,'0710 4度C'!$A:$A,"自動包裝線",'0710 4度C'!$B:$B,"平均")</f>
        <v>300</v>
      </c>
      <c r="I13" s="47">
        <f>SUMIFS('0710 4度C'!$K:$K,'0710 4度C'!$A:$A,"涼麵一線",'0710 4度C'!$B:$B,"平均")</f>
        <v>89.552238805970148</v>
      </c>
      <c r="J13" s="48">
        <f>SUMIFS('0710 4度C'!$K:$K,'0710 4度C'!$A:$A,"三明治四線",'0710 4度C'!$B:$B,"平均")</f>
        <v>243.92156862745099</v>
      </c>
      <c r="K13" s="49">
        <f>SUMIFS('0710 4度C'!$K:$K,'0710 4度C'!$A:$A,"三明治一線",'0710 4度C'!$B:$B,"平均")</f>
        <v>108</v>
      </c>
      <c r="L13" s="50">
        <f>SUMIFS('0710 4度C'!$K:$K,'0710 4度C'!$A:$A,"三明治二線",'0710 4度C'!$B:$B,"平均")</f>
        <v>130.23255813953489</v>
      </c>
      <c r="M13" s="48">
        <f>SUMIFS('0710 4度C'!$K:$K,'0710 4度C'!$A:$A,"自動包裝二線",'0710 4度C'!$B:$B,"平均")</f>
        <v>139.13043478260869</v>
      </c>
    </row>
    <row r="14" spans="2:17" ht="39.6" customHeight="1">
      <c r="B14" s="447"/>
      <c r="C14" s="51" t="s">
        <v>88</v>
      </c>
      <c r="D14" s="52">
        <f>SUMIFS('0710 4度C'!$N:$N,'0710 4度C'!$A:$A,"燴飯線",'0710 4度C'!$B:$B,"平均")</f>
        <v>96.054105064485682</v>
      </c>
      <c r="E14" s="53">
        <f>SUMIFS('0710 4度C'!$N:$N,'0710 4度C'!$A:$A,"沙拉線一線",'0710 4度C'!$B:$B,"平均")</f>
        <v>72.112579443762542</v>
      </c>
      <c r="F14" s="53">
        <f>SUMIFS('0710 4度C'!$N:$N,'0710 4度C'!$A:$A,"沙拉線二線",'0710 4度C'!$B:$B,"平均")</f>
        <v>73.300479775547487</v>
      </c>
      <c r="G14" s="53">
        <f>SUMIFS('0710 4度C'!$N:$N,'0710 4度C'!$A:$A,"沙拉線三線",'0710 4度C'!$B:$B,"平均")</f>
        <v>97.213832815735103</v>
      </c>
      <c r="H14" s="53">
        <f>SUMIFS('0710 4度C'!$N:$N,'0710 4度C'!$A:$A,"自動包裝線",'0710 4度C'!$B:$B,"平均")</f>
        <v>272.07655002347531</v>
      </c>
      <c r="I14" s="53">
        <f>SUMIFS('0710 4度C'!$N:$N,'0710 4度C'!$A:$A,"涼麵一線",'0710 4度C'!$B:$B,"平均")</f>
        <v>80.768383000719837</v>
      </c>
      <c r="J14" s="54">
        <f>SUMIFS('0710 4度C'!$N:$N,'0710 4度C'!$A:$A,"三明治四線",'0710 4度C'!$B:$B,"平均")</f>
        <v>222.08985906264024</v>
      </c>
      <c r="K14" s="55">
        <f>SUMIFS('0710 4度C'!$N:$N,'0710 4度C'!$A:$A,"三明治一線",'0710 4度C'!$B:$B,"平均")</f>
        <v>97.481526952116923</v>
      </c>
      <c r="L14" s="56">
        <f>SUMIFS('0710 4度C'!$N:$N,'0710 4度C'!$A:$A,"三明治二線",'0710 4度C'!$B:$B,"平均")</f>
        <v>117.57734707779788</v>
      </c>
      <c r="M14" s="54">
        <f>SUMIFS('0710 4度C'!$N:$N,'0710 4度C'!$A:$A,"自動包裝二線",'0710 4度C'!$B:$B,"平均")</f>
        <v>125.75561755664057</v>
      </c>
    </row>
    <row r="15" spans="2:17" ht="40.15" customHeight="1">
      <c r="B15" s="447"/>
      <c r="C15" s="57" t="s">
        <v>189</v>
      </c>
      <c r="D15" s="58">
        <f>D14/D13</f>
        <v>0.9071776589423648</v>
      </c>
      <c r="E15" s="59">
        <f t="shared" ref="E15:M15" si="0">E14/E13</f>
        <v>0.90140724304703179</v>
      </c>
      <c r="F15" s="59">
        <f t="shared" si="0"/>
        <v>0.90354982774172576</v>
      </c>
      <c r="G15" s="59">
        <f t="shared" si="0"/>
        <v>0.90732910628019436</v>
      </c>
      <c r="H15" s="59">
        <f>H14/H13</f>
        <v>0.90692183341158439</v>
      </c>
      <c r="I15" s="59">
        <f>I14/I13</f>
        <v>0.90191361017470484</v>
      </c>
      <c r="J15" s="60">
        <f>J14/J13</f>
        <v>0.91049701062657973</v>
      </c>
      <c r="K15" s="58">
        <f>K14/K13</f>
        <v>0.90260673103811961</v>
      </c>
      <c r="L15" s="59">
        <f>L14/L13</f>
        <v>0.9028260579188051</v>
      </c>
      <c r="M15" s="60">
        <f t="shared" si="0"/>
        <v>0.90386850118835416</v>
      </c>
    </row>
    <row r="16" spans="2:17" ht="17.25" customHeight="1">
      <c r="B16" s="430" t="s">
        <v>565</v>
      </c>
      <c r="C16" s="168" t="s">
        <v>566</v>
      </c>
      <c r="D16" s="61">
        <f>VLOOKUP("燴飯線",'0710 4度C'!$A:$T,19,0)</f>
        <v>0.70833333333333337</v>
      </c>
      <c r="E16" s="24">
        <f>VLOOKUP("沙拉線一線",'0710 4度C'!$A:$T,19,0)</f>
        <v>8.8194444444444436E-2</v>
      </c>
      <c r="F16" s="24">
        <f>VLOOKUP("沙拉線二線",'0710 4度C'!$A:$T,19,0)</f>
        <v>0.25</v>
      </c>
      <c r="G16" s="24">
        <f>VLOOKUP("沙拉線三線",'0710 4度C'!$A:$T,19,0)</f>
        <v>0.25</v>
      </c>
      <c r="H16" s="24">
        <f>VLOOKUP("自動包裝線",'0710 4度C'!$A:$T,19,0)</f>
        <v>0.125</v>
      </c>
      <c r="I16" s="24">
        <f>VLOOKUP("涼麵一線",'0710 4度C'!$A:$T,19,0)</f>
        <v>0.29305555555555557</v>
      </c>
      <c r="J16" s="62">
        <f>VLOOKUP("三明治四線",'0710 4度C'!$A:$T,19,0)</f>
        <v>0.25069444444444444</v>
      </c>
      <c r="K16" s="63">
        <f>VLOOKUP("三明治一線",'0710 4度C'!$A:$T,19,0)</f>
        <v>8.3333333333333329E-2</v>
      </c>
      <c r="L16" s="64">
        <f>VLOOKUP("三明治二線",'0710 4度C'!$A:$T,19,0)</f>
        <v>0.125</v>
      </c>
      <c r="M16" s="65">
        <f>VLOOKUP("自動包裝二線",'0710 4度C'!$A:$T,19,0)</f>
        <v>0.125</v>
      </c>
    </row>
    <row r="17" spans="2:13" ht="17.25" customHeight="1">
      <c r="B17" s="431"/>
      <c r="C17" s="168" t="s">
        <v>460</v>
      </c>
      <c r="D17" s="63">
        <f>LOOKUP(2,1/(('0710 4度C'!$A:$A="燴飯線")*('0710 4度C'!$T:$T&lt;&gt;"")),'0710 4度C'!$T:$T)</f>
        <v>0.84722222222222221</v>
      </c>
      <c r="E17" s="24">
        <f>LOOKUP(2,1/(('0710 4度C'!$A:$A="沙拉線一線")*('0710 4度C'!$T:$T&lt;&gt;"")),'0710 4度C'!$T:$T)</f>
        <v>0.59027777777777768</v>
      </c>
      <c r="F17" s="24">
        <f>LOOKUP(2,1/(('0710 4度C'!$A:$A="沙拉線二線")*('0710 4度C'!$T:$T&lt;&gt;"")),'0710 4度C'!$T:$T)</f>
        <v>0.82569444444444451</v>
      </c>
      <c r="G17" s="24">
        <f>LOOKUP(2,1/(('0710 4度C'!$A:$A="沙拉線三線")*('0710 4度C'!$T:$T&lt;&gt;"")),'0710 4度C'!$T:$T)</f>
        <v>0.81319444444444433</v>
      </c>
      <c r="H17" s="24">
        <f>LOOKUP(2,1/(('0710 4度C'!$A:$A="自動包裝線")*('0710 4度C'!$T:$T&lt;&gt;"")),'0710 4度C'!$T:$T)</f>
        <v>0.61250000000000016</v>
      </c>
      <c r="I17" s="24">
        <f>LOOKUP(2,1/(('0710 4度C'!$A:$A="涼麵一線")*('0710 4度C'!$T:$T&lt;&gt;"")),'0710 4度C'!$T:$T)</f>
        <v>0.8125</v>
      </c>
      <c r="J17" s="62">
        <f>LOOKUP(2,1/(('0710 4度C'!$A:$A="三明治四線")*('0710 4度C'!$T:$T&lt;&gt;"")),'0710 4度C'!$T:$T)</f>
        <v>0.4951388888888888</v>
      </c>
      <c r="K17" s="61">
        <f>LOOKUP(2,1/(('0710 4度C'!$A:$A="三明治一線")*('0710 4度C'!$T:$T&lt;&gt;"")),'0710 4度C'!$T:$T)</f>
        <v>0.65624999999999989</v>
      </c>
      <c r="L17" s="24">
        <f>LOOKUP(2,1/(('0710 4度C'!$A:$A="三明治二線")*('0710 4度C'!$T:$T&lt;&gt;"")),'0710 4度C'!$T:$T)</f>
        <v>0.64930555555555536</v>
      </c>
      <c r="M17" s="62">
        <f>LOOKUP(2,1/(('0710 4度C'!$A:$A="自動包裝二線")*('0710 4度C'!$T:$T&lt;&gt;"")),'0710 4度C'!$T:$T)</f>
        <v>0.66249999999999987</v>
      </c>
    </row>
    <row r="18" spans="2:13" ht="17.25" customHeight="1">
      <c r="B18" s="431" t="s">
        <v>567</v>
      </c>
      <c r="C18" s="446"/>
      <c r="D18" s="66">
        <f>SUMIFS('0710 4度C'!$I:$I,'0710 4度C'!$A:$A,"燴飯線",'0710 4度C'!$B:$B,"平均")</f>
        <v>17</v>
      </c>
      <c r="E18" s="67">
        <f>SUMIFS('0710 4度C'!$I:$I,'0710 4度C'!$A:$A,"沙拉線一線",'0710 4度C'!$B:$B,"平均")</f>
        <v>18.75</v>
      </c>
      <c r="F18" s="67">
        <f>SUMIFS('0710 4度C'!$I:$I,'0710 4度C'!$A:$A,"沙拉線二線",'0710 4度C'!$B:$B,"平均")</f>
        <v>18.666666666666668</v>
      </c>
      <c r="G18" s="67">
        <f>SUMIFS('0710 4度C'!$I:$I,'0710 4度C'!$A:$A,"沙拉線三線",'0710 4度C'!$B:$B,"平均")</f>
        <v>16</v>
      </c>
      <c r="H18" s="67">
        <f>SUMIFS('0710 4度C'!$I:$I,'0710 4度C'!$A:$A,"自動包裝線",'0710 4度C'!$B:$B,"平均")</f>
        <v>10</v>
      </c>
      <c r="I18" s="67">
        <f>SUMIFS('0710 4度C'!$I:$I,'0710 4度C'!$A:$A,"涼麵一線",'0710 4度C'!$B:$B,"平均")</f>
        <v>16.75</v>
      </c>
      <c r="J18" s="68">
        <f>SUMIFS('0710 4度C'!$I:$I,'0710 4度C'!$A:$A,"三明治四線",'0710 4度C'!$B:$B,"平均")</f>
        <v>10.199999999999999</v>
      </c>
      <c r="K18" s="66">
        <f>SUMIFS('0710 4度C'!$I:$I,'0710 4度C'!$A:$A,"三明治一線",'0710 4度C'!$B:$B,"平均")</f>
        <v>22.222222222222221</v>
      </c>
      <c r="L18" s="67">
        <f>SUMIFS('0710 4度C'!$I:$I,'0710 4度C'!$A:$A,"三明治二線",'0710 4度C'!$B:$B,"平均")</f>
        <v>18.428571428571427</v>
      </c>
      <c r="M18" s="68">
        <f>SUMIFS('0710 4度C'!$I:$I,'0710 4度C'!$A:$A,"自動包裝二線",'0710 4度C'!$B:$B,"平均")</f>
        <v>17.25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568</v>
      </c>
      <c r="L19" s="70" t="s">
        <v>568</v>
      </c>
      <c r="M19" s="71" t="s">
        <v>568</v>
      </c>
    </row>
    <row r="20" spans="2:13" ht="17.25" customHeight="1">
      <c r="B20" s="448" t="s">
        <v>569</v>
      </c>
      <c r="C20" s="449"/>
      <c r="D20" s="69"/>
      <c r="E20" s="70"/>
      <c r="F20" s="70" t="s">
        <v>570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571</v>
      </c>
      <c r="C21" s="451"/>
      <c r="D21" s="72"/>
      <c r="E21" s="73" t="s">
        <v>344</v>
      </c>
      <c r="F21" s="452" t="s">
        <v>572</v>
      </c>
      <c r="G21" s="453"/>
      <c r="H21" s="73" t="s">
        <v>107</v>
      </c>
      <c r="I21" s="73" t="s">
        <v>573</v>
      </c>
      <c r="J21" s="74" t="s">
        <v>574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94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575</v>
      </c>
      <c r="B1" s="1"/>
      <c r="C1" s="2" t="s">
        <v>576</v>
      </c>
      <c r="D1" s="3">
        <f>SUM(F5:F77)</f>
        <v>164363</v>
      </c>
      <c r="E1" s="171" t="s">
        <v>577</v>
      </c>
      <c r="F1" s="1">
        <f>SUM(G5:G77)</f>
        <v>5400328.7200000007</v>
      </c>
      <c r="G1" s="1" t="s">
        <v>578</v>
      </c>
      <c r="H1" s="4">
        <f>L8+L13+L57+L62+L20+L68+L38+L46+L28+L77</f>
        <v>165.26746031746032</v>
      </c>
      <c r="I1" s="454" t="s">
        <v>579</v>
      </c>
      <c r="J1" s="454"/>
      <c r="K1" s="454"/>
      <c r="L1" s="454" t="s">
        <v>580</v>
      </c>
      <c r="M1" s="454"/>
      <c r="N1" s="454"/>
      <c r="O1" s="454" t="s">
        <v>581</v>
      </c>
      <c r="P1" s="454"/>
      <c r="Q1" s="454"/>
      <c r="R1" s="454"/>
      <c r="S1" s="454" t="s">
        <v>582</v>
      </c>
      <c r="T1" s="454"/>
      <c r="U1" s="454"/>
      <c r="V1" s="454"/>
      <c r="W1" s="454"/>
      <c r="X1" s="454"/>
      <c r="Y1" s="454" t="s">
        <v>583</v>
      </c>
      <c r="Z1" s="454"/>
      <c r="AA1" s="454" t="s">
        <v>584</v>
      </c>
      <c r="AB1" s="455"/>
      <c r="AC1" s="455"/>
    </row>
    <row r="2" spans="1:29" ht="26.25" customHeight="1">
      <c r="A2" s="22">
        <v>45848</v>
      </c>
      <c r="B2" s="23" t="s">
        <v>261</v>
      </c>
      <c r="C2" s="2" t="s">
        <v>585</v>
      </c>
      <c r="D2" s="6">
        <f>AVERAGE(N8,N13,N57,N62,N20,N68,N28,N38,N46,N77)</f>
        <v>125.44302807729215</v>
      </c>
      <c r="E2" s="7" t="s">
        <v>0</v>
      </c>
      <c r="F2" s="8">
        <f>F1/D1</f>
        <v>32.85610946502559</v>
      </c>
      <c r="G2" s="1" t="s">
        <v>586</v>
      </c>
      <c r="H2" s="169">
        <f>COUNT(H5:H77)</f>
        <v>13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587</v>
      </c>
      <c r="B3" s="456" t="s">
        <v>588</v>
      </c>
      <c r="C3" s="456" t="s">
        <v>589</v>
      </c>
      <c r="D3" s="456"/>
      <c r="E3" s="457" t="s">
        <v>590</v>
      </c>
      <c r="F3" s="456" t="s">
        <v>591</v>
      </c>
      <c r="G3" s="457" t="s">
        <v>592</v>
      </c>
      <c r="H3" s="463" t="s">
        <v>593</v>
      </c>
      <c r="I3" s="464" t="s">
        <v>594</v>
      </c>
      <c r="J3" s="465" t="s">
        <v>595</v>
      </c>
      <c r="K3" s="459" t="s">
        <v>585</v>
      </c>
      <c r="L3" s="464" t="s">
        <v>594</v>
      </c>
      <c r="M3" s="465" t="s">
        <v>595</v>
      </c>
      <c r="N3" s="459" t="s">
        <v>585</v>
      </c>
      <c r="O3" s="464" t="s">
        <v>594</v>
      </c>
      <c r="P3" s="459" t="s">
        <v>585</v>
      </c>
      <c r="Q3" s="460" t="s">
        <v>596</v>
      </c>
      <c r="R3" s="461" t="s">
        <v>597</v>
      </c>
      <c r="S3" s="462" t="s">
        <v>1</v>
      </c>
      <c r="T3" s="462"/>
      <c r="U3" s="463" t="s">
        <v>2</v>
      </c>
      <c r="V3" s="463" t="s">
        <v>598</v>
      </c>
      <c r="W3" s="456" t="s">
        <v>599</v>
      </c>
      <c r="X3" s="456"/>
      <c r="Y3" s="475" t="s">
        <v>600</v>
      </c>
      <c r="Z3" s="476"/>
      <c r="AA3" s="465" t="s">
        <v>595</v>
      </c>
      <c r="AB3" s="460" t="s">
        <v>596</v>
      </c>
      <c r="AC3" s="461" t="s">
        <v>597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72" t="s">
        <v>3</v>
      </c>
      <c r="T4" s="172" t="s">
        <v>4</v>
      </c>
      <c r="U4" s="463"/>
      <c r="V4" s="463"/>
      <c r="W4" s="171" t="s">
        <v>601</v>
      </c>
      <c r="X4" s="171" t="s">
        <v>602</v>
      </c>
      <c r="Y4" s="476"/>
      <c r="Z4" s="476"/>
      <c r="AA4" s="465"/>
      <c r="AB4" s="460"/>
      <c r="AC4" s="461"/>
    </row>
    <row r="5" spans="1:29">
      <c r="A5" s="471" t="s">
        <v>603</v>
      </c>
      <c r="B5" s="26" t="s">
        <v>13</v>
      </c>
      <c r="C5" s="472" t="s">
        <v>58</v>
      </c>
      <c r="D5" s="472"/>
      <c r="E5" s="26">
        <v>46.93</v>
      </c>
      <c r="F5" s="172">
        <v>931</v>
      </c>
      <c r="G5" s="171">
        <f>E5*F5</f>
        <v>43691.83</v>
      </c>
      <c r="H5" s="76" t="s">
        <v>57</v>
      </c>
      <c r="I5" s="170">
        <v>17</v>
      </c>
      <c r="J5" s="18">
        <v>1800</v>
      </c>
      <c r="K5" s="9">
        <f>J5/I5</f>
        <v>105.88235294117646</v>
      </c>
      <c r="L5" s="170">
        <v>17</v>
      </c>
      <c r="M5" s="10">
        <f>F5/V5*60</f>
        <v>1642.941176470586</v>
      </c>
      <c r="N5" s="9">
        <f>M5/L5</f>
        <v>96.643598615916829</v>
      </c>
      <c r="O5" s="11">
        <f t="shared" ref="O5:O7" si="0">L5-I5</f>
        <v>0</v>
      </c>
      <c r="P5" s="12">
        <f t="shared" ref="P5:P7" si="1">N5-K5</f>
        <v>-9.2387543252596345</v>
      </c>
      <c r="Q5" s="176">
        <f>N5/K5</f>
        <v>0.91274509803921455</v>
      </c>
      <c r="R5" s="470">
        <f>Q8</f>
        <v>0.9071776589423648</v>
      </c>
      <c r="S5" s="24">
        <v>0.70833333333333337</v>
      </c>
      <c r="T5" s="24">
        <v>0.73194444444444451</v>
      </c>
      <c r="U5" s="171"/>
      <c r="V5" s="175">
        <f>(T5-S5)*24*60</f>
        <v>34.000000000000043</v>
      </c>
      <c r="W5" s="13"/>
      <c r="X5" s="13"/>
      <c r="Y5" s="456"/>
      <c r="Z5" s="456"/>
      <c r="AA5" s="11">
        <f t="shared" ref="AA5:AA68" si="2">M5-J5</f>
        <v>-157.05882352941398</v>
      </c>
      <c r="AB5" s="176">
        <f t="shared" ref="AB5:AB7" si="3">M5/J5</f>
        <v>0.91274509803921444</v>
      </c>
      <c r="AC5" s="470">
        <f>AB8</f>
        <v>0.90717765894236468</v>
      </c>
    </row>
    <row r="6" spans="1:29">
      <c r="A6" s="464" t="s">
        <v>603</v>
      </c>
      <c r="B6" s="26" t="s">
        <v>13</v>
      </c>
      <c r="C6" s="472" t="s">
        <v>60</v>
      </c>
      <c r="D6" s="472"/>
      <c r="E6" s="26">
        <v>50.49</v>
      </c>
      <c r="F6" s="172">
        <v>1795</v>
      </c>
      <c r="G6" s="171">
        <f t="shared" ref="G6:G7" si="4">E6*F6</f>
        <v>90629.55</v>
      </c>
      <c r="H6" s="76" t="s">
        <v>57</v>
      </c>
      <c r="I6" s="170">
        <v>16</v>
      </c>
      <c r="J6" s="18">
        <v>1800</v>
      </c>
      <c r="K6" s="9">
        <f t="shared" ref="K6:K7" si="5">J6/I6</f>
        <v>112.5</v>
      </c>
      <c r="L6" s="170">
        <v>16</v>
      </c>
      <c r="M6" s="10">
        <f>F6/V6*60</f>
        <v>1631.8181818181836</v>
      </c>
      <c r="N6" s="9">
        <f t="shared" ref="N6:N7" si="6">M6/L6</f>
        <v>101.98863636363647</v>
      </c>
      <c r="O6" s="11">
        <f t="shared" si="0"/>
        <v>0</v>
      </c>
      <c r="P6" s="12">
        <f t="shared" si="1"/>
        <v>-10.511363636363527</v>
      </c>
      <c r="Q6" s="176">
        <f t="shared" ref="Q6:Q7" si="7">N6/K6</f>
        <v>0.90656565656565757</v>
      </c>
      <c r="R6" s="470"/>
      <c r="S6" s="24">
        <v>0.73541666666666672</v>
      </c>
      <c r="T6" s="24">
        <v>0.78125</v>
      </c>
      <c r="U6" s="171">
        <f>(S6-T5)*24*60</f>
        <v>4.9999999999999822</v>
      </c>
      <c r="V6" s="175">
        <f>(T6-S6)*24*60</f>
        <v>65.999999999999929</v>
      </c>
      <c r="W6" s="14"/>
      <c r="X6" s="14"/>
      <c r="Y6" s="456"/>
      <c r="Z6" s="456"/>
      <c r="AA6" s="11">
        <f t="shared" si="2"/>
        <v>-168.18181818181642</v>
      </c>
      <c r="AB6" s="176">
        <f t="shared" si="3"/>
        <v>0.90656565656565757</v>
      </c>
      <c r="AC6" s="470"/>
    </row>
    <row r="7" spans="1:29">
      <c r="A7" s="464" t="s">
        <v>603</v>
      </c>
      <c r="B7" s="26" t="s">
        <v>13</v>
      </c>
      <c r="C7" s="468" t="s">
        <v>448</v>
      </c>
      <c r="D7" s="469"/>
      <c r="E7" s="26">
        <v>50.67</v>
      </c>
      <c r="F7" s="172">
        <v>2436</v>
      </c>
      <c r="G7" s="171">
        <f t="shared" si="4"/>
        <v>123432.12000000001</v>
      </c>
      <c r="H7" s="76" t="s">
        <v>57</v>
      </c>
      <c r="I7" s="170">
        <v>18</v>
      </c>
      <c r="J7" s="18">
        <v>1800</v>
      </c>
      <c r="K7" s="9">
        <f t="shared" si="5"/>
        <v>100</v>
      </c>
      <c r="L7" s="170">
        <v>18</v>
      </c>
      <c r="M7" s="10">
        <f t="shared" ref="M7" si="8">F7/V7*60</f>
        <v>1624</v>
      </c>
      <c r="N7" s="9">
        <f t="shared" si="6"/>
        <v>90.222222222222229</v>
      </c>
      <c r="O7" s="11">
        <f t="shared" si="0"/>
        <v>0</v>
      </c>
      <c r="P7" s="12">
        <f t="shared" si="1"/>
        <v>-9.7777777777777715</v>
      </c>
      <c r="Q7" s="176">
        <f t="shared" si="7"/>
        <v>0.90222222222222226</v>
      </c>
      <c r="R7" s="470"/>
      <c r="S7" s="24">
        <v>0.78472222222222221</v>
      </c>
      <c r="T7" s="24">
        <v>0.84722222222222221</v>
      </c>
      <c r="U7" s="171">
        <f t="shared" ref="U7" si="9">(S7-T6)*24*60</f>
        <v>4.9999999999999822</v>
      </c>
      <c r="V7" s="175">
        <f t="shared" ref="V7" si="10">(T7-S7)*24*60</f>
        <v>90</v>
      </c>
      <c r="W7" s="14"/>
      <c r="X7" s="14"/>
      <c r="Y7" s="473"/>
      <c r="Z7" s="474"/>
      <c r="AA7" s="11">
        <f t="shared" si="2"/>
        <v>-176</v>
      </c>
      <c r="AB7" s="176">
        <f t="shared" si="3"/>
        <v>0.90222222222222226</v>
      </c>
      <c r="AC7" s="470"/>
    </row>
    <row r="8" spans="1:29">
      <c r="A8" s="464" t="s">
        <v>603</v>
      </c>
      <c r="B8" s="26" t="s">
        <v>604</v>
      </c>
      <c r="C8" s="466"/>
      <c r="D8" s="466"/>
      <c r="E8" s="177"/>
      <c r="F8" s="16"/>
      <c r="G8" s="9"/>
      <c r="H8" s="172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1632.9197860962565</v>
      </c>
      <c r="N8" s="9">
        <f>M8/L8</f>
        <v>96.054105064485682</v>
      </c>
      <c r="O8" s="11">
        <f>L8-I8</f>
        <v>0</v>
      </c>
      <c r="P8" s="12">
        <f>N8-K8</f>
        <v>-9.8282478766907815</v>
      </c>
      <c r="Q8" s="176">
        <f>N8/K8</f>
        <v>0.9071776589423648</v>
      </c>
      <c r="R8" s="470"/>
      <c r="S8" s="24"/>
      <c r="T8" s="24"/>
      <c r="U8" s="171"/>
      <c r="V8" s="175"/>
      <c r="W8" s="9"/>
      <c r="X8" s="9"/>
      <c r="Y8" s="456"/>
      <c r="Z8" s="456"/>
      <c r="AA8" s="11">
        <f t="shared" si="2"/>
        <v>-167.08021390374347</v>
      </c>
      <c r="AB8" s="176">
        <f>M8/J8</f>
        <v>0.90717765894236468</v>
      </c>
      <c r="AC8" s="470"/>
    </row>
    <row r="9" spans="1:29" ht="15.75" customHeight="1">
      <c r="A9" s="467" t="s">
        <v>605</v>
      </c>
      <c r="B9" s="26" t="s">
        <v>15</v>
      </c>
      <c r="C9" s="468" t="s">
        <v>16</v>
      </c>
      <c r="D9" s="469"/>
      <c r="E9" s="26">
        <v>39.619999999999997</v>
      </c>
      <c r="F9" s="172">
        <v>2700</v>
      </c>
      <c r="G9" s="171">
        <f t="shared" ref="G9:G12" si="11">E9*F9</f>
        <v>106974</v>
      </c>
      <c r="H9" s="76">
        <v>2</v>
      </c>
      <c r="I9" s="170">
        <v>19</v>
      </c>
      <c r="J9" s="18">
        <v>1500</v>
      </c>
      <c r="K9" s="9">
        <f t="shared" ref="K9:K12" si="12">J9/I9</f>
        <v>78.94736842105263</v>
      </c>
      <c r="L9" s="170">
        <v>19</v>
      </c>
      <c r="M9" s="10">
        <f t="shared" ref="M9:M12" si="13">F9/V9*60</f>
        <v>1350</v>
      </c>
      <c r="N9" s="9">
        <f t="shared" ref="N9:N12" si="14">M9/L9</f>
        <v>71.05263157894737</v>
      </c>
      <c r="O9" s="11">
        <f t="shared" ref="O9:O12" si="15">L9-I9</f>
        <v>0</v>
      </c>
      <c r="P9" s="12">
        <f>N9-K9</f>
        <v>-7.8947368421052602</v>
      </c>
      <c r="Q9" s="176">
        <f>N9/K9</f>
        <v>0.9</v>
      </c>
      <c r="R9" s="470">
        <f>Q13</f>
        <v>0.90140724304703179</v>
      </c>
      <c r="S9" s="24">
        <v>8.8194444444444436E-2</v>
      </c>
      <c r="T9" s="24">
        <v>0.17152777777777778</v>
      </c>
      <c r="U9" s="171"/>
      <c r="V9" s="175">
        <f t="shared" ref="V9:V12" si="16">(T9-S9)*24*60</f>
        <v>120</v>
      </c>
      <c r="W9" s="9"/>
      <c r="X9" s="9"/>
      <c r="Y9" s="456"/>
      <c r="Z9" s="456"/>
      <c r="AA9" s="11">
        <f t="shared" si="2"/>
        <v>-150</v>
      </c>
      <c r="AB9" s="176">
        <f>M9/J9</f>
        <v>0.9</v>
      </c>
      <c r="AC9" s="470">
        <f>AB13</f>
        <v>0.90140724304703179</v>
      </c>
    </row>
    <row r="10" spans="1:29" ht="15.75" customHeight="1">
      <c r="A10" s="467" t="s">
        <v>5</v>
      </c>
      <c r="B10" s="26" t="s">
        <v>15</v>
      </c>
      <c r="C10" s="468" t="s">
        <v>17</v>
      </c>
      <c r="D10" s="469"/>
      <c r="E10" s="26">
        <v>39.799999999999997</v>
      </c>
      <c r="F10" s="172">
        <v>4000</v>
      </c>
      <c r="G10" s="171">
        <f t="shared" si="11"/>
        <v>159200</v>
      </c>
      <c r="H10" s="76">
        <v>2</v>
      </c>
      <c r="I10" s="170">
        <v>18</v>
      </c>
      <c r="J10" s="18">
        <v>1500</v>
      </c>
      <c r="K10" s="9">
        <f t="shared" si="12"/>
        <v>83.333333333333329</v>
      </c>
      <c r="L10" s="170">
        <v>18</v>
      </c>
      <c r="M10" s="10">
        <f t="shared" si="13"/>
        <v>1348.3146067415732</v>
      </c>
      <c r="N10" s="9">
        <f t="shared" si="14"/>
        <v>74.906367041198507</v>
      </c>
      <c r="O10" s="11">
        <f t="shared" si="15"/>
        <v>0</v>
      </c>
      <c r="P10" s="12">
        <f t="shared" ref="P10:P12" si="17">N10-K10</f>
        <v>-8.4269662921348214</v>
      </c>
      <c r="Q10" s="176">
        <f t="shared" ref="Q10:Q12" si="18">N10/K10</f>
        <v>0.89887640449438211</v>
      </c>
      <c r="R10" s="470"/>
      <c r="S10" s="24">
        <v>0.19583333333333336</v>
      </c>
      <c r="T10" s="24">
        <v>0.31944444444444448</v>
      </c>
      <c r="U10" s="171">
        <f>(S10-T9)*24*60</f>
        <v>35.000000000000036</v>
      </c>
      <c r="V10" s="175">
        <f t="shared" si="16"/>
        <v>178</v>
      </c>
      <c r="W10" s="14"/>
      <c r="X10" s="14"/>
      <c r="Y10" s="456"/>
      <c r="Z10" s="456"/>
      <c r="AA10" s="11">
        <f t="shared" si="2"/>
        <v>-151.68539325842676</v>
      </c>
      <c r="AB10" s="176">
        <f t="shared" ref="AB10:AB28" si="19">M10/J10</f>
        <v>0.89887640449438211</v>
      </c>
      <c r="AC10" s="470"/>
    </row>
    <row r="11" spans="1:29" ht="15.75" customHeight="1">
      <c r="A11" s="467" t="s">
        <v>5</v>
      </c>
      <c r="B11" s="26" t="s">
        <v>15</v>
      </c>
      <c r="C11" s="468" t="s">
        <v>517</v>
      </c>
      <c r="D11" s="469"/>
      <c r="E11" s="26">
        <v>37.5</v>
      </c>
      <c r="F11" s="172">
        <v>5734</v>
      </c>
      <c r="G11" s="171">
        <f t="shared" si="11"/>
        <v>215025</v>
      </c>
      <c r="H11" s="76" t="s">
        <v>57</v>
      </c>
      <c r="I11" s="170">
        <v>19</v>
      </c>
      <c r="J11" s="18">
        <v>1500</v>
      </c>
      <c r="K11" s="9">
        <f t="shared" si="12"/>
        <v>78.94736842105263</v>
      </c>
      <c r="L11" s="170">
        <v>19</v>
      </c>
      <c r="M11" s="10">
        <f t="shared" si="13"/>
        <v>1349.1764705882351</v>
      </c>
      <c r="N11" s="9">
        <f t="shared" si="14"/>
        <v>71.009287925696583</v>
      </c>
      <c r="O11" s="11">
        <f t="shared" si="15"/>
        <v>0</v>
      </c>
      <c r="P11" s="12">
        <f t="shared" si="17"/>
        <v>-7.9380804953560471</v>
      </c>
      <c r="Q11" s="176">
        <f t="shared" si="18"/>
        <v>0.89945098039215676</v>
      </c>
      <c r="R11" s="470"/>
      <c r="S11" s="24">
        <v>0.32916666666666666</v>
      </c>
      <c r="T11" s="24">
        <v>0.50624999999999998</v>
      </c>
      <c r="U11" s="171">
        <f t="shared" ref="U11:U12" si="20">(S11-T10)*24*60</f>
        <v>13.99999999999995</v>
      </c>
      <c r="V11" s="175">
        <f t="shared" si="16"/>
        <v>255</v>
      </c>
      <c r="W11" s="14"/>
      <c r="X11" s="14"/>
      <c r="Y11" s="456"/>
      <c r="Z11" s="456"/>
      <c r="AA11" s="11">
        <f t="shared" si="2"/>
        <v>-150.82352941176487</v>
      </c>
      <c r="AB11" s="176">
        <f t="shared" si="19"/>
        <v>0.89945098039215676</v>
      </c>
      <c r="AC11" s="470"/>
    </row>
    <row r="12" spans="1:29" ht="15.75" customHeight="1">
      <c r="A12" s="467" t="s">
        <v>5</v>
      </c>
      <c r="B12" s="26" t="s">
        <v>15</v>
      </c>
      <c r="C12" s="468" t="s">
        <v>16</v>
      </c>
      <c r="D12" s="469"/>
      <c r="E12" s="26">
        <v>39.619999999999997</v>
      </c>
      <c r="F12" s="172">
        <v>1429</v>
      </c>
      <c r="G12" s="171">
        <f t="shared" si="11"/>
        <v>56616.979999999996</v>
      </c>
      <c r="H12" s="76" t="s">
        <v>57</v>
      </c>
      <c r="I12" s="170">
        <v>19</v>
      </c>
      <c r="J12" s="18">
        <v>1500</v>
      </c>
      <c r="K12" s="9">
        <f t="shared" si="12"/>
        <v>78.94736842105263</v>
      </c>
      <c r="L12" s="170">
        <v>19</v>
      </c>
      <c r="M12" s="10">
        <f t="shared" si="13"/>
        <v>1360.9523809523823</v>
      </c>
      <c r="N12" s="9">
        <f t="shared" si="14"/>
        <v>71.629072681704329</v>
      </c>
      <c r="O12" s="11">
        <f t="shared" si="15"/>
        <v>0</v>
      </c>
      <c r="P12" s="12">
        <f t="shared" si="17"/>
        <v>-7.3182957393483008</v>
      </c>
      <c r="Q12" s="176">
        <f t="shared" si="18"/>
        <v>0.90730158730158816</v>
      </c>
      <c r="R12" s="470"/>
      <c r="S12" s="24">
        <v>0.54652777777777772</v>
      </c>
      <c r="T12" s="24">
        <v>0.59027777777777768</v>
      </c>
      <c r="U12" s="171">
        <f t="shared" si="20"/>
        <v>57.999999999999957</v>
      </c>
      <c r="V12" s="175">
        <f t="shared" si="16"/>
        <v>62.999999999999936</v>
      </c>
      <c r="W12" s="14"/>
      <c r="X12" s="14"/>
      <c r="Y12" s="456"/>
      <c r="Z12" s="456"/>
      <c r="AA12" s="11">
        <f t="shared" si="2"/>
        <v>-139.04761904761767</v>
      </c>
      <c r="AB12" s="176">
        <f t="shared" si="19"/>
        <v>0.90730158730158816</v>
      </c>
      <c r="AC12" s="470"/>
    </row>
    <row r="13" spans="1:29" ht="16.5" customHeight="1">
      <c r="A13" s="467" t="s">
        <v>5</v>
      </c>
      <c r="B13" s="26" t="s">
        <v>604</v>
      </c>
      <c r="C13" s="466"/>
      <c r="D13" s="466"/>
      <c r="E13" s="177"/>
      <c r="F13" s="18"/>
      <c r="G13" s="10"/>
      <c r="H13" s="172"/>
      <c r="I13" s="17">
        <v>18.75</v>
      </c>
      <c r="J13" s="18">
        <v>1500</v>
      </c>
      <c r="K13" s="9">
        <f>J13/I13</f>
        <v>80</v>
      </c>
      <c r="L13" s="17">
        <v>18.75</v>
      </c>
      <c r="M13" s="10">
        <f>AVERAGE(M9:M12)</f>
        <v>1352.1108645705476</v>
      </c>
      <c r="N13" s="9">
        <f>M13/L13</f>
        <v>72.112579443762542</v>
      </c>
      <c r="O13" s="11">
        <f>L13-I13</f>
        <v>0</v>
      </c>
      <c r="P13" s="12">
        <f>N13-K13</f>
        <v>-7.8874205562374584</v>
      </c>
      <c r="Q13" s="176">
        <f>N13/K13</f>
        <v>0.90140724304703179</v>
      </c>
      <c r="R13" s="470"/>
      <c r="S13" s="24"/>
      <c r="T13" s="24"/>
      <c r="U13" s="9"/>
      <c r="V13" s="175"/>
      <c r="W13" s="9"/>
      <c r="X13" s="9"/>
      <c r="Y13" s="456"/>
      <c r="Z13" s="456"/>
      <c r="AA13" s="11">
        <f t="shared" si="2"/>
        <v>-147.88913542945238</v>
      </c>
      <c r="AB13" s="176">
        <f t="shared" si="19"/>
        <v>0.90140724304703179</v>
      </c>
      <c r="AC13" s="470"/>
    </row>
    <row r="14" spans="1:29" ht="16.5" customHeight="1">
      <c r="A14" s="480" t="s">
        <v>606</v>
      </c>
      <c r="B14" s="172" t="s">
        <v>18</v>
      </c>
      <c r="C14" s="477" t="s">
        <v>19</v>
      </c>
      <c r="D14" s="477"/>
      <c r="E14" s="26">
        <v>41</v>
      </c>
      <c r="F14" s="172">
        <v>1670</v>
      </c>
      <c r="G14" s="171">
        <f t="shared" ref="G14:G19" si="21">E14*F14</f>
        <v>68470</v>
      </c>
      <c r="H14" s="76" t="s">
        <v>57</v>
      </c>
      <c r="I14" s="170">
        <v>26</v>
      </c>
      <c r="J14" s="18">
        <v>1286</v>
      </c>
      <c r="K14" s="9">
        <f>J14/I14</f>
        <v>49.46153846153846</v>
      </c>
      <c r="L14" s="170">
        <v>26</v>
      </c>
      <c r="M14" s="10">
        <f>F14/V14*60</f>
        <v>1165.1162790697672</v>
      </c>
      <c r="N14" s="9">
        <f t="shared" ref="N14:N27" si="22">M14/L14</f>
        <v>44.812164579606431</v>
      </c>
      <c r="O14" s="11">
        <f t="shared" ref="O14" si="23">L14-I14</f>
        <v>0</v>
      </c>
      <c r="P14" s="12">
        <f t="shared" ref="P14" si="24">N14-K14</f>
        <v>-4.6493738819320285</v>
      </c>
      <c r="Q14" s="176">
        <f>N14/K14</f>
        <v>0.90600021700603983</v>
      </c>
      <c r="R14" s="470">
        <f>Q20</f>
        <v>0.90354982774172576</v>
      </c>
      <c r="S14" s="24">
        <v>0.25</v>
      </c>
      <c r="T14" s="24">
        <v>0.30972222222222223</v>
      </c>
      <c r="U14" s="171"/>
      <c r="V14" s="175">
        <f>(T14-S14)*24*60</f>
        <v>86.000000000000014</v>
      </c>
      <c r="W14" s="15"/>
      <c r="X14" s="15"/>
      <c r="Y14" s="456"/>
      <c r="Z14" s="456"/>
      <c r="AA14" s="11">
        <f t="shared" si="2"/>
        <v>-120.88372093023281</v>
      </c>
      <c r="AB14" s="176">
        <f t="shared" si="19"/>
        <v>0.90600021700603983</v>
      </c>
      <c r="AC14" s="470">
        <f>AB20</f>
        <v>0.90354982774172554</v>
      </c>
    </row>
    <row r="15" spans="1:29" ht="16.5" customHeight="1">
      <c r="A15" s="481" t="s">
        <v>6</v>
      </c>
      <c r="B15" s="172" t="s">
        <v>15</v>
      </c>
      <c r="C15" s="477" t="s">
        <v>68</v>
      </c>
      <c r="D15" s="477"/>
      <c r="E15" s="26">
        <v>39.29</v>
      </c>
      <c r="F15" s="172">
        <v>2192</v>
      </c>
      <c r="G15" s="171">
        <f t="shared" si="21"/>
        <v>86123.68</v>
      </c>
      <c r="H15" s="76" t="s">
        <v>57</v>
      </c>
      <c r="I15" s="170">
        <v>18</v>
      </c>
      <c r="J15" s="18">
        <v>1500</v>
      </c>
      <c r="K15" s="9">
        <f>J15/I15</f>
        <v>83.333333333333329</v>
      </c>
      <c r="L15" s="170">
        <v>18</v>
      </c>
      <c r="M15" s="10">
        <f>F15/V15*60</f>
        <v>1355.8762886597942</v>
      </c>
      <c r="N15" s="9">
        <f t="shared" si="22"/>
        <v>75.326460481099673</v>
      </c>
      <c r="O15" s="11">
        <f>L15-I15</f>
        <v>0</v>
      </c>
      <c r="P15" s="12">
        <f>N15-K15</f>
        <v>-8.0068728522336556</v>
      </c>
      <c r="Q15" s="176">
        <f>N15/K15</f>
        <v>0.90391752577319617</v>
      </c>
      <c r="R15" s="470"/>
      <c r="S15" s="24">
        <v>0.31736111111111109</v>
      </c>
      <c r="T15" s="24">
        <v>0.38472222222222219</v>
      </c>
      <c r="U15" s="171">
        <f>(S15-T14)*24*60</f>
        <v>10.999999999999961</v>
      </c>
      <c r="V15" s="175">
        <f>(T15-S15)*24*60</f>
        <v>96.999999999999972</v>
      </c>
      <c r="W15" s="14"/>
      <c r="X15" s="14"/>
      <c r="Y15" s="456"/>
      <c r="Z15" s="456"/>
      <c r="AA15" s="11">
        <f t="shared" si="2"/>
        <v>-144.12371134020577</v>
      </c>
      <c r="AB15" s="176">
        <f t="shared" si="19"/>
        <v>0.90391752577319617</v>
      </c>
      <c r="AC15" s="470"/>
    </row>
    <row r="16" spans="1:29" ht="16.5" customHeight="1">
      <c r="A16" s="481" t="s">
        <v>6</v>
      </c>
      <c r="B16" s="172" t="s">
        <v>15</v>
      </c>
      <c r="C16" s="477" t="s">
        <v>54</v>
      </c>
      <c r="D16" s="477"/>
      <c r="E16" s="26">
        <v>39.29</v>
      </c>
      <c r="F16" s="172">
        <v>3219</v>
      </c>
      <c r="G16" s="171">
        <f t="shared" si="21"/>
        <v>126474.51</v>
      </c>
      <c r="H16" s="76" t="s">
        <v>57</v>
      </c>
      <c r="I16" s="170">
        <v>17</v>
      </c>
      <c r="J16" s="18">
        <v>1500</v>
      </c>
      <c r="K16" s="9">
        <f t="shared" ref="K16:K19" si="25">J16/I16</f>
        <v>88.235294117647058</v>
      </c>
      <c r="L16" s="170">
        <v>17</v>
      </c>
      <c r="M16" s="10">
        <f t="shared" ref="M16:M18" si="26">F16/V16*60</f>
        <v>1350.6293706293709</v>
      </c>
      <c r="N16" s="9">
        <f t="shared" si="22"/>
        <v>79.448786507610052</v>
      </c>
      <c r="O16" s="11">
        <f t="shared" ref="O16:O19" si="27">L16-I16</f>
        <v>0</v>
      </c>
      <c r="P16" s="12">
        <f t="shared" ref="P16:P19" si="28">N16-K16</f>
        <v>-8.7865076100370061</v>
      </c>
      <c r="Q16" s="176">
        <f t="shared" ref="Q16:Q27" si="29">N16/K16</f>
        <v>0.90041958041958059</v>
      </c>
      <c r="R16" s="470"/>
      <c r="S16" s="24">
        <v>0.39374999999999993</v>
      </c>
      <c r="T16" s="24">
        <v>0.49305555555555547</v>
      </c>
      <c r="U16" s="171">
        <f t="shared" ref="U16:U19" si="30">(S16-T15)*24*60</f>
        <v>12.999999999999954</v>
      </c>
      <c r="V16" s="175">
        <f t="shared" ref="V16:V19" si="31">(T16-S16)*24*60</f>
        <v>142.99999999999997</v>
      </c>
      <c r="W16" s="14"/>
      <c r="X16" s="14"/>
      <c r="Y16" s="456"/>
      <c r="Z16" s="456"/>
      <c r="AA16" s="11">
        <f t="shared" si="2"/>
        <v>-149.3706293706291</v>
      </c>
      <c r="AB16" s="176">
        <f t="shared" si="19"/>
        <v>0.90041958041958059</v>
      </c>
      <c r="AC16" s="470"/>
    </row>
    <row r="17" spans="1:29" ht="16.5" customHeight="1">
      <c r="A17" s="481" t="s">
        <v>6</v>
      </c>
      <c r="B17" s="172" t="s">
        <v>15</v>
      </c>
      <c r="C17" s="477" t="s">
        <v>17</v>
      </c>
      <c r="D17" s="477"/>
      <c r="E17" s="26">
        <v>39.799999999999997</v>
      </c>
      <c r="F17" s="172">
        <v>1538</v>
      </c>
      <c r="G17" s="171">
        <f t="shared" si="21"/>
        <v>61212.399999999994</v>
      </c>
      <c r="H17" s="76" t="s">
        <v>57</v>
      </c>
      <c r="I17" s="170">
        <v>18</v>
      </c>
      <c r="J17" s="18">
        <v>1500</v>
      </c>
      <c r="K17" s="9">
        <f t="shared" si="25"/>
        <v>83.333333333333329</v>
      </c>
      <c r="L17" s="170">
        <v>18</v>
      </c>
      <c r="M17" s="10">
        <f t="shared" si="26"/>
        <v>1357.0588235294135</v>
      </c>
      <c r="N17" s="9">
        <f t="shared" si="22"/>
        <v>75.392156862745196</v>
      </c>
      <c r="O17" s="11">
        <f t="shared" si="27"/>
        <v>0</v>
      </c>
      <c r="P17" s="12">
        <f t="shared" si="28"/>
        <v>-7.9411764705881325</v>
      </c>
      <c r="Q17" s="176">
        <f t="shared" si="29"/>
        <v>0.90470588235294236</v>
      </c>
      <c r="R17" s="470"/>
      <c r="S17" s="24">
        <v>0.57361111111111096</v>
      </c>
      <c r="T17" s="24">
        <v>0.62083333333333313</v>
      </c>
      <c r="U17" s="171">
        <f t="shared" si="30"/>
        <v>115.99999999999991</v>
      </c>
      <c r="V17" s="175">
        <f t="shared" si="31"/>
        <v>67.999999999999915</v>
      </c>
      <c r="W17" s="14"/>
      <c r="X17" s="14"/>
      <c r="Y17" s="456"/>
      <c r="Z17" s="456"/>
      <c r="AA17" s="11">
        <f t="shared" si="2"/>
        <v>-142.94117647058647</v>
      </c>
      <c r="AB17" s="176">
        <f t="shared" si="19"/>
        <v>0.90470588235294236</v>
      </c>
      <c r="AC17" s="470"/>
    </row>
    <row r="18" spans="1:29" ht="16.5" customHeight="1">
      <c r="A18" s="481" t="s">
        <v>6</v>
      </c>
      <c r="B18" s="172" t="s">
        <v>13</v>
      </c>
      <c r="C18" s="477" t="s">
        <v>63</v>
      </c>
      <c r="D18" s="477"/>
      <c r="E18" s="26">
        <v>50.98</v>
      </c>
      <c r="F18" s="172">
        <v>2427</v>
      </c>
      <c r="G18" s="171">
        <f t="shared" si="21"/>
        <v>123728.45999999999</v>
      </c>
      <c r="H18" s="76" t="s">
        <v>57</v>
      </c>
      <c r="I18" s="170">
        <v>17</v>
      </c>
      <c r="J18" s="18">
        <v>1800</v>
      </c>
      <c r="K18" s="9">
        <f t="shared" si="25"/>
        <v>105.88235294117646</v>
      </c>
      <c r="L18" s="170">
        <v>17</v>
      </c>
      <c r="M18" s="10">
        <f t="shared" si="26"/>
        <v>1618</v>
      </c>
      <c r="N18" s="9">
        <f t="shared" si="22"/>
        <v>95.17647058823529</v>
      </c>
      <c r="O18" s="11">
        <f t="shared" si="27"/>
        <v>0</v>
      </c>
      <c r="P18" s="12">
        <f t="shared" si="28"/>
        <v>-10.705882352941174</v>
      </c>
      <c r="Q18" s="176">
        <f t="shared" si="29"/>
        <v>0.89888888888888896</v>
      </c>
      <c r="R18" s="470"/>
      <c r="S18" s="24">
        <v>0.70833333333333337</v>
      </c>
      <c r="T18" s="24">
        <v>0.77083333333333337</v>
      </c>
      <c r="U18" s="171">
        <f t="shared" si="30"/>
        <v>126.00000000000036</v>
      </c>
      <c r="V18" s="175">
        <f t="shared" si="31"/>
        <v>90</v>
      </c>
      <c r="W18" s="14"/>
      <c r="X18" s="14"/>
      <c r="Y18" s="456"/>
      <c r="Z18" s="456"/>
      <c r="AA18" s="11">
        <f t="shared" si="2"/>
        <v>-182</v>
      </c>
      <c r="AB18" s="176">
        <f t="shared" si="19"/>
        <v>0.89888888888888885</v>
      </c>
      <c r="AC18" s="470"/>
    </row>
    <row r="19" spans="1:29" ht="16.5" customHeight="1">
      <c r="A19" s="481" t="s">
        <v>6</v>
      </c>
      <c r="B19" s="172" t="s">
        <v>13</v>
      </c>
      <c r="C19" s="482" t="s">
        <v>66</v>
      </c>
      <c r="D19" s="483"/>
      <c r="E19" s="26">
        <v>57.73</v>
      </c>
      <c r="F19" s="172">
        <v>1681</v>
      </c>
      <c r="G19" s="171">
        <f t="shared" si="21"/>
        <v>97044.12999999999</v>
      </c>
      <c r="H19" s="76" t="s">
        <v>57</v>
      </c>
      <c r="I19" s="170">
        <v>16</v>
      </c>
      <c r="J19" s="18">
        <v>1500</v>
      </c>
      <c r="K19" s="9">
        <f t="shared" si="25"/>
        <v>93.75</v>
      </c>
      <c r="L19" s="170">
        <v>16</v>
      </c>
      <c r="M19" s="10">
        <f>F19/V19*60</f>
        <v>1362.972972972972</v>
      </c>
      <c r="N19" s="9">
        <f t="shared" si="22"/>
        <v>85.18581081081075</v>
      </c>
      <c r="O19" s="11">
        <f t="shared" si="27"/>
        <v>0</v>
      </c>
      <c r="P19" s="12">
        <f t="shared" si="28"/>
        <v>-8.5641891891892499</v>
      </c>
      <c r="Q19" s="176">
        <f t="shared" si="29"/>
        <v>0.90864864864864803</v>
      </c>
      <c r="R19" s="470"/>
      <c r="S19" s="24">
        <v>0.77430555555555558</v>
      </c>
      <c r="T19" s="24">
        <v>0.82569444444444451</v>
      </c>
      <c r="U19" s="171">
        <f t="shared" si="30"/>
        <v>4.9999999999999822</v>
      </c>
      <c r="V19" s="175">
        <f t="shared" si="31"/>
        <v>74.000000000000057</v>
      </c>
      <c r="W19" s="14"/>
      <c r="X19" s="14"/>
      <c r="Y19" s="473"/>
      <c r="Z19" s="474"/>
      <c r="AA19" s="11">
        <f t="shared" si="2"/>
        <v>-137.027027027028</v>
      </c>
      <c r="AB19" s="176">
        <f t="shared" si="19"/>
        <v>0.90864864864864803</v>
      </c>
      <c r="AC19" s="470"/>
    </row>
    <row r="20" spans="1:29" ht="16.5" customHeight="1">
      <c r="A20" s="481" t="s">
        <v>6</v>
      </c>
      <c r="B20" s="26" t="s">
        <v>604</v>
      </c>
      <c r="C20" s="466"/>
      <c r="D20" s="466"/>
      <c r="E20" s="177"/>
      <c r="F20" s="16"/>
      <c r="G20" s="9"/>
      <c r="H20" s="172"/>
      <c r="I20" s="17">
        <v>18.666666666666668</v>
      </c>
      <c r="J20" s="18">
        <v>1514.3333333333333</v>
      </c>
      <c r="K20" s="9">
        <f>J20/I20</f>
        <v>81.124999999999986</v>
      </c>
      <c r="L20" s="17">
        <v>18.666666666666668</v>
      </c>
      <c r="M20" s="10">
        <f>AVERAGE(M14:M19)</f>
        <v>1368.2756224768864</v>
      </c>
      <c r="N20" s="9">
        <f t="shared" si="22"/>
        <v>73.300479775547487</v>
      </c>
      <c r="O20" s="11">
        <f>L20-I20</f>
        <v>0</v>
      </c>
      <c r="P20" s="12">
        <f>N20-K20</f>
        <v>-7.824520224452499</v>
      </c>
      <c r="Q20" s="176">
        <f t="shared" si="29"/>
        <v>0.90354982774172576</v>
      </c>
      <c r="R20" s="470"/>
      <c r="S20" s="24"/>
      <c r="T20" s="24"/>
      <c r="U20" s="171"/>
      <c r="V20" s="175"/>
      <c r="W20" s="9"/>
      <c r="X20" s="9"/>
      <c r="Y20" s="456"/>
      <c r="Z20" s="456"/>
      <c r="AA20" s="11">
        <f t="shared" si="2"/>
        <v>-146.05771085644687</v>
      </c>
      <c r="AB20" s="176">
        <f t="shared" si="19"/>
        <v>0.90354982774172554</v>
      </c>
      <c r="AC20" s="470"/>
    </row>
    <row r="21" spans="1:29" ht="15.75" customHeight="1">
      <c r="A21" s="478" t="s">
        <v>607</v>
      </c>
      <c r="B21" s="26" t="s">
        <v>21</v>
      </c>
      <c r="C21" s="477" t="s">
        <v>22</v>
      </c>
      <c r="D21" s="477"/>
      <c r="E21" s="26">
        <v>43.14</v>
      </c>
      <c r="F21" s="172">
        <v>1295</v>
      </c>
      <c r="G21" s="171">
        <f t="shared" ref="G21:G27" si="32">E21*F21</f>
        <v>55866.3</v>
      </c>
      <c r="H21" s="76" t="s">
        <v>57</v>
      </c>
      <c r="I21" s="170">
        <v>17</v>
      </c>
      <c r="J21" s="18">
        <v>1200</v>
      </c>
      <c r="K21" s="9">
        <f t="shared" ref="K21:K28" si="33">J21/I21</f>
        <v>70.588235294117652</v>
      </c>
      <c r="L21" s="170">
        <v>17</v>
      </c>
      <c r="M21" s="10">
        <f t="shared" ref="M21:M27" si="34">F21/V21*60</f>
        <v>1079.166666666667</v>
      </c>
      <c r="N21" s="9">
        <f t="shared" si="22"/>
        <v>63.480392156862763</v>
      </c>
      <c r="O21" s="11">
        <f t="shared" ref="O21:O27" si="35">L21-I21</f>
        <v>0</v>
      </c>
      <c r="P21" s="12">
        <f t="shared" ref="P21:P27" si="36">N21-K21</f>
        <v>-7.1078431372548891</v>
      </c>
      <c r="Q21" s="176">
        <f t="shared" si="29"/>
        <v>0.89930555555555569</v>
      </c>
      <c r="R21" s="470">
        <f>Q28</f>
        <v>0.90732910628019436</v>
      </c>
      <c r="S21" s="24">
        <v>0.25</v>
      </c>
      <c r="T21" s="24">
        <v>0.3</v>
      </c>
      <c r="U21" s="171"/>
      <c r="V21" s="175">
        <f>(T21-S21)*24*60</f>
        <v>71.999999999999986</v>
      </c>
      <c r="W21" s="15"/>
      <c r="X21" s="15"/>
      <c r="Y21" s="456"/>
      <c r="Z21" s="456"/>
      <c r="AA21" s="11">
        <f t="shared" si="2"/>
        <v>-120.83333333333303</v>
      </c>
      <c r="AB21" s="176">
        <f t="shared" si="19"/>
        <v>0.8993055555555558</v>
      </c>
      <c r="AC21" s="470">
        <f>AB28</f>
        <v>0.90732910628019436</v>
      </c>
    </row>
    <row r="22" spans="1:29" ht="15.75" customHeight="1">
      <c r="A22" s="479" t="s">
        <v>7</v>
      </c>
      <c r="B22" s="26" t="s">
        <v>13</v>
      </c>
      <c r="C22" s="477" t="s">
        <v>23</v>
      </c>
      <c r="D22" s="477"/>
      <c r="E22" s="26">
        <v>57.73</v>
      </c>
      <c r="F22" s="172">
        <v>3109</v>
      </c>
      <c r="G22" s="171">
        <f t="shared" si="32"/>
        <v>179482.56999999998</v>
      </c>
      <c r="H22" s="76" t="s">
        <v>57</v>
      </c>
      <c r="I22" s="170">
        <v>16</v>
      </c>
      <c r="J22" s="18">
        <v>1800</v>
      </c>
      <c r="K22" s="9">
        <f t="shared" si="33"/>
        <v>112.5</v>
      </c>
      <c r="L22" s="170">
        <v>16</v>
      </c>
      <c r="M22" s="10">
        <f t="shared" si="34"/>
        <v>1622.0869565217392</v>
      </c>
      <c r="N22" s="9">
        <f t="shared" si="22"/>
        <v>101.3804347826087</v>
      </c>
      <c r="O22" s="11">
        <f t="shared" si="35"/>
        <v>0</v>
      </c>
      <c r="P22" s="12">
        <f t="shared" si="36"/>
        <v>-11.119565217391298</v>
      </c>
      <c r="Q22" s="176">
        <f t="shared" si="29"/>
        <v>0.90115942028985518</v>
      </c>
      <c r="R22" s="470"/>
      <c r="S22" s="24">
        <v>0.3034722222222222</v>
      </c>
      <c r="T22" s="24">
        <v>0.3833333333333333</v>
      </c>
      <c r="U22" s="171">
        <f>(S22-T21)*24*60</f>
        <v>4.9999999999999822</v>
      </c>
      <c r="V22" s="175">
        <f t="shared" ref="V22:V27" si="37">(T22-S22)*24*60</f>
        <v>114.99999999999999</v>
      </c>
      <c r="W22" s="14"/>
      <c r="X22" s="171"/>
      <c r="Y22" s="456"/>
      <c r="Z22" s="456"/>
      <c r="AA22" s="11">
        <f t="shared" si="2"/>
        <v>-177.91304347826076</v>
      </c>
      <c r="AB22" s="176">
        <f t="shared" si="19"/>
        <v>0.90115942028985518</v>
      </c>
      <c r="AC22" s="470"/>
    </row>
    <row r="23" spans="1:29" ht="15.75" customHeight="1">
      <c r="A23" s="479" t="s">
        <v>7</v>
      </c>
      <c r="B23" s="26" t="s">
        <v>13</v>
      </c>
      <c r="C23" s="477" t="s">
        <v>14</v>
      </c>
      <c r="D23" s="477"/>
      <c r="E23" s="26">
        <v>53.68</v>
      </c>
      <c r="F23" s="172">
        <v>1873</v>
      </c>
      <c r="G23" s="171">
        <f t="shared" si="32"/>
        <v>100542.64</v>
      </c>
      <c r="H23" s="76" t="s">
        <v>57</v>
      </c>
      <c r="I23" s="170">
        <v>17</v>
      </c>
      <c r="J23" s="18">
        <v>1800</v>
      </c>
      <c r="K23" s="9">
        <f t="shared" si="33"/>
        <v>105.88235294117646</v>
      </c>
      <c r="L23" s="170">
        <v>17</v>
      </c>
      <c r="M23" s="10">
        <f t="shared" si="34"/>
        <v>1628.695652173913</v>
      </c>
      <c r="N23" s="9">
        <f t="shared" si="22"/>
        <v>95.805626598465466</v>
      </c>
      <c r="O23" s="11">
        <f t="shared" si="35"/>
        <v>0</v>
      </c>
      <c r="P23" s="12">
        <f t="shared" si="36"/>
        <v>-10.076726342710998</v>
      </c>
      <c r="Q23" s="176">
        <f t="shared" si="29"/>
        <v>0.90483091787439607</v>
      </c>
      <c r="R23" s="470"/>
      <c r="S23" s="24">
        <v>0.3881944444444444</v>
      </c>
      <c r="T23" s="24">
        <v>0.43611111111111106</v>
      </c>
      <c r="U23" s="171">
        <f t="shared" ref="U23:U27" si="38">(S23-T22)*24*60</f>
        <v>6.9999999999999751</v>
      </c>
      <c r="V23" s="175">
        <f t="shared" si="37"/>
        <v>69</v>
      </c>
      <c r="W23" s="14"/>
      <c r="X23" s="171"/>
      <c r="Y23" s="456"/>
      <c r="Z23" s="456"/>
      <c r="AA23" s="11">
        <f t="shared" si="2"/>
        <v>-171.304347826087</v>
      </c>
      <c r="AB23" s="176">
        <f t="shared" si="19"/>
        <v>0.90483091787439607</v>
      </c>
      <c r="AC23" s="470"/>
    </row>
    <row r="24" spans="1:29" ht="15.75" customHeight="1">
      <c r="A24" s="479" t="s">
        <v>7</v>
      </c>
      <c r="B24" s="26" t="s">
        <v>13</v>
      </c>
      <c r="C24" s="477" t="s">
        <v>72</v>
      </c>
      <c r="D24" s="477"/>
      <c r="E24" s="26">
        <v>50.67</v>
      </c>
      <c r="F24" s="172">
        <v>1210</v>
      </c>
      <c r="G24" s="171">
        <f t="shared" si="32"/>
        <v>61310.700000000004</v>
      </c>
      <c r="H24" s="76" t="s">
        <v>57</v>
      </c>
      <c r="I24" s="170">
        <v>16</v>
      </c>
      <c r="J24" s="18">
        <v>1800</v>
      </c>
      <c r="K24" s="9">
        <f t="shared" si="33"/>
        <v>112.5</v>
      </c>
      <c r="L24" s="170">
        <v>16</v>
      </c>
      <c r="M24" s="10">
        <f t="shared" si="34"/>
        <v>1650</v>
      </c>
      <c r="N24" s="9">
        <f t="shared" si="22"/>
        <v>103.125</v>
      </c>
      <c r="O24" s="11">
        <f t="shared" si="35"/>
        <v>0</v>
      </c>
      <c r="P24" s="12">
        <f t="shared" si="36"/>
        <v>-9.375</v>
      </c>
      <c r="Q24" s="176">
        <f t="shared" si="29"/>
        <v>0.91666666666666663</v>
      </c>
      <c r="R24" s="470"/>
      <c r="S24" s="24">
        <v>0.44027777777777771</v>
      </c>
      <c r="T24" s="24">
        <v>0.47083333333333327</v>
      </c>
      <c r="U24" s="171">
        <f t="shared" si="38"/>
        <v>5.9999999999999787</v>
      </c>
      <c r="V24" s="175">
        <f t="shared" si="37"/>
        <v>44</v>
      </c>
      <c r="W24" s="14"/>
      <c r="X24" s="171"/>
      <c r="Y24" s="456"/>
      <c r="Z24" s="456"/>
      <c r="AA24" s="11">
        <f t="shared" si="2"/>
        <v>-150</v>
      </c>
      <c r="AB24" s="176">
        <f t="shared" si="19"/>
        <v>0.91666666666666663</v>
      </c>
      <c r="AC24" s="470"/>
    </row>
    <row r="25" spans="1:29" ht="15.75" customHeight="1">
      <c r="A25" s="479" t="s">
        <v>7</v>
      </c>
      <c r="B25" s="26" t="s">
        <v>13</v>
      </c>
      <c r="C25" s="477" t="s">
        <v>59</v>
      </c>
      <c r="D25" s="477"/>
      <c r="E25" s="26">
        <v>50.92</v>
      </c>
      <c r="F25" s="172">
        <v>2673</v>
      </c>
      <c r="G25" s="171">
        <f t="shared" si="32"/>
        <v>136109.16</v>
      </c>
      <c r="H25" s="76" t="s">
        <v>57</v>
      </c>
      <c r="I25" s="170">
        <v>16</v>
      </c>
      <c r="J25" s="18">
        <v>1800</v>
      </c>
      <c r="K25" s="9">
        <f t="shared" si="33"/>
        <v>112.5</v>
      </c>
      <c r="L25" s="170">
        <v>16</v>
      </c>
      <c r="M25" s="10">
        <f t="shared" si="34"/>
        <v>1620.0000000000005</v>
      </c>
      <c r="N25" s="9">
        <f t="shared" si="22"/>
        <v>101.25000000000003</v>
      </c>
      <c r="O25" s="11">
        <f t="shared" si="35"/>
        <v>0</v>
      </c>
      <c r="P25" s="12">
        <f t="shared" si="36"/>
        <v>-11.249999999999972</v>
      </c>
      <c r="Q25" s="176">
        <f t="shared" si="29"/>
        <v>0.90000000000000024</v>
      </c>
      <c r="R25" s="470"/>
      <c r="S25" s="24">
        <v>0.70833333333333337</v>
      </c>
      <c r="T25" s="24">
        <v>0.77708333333333335</v>
      </c>
      <c r="U25" s="171">
        <f t="shared" si="38"/>
        <v>342.00000000000017</v>
      </c>
      <c r="V25" s="175">
        <f t="shared" si="37"/>
        <v>98.999999999999972</v>
      </c>
      <c r="W25" s="14"/>
      <c r="X25" s="171"/>
      <c r="Y25" s="456"/>
      <c r="Z25" s="456"/>
      <c r="AA25" s="11">
        <f t="shared" si="2"/>
        <v>-179.99999999999955</v>
      </c>
      <c r="AB25" s="176">
        <f t="shared" si="19"/>
        <v>0.90000000000000024</v>
      </c>
      <c r="AC25" s="470"/>
    </row>
    <row r="26" spans="1:29" ht="15.75" customHeight="1">
      <c r="A26" s="479" t="s">
        <v>7</v>
      </c>
      <c r="B26" s="26" t="s">
        <v>13</v>
      </c>
      <c r="C26" s="477" t="s">
        <v>62</v>
      </c>
      <c r="D26" s="477"/>
      <c r="E26" s="26">
        <v>53.27</v>
      </c>
      <c r="F26" s="172">
        <v>547</v>
      </c>
      <c r="G26" s="171">
        <f t="shared" si="32"/>
        <v>29138.690000000002</v>
      </c>
      <c r="H26" s="76" t="s">
        <v>57</v>
      </c>
      <c r="I26" s="170">
        <v>15</v>
      </c>
      <c r="J26" s="18">
        <v>1800</v>
      </c>
      <c r="K26" s="9">
        <f t="shared" si="33"/>
        <v>120</v>
      </c>
      <c r="L26" s="170">
        <v>15</v>
      </c>
      <c r="M26" s="10">
        <f t="shared" si="34"/>
        <v>1641.0000000000059</v>
      </c>
      <c r="N26" s="9">
        <f t="shared" si="22"/>
        <v>109.40000000000039</v>
      </c>
      <c r="O26" s="11">
        <f t="shared" si="35"/>
        <v>0</v>
      </c>
      <c r="P26" s="12">
        <f t="shared" si="36"/>
        <v>-10.599999999999611</v>
      </c>
      <c r="Q26" s="176">
        <f t="shared" si="29"/>
        <v>0.91166666666666996</v>
      </c>
      <c r="R26" s="470"/>
      <c r="S26" s="24">
        <v>0.78125</v>
      </c>
      <c r="T26" s="24">
        <v>0.79513888888888884</v>
      </c>
      <c r="U26" s="171">
        <f t="shared" si="38"/>
        <v>5.9999999999999787</v>
      </c>
      <c r="V26" s="175">
        <f t="shared" si="37"/>
        <v>19.999999999999929</v>
      </c>
      <c r="W26" s="14"/>
      <c r="X26" s="15"/>
      <c r="Y26" s="456"/>
      <c r="Z26" s="456"/>
      <c r="AA26" s="11">
        <f t="shared" si="2"/>
        <v>-158.99999999999409</v>
      </c>
      <c r="AB26" s="176">
        <f t="shared" si="19"/>
        <v>0.91166666666666996</v>
      </c>
      <c r="AC26" s="470"/>
    </row>
    <row r="27" spans="1:29" ht="15.75" customHeight="1">
      <c r="A27" s="479" t="s">
        <v>7</v>
      </c>
      <c r="B27" s="26" t="s">
        <v>13</v>
      </c>
      <c r="C27" s="477" t="s">
        <v>61</v>
      </c>
      <c r="D27" s="477"/>
      <c r="E27" s="26">
        <v>49.91</v>
      </c>
      <c r="F27" s="172">
        <v>549</v>
      </c>
      <c r="G27" s="171">
        <f t="shared" si="32"/>
        <v>27400.589999999997</v>
      </c>
      <c r="H27" s="76" t="s">
        <v>57</v>
      </c>
      <c r="I27" s="170">
        <v>15</v>
      </c>
      <c r="J27" s="18">
        <v>1800</v>
      </c>
      <c r="K27" s="9">
        <f t="shared" si="33"/>
        <v>120</v>
      </c>
      <c r="L27" s="170">
        <v>15</v>
      </c>
      <c r="M27" s="10">
        <f t="shared" si="34"/>
        <v>1647.0000000000059</v>
      </c>
      <c r="N27" s="9">
        <f t="shared" si="22"/>
        <v>109.8000000000004</v>
      </c>
      <c r="O27" s="11">
        <f t="shared" si="35"/>
        <v>0</v>
      </c>
      <c r="P27" s="12">
        <f t="shared" si="36"/>
        <v>-10.199999999999605</v>
      </c>
      <c r="Q27" s="176">
        <f t="shared" si="29"/>
        <v>0.91500000000000326</v>
      </c>
      <c r="R27" s="470"/>
      <c r="S27" s="24">
        <v>0.79930555555555549</v>
      </c>
      <c r="T27" s="24">
        <v>0.81319444444444433</v>
      </c>
      <c r="U27" s="171">
        <f t="shared" si="38"/>
        <v>5.9999999999999787</v>
      </c>
      <c r="V27" s="175">
        <f t="shared" si="37"/>
        <v>19.999999999999929</v>
      </c>
      <c r="W27" s="14"/>
      <c r="X27" s="15"/>
      <c r="Y27" s="473"/>
      <c r="Z27" s="474"/>
      <c r="AA27" s="11">
        <f t="shared" si="2"/>
        <v>-152.99999999999409</v>
      </c>
      <c r="AB27" s="176">
        <f t="shared" si="19"/>
        <v>0.91500000000000326</v>
      </c>
      <c r="AC27" s="470"/>
    </row>
    <row r="28" spans="1:29" ht="15.75" customHeight="1">
      <c r="A28" s="479" t="s">
        <v>7</v>
      </c>
      <c r="B28" s="26" t="s">
        <v>81</v>
      </c>
      <c r="C28" s="466"/>
      <c r="D28" s="466"/>
      <c r="E28" s="177"/>
      <c r="F28" s="172"/>
      <c r="G28" s="171"/>
      <c r="H28" s="172"/>
      <c r="I28" s="17">
        <v>16</v>
      </c>
      <c r="J28" s="18">
        <v>1714.2857142857142</v>
      </c>
      <c r="K28" s="9">
        <f t="shared" si="33"/>
        <v>107.14285714285714</v>
      </c>
      <c r="L28" s="17">
        <v>16</v>
      </c>
      <c r="M28" s="10">
        <f>AVERAGE(M21:M27)</f>
        <v>1555.4213250517616</v>
      </c>
      <c r="N28" s="9">
        <f>M28/L28</f>
        <v>97.213832815735103</v>
      </c>
      <c r="O28" s="11">
        <f>L28-I28</f>
        <v>0</v>
      </c>
      <c r="P28" s="12">
        <f>N28-K28</f>
        <v>-9.9290243271220362</v>
      </c>
      <c r="Q28" s="176">
        <f>N28/K28</f>
        <v>0.90732910628019436</v>
      </c>
      <c r="R28" s="470"/>
      <c r="S28" s="24"/>
      <c r="T28" s="24"/>
      <c r="U28" s="9"/>
      <c r="V28" s="175"/>
      <c r="W28" s="9"/>
      <c r="X28" s="9"/>
      <c r="Y28" s="456"/>
      <c r="Z28" s="456"/>
      <c r="AA28" s="11">
        <f t="shared" si="2"/>
        <v>-158.86438923395258</v>
      </c>
      <c r="AB28" s="176">
        <f t="shared" si="19"/>
        <v>0.90732910628019436</v>
      </c>
      <c r="AC28" s="470"/>
    </row>
    <row r="29" spans="1:29" ht="15.75" customHeight="1">
      <c r="A29" s="484" t="s">
        <v>241</v>
      </c>
      <c r="B29" s="26" t="s">
        <v>24</v>
      </c>
      <c r="C29" s="477" t="s">
        <v>25</v>
      </c>
      <c r="D29" s="477"/>
      <c r="E29" s="26">
        <v>20.52</v>
      </c>
      <c r="F29" s="172">
        <v>3000</v>
      </c>
      <c r="G29" s="171">
        <f t="shared" ref="G29:G37" si="39">E29*F29</f>
        <v>61560</v>
      </c>
      <c r="H29" s="76">
        <v>2</v>
      </c>
      <c r="I29" s="170">
        <v>22</v>
      </c>
      <c r="J29" s="18">
        <v>2400</v>
      </c>
      <c r="K29" s="9">
        <f>J29/I29</f>
        <v>109.09090909090909</v>
      </c>
      <c r="L29" s="170">
        <v>22</v>
      </c>
      <c r="M29" s="10">
        <f t="shared" ref="M29:M37" si="40">F29/V29*60</f>
        <v>2168.674698795181</v>
      </c>
      <c r="N29" s="9">
        <f t="shared" ref="N29:N37" si="41">M29/L29</f>
        <v>98.576122672508234</v>
      </c>
      <c r="O29" s="11">
        <f t="shared" ref="O29:O37" si="42">L29-I29</f>
        <v>0</v>
      </c>
      <c r="P29" s="12">
        <f t="shared" ref="P29:P37" si="43">N29-K29</f>
        <v>-10.51478641840086</v>
      </c>
      <c r="Q29" s="176">
        <f t="shared" ref="Q29:Q37" si="44">N29/K29</f>
        <v>0.90361445783132543</v>
      </c>
      <c r="R29" s="470">
        <f>Q38</f>
        <v>0.90260673103811961</v>
      </c>
      <c r="S29" s="24">
        <v>8.3333333333333329E-2</v>
      </c>
      <c r="T29" s="24">
        <v>0.14097222222222222</v>
      </c>
      <c r="U29" s="171"/>
      <c r="V29" s="175">
        <f t="shared" ref="V29:V37" si="45">(T29-S29)*24*60</f>
        <v>83</v>
      </c>
      <c r="W29" s="14"/>
      <c r="X29" s="14"/>
      <c r="Y29" s="456"/>
      <c r="Z29" s="456"/>
      <c r="AA29" s="11">
        <f t="shared" si="2"/>
        <v>-231.32530120481897</v>
      </c>
      <c r="AB29" s="176">
        <f>M29/J29</f>
        <v>0.90361445783132543</v>
      </c>
      <c r="AC29" s="470">
        <f>AB38</f>
        <v>0.90260673103811961</v>
      </c>
    </row>
    <row r="30" spans="1:29" ht="15.75" customHeight="1">
      <c r="A30" s="484" t="s">
        <v>8</v>
      </c>
      <c r="B30" s="26" t="s">
        <v>24</v>
      </c>
      <c r="C30" s="477" t="s">
        <v>26</v>
      </c>
      <c r="D30" s="477"/>
      <c r="E30" s="26">
        <v>26.2</v>
      </c>
      <c r="F30" s="172">
        <v>3300</v>
      </c>
      <c r="G30" s="171">
        <f t="shared" si="39"/>
        <v>86460</v>
      </c>
      <c r="H30" s="76">
        <v>2</v>
      </c>
      <c r="I30" s="170">
        <v>24</v>
      </c>
      <c r="J30" s="18">
        <v>2400</v>
      </c>
      <c r="K30" s="9">
        <f t="shared" ref="K30:K38" si="46">J30/I30</f>
        <v>100</v>
      </c>
      <c r="L30" s="170">
        <v>24</v>
      </c>
      <c r="M30" s="10">
        <f t="shared" si="40"/>
        <v>2152.1739130434776</v>
      </c>
      <c r="N30" s="9">
        <f t="shared" si="41"/>
        <v>89.673913043478237</v>
      </c>
      <c r="O30" s="11">
        <f t="shared" si="42"/>
        <v>0</v>
      </c>
      <c r="P30" s="12">
        <f t="shared" si="43"/>
        <v>-10.326086956521763</v>
      </c>
      <c r="Q30" s="176">
        <f t="shared" si="44"/>
        <v>0.89673913043478237</v>
      </c>
      <c r="R30" s="470"/>
      <c r="S30" s="24">
        <v>0.16111111111111112</v>
      </c>
      <c r="T30" s="24">
        <v>0.22500000000000003</v>
      </c>
      <c r="U30" s="171">
        <f>(S30-T29)*24*60</f>
        <v>29.000000000000018</v>
      </c>
      <c r="V30" s="175">
        <f t="shared" si="45"/>
        <v>92.000000000000028</v>
      </c>
      <c r="W30" s="14"/>
      <c r="X30" s="14"/>
      <c r="Y30" s="456"/>
      <c r="Z30" s="456"/>
      <c r="AA30" s="11">
        <f t="shared" si="2"/>
        <v>-247.82608695652243</v>
      </c>
      <c r="AB30" s="176">
        <f t="shared" ref="AB30:AB37" si="47">M30/J30</f>
        <v>0.89673913043478237</v>
      </c>
      <c r="AC30" s="470"/>
    </row>
    <row r="31" spans="1:29" ht="15.75" customHeight="1">
      <c r="A31" s="484" t="s">
        <v>8</v>
      </c>
      <c r="B31" s="26" t="s">
        <v>24</v>
      </c>
      <c r="C31" s="477" t="s">
        <v>55</v>
      </c>
      <c r="D31" s="477"/>
      <c r="E31" s="26">
        <v>26.2</v>
      </c>
      <c r="F31" s="172">
        <v>2000</v>
      </c>
      <c r="G31" s="171">
        <f t="shared" si="39"/>
        <v>52400</v>
      </c>
      <c r="H31" s="76">
        <v>2</v>
      </c>
      <c r="I31" s="170">
        <v>23</v>
      </c>
      <c r="J31" s="18">
        <v>2400</v>
      </c>
      <c r="K31" s="9">
        <f t="shared" si="46"/>
        <v>104.34782608695652</v>
      </c>
      <c r="L31" s="170">
        <v>23</v>
      </c>
      <c r="M31" s="10">
        <f t="shared" si="40"/>
        <v>2181.8181818181815</v>
      </c>
      <c r="N31" s="9">
        <f t="shared" si="41"/>
        <v>94.861660079051376</v>
      </c>
      <c r="O31" s="11">
        <f t="shared" si="42"/>
        <v>0</v>
      </c>
      <c r="P31" s="12">
        <f t="shared" si="43"/>
        <v>-9.4861660079051404</v>
      </c>
      <c r="Q31" s="176">
        <f t="shared" si="44"/>
        <v>0.90909090909090906</v>
      </c>
      <c r="R31" s="470"/>
      <c r="S31" s="24">
        <v>0.22916666666666671</v>
      </c>
      <c r="T31" s="24">
        <v>0.26736111111111116</v>
      </c>
      <c r="U31" s="171">
        <f t="shared" ref="U31:U37" si="48">(S31-T30)*24*60</f>
        <v>6.0000000000000187</v>
      </c>
      <c r="V31" s="175">
        <f t="shared" si="45"/>
        <v>55.000000000000007</v>
      </c>
      <c r="W31" s="14"/>
      <c r="X31" s="14"/>
      <c r="Y31" s="456"/>
      <c r="Z31" s="456"/>
      <c r="AA31" s="11">
        <f t="shared" si="2"/>
        <v>-218.18181818181847</v>
      </c>
      <c r="AB31" s="176">
        <f t="shared" si="47"/>
        <v>0.90909090909090895</v>
      </c>
      <c r="AC31" s="470"/>
    </row>
    <row r="32" spans="1:29" ht="15.75" customHeight="1">
      <c r="A32" s="484" t="s">
        <v>8</v>
      </c>
      <c r="B32" s="26" t="s">
        <v>24</v>
      </c>
      <c r="C32" s="477" t="s">
        <v>27</v>
      </c>
      <c r="D32" s="477"/>
      <c r="E32" s="26">
        <v>20.52</v>
      </c>
      <c r="F32" s="172">
        <v>3181</v>
      </c>
      <c r="G32" s="171">
        <f t="shared" si="39"/>
        <v>65274.119999999995</v>
      </c>
      <c r="H32" s="76" t="s">
        <v>57</v>
      </c>
      <c r="I32" s="170">
        <v>22</v>
      </c>
      <c r="J32" s="18">
        <v>2400</v>
      </c>
      <c r="K32" s="9">
        <f t="shared" si="46"/>
        <v>109.09090909090909</v>
      </c>
      <c r="L32" s="170">
        <v>22</v>
      </c>
      <c r="M32" s="10">
        <f t="shared" si="40"/>
        <v>2168.8636363636365</v>
      </c>
      <c r="N32" s="9">
        <f t="shared" si="41"/>
        <v>98.584710743801665</v>
      </c>
      <c r="O32" s="11">
        <f t="shared" si="42"/>
        <v>0</v>
      </c>
      <c r="P32" s="12">
        <f t="shared" si="43"/>
        <v>-10.506198347107429</v>
      </c>
      <c r="Q32" s="176">
        <f t="shared" si="44"/>
        <v>0.90369318181818192</v>
      </c>
      <c r="R32" s="470"/>
      <c r="S32" s="24">
        <v>0.27222222222222225</v>
      </c>
      <c r="T32" s="24">
        <v>0.33333333333333337</v>
      </c>
      <c r="U32" s="171">
        <f t="shared" si="48"/>
        <v>6.9999999999999751</v>
      </c>
      <c r="V32" s="175">
        <f t="shared" si="45"/>
        <v>88</v>
      </c>
      <c r="W32" s="14"/>
      <c r="X32" s="14"/>
      <c r="Y32" s="456"/>
      <c r="Z32" s="456"/>
      <c r="AA32" s="11">
        <f t="shared" si="2"/>
        <v>-231.13636363636351</v>
      </c>
      <c r="AB32" s="176">
        <f t="shared" si="47"/>
        <v>0.90369318181818192</v>
      </c>
      <c r="AC32" s="470"/>
    </row>
    <row r="33" spans="1:29" ht="15.75" customHeight="1">
      <c r="A33" s="484" t="s">
        <v>8</v>
      </c>
      <c r="B33" s="26" t="s">
        <v>24</v>
      </c>
      <c r="C33" s="477" t="s">
        <v>513</v>
      </c>
      <c r="D33" s="477"/>
      <c r="E33" s="26">
        <v>29.94</v>
      </c>
      <c r="F33" s="172">
        <v>6000</v>
      </c>
      <c r="G33" s="171">
        <f t="shared" si="39"/>
        <v>179640</v>
      </c>
      <c r="H33" s="76">
        <v>2</v>
      </c>
      <c r="I33" s="170">
        <v>20</v>
      </c>
      <c r="J33" s="18">
        <v>2400</v>
      </c>
      <c r="K33" s="9">
        <f t="shared" si="46"/>
        <v>120</v>
      </c>
      <c r="L33" s="170">
        <v>20</v>
      </c>
      <c r="M33" s="10">
        <f t="shared" si="40"/>
        <v>2155.6886227544915</v>
      </c>
      <c r="N33" s="9">
        <f t="shared" si="41"/>
        <v>107.78443113772457</v>
      </c>
      <c r="O33" s="11">
        <f t="shared" si="42"/>
        <v>0</v>
      </c>
      <c r="P33" s="12">
        <f t="shared" si="43"/>
        <v>-12.215568862275433</v>
      </c>
      <c r="Q33" s="176">
        <f t="shared" si="44"/>
        <v>0.89820359281437134</v>
      </c>
      <c r="R33" s="470"/>
      <c r="S33" s="24">
        <v>0.33819444444444446</v>
      </c>
      <c r="T33" s="24">
        <v>0.45416666666666666</v>
      </c>
      <c r="U33" s="171">
        <f t="shared" si="48"/>
        <v>6.9999999999999751</v>
      </c>
      <c r="V33" s="175">
        <f t="shared" si="45"/>
        <v>166.99999999999997</v>
      </c>
      <c r="W33" s="14"/>
      <c r="X33" s="14"/>
      <c r="Y33" s="456"/>
      <c r="Z33" s="456"/>
      <c r="AA33" s="11">
        <f t="shared" si="2"/>
        <v>-244.31137724550854</v>
      </c>
      <c r="AB33" s="176">
        <f t="shared" si="47"/>
        <v>0.89820359281437145</v>
      </c>
      <c r="AC33" s="470"/>
    </row>
    <row r="34" spans="1:29" ht="15.75" customHeight="1">
      <c r="A34" s="484" t="s">
        <v>8</v>
      </c>
      <c r="B34" s="26" t="s">
        <v>24</v>
      </c>
      <c r="C34" s="477" t="s">
        <v>84</v>
      </c>
      <c r="D34" s="477"/>
      <c r="E34" s="26">
        <v>24.25</v>
      </c>
      <c r="F34" s="172">
        <v>3000</v>
      </c>
      <c r="G34" s="171">
        <f t="shared" si="39"/>
        <v>72750</v>
      </c>
      <c r="H34" s="76">
        <v>2</v>
      </c>
      <c r="I34" s="170">
        <v>22</v>
      </c>
      <c r="J34" s="18">
        <v>2400</v>
      </c>
      <c r="K34" s="9">
        <f t="shared" si="46"/>
        <v>109.09090909090909</v>
      </c>
      <c r="L34" s="170">
        <v>22</v>
      </c>
      <c r="M34" s="10">
        <f t="shared" si="40"/>
        <v>2168.6746987951819</v>
      </c>
      <c r="N34" s="9">
        <f t="shared" si="41"/>
        <v>98.576122672508276</v>
      </c>
      <c r="O34" s="11">
        <f t="shared" si="42"/>
        <v>0</v>
      </c>
      <c r="P34" s="12">
        <f t="shared" si="43"/>
        <v>-10.514786418400817</v>
      </c>
      <c r="Q34" s="176">
        <f t="shared" si="44"/>
        <v>0.90361445783132588</v>
      </c>
      <c r="R34" s="470"/>
      <c r="S34" s="24">
        <v>0.45763888888888887</v>
      </c>
      <c r="T34" s="24">
        <v>0.51527777777777772</v>
      </c>
      <c r="U34" s="171">
        <f t="shared" si="48"/>
        <v>4.9999999999999822</v>
      </c>
      <c r="V34" s="175">
        <f t="shared" si="45"/>
        <v>82.999999999999943</v>
      </c>
      <c r="W34" s="14"/>
      <c r="X34" s="14"/>
      <c r="Y34" s="456"/>
      <c r="Z34" s="456"/>
      <c r="AA34" s="11">
        <f t="shared" si="2"/>
        <v>-231.32530120481806</v>
      </c>
      <c r="AB34" s="176">
        <f t="shared" si="47"/>
        <v>0.90361445783132577</v>
      </c>
      <c r="AC34" s="470"/>
    </row>
    <row r="35" spans="1:29" ht="15.75" customHeight="1">
      <c r="A35" s="484" t="s">
        <v>8</v>
      </c>
      <c r="B35" s="26" t="s">
        <v>24</v>
      </c>
      <c r="C35" s="477" t="s">
        <v>69</v>
      </c>
      <c r="D35" s="477"/>
      <c r="E35" s="26">
        <v>22.35</v>
      </c>
      <c r="F35" s="172">
        <v>2947</v>
      </c>
      <c r="G35" s="171">
        <f t="shared" si="39"/>
        <v>65865.45</v>
      </c>
      <c r="H35" s="76" t="s">
        <v>57</v>
      </c>
      <c r="I35" s="170">
        <v>20</v>
      </c>
      <c r="J35" s="18">
        <v>2400</v>
      </c>
      <c r="K35" s="9">
        <f t="shared" si="46"/>
        <v>120</v>
      </c>
      <c r="L35" s="170">
        <v>20</v>
      </c>
      <c r="M35" s="10">
        <f t="shared" si="40"/>
        <v>2156.3414634146334</v>
      </c>
      <c r="N35" s="9">
        <f t="shared" si="41"/>
        <v>107.81707317073167</v>
      </c>
      <c r="O35" s="11">
        <f t="shared" si="42"/>
        <v>0</v>
      </c>
      <c r="P35" s="12">
        <f t="shared" si="43"/>
        <v>-12.182926829268325</v>
      </c>
      <c r="Q35" s="176">
        <f t="shared" si="44"/>
        <v>0.8984756097560973</v>
      </c>
      <c r="R35" s="470"/>
      <c r="S35" s="24">
        <v>0.51944444444444438</v>
      </c>
      <c r="T35" s="24">
        <v>0.57638888888888884</v>
      </c>
      <c r="U35" s="171">
        <f t="shared" si="48"/>
        <v>5.9999999999999787</v>
      </c>
      <c r="V35" s="175">
        <f t="shared" si="45"/>
        <v>82.000000000000028</v>
      </c>
      <c r="W35" s="14"/>
      <c r="X35" s="14"/>
      <c r="Y35" s="456"/>
      <c r="Z35" s="456"/>
      <c r="AA35" s="11">
        <f t="shared" si="2"/>
        <v>-243.65853658536662</v>
      </c>
      <c r="AB35" s="176">
        <f t="shared" si="47"/>
        <v>0.89847560975609719</v>
      </c>
      <c r="AC35" s="470"/>
    </row>
    <row r="36" spans="1:29" ht="15.75" customHeight="1">
      <c r="A36" s="484" t="s">
        <v>8</v>
      </c>
      <c r="B36" s="26" t="s">
        <v>24</v>
      </c>
      <c r="C36" s="477" t="s">
        <v>55</v>
      </c>
      <c r="D36" s="477"/>
      <c r="E36" s="26">
        <v>26.2</v>
      </c>
      <c r="F36" s="172">
        <v>2047</v>
      </c>
      <c r="G36" s="171">
        <f t="shared" si="39"/>
        <v>53631.4</v>
      </c>
      <c r="H36" s="76" t="s">
        <v>57</v>
      </c>
      <c r="I36" s="170">
        <v>23</v>
      </c>
      <c r="J36" s="18">
        <v>2400</v>
      </c>
      <c r="K36" s="9">
        <f t="shared" si="46"/>
        <v>104.34782608695652</v>
      </c>
      <c r="L36" s="170">
        <v>23</v>
      </c>
      <c r="M36" s="10">
        <f t="shared" si="40"/>
        <v>2154.7368421052647</v>
      </c>
      <c r="N36" s="9">
        <f t="shared" si="41"/>
        <v>93.684210526315852</v>
      </c>
      <c r="O36" s="11">
        <f t="shared" si="42"/>
        <v>0</v>
      </c>
      <c r="P36" s="12">
        <f t="shared" si="43"/>
        <v>-10.663615560640665</v>
      </c>
      <c r="Q36" s="176">
        <f t="shared" si="44"/>
        <v>0.89780701754386028</v>
      </c>
      <c r="R36" s="470"/>
      <c r="S36" s="24">
        <v>0.57986111111111105</v>
      </c>
      <c r="T36" s="24">
        <v>0.61944444444444435</v>
      </c>
      <c r="U36" s="171">
        <f t="shared" si="48"/>
        <v>4.9999999999999822</v>
      </c>
      <c r="V36" s="175">
        <f t="shared" si="45"/>
        <v>56.999999999999957</v>
      </c>
      <c r="W36" s="14"/>
      <c r="X36" s="14"/>
      <c r="Y36" s="456"/>
      <c r="Z36" s="456"/>
      <c r="AA36" s="11">
        <f t="shared" si="2"/>
        <v>-245.26315789473529</v>
      </c>
      <c r="AB36" s="176">
        <f t="shared" si="47"/>
        <v>0.89780701754386028</v>
      </c>
      <c r="AC36" s="470"/>
    </row>
    <row r="37" spans="1:29" ht="15.75" customHeight="1">
      <c r="A37" s="484" t="s">
        <v>8</v>
      </c>
      <c r="B37" s="26" t="s">
        <v>24</v>
      </c>
      <c r="C37" s="482" t="s">
        <v>26</v>
      </c>
      <c r="D37" s="483"/>
      <c r="E37" s="26">
        <v>26.2</v>
      </c>
      <c r="F37" s="172">
        <v>1642</v>
      </c>
      <c r="G37" s="171">
        <f t="shared" si="39"/>
        <v>43020.4</v>
      </c>
      <c r="H37" s="76" t="s">
        <v>57</v>
      </c>
      <c r="I37" s="170">
        <v>24</v>
      </c>
      <c r="J37" s="18">
        <v>2400</v>
      </c>
      <c r="K37" s="9">
        <f t="shared" si="46"/>
        <v>100</v>
      </c>
      <c r="L37" s="170">
        <v>24</v>
      </c>
      <c r="M37" s="10">
        <f t="shared" si="40"/>
        <v>2189.333333333333</v>
      </c>
      <c r="N37" s="9">
        <f t="shared" si="41"/>
        <v>91.222222222222214</v>
      </c>
      <c r="O37" s="11">
        <f t="shared" si="42"/>
        <v>0</v>
      </c>
      <c r="P37" s="12">
        <f t="shared" si="43"/>
        <v>-8.7777777777777857</v>
      </c>
      <c r="Q37" s="176">
        <f t="shared" si="44"/>
        <v>0.91222222222222216</v>
      </c>
      <c r="R37" s="470"/>
      <c r="S37" s="24">
        <v>0.62499999999999989</v>
      </c>
      <c r="T37" s="24">
        <v>0.65624999999999989</v>
      </c>
      <c r="U37" s="171">
        <f t="shared" si="48"/>
        <v>7.9999999999999716</v>
      </c>
      <c r="V37" s="175">
        <f t="shared" si="45"/>
        <v>45</v>
      </c>
      <c r="W37" s="14"/>
      <c r="X37" s="14"/>
      <c r="Y37" s="473"/>
      <c r="Z37" s="474"/>
      <c r="AA37" s="11">
        <f t="shared" si="2"/>
        <v>-210.66666666666697</v>
      </c>
      <c r="AB37" s="176">
        <f t="shared" si="47"/>
        <v>0.91222222222222205</v>
      </c>
      <c r="AC37" s="470"/>
    </row>
    <row r="38" spans="1:29" ht="15.75" customHeight="1">
      <c r="A38" s="484" t="s">
        <v>8</v>
      </c>
      <c r="B38" s="26" t="s">
        <v>81</v>
      </c>
      <c r="C38" s="466"/>
      <c r="D38" s="466"/>
      <c r="E38" s="177"/>
      <c r="F38" s="172"/>
      <c r="G38" s="171"/>
      <c r="H38" s="172"/>
      <c r="I38" s="17">
        <v>22.222222222222221</v>
      </c>
      <c r="J38" s="18">
        <v>2400</v>
      </c>
      <c r="K38" s="9">
        <f t="shared" si="46"/>
        <v>108</v>
      </c>
      <c r="L38" s="17">
        <v>22.222222222222221</v>
      </c>
      <c r="M38" s="10">
        <f>AVERAGE(M29:M37)</f>
        <v>2166.256154491487</v>
      </c>
      <c r="N38" s="9">
        <f>M38/L38</f>
        <v>97.481526952116923</v>
      </c>
      <c r="O38" s="11">
        <f>L38-I38</f>
        <v>0</v>
      </c>
      <c r="P38" s="12">
        <f>N38-K38</f>
        <v>-10.518473047883077</v>
      </c>
      <c r="Q38" s="176">
        <f>N38/K38</f>
        <v>0.90260673103811961</v>
      </c>
      <c r="R38" s="470"/>
      <c r="S38" s="24"/>
      <c r="T38" s="24"/>
      <c r="U38" s="171"/>
      <c r="V38" s="175"/>
      <c r="W38" s="171"/>
      <c r="X38" s="171"/>
      <c r="Y38" s="456"/>
      <c r="Z38" s="456"/>
      <c r="AA38" s="11">
        <f t="shared" si="2"/>
        <v>-233.743845508513</v>
      </c>
      <c r="AB38" s="176">
        <f>M38/J38</f>
        <v>0.90260673103811961</v>
      </c>
      <c r="AC38" s="470"/>
    </row>
    <row r="39" spans="1:29" ht="15.75" customHeight="1">
      <c r="A39" s="485" t="s">
        <v>608</v>
      </c>
      <c r="B39" s="26" t="s">
        <v>24</v>
      </c>
      <c r="C39" s="487" t="s">
        <v>29</v>
      </c>
      <c r="D39" s="487"/>
      <c r="E39" s="26">
        <v>26.2</v>
      </c>
      <c r="F39" s="172">
        <v>6246</v>
      </c>
      <c r="G39" s="171">
        <f t="shared" ref="G39:G45" si="49">E39*F39</f>
        <v>163645.19999999998</v>
      </c>
      <c r="H39" s="76" t="s">
        <v>57</v>
      </c>
      <c r="I39" s="170">
        <v>18</v>
      </c>
      <c r="J39" s="18">
        <v>2400</v>
      </c>
      <c r="K39" s="9">
        <f>J39/I39</f>
        <v>133.33333333333334</v>
      </c>
      <c r="L39" s="170">
        <v>18</v>
      </c>
      <c r="M39" s="10">
        <f>F39/V39*60</f>
        <v>2153.7931034482754</v>
      </c>
      <c r="N39" s="9">
        <f>M39/L39</f>
        <v>119.65517241379308</v>
      </c>
      <c r="O39" s="11">
        <f t="shared" ref="O39:O45" si="50">L39-I39</f>
        <v>0</v>
      </c>
      <c r="P39" s="12">
        <f t="shared" ref="P39:P57" si="51">N39-K39</f>
        <v>-13.678160919540261</v>
      </c>
      <c r="Q39" s="176">
        <f t="shared" ref="Q39:Q50" si="52">N39/K39</f>
        <v>0.89741379310344804</v>
      </c>
      <c r="R39" s="470">
        <f>Q46</f>
        <v>0.9028260579188051</v>
      </c>
      <c r="S39" s="24">
        <v>0.125</v>
      </c>
      <c r="T39" s="24">
        <v>0.24583333333333335</v>
      </c>
      <c r="U39" s="171"/>
      <c r="V39" s="175">
        <f t="shared" ref="V39:V45" si="53">(T39-S39)*24*60</f>
        <v>174.00000000000003</v>
      </c>
      <c r="W39" s="15"/>
      <c r="X39" s="15"/>
      <c r="Y39" s="456"/>
      <c r="Z39" s="456"/>
      <c r="AA39" s="11">
        <f t="shared" si="2"/>
        <v>-246.20689655172464</v>
      </c>
      <c r="AB39" s="176">
        <f>M39/J39</f>
        <v>0.89741379310344804</v>
      </c>
      <c r="AC39" s="470">
        <f>AB46</f>
        <v>0.90282605791880499</v>
      </c>
    </row>
    <row r="40" spans="1:29" ht="15.75" customHeight="1">
      <c r="A40" s="485" t="s">
        <v>609</v>
      </c>
      <c r="B40" s="26" t="s">
        <v>24</v>
      </c>
      <c r="C40" s="487" t="s">
        <v>31</v>
      </c>
      <c r="D40" s="487"/>
      <c r="E40" s="26">
        <v>24.45</v>
      </c>
      <c r="F40" s="172">
        <v>2496</v>
      </c>
      <c r="G40" s="171">
        <f t="shared" si="49"/>
        <v>61027.199999999997</v>
      </c>
      <c r="H40" s="76" t="s">
        <v>57</v>
      </c>
      <c r="I40" s="170">
        <v>20</v>
      </c>
      <c r="J40" s="18">
        <v>2400</v>
      </c>
      <c r="K40" s="9">
        <f t="shared" ref="K40:K56" si="54">J40/I40</f>
        <v>120</v>
      </c>
      <c r="L40" s="170">
        <v>20</v>
      </c>
      <c r="M40" s="10">
        <f t="shared" ref="M40:M45" si="55">F40/V40*60</f>
        <v>2170.4347826086955</v>
      </c>
      <c r="N40" s="9">
        <f t="shared" ref="N40:N45" si="56">M40/L40</f>
        <v>108.52173913043478</v>
      </c>
      <c r="O40" s="11">
        <f t="shared" si="50"/>
        <v>0</v>
      </c>
      <c r="P40" s="12">
        <f t="shared" si="51"/>
        <v>-11.478260869565219</v>
      </c>
      <c r="Q40" s="176">
        <f t="shared" si="52"/>
        <v>0.90434782608695652</v>
      </c>
      <c r="R40" s="470"/>
      <c r="S40" s="24">
        <v>0.25138888888888888</v>
      </c>
      <c r="T40" s="24">
        <v>0.29930555555555555</v>
      </c>
      <c r="U40" s="171">
        <f>(S40-T39)*24*60</f>
        <v>7.9999999999999716</v>
      </c>
      <c r="V40" s="175">
        <f t="shared" si="53"/>
        <v>69</v>
      </c>
      <c r="W40" s="171"/>
      <c r="X40" s="171"/>
      <c r="Y40" s="456"/>
      <c r="Z40" s="456"/>
      <c r="AA40" s="11">
        <f t="shared" si="2"/>
        <v>-229.56521739130449</v>
      </c>
      <c r="AB40" s="176">
        <f t="shared" ref="AB40:AB68" si="57">M40/J40</f>
        <v>0.90434782608695652</v>
      </c>
      <c r="AC40" s="470"/>
    </row>
    <row r="41" spans="1:29">
      <c r="A41" s="486" t="s">
        <v>242</v>
      </c>
      <c r="B41" s="26" t="s">
        <v>24</v>
      </c>
      <c r="C41" s="487" t="s">
        <v>32</v>
      </c>
      <c r="D41" s="487"/>
      <c r="E41" s="26">
        <v>26.2</v>
      </c>
      <c r="F41" s="172">
        <v>2819</v>
      </c>
      <c r="G41" s="171">
        <f t="shared" si="49"/>
        <v>73857.8</v>
      </c>
      <c r="H41" s="76" t="s">
        <v>57</v>
      </c>
      <c r="I41" s="170">
        <v>20</v>
      </c>
      <c r="J41" s="18">
        <v>2400</v>
      </c>
      <c r="K41" s="9">
        <f t="shared" si="54"/>
        <v>120</v>
      </c>
      <c r="L41" s="170">
        <v>20</v>
      </c>
      <c r="M41" s="10">
        <f t="shared" si="55"/>
        <v>2168.4615384615399</v>
      </c>
      <c r="N41" s="9">
        <f t="shared" si="56"/>
        <v>108.42307692307699</v>
      </c>
      <c r="O41" s="11">
        <f t="shared" si="50"/>
        <v>0</v>
      </c>
      <c r="P41" s="12">
        <f t="shared" si="51"/>
        <v>-11.576923076923009</v>
      </c>
      <c r="Q41" s="176">
        <f t="shared" si="52"/>
        <v>0.90352564102564159</v>
      </c>
      <c r="R41" s="470"/>
      <c r="S41" s="24">
        <v>0.30416666666666664</v>
      </c>
      <c r="T41" s="24">
        <v>0.35833333333333328</v>
      </c>
      <c r="U41" s="171">
        <f t="shared" ref="U41:U45" si="58">(S41-T40)*24*60</f>
        <v>6.9999999999999751</v>
      </c>
      <c r="V41" s="175">
        <f t="shared" si="53"/>
        <v>77.999999999999957</v>
      </c>
      <c r="W41" s="171"/>
      <c r="X41" s="171"/>
      <c r="Y41" s="456"/>
      <c r="Z41" s="456"/>
      <c r="AA41" s="11">
        <f t="shared" si="2"/>
        <v>-231.53846153846007</v>
      </c>
      <c r="AB41" s="176">
        <f t="shared" si="57"/>
        <v>0.90352564102564159</v>
      </c>
      <c r="AC41" s="470"/>
    </row>
    <row r="42" spans="1:29">
      <c r="A42" s="486" t="s">
        <v>609</v>
      </c>
      <c r="B42" s="26" t="s">
        <v>24</v>
      </c>
      <c r="C42" s="487" t="s">
        <v>30</v>
      </c>
      <c r="D42" s="487"/>
      <c r="E42" s="26">
        <v>26.39</v>
      </c>
      <c r="F42" s="172">
        <v>5736</v>
      </c>
      <c r="G42" s="171">
        <f t="shared" si="49"/>
        <v>151373.04</v>
      </c>
      <c r="H42" s="76" t="s">
        <v>57</v>
      </c>
      <c r="I42" s="170">
        <v>19</v>
      </c>
      <c r="J42" s="18">
        <v>2400</v>
      </c>
      <c r="K42" s="9">
        <f t="shared" si="54"/>
        <v>126.31578947368421</v>
      </c>
      <c r="L42" s="170">
        <v>19</v>
      </c>
      <c r="M42" s="10">
        <f t="shared" si="55"/>
        <v>2151</v>
      </c>
      <c r="N42" s="9">
        <f t="shared" si="56"/>
        <v>113.21052631578948</v>
      </c>
      <c r="O42" s="11">
        <f t="shared" si="50"/>
        <v>0</v>
      </c>
      <c r="P42" s="12">
        <f t="shared" si="51"/>
        <v>-13.105263157894726</v>
      </c>
      <c r="Q42" s="176">
        <f t="shared" si="52"/>
        <v>0.8962500000000001</v>
      </c>
      <c r="R42" s="470"/>
      <c r="S42" s="24">
        <v>0.36180555555555549</v>
      </c>
      <c r="T42" s="24">
        <v>0.4729166666666666</v>
      </c>
      <c r="U42" s="171">
        <f t="shared" si="58"/>
        <v>4.9999999999999822</v>
      </c>
      <c r="V42" s="175">
        <f t="shared" si="53"/>
        <v>160</v>
      </c>
      <c r="W42" s="14"/>
      <c r="X42" s="14"/>
      <c r="Y42" s="456"/>
      <c r="Z42" s="456"/>
      <c r="AA42" s="11">
        <f t="shared" si="2"/>
        <v>-249</v>
      </c>
      <c r="AB42" s="176">
        <f t="shared" si="57"/>
        <v>0.89624999999999999</v>
      </c>
      <c r="AC42" s="470"/>
    </row>
    <row r="43" spans="1:29">
      <c r="A43" s="486" t="s">
        <v>242</v>
      </c>
      <c r="B43" s="26" t="s">
        <v>24</v>
      </c>
      <c r="C43" s="487" t="s">
        <v>84</v>
      </c>
      <c r="D43" s="487"/>
      <c r="E43" s="26">
        <v>24.25</v>
      </c>
      <c r="F43" s="172">
        <v>2684</v>
      </c>
      <c r="G43" s="171">
        <f t="shared" si="49"/>
        <v>65087</v>
      </c>
      <c r="H43" s="76" t="s">
        <v>57</v>
      </c>
      <c r="I43" s="170">
        <v>18</v>
      </c>
      <c r="J43" s="18">
        <v>2400</v>
      </c>
      <c r="K43" s="9">
        <f t="shared" si="54"/>
        <v>133.33333333333334</v>
      </c>
      <c r="L43" s="170">
        <v>18</v>
      </c>
      <c r="M43" s="10">
        <f t="shared" si="55"/>
        <v>2176.2162162162149</v>
      </c>
      <c r="N43" s="9">
        <f t="shared" si="56"/>
        <v>120.90090090090082</v>
      </c>
      <c r="O43" s="11">
        <f t="shared" si="50"/>
        <v>0</v>
      </c>
      <c r="P43" s="12">
        <f t="shared" si="51"/>
        <v>-12.43243243243252</v>
      </c>
      <c r="Q43" s="176">
        <f t="shared" si="52"/>
        <v>0.90675675675675615</v>
      </c>
      <c r="R43" s="470"/>
      <c r="S43" s="24">
        <v>0.51319444444444429</v>
      </c>
      <c r="T43" s="24">
        <v>0.56458333333333321</v>
      </c>
      <c r="U43" s="171">
        <f t="shared" si="58"/>
        <v>57.999999999999872</v>
      </c>
      <c r="V43" s="175">
        <f t="shared" si="53"/>
        <v>74.000000000000057</v>
      </c>
      <c r="W43" s="14"/>
      <c r="X43" s="14"/>
      <c r="Y43" s="456"/>
      <c r="Z43" s="456"/>
      <c r="AA43" s="11">
        <f t="shared" si="2"/>
        <v>-223.78378378378511</v>
      </c>
      <c r="AB43" s="176">
        <f t="shared" si="57"/>
        <v>0.90675675675675615</v>
      </c>
      <c r="AC43" s="470"/>
    </row>
    <row r="44" spans="1:29">
      <c r="A44" s="486" t="s">
        <v>242</v>
      </c>
      <c r="B44" s="26" t="s">
        <v>24</v>
      </c>
      <c r="C44" s="487" t="s">
        <v>513</v>
      </c>
      <c r="D44" s="487"/>
      <c r="E44" s="26">
        <v>29.94</v>
      </c>
      <c r="F44" s="172">
        <v>2104</v>
      </c>
      <c r="G44" s="171">
        <f t="shared" si="49"/>
        <v>62993.760000000002</v>
      </c>
      <c r="H44" s="76" t="s">
        <v>57</v>
      </c>
      <c r="I44" s="170">
        <v>16</v>
      </c>
      <c r="J44" s="18">
        <v>2400</v>
      </c>
      <c r="K44" s="9">
        <f t="shared" si="54"/>
        <v>150</v>
      </c>
      <c r="L44" s="170">
        <v>16</v>
      </c>
      <c r="M44" s="10">
        <f t="shared" si="55"/>
        <v>2176.5517241379325</v>
      </c>
      <c r="N44" s="9">
        <f t="shared" si="56"/>
        <v>136.03448275862078</v>
      </c>
      <c r="O44" s="11">
        <f t="shared" si="50"/>
        <v>0</v>
      </c>
      <c r="P44" s="12">
        <f t="shared" si="51"/>
        <v>-13.965517241379217</v>
      </c>
      <c r="Q44" s="176">
        <f t="shared" si="52"/>
        <v>0.90689655172413852</v>
      </c>
      <c r="R44" s="470"/>
      <c r="S44" s="24">
        <v>0.56944444444444431</v>
      </c>
      <c r="T44" s="24">
        <v>0.60972222222222205</v>
      </c>
      <c r="U44" s="171">
        <f t="shared" si="58"/>
        <v>6.9999999999999751</v>
      </c>
      <c r="V44" s="175">
        <f t="shared" si="53"/>
        <v>57.999999999999957</v>
      </c>
      <c r="W44" s="14"/>
      <c r="X44" s="14"/>
      <c r="Y44" s="456"/>
      <c r="Z44" s="456"/>
      <c r="AA44" s="11">
        <f t="shared" si="2"/>
        <v>-223.44827586206748</v>
      </c>
      <c r="AB44" s="176">
        <f t="shared" si="57"/>
        <v>0.90689655172413852</v>
      </c>
      <c r="AC44" s="470"/>
    </row>
    <row r="45" spans="1:29">
      <c r="A45" s="486" t="s">
        <v>609</v>
      </c>
      <c r="B45" s="26" t="s">
        <v>24</v>
      </c>
      <c r="C45" s="487" t="s">
        <v>25</v>
      </c>
      <c r="D45" s="487"/>
      <c r="E45" s="26">
        <v>20.52</v>
      </c>
      <c r="F45" s="172">
        <v>1773</v>
      </c>
      <c r="G45" s="171">
        <f t="shared" si="49"/>
        <v>36381.96</v>
      </c>
      <c r="H45" s="76" t="s">
        <v>57</v>
      </c>
      <c r="I45" s="170">
        <v>18</v>
      </c>
      <c r="J45" s="18">
        <v>2400</v>
      </c>
      <c r="K45" s="9">
        <f t="shared" si="54"/>
        <v>133.33333333333334</v>
      </c>
      <c r="L45" s="170">
        <v>18</v>
      </c>
      <c r="M45" s="10">
        <f t="shared" si="55"/>
        <v>2171.020408163266</v>
      </c>
      <c r="N45" s="9">
        <f t="shared" si="56"/>
        <v>120.61224489795921</v>
      </c>
      <c r="O45" s="11">
        <f t="shared" si="50"/>
        <v>0</v>
      </c>
      <c r="P45" s="12">
        <f t="shared" si="51"/>
        <v>-12.721088435374128</v>
      </c>
      <c r="Q45" s="176">
        <f t="shared" si="52"/>
        <v>0.90459183673469401</v>
      </c>
      <c r="R45" s="470"/>
      <c r="S45" s="24">
        <v>0.61527777777777759</v>
      </c>
      <c r="T45" s="24">
        <v>0.64930555555555536</v>
      </c>
      <c r="U45" s="171">
        <f t="shared" si="58"/>
        <v>7.9999999999999716</v>
      </c>
      <c r="V45" s="175">
        <f t="shared" si="53"/>
        <v>48.999999999999986</v>
      </c>
      <c r="W45" s="14"/>
      <c r="X45" s="14"/>
      <c r="Y45" s="473"/>
      <c r="Z45" s="474"/>
      <c r="AA45" s="11">
        <f t="shared" si="2"/>
        <v>-228.97959183673402</v>
      </c>
      <c r="AB45" s="176">
        <f t="shared" si="57"/>
        <v>0.90459183673469412</v>
      </c>
      <c r="AC45" s="470"/>
    </row>
    <row r="46" spans="1:29">
      <c r="A46" s="486" t="s">
        <v>242</v>
      </c>
      <c r="B46" s="16" t="s">
        <v>81</v>
      </c>
      <c r="C46" s="466"/>
      <c r="D46" s="466"/>
      <c r="E46" s="177"/>
      <c r="F46" s="16"/>
      <c r="G46" s="9"/>
      <c r="H46" s="172"/>
      <c r="I46" s="17">
        <v>18.428571428571427</v>
      </c>
      <c r="J46" s="18">
        <v>2400</v>
      </c>
      <c r="K46" s="9">
        <f t="shared" si="54"/>
        <v>130.23255813953489</v>
      </c>
      <c r="L46" s="17">
        <v>18.428571428571427</v>
      </c>
      <c r="M46" s="10">
        <f>AVERAGE(M39:M45)</f>
        <v>2166.7825390051321</v>
      </c>
      <c r="N46" s="9">
        <f>M46/L46</f>
        <v>117.57734707779788</v>
      </c>
      <c r="O46" s="11">
        <f>L46-I46</f>
        <v>0</v>
      </c>
      <c r="P46" s="12">
        <f t="shared" si="51"/>
        <v>-12.655211061737006</v>
      </c>
      <c r="Q46" s="176">
        <f t="shared" si="52"/>
        <v>0.9028260579188051</v>
      </c>
      <c r="R46" s="470"/>
      <c r="S46" s="24"/>
      <c r="T46" s="24"/>
      <c r="U46" s="9"/>
      <c r="V46" s="175"/>
      <c r="W46" s="9"/>
      <c r="X46" s="9"/>
      <c r="Y46" s="456"/>
      <c r="Z46" s="456"/>
      <c r="AA46" s="11">
        <f t="shared" si="2"/>
        <v>-233.21746099486791</v>
      </c>
      <c r="AB46" s="176">
        <f t="shared" si="57"/>
        <v>0.90282605791880499</v>
      </c>
      <c r="AC46" s="470"/>
    </row>
    <row r="47" spans="1:29" ht="15.75" customHeight="1">
      <c r="A47" s="488" t="s">
        <v>162</v>
      </c>
      <c r="B47" s="26" t="s">
        <v>33</v>
      </c>
      <c r="C47" s="491" t="s">
        <v>34</v>
      </c>
      <c r="D47" s="492"/>
      <c r="E47" s="26">
        <v>27.17</v>
      </c>
      <c r="F47" s="172">
        <v>2800</v>
      </c>
      <c r="G47" s="171">
        <f t="shared" ref="G47:G56" si="59">E47*F47</f>
        <v>76076</v>
      </c>
      <c r="H47" s="76">
        <v>2</v>
      </c>
      <c r="I47" s="170">
        <v>10</v>
      </c>
      <c r="J47" s="18">
        <v>3000</v>
      </c>
      <c r="K47" s="9">
        <f t="shared" si="54"/>
        <v>300</v>
      </c>
      <c r="L47" s="170">
        <v>10</v>
      </c>
      <c r="M47" s="10">
        <f t="shared" ref="M47:M48" si="60">F47/V47*60</f>
        <v>2709.6774193548376</v>
      </c>
      <c r="N47" s="10">
        <f t="shared" ref="N47:N57" si="61">M47/L47</f>
        <v>270.96774193548379</v>
      </c>
      <c r="O47" s="11">
        <f t="shared" ref="O47:O57" si="62">L47-I47</f>
        <v>0</v>
      </c>
      <c r="P47" s="12">
        <f t="shared" si="51"/>
        <v>-29.032258064516213</v>
      </c>
      <c r="Q47" s="176">
        <f t="shared" si="52"/>
        <v>0.90322580645161266</v>
      </c>
      <c r="R47" s="493">
        <f>Q57</f>
        <v>0.90692183341158439</v>
      </c>
      <c r="S47" s="24">
        <v>0.125</v>
      </c>
      <c r="T47" s="24">
        <v>0.16805555555555557</v>
      </c>
      <c r="U47" s="15"/>
      <c r="V47" s="175">
        <f t="shared" ref="V47:V56" si="63">(T47-S47)*24*60</f>
        <v>62.000000000000021</v>
      </c>
      <c r="W47" s="171"/>
      <c r="X47" s="171"/>
      <c r="Y47" s="473"/>
      <c r="Z47" s="474"/>
      <c r="AA47" s="11">
        <f t="shared" si="2"/>
        <v>-290.32258064516236</v>
      </c>
      <c r="AB47" s="176">
        <f t="shared" si="57"/>
        <v>0.90322580645161255</v>
      </c>
      <c r="AC47" s="493">
        <f>AB57</f>
        <v>0.90692183341158428</v>
      </c>
    </row>
    <row r="48" spans="1:29" ht="15.75" customHeight="1">
      <c r="A48" s="489" t="s">
        <v>9</v>
      </c>
      <c r="B48" s="26" t="s">
        <v>33</v>
      </c>
      <c r="C48" s="491" t="s">
        <v>35</v>
      </c>
      <c r="D48" s="492"/>
      <c r="E48" s="26">
        <v>21.13</v>
      </c>
      <c r="F48" s="172">
        <v>3100</v>
      </c>
      <c r="G48" s="171">
        <f t="shared" si="59"/>
        <v>65503</v>
      </c>
      <c r="H48" s="76">
        <v>2</v>
      </c>
      <c r="I48" s="170">
        <v>10</v>
      </c>
      <c r="J48" s="18">
        <v>3000</v>
      </c>
      <c r="K48" s="9">
        <f t="shared" si="54"/>
        <v>300</v>
      </c>
      <c r="L48" s="170">
        <v>10</v>
      </c>
      <c r="M48" s="10">
        <f t="shared" si="60"/>
        <v>2695.6521739130435</v>
      </c>
      <c r="N48" s="10">
        <f t="shared" si="61"/>
        <v>269.56521739130437</v>
      </c>
      <c r="O48" s="11">
        <f t="shared" si="62"/>
        <v>0</v>
      </c>
      <c r="P48" s="12">
        <f t="shared" si="51"/>
        <v>-30.434782608695627</v>
      </c>
      <c r="Q48" s="176">
        <f t="shared" si="52"/>
        <v>0.89855072463768126</v>
      </c>
      <c r="R48" s="494"/>
      <c r="S48" s="24">
        <v>0.18958333333333335</v>
      </c>
      <c r="T48" s="24">
        <v>0.23750000000000002</v>
      </c>
      <c r="U48" s="171">
        <f>(S48-T47)*24*60</f>
        <v>31.000000000000011</v>
      </c>
      <c r="V48" s="175">
        <f t="shared" si="63"/>
        <v>69</v>
      </c>
      <c r="W48" s="14"/>
      <c r="X48" s="14"/>
      <c r="Y48" s="473"/>
      <c r="Z48" s="474"/>
      <c r="AA48" s="11">
        <f t="shared" si="2"/>
        <v>-304.3478260869565</v>
      </c>
      <c r="AB48" s="176">
        <f t="shared" si="57"/>
        <v>0.89855072463768115</v>
      </c>
      <c r="AC48" s="494"/>
    </row>
    <row r="49" spans="1:29" ht="15.75" customHeight="1">
      <c r="A49" s="489" t="s">
        <v>9</v>
      </c>
      <c r="B49" s="26" t="s">
        <v>33</v>
      </c>
      <c r="C49" s="491" t="s">
        <v>43</v>
      </c>
      <c r="D49" s="492"/>
      <c r="E49" s="26">
        <v>35.119999999999997</v>
      </c>
      <c r="F49" s="172">
        <v>3000</v>
      </c>
      <c r="G49" s="171">
        <f t="shared" si="59"/>
        <v>105359.99999999999</v>
      </c>
      <c r="H49" s="76">
        <v>2</v>
      </c>
      <c r="I49" s="170">
        <v>10</v>
      </c>
      <c r="J49" s="18">
        <v>3000</v>
      </c>
      <c r="K49" s="9">
        <f t="shared" si="54"/>
        <v>300</v>
      </c>
      <c r="L49" s="170">
        <v>10</v>
      </c>
      <c r="M49" s="10">
        <f>F49/V49*60</f>
        <v>2727.272727272727</v>
      </c>
      <c r="N49" s="10">
        <f t="shared" si="61"/>
        <v>272.72727272727269</v>
      </c>
      <c r="O49" s="11">
        <f t="shared" si="62"/>
        <v>0</v>
      </c>
      <c r="P49" s="12">
        <f t="shared" si="51"/>
        <v>-27.272727272727309</v>
      </c>
      <c r="Q49" s="176">
        <f t="shared" si="52"/>
        <v>0.90909090909090895</v>
      </c>
      <c r="R49" s="494"/>
      <c r="S49" s="24">
        <v>0.24305555555555558</v>
      </c>
      <c r="T49" s="24">
        <v>0.28888888888888892</v>
      </c>
      <c r="U49" s="171">
        <f t="shared" ref="U49:U56" si="64">(S49-T48)*24*60</f>
        <v>8.0000000000000107</v>
      </c>
      <c r="V49" s="175">
        <f t="shared" si="63"/>
        <v>66</v>
      </c>
      <c r="W49" s="14"/>
      <c r="X49" s="14"/>
      <c r="Y49" s="473"/>
      <c r="Z49" s="474"/>
      <c r="AA49" s="11">
        <f t="shared" si="2"/>
        <v>-272.72727272727298</v>
      </c>
      <c r="AB49" s="176">
        <f t="shared" si="57"/>
        <v>0.90909090909090906</v>
      </c>
      <c r="AC49" s="494"/>
    </row>
    <row r="50" spans="1:29" ht="15.75" customHeight="1">
      <c r="A50" s="489" t="s">
        <v>9</v>
      </c>
      <c r="B50" s="26" t="s">
        <v>33</v>
      </c>
      <c r="C50" s="491" t="s">
        <v>67</v>
      </c>
      <c r="D50" s="492"/>
      <c r="E50" s="26">
        <v>40.18</v>
      </c>
      <c r="F50" s="172">
        <v>2565</v>
      </c>
      <c r="G50" s="171">
        <f t="shared" si="59"/>
        <v>103061.7</v>
      </c>
      <c r="H50" s="76" t="s">
        <v>57</v>
      </c>
      <c r="I50" s="170">
        <v>10</v>
      </c>
      <c r="J50" s="18">
        <v>3000</v>
      </c>
      <c r="K50" s="9">
        <f t="shared" si="54"/>
        <v>300</v>
      </c>
      <c r="L50" s="170">
        <v>10</v>
      </c>
      <c r="M50" s="10">
        <f t="shared" ref="M50:M56" si="65">F50/V50*60</f>
        <v>2699.9999999999982</v>
      </c>
      <c r="N50" s="10">
        <f t="shared" si="61"/>
        <v>269.99999999999983</v>
      </c>
      <c r="O50" s="11">
        <f t="shared" si="62"/>
        <v>0</v>
      </c>
      <c r="P50" s="12">
        <f t="shared" si="51"/>
        <v>-30.000000000000171</v>
      </c>
      <c r="Q50" s="176">
        <f t="shared" si="52"/>
        <v>0.89999999999999947</v>
      </c>
      <c r="R50" s="494"/>
      <c r="S50" s="24">
        <v>0.29236111111111113</v>
      </c>
      <c r="T50" s="24">
        <v>0.33194444444444449</v>
      </c>
      <c r="U50" s="171">
        <f t="shared" si="64"/>
        <v>4.9999999999999822</v>
      </c>
      <c r="V50" s="175">
        <f t="shared" si="63"/>
        <v>57.000000000000036</v>
      </c>
      <c r="W50" s="14"/>
      <c r="X50" s="14"/>
      <c r="Y50" s="473"/>
      <c r="Z50" s="474"/>
      <c r="AA50" s="11">
        <f t="shared" si="2"/>
        <v>-300.00000000000182</v>
      </c>
      <c r="AB50" s="176">
        <f t="shared" si="57"/>
        <v>0.89999999999999936</v>
      </c>
      <c r="AC50" s="494"/>
    </row>
    <row r="51" spans="1:29" ht="15.75" customHeight="1">
      <c r="A51" s="489" t="s">
        <v>9</v>
      </c>
      <c r="B51" s="26" t="s">
        <v>33</v>
      </c>
      <c r="C51" s="491" t="s">
        <v>73</v>
      </c>
      <c r="D51" s="492"/>
      <c r="E51" s="26">
        <v>28.5</v>
      </c>
      <c r="F51" s="172">
        <v>1882</v>
      </c>
      <c r="G51" s="171">
        <f t="shared" si="59"/>
        <v>53637</v>
      </c>
      <c r="H51" s="76" t="s">
        <v>57</v>
      </c>
      <c r="I51" s="170">
        <v>10</v>
      </c>
      <c r="J51" s="18">
        <v>3000</v>
      </c>
      <c r="K51" s="9">
        <f t="shared" si="54"/>
        <v>300</v>
      </c>
      <c r="L51" s="170">
        <v>10</v>
      </c>
      <c r="M51" s="10">
        <f t="shared" si="65"/>
        <v>2754.1463414634136</v>
      </c>
      <c r="N51" s="10">
        <f t="shared" si="61"/>
        <v>275.41463414634137</v>
      </c>
      <c r="O51" s="11">
        <f t="shared" si="62"/>
        <v>0</v>
      </c>
      <c r="P51" s="12">
        <f t="shared" si="51"/>
        <v>-24.585365853658629</v>
      </c>
      <c r="Q51" s="176">
        <f>N51/K51</f>
        <v>0.91804878048780458</v>
      </c>
      <c r="R51" s="494"/>
      <c r="S51" s="24">
        <v>0.3354166666666667</v>
      </c>
      <c r="T51" s="24">
        <v>0.36388888888888893</v>
      </c>
      <c r="U51" s="171">
        <f t="shared" si="64"/>
        <v>4.9999999999999822</v>
      </c>
      <c r="V51" s="175">
        <f t="shared" si="63"/>
        <v>41.000000000000014</v>
      </c>
      <c r="W51" s="14"/>
      <c r="X51" s="14"/>
      <c r="Y51" s="473"/>
      <c r="Z51" s="474"/>
      <c r="AA51" s="11">
        <f t="shared" si="2"/>
        <v>-245.85365853658641</v>
      </c>
      <c r="AB51" s="176">
        <f t="shared" si="57"/>
        <v>0.91804878048780458</v>
      </c>
      <c r="AC51" s="494"/>
    </row>
    <row r="52" spans="1:29" ht="15.75" customHeight="1">
      <c r="A52" s="489" t="s">
        <v>9</v>
      </c>
      <c r="B52" s="26" t="s">
        <v>33</v>
      </c>
      <c r="C52" s="491" t="s">
        <v>511</v>
      </c>
      <c r="D52" s="492"/>
      <c r="E52" s="26">
        <v>34.26</v>
      </c>
      <c r="F52" s="172">
        <v>3535</v>
      </c>
      <c r="G52" s="171">
        <f t="shared" si="59"/>
        <v>121109.09999999999</v>
      </c>
      <c r="H52" s="76" t="s">
        <v>57</v>
      </c>
      <c r="I52" s="170">
        <v>10</v>
      </c>
      <c r="J52" s="18">
        <v>3000</v>
      </c>
      <c r="K52" s="9">
        <f t="shared" si="54"/>
        <v>300</v>
      </c>
      <c r="L52" s="170">
        <v>10</v>
      </c>
      <c r="M52" s="10">
        <f t="shared" si="65"/>
        <v>2719.2307692307677</v>
      </c>
      <c r="N52" s="10">
        <f t="shared" si="61"/>
        <v>271.92307692307679</v>
      </c>
      <c r="O52" s="11">
        <f t="shared" si="62"/>
        <v>0</v>
      </c>
      <c r="P52" s="12">
        <f t="shared" si="51"/>
        <v>-28.076923076923208</v>
      </c>
      <c r="Q52" s="176">
        <f t="shared" ref="Q52:Q57" si="66">N52/K52</f>
        <v>0.90641025641025597</v>
      </c>
      <c r="R52" s="494"/>
      <c r="S52" s="24">
        <v>0.36944444444444446</v>
      </c>
      <c r="T52" s="24">
        <v>0.42361111111111116</v>
      </c>
      <c r="U52" s="171">
        <f t="shared" si="64"/>
        <v>7.9999999999999716</v>
      </c>
      <c r="V52" s="175">
        <f t="shared" si="63"/>
        <v>78.000000000000043</v>
      </c>
      <c r="W52" s="14"/>
      <c r="X52" s="14"/>
      <c r="Y52" s="473"/>
      <c r="Z52" s="474"/>
      <c r="AA52" s="11">
        <f t="shared" si="2"/>
        <v>-280.76923076923231</v>
      </c>
      <c r="AB52" s="176">
        <f t="shared" si="57"/>
        <v>0.90641025641025585</v>
      </c>
      <c r="AC52" s="494"/>
    </row>
    <row r="53" spans="1:29" ht="15.75" customHeight="1">
      <c r="A53" s="489" t="s">
        <v>9</v>
      </c>
      <c r="B53" s="26" t="s">
        <v>33</v>
      </c>
      <c r="C53" s="491" t="s">
        <v>37</v>
      </c>
      <c r="D53" s="492"/>
      <c r="E53" s="26">
        <v>34.36</v>
      </c>
      <c r="F53" s="172">
        <v>2666</v>
      </c>
      <c r="G53" s="171">
        <f t="shared" si="59"/>
        <v>91603.76</v>
      </c>
      <c r="H53" s="76" t="s">
        <v>57</v>
      </c>
      <c r="I53" s="170">
        <v>10</v>
      </c>
      <c r="J53" s="18">
        <v>3000</v>
      </c>
      <c r="K53" s="9">
        <f t="shared" si="54"/>
        <v>300</v>
      </c>
      <c r="L53" s="170">
        <v>10</v>
      </c>
      <c r="M53" s="10">
        <f t="shared" si="65"/>
        <v>2711.186440677965</v>
      </c>
      <c r="N53" s="10">
        <f t="shared" si="61"/>
        <v>271.11864406779648</v>
      </c>
      <c r="O53" s="11">
        <f t="shared" si="62"/>
        <v>0</v>
      </c>
      <c r="P53" s="12">
        <f t="shared" si="51"/>
        <v>-28.881355932203519</v>
      </c>
      <c r="Q53" s="176">
        <f t="shared" si="66"/>
        <v>0.90372881355932155</v>
      </c>
      <c r="R53" s="494"/>
      <c r="S53" s="24">
        <v>0.42777777777777781</v>
      </c>
      <c r="T53" s="24">
        <v>0.46875000000000006</v>
      </c>
      <c r="U53" s="171">
        <f t="shared" si="64"/>
        <v>5.9999999999999787</v>
      </c>
      <c r="V53" s="175">
        <f t="shared" si="63"/>
        <v>59.000000000000028</v>
      </c>
      <c r="W53" s="14"/>
      <c r="X53" s="14"/>
      <c r="Y53" s="473"/>
      <c r="Z53" s="474"/>
      <c r="AA53" s="11">
        <f t="shared" si="2"/>
        <v>-288.81355932203496</v>
      </c>
      <c r="AB53" s="176">
        <f t="shared" si="57"/>
        <v>0.90372881355932166</v>
      </c>
      <c r="AC53" s="494"/>
    </row>
    <row r="54" spans="1:29" ht="15.75" customHeight="1">
      <c r="A54" s="489" t="s">
        <v>9</v>
      </c>
      <c r="B54" s="26" t="s">
        <v>33</v>
      </c>
      <c r="C54" s="491" t="s">
        <v>34</v>
      </c>
      <c r="D54" s="492"/>
      <c r="E54" s="26">
        <v>27.17</v>
      </c>
      <c r="F54" s="172">
        <v>3130</v>
      </c>
      <c r="G54" s="171">
        <f t="shared" si="59"/>
        <v>85042.1</v>
      </c>
      <c r="H54" s="76" t="s">
        <v>57</v>
      </c>
      <c r="I54" s="170">
        <v>10</v>
      </c>
      <c r="J54" s="18">
        <v>3000</v>
      </c>
      <c r="K54" s="9">
        <f t="shared" si="54"/>
        <v>300</v>
      </c>
      <c r="L54" s="170">
        <v>10</v>
      </c>
      <c r="M54" s="10">
        <f t="shared" si="65"/>
        <v>2721.7391304347798</v>
      </c>
      <c r="N54" s="10">
        <f t="shared" si="61"/>
        <v>272.17391304347797</v>
      </c>
      <c r="O54" s="11">
        <f t="shared" si="62"/>
        <v>0</v>
      </c>
      <c r="P54" s="12">
        <f t="shared" si="51"/>
        <v>-27.826086956522033</v>
      </c>
      <c r="Q54" s="176">
        <f t="shared" si="66"/>
        <v>0.90724637681159326</v>
      </c>
      <c r="R54" s="494"/>
      <c r="S54" s="24">
        <v>0.5097222222222223</v>
      </c>
      <c r="T54" s="24">
        <v>0.55763888888888902</v>
      </c>
      <c r="U54" s="171">
        <f t="shared" si="64"/>
        <v>59.000000000000028</v>
      </c>
      <c r="V54" s="175">
        <f t="shared" si="63"/>
        <v>69.000000000000071</v>
      </c>
      <c r="W54" s="14"/>
      <c r="X54" s="14"/>
      <c r="Y54" s="473"/>
      <c r="Z54" s="474"/>
      <c r="AA54" s="11">
        <f t="shared" si="2"/>
        <v>-278.26086956522022</v>
      </c>
      <c r="AB54" s="176">
        <f t="shared" si="57"/>
        <v>0.90724637681159326</v>
      </c>
      <c r="AC54" s="494"/>
    </row>
    <row r="55" spans="1:29" ht="15.75" customHeight="1">
      <c r="A55" s="489" t="s">
        <v>9</v>
      </c>
      <c r="B55" s="26" t="s">
        <v>33</v>
      </c>
      <c r="C55" s="491" t="s">
        <v>35</v>
      </c>
      <c r="D55" s="492"/>
      <c r="E55" s="26">
        <v>21.13</v>
      </c>
      <c r="F55" s="172">
        <v>1466</v>
      </c>
      <c r="G55" s="171">
        <f t="shared" si="59"/>
        <v>30976.579999999998</v>
      </c>
      <c r="H55" s="76" t="s">
        <v>57</v>
      </c>
      <c r="I55" s="170">
        <v>10</v>
      </c>
      <c r="J55" s="18">
        <v>3000</v>
      </c>
      <c r="K55" s="9">
        <f t="shared" si="54"/>
        <v>300</v>
      </c>
      <c r="L55" s="170">
        <v>10</v>
      </c>
      <c r="M55" s="10">
        <f t="shared" si="65"/>
        <v>2748.7499999999964</v>
      </c>
      <c r="N55" s="10">
        <f t="shared" si="61"/>
        <v>274.87499999999966</v>
      </c>
      <c r="O55" s="11">
        <f t="shared" si="62"/>
        <v>0</v>
      </c>
      <c r="P55" s="12">
        <f t="shared" si="51"/>
        <v>-25.125000000000341</v>
      </c>
      <c r="Q55" s="176">
        <f t="shared" si="66"/>
        <v>0.9162499999999989</v>
      </c>
      <c r="R55" s="494"/>
      <c r="S55" s="24">
        <v>0.56180555555555567</v>
      </c>
      <c r="T55" s="24">
        <v>0.58402777777777792</v>
      </c>
      <c r="U55" s="171">
        <f t="shared" si="64"/>
        <v>5.9999999999999787</v>
      </c>
      <c r="V55" s="175">
        <f t="shared" si="63"/>
        <v>32.000000000000043</v>
      </c>
      <c r="W55" s="14"/>
      <c r="X55" s="14"/>
      <c r="Y55" s="473"/>
      <c r="Z55" s="474"/>
      <c r="AA55" s="11">
        <f t="shared" si="2"/>
        <v>-251.25000000000364</v>
      </c>
      <c r="AB55" s="176">
        <f t="shared" si="57"/>
        <v>0.91624999999999879</v>
      </c>
      <c r="AC55" s="494"/>
    </row>
    <row r="56" spans="1:29" ht="15.75" customHeight="1">
      <c r="A56" s="489" t="s">
        <v>9</v>
      </c>
      <c r="B56" s="26" t="s">
        <v>33</v>
      </c>
      <c r="C56" s="491" t="s">
        <v>43</v>
      </c>
      <c r="D56" s="492"/>
      <c r="E56" s="26">
        <v>35.119999999999997</v>
      </c>
      <c r="F56" s="172">
        <v>1632</v>
      </c>
      <c r="G56" s="171">
        <f t="shared" si="59"/>
        <v>57315.839999999997</v>
      </c>
      <c r="H56" s="76" t="s">
        <v>57</v>
      </c>
      <c r="I56" s="170">
        <v>10</v>
      </c>
      <c r="J56" s="18">
        <v>3000</v>
      </c>
      <c r="K56" s="9">
        <f t="shared" si="54"/>
        <v>300</v>
      </c>
      <c r="L56" s="170">
        <v>10</v>
      </c>
      <c r="M56" s="10">
        <f t="shared" si="65"/>
        <v>2719.9999999999982</v>
      </c>
      <c r="N56" s="10">
        <f t="shared" si="61"/>
        <v>271.99999999999983</v>
      </c>
      <c r="O56" s="11">
        <f t="shared" si="62"/>
        <v>0</v>
      </c>
      <c r="P56" s="12">
        <f t="shared" si="51"/>
        <v>-28.000000000000171</v>
      </c>
      <c r="Q56" s="176">
        <f t="shared" si="66"/>
        <v>0.90666666666666607</v>
      </c>
      <c r="R56" s="494"/>
      <c r="S56" s="24">
        <v>0.58750000000000013</v>
      </c>
      <c r="T56" s="24">
        <v>0.61250000000000016</v>
      </c>
      <c r="U56" s="171">
        <f t="shared" si="64"/>
        <v>4.9999999999999822</v>
      </c>
      <c r="V56" s="175">
        <f t="shared" si="63"/>
        <v>36.000000000000028</v>
      </c>
      <c r="W56" s="14"/>
      <c r="X56" s="14"/>
      <c r="Y56" s="473"/>
      <c r="Z56" s="474"/>
      <c r="AA56" s="11">
        <f t="shared" si="2"/>
        <v>-280.00000000000182</v>
      </c>
      <c r="AB56" s="176">
        <f t="shared" si="57"/>
        <v>0.90666666666666607</v>
      </c>
      <c r="AC56" s="494"/>
    </row>
    <row r="57" spans="1:29" ht="15.75" customHeight="1">
      <c r="A57" s="490" t="s">
        <v>9</v>
      </c>
      <c r="B57" s="26" t="s">
        <v>81</v>
      </c>
      <c r="C57" s="497"/>
      <c r="D57" s="498"/>
      <c r="E57" s="180"/>
      <c r="F57" s="172"/>
      <c r="G57" s="171"/>
      <c r="H57" s="172"/>
      <c r="I57" s="17">
        <v>10</v>
      </c>
      <c r="J57" s="18">
        <v>3000</v>
      </c>
      <c r="K57" s="9">
        <f>J57/I57</f>
        <v>300</v>
      </c>
      <c r="L57" s="17">
        <v>10</v>
      </c>
      <c r="M57" s="10">
        <f>AVERAGE(M47:M56)</f>
        <v>2720.7655002347528</v>
      </c>
      <c r="N57" s="9">
        <f t="shared" si="61"/>
        <v>272.07655002347531</v>
      </c>
      <c r="O57" s="11">
        <f t="shared" si="62"/>
        <v>0</v>
      </c>
      <c r="P57" s="12">
        <f t="shared" si="51"/>
        <v>-27.923449976524694</v>
      </c>
      <c r="Q57" s="176">
        <f t="shared" si="66"/>
        <v>0.90692183341158439</v>
      </c>
      <c r="R57" s="495"/>
      <c r="S57" s="24"/>
      <c r="T57" s="24"/>
      <c r="U57" s="171"/>
      <c r="V57" s="175"/>
      <c r="W57" s="14"/>
      <c r="X57" s="14"/>
      <c r="Y57" s="473"/>
      <c r="Z57" s="474"/>
      <c r="AA57" s="11">
        <f t="shared" si="2"/>
        <v>-279.23449976524716</v>
      </c>
      <c r="AB57" s="176">
        <f t="shared" si="57"/>
        <v>0.90692183341158428</v>
      </c>
      <c r="AC57" s="495"/>
    </row>
    <row r="58" spans="1:29" ht="15.75" customHeight="1">
      <c r="A58" s="461" t="s">
        <v>125</v>
      </c>
      <c r="B58" s="26" t="s">
        <v>15</v>
      </c>
      <c r="C58" s="487" t="s">
        <v>20</v>
      </c>
      <c r="D58" s="487"/>
      <c r="E58" s="26">
        <v>46</v>
      </c>
      <c r="F58" s="27">
        <v>2942</v>
      </c>
      <c r="G58" s="171">
        <f t="shared" ref="G58:G61" si="67">E58*F58</f>
        <v>135332</v>
      </c>
      <c r="H58" s="76" t="s">
        <v>57</v>
      </c>
      <c r="I58" s="170">
        <v>17</v>
      </c>
      <c r="J58" s="18">
        <v>1500</v>
      </c>
      <c r="K58" s="9">
        <f t="shared" ref="K58:K61" si="68">J58/I58</f>
        <v>88.235294117647058</v>
      </c>
      <c r="L58" s="170">
        <v>17</v>
      </c>
      <c r="M58" s="10">
        <f t="shared" ref="M58:M61" si="69">F58/V58*60</f>
        <v>1347.4809160305342</v>
      </c>
      <c r="N58" s="10">
        <f>M58/L58</f>
        <v>79.263583295913776</v>
      </c>
      <c r="O58" s="11">
        <f>L58-I58</f>
        <v>0</v>
      </c>
      <c r="P58" s="12">
        <f>N58-K58</f>
        <v>-8.9717108217332822</v>
      </c>
      <c r="Q58" s="176">
        <f>N58/K58</f>
        <v>0.89832061068702285</v>
      </c>
      <c r="R58" s="470">
        <f>Q62</f>
        <v>0.90191361017470484</v>
      </c>
      <c r="S58" s="24">
        <v>0.29305555555555557</v>
      </c>
      <c r="T58" s="24">
        <v>0.3840277777777778</v>
      </c>
      <c r="U58" s="15"/>
      <c r="V58" s="175">
        <f t="shared" ref="V58:V61" si="70">(T58-S58)*24*60</f>
        <v>131</v>
      </c>
      <c r="W58" s="15"/>
      <c r="X58" s="15"/>
      <c r="Y58" s="456"/>
      <c r="Z58" s="456"/>
      <c r="AA58" s="11">
        <f t="shared" si="2"/>
        <v>-152.51908396946578</v>
      </c>
      <c r="AB58" s="176">
        <f t="shared" si="57"/>
        <v>0.89832061068702285</v>
      </c>
      <c r="AC58" s="470">
        <f>AB62</f>
        <v>0.90191361017470495</v>
      </c>
    </row>
    <row r="59" spans="1:29" ht="15.75" customHeight="1">
      <c r="A59" s="461" t="s">
        <v>10</v>
      </c>
      <c r="B59" s="26" t="s">
        <v>15</v>
      </c>
      <c r="C59" s="487" t="s">
        <v>75</v>
      </c>
      <c r="D59" s="487"/>
      <c r="E59" s="26">
        <v>46</v>
      </c>
      <c r="F59" s="27">
        <v>3508</v>
      </c>
      <c r="G59" s="171">
        <f t="shared" si="67"/>
        <v>161368</v>
      </c>
      <c r="H59" s="76" t="s">
        <v>57</v>
      </c>
      <c r="I59" s="170">
        <v>18</v>
      </c>
      <c r="J59" s="18">
        <v>1500</v>
      </c>
      <c r="K59" s="9">
        <f t="shared" si="68"/>
        <v>83.333333333333329</v>
      </c>
      <c r="L59" s="170">
        <v>18</v>
      </c>
      <c r="M59" s="10">
        <f t="shared" si="69"/>
        <v>1349.2307692307691</v>
      </c>
      <c r="N59" s="10">
        <f t="shared" ref="N59:N61" si="71">M59/L59</f>
        <v>74.957264957264954</v>
      </c>
      <c r="O59" s="11">
        <f t="shared" ref="O59:O61" si="72">L59-I59</f>
        <v>0</v>
      </c>
      <c r="P59" s="12">
        <f t="shared" ref="P59:P61" si="73">N59-K59</f>
        <v>-8.3760683760683747</v>
      </c>
      <c r="Q59" s="176">
        <f t="shared" ref="Q59:Q61" si="74">N59/K59</f>
        <v>0.89948717948717949</v>
      </c>
      <c r="R59" s="470"/>
      <c r="S59" s="24">
        <v>0.38958333333333334</v>
      </c>
      <c r="T59" s="24">
        <v>0.49791666666666667</v>
      </c>
      <c r="U59" s="171">
        <f t="shared" ref="U59:U61" si="75">(S59-T58)*24*60</f>
        <v>7.9999999999999716</v>
      </c>
      <c r="V59" s="175">
        <f t="shared" si="70"/>
        <v>156</v>
      </c>
      <c r="W59" s="14"/>
      <c r="X59" s="14"/>
      <c r="Y59" s="456"/>
      <c r="Z59" s="456"/>
      <c r="AA59" s="11">
        <f t="shared" si="2"/>
        <v>-150.76923076923094</v>
      </c>
      <c r="AB59" s="176">
        <f t="shared" si="57"/>
        <v>0.89948717948717938</v>
      </c>
      <c r="AC59" s="470"/>
    </row>
    <row r="60" spans="1:29" ht="15.75" customHeight="1">
      <c r="A60" s="461" t="s">
        <v>10</v>
      </c>
      <c r="B60" s="26" t="s">
        <v>13</v>
      </c>
      <c r="C60" s="491" t="s">
        <v>65</v>
      </c>
      <c r="D60" s="492"/>
      <c r="E60" s="26">
        <v>55.56</v>
      </c>
      <c r="F60" s="27">
        <v>1900</v>
      </c>
      <c r="G60" s="171">
        <f t="shared" si="67"/>
        <v>105564</v>
      </c>
      <c r="H60" s="76" t="s">
        <v>57</v>
      </c>
      <c r="I60" s="170">
        <v>17</v>
      </c>
      <c r="J60" s="18">
        <v>1500</v>
      </c>
      <c r="K60" s="9">
        <f t="shared" si="68"/>
        <v>88.235294117647058</v>
      </c>
      <c r="L60" s="170">
        <v>17</v>
      </c>
      <c r="M60" s="10">
        <f t="shared" si="69"/>
        <v>1357.1428571428567</v>
      </c>
      <c r="N60" s="10">
        <f t="shared" si="71"/>
        <v>79.831932773109216</v>
      </c>
      <c r="O60" s="11">
        <f t="shared" si="72"/>
        <v>0</v>
      </c>
      <c r="P60" s="12">
        <f t="shared" si="73"/>
        <v>-8.4033613445378421</v>
      </c>
      <c r="Q60" s="176">
        <f t="shared" si="74"/>
        <v>0.90476190476190443</v>
      </c>
      <c r="R60" s="470"/>
      <c r="S60" s="24">
        <v>0.70833333333333337</v>
      </c>
      <c r="T60" s="24">
        <v>0.76666666666666672</v>
      </c>
      <c r="U60" s="171">
        <f t="shared" si="75"/>
        <v>303.00000000000006</v>
      </c>
      <c r="V60" s="175">
        <f t="shared" si="70"/>
        <v>84.000000000000028</v>
      </c>
      <c r="W60" s="14"/>
      <c r="X60" s="14"/>
      <c r="Y60" s="173"/>
      <c r="Z60" s="174"/>
      <c r="AA60" s="11">
        <f t="shared" si="2"/>
        <v>-142.85714285714334</v>
      </c>
      <c r="AB60" s="176">
        <f t="shared" si="57"/>
        <v>0.90476190476190443</v>
      </c>
      <c r="AC60" s="470"/>
    </row>
    <row r="61" spans="1:29" ht="15.75" customHeight="1">
      <c r="A61" s="461" t="s">
        <v>10</v>
      </c>
      <c r="B61" s="26" t="s">
        <v>13</v>
      </c>
      <c r="C61" s="178" t="s">
        <v>64</v>
      </c>
      <c r="D61" s="179"/>
      <c r="E61" s="26">
        <v>55.32</v>
      </c>
      <c r="F61" s="27">
        <v>1335</v>
      </c>
      <c r="G61" s="171">
        <f t="shared" si="67"/>
        <v>73852.2</v>
      </c>
      <c r="H61" s="76" t="s">
        <v>57</v>
      </c>
      <c r="I61" s="170">
        <v>15</v>
      </c>
      <c r="J61" s="18">
        <v>1500</v>
      </c>
      <c r="K61" s="9">
        <f t="shared" si="68"/>
        <v>100</v>
      </c>
      <c r="L61" s="170">
        <v>15</v>
      </c>
      <c r="M61" s="10">
        <f t="shared" si="69"/>
        <v>1357.627118644069</v>
      </c>
      <c r="N61" s="10">
        <f t="shared" si="71"/>
        <v>90.508474576271269</v>
      </c>
      <c r="O61" s="11">
        <f t="shared" si="72"/>
        <v>0</v>
      </c>
      <c r="P61" s="12">
        <f t="shared" si="73"/>
        <v>-9.4915254237287314</v>
      </c>
      <c r="Q61" s="176">
        <f t="shared" si="74"/>
        <v>0.90508474576271269</v>
      </c>
      <c r="R61" s="470"/>
      <c r="S61" s="24">
        <v>0.77152777777777781</v>
      </c>
      <c r="T61" s="24">
        <v>0.8125</v>
      </c>
      <c r="U61" s="171">
        <f t="shared" si="75"/>
        <v>6.9999999999999751</v>
      </c>
      <c r="V61" s="175">
        <f t="shared" si="70"/>
        <v>58.99999999999995</v>
      </c>
      <c r="W61" s="14"/>
      <c r="X61" s="14"/>
      <c r="Y61" s="173"/>
      <c r="Z61" s="174"/>
      <c r="AA61" s="11">
        <f t="shared" si="2"/>
        <v>-142.37288135593099</v>
      </c>
      <c r="AB61" s="176">
        <f t="shared" si="57"/>
        <v>0.90508474576271269</v>
      </c>
      <c r="AC61" s="470"/>
    </row>
    <row r="62" spans="1:29">
      <c r="A62" s="496" t="s">
        <v>10</v>
      </c>
      <c r="B62" s="26" t="s">
        <v>81</v>
      </c>
      <c r="C62" s="466"/>
      <c r="D62" s="466"/>
      <c r="E62" s="177"/>
      <c r="F62" s="16"/>
      <c r="G62" s="9"/>
      <c r="H62" s="172"/>
      <c r="I62" s="17">
        <v>16.75</v>
      </c>
      <c r="J62" s="18">
        <v>1500</v>
      </c>
      <c r="K62" s="9">
        <f>J62/I62</f>
        <v>89.552238805970148</v>
      </c>
      <c r="L62" s="17">
        <v>16.75</v>
      </c>
      <c r="M62" s="10">
        <f>AVERAGE(M58:M61)</f>
        <v>1352.8704152620573</v>
      </c>
      <c r="N62" s="9">
        <f>M62/L62</f>
        <v>80.768383000719837</v>
      </c>
      <c r="O62" s="11">
        <f>L62-I62</f>
        <v>0</v>
      </c>
      <c r="P62" s="12">
        <f>N62-K62</f>
        <v>-8.7838558052503117</v>
      </c>
      <c r="Q62" s="176">
        <f>N62/K62</f>
        <v>0.90191361017470484</v>
      </c>
      <c r="R62" s="470"/>
      <c r="S62" s="25"/>
      <c r="T62" s="24"/>
      <c r="U62" s="9"/>
      <c r="V62" s="175"/>
      <c r="W62" s="9"/>
      <c r="X62" s="9"/>
      <c r="Y62" s="456"/>
      <c r="Z62" s="456"/>
      <c r="AA62" s="11">
        <f t="shared" si="2"/>
        <v>-147.12958473794265</v>
      </c>
      <c r="AB62" s="176">
        <f t="shared" si="57"/>
        <v>0.90191361017470495</v>
      </c>
      <c r="AC62" s="470"/>
    </row>
    <row r="63" spans="1:29" ht="15.75" customHeight="1">
      <c r="A63" s="499" t="s">
        <v>246</v>
      </c>
      <c r="B63" s="172" t="s">
        <v>33</v>
      </c>
      <c r="C63" s="487" t="s">
        <v>36</v>
      </c>
      <c r="D63" s="487"/>
      <c r="E63" s="26">
        <v>26.78</v>
      </c>
      <c r="F63" s="27">
        <v>2526</v>
      </c>
      <c r="G63" s="171">
        <f t="shared" ref="G63:G67" si="76">E63*F63</f>
        <v>67646.28</v>
      </c>
      <c r="H63" s="76" t="s">
        <v>57</v>
      </c>
      <c r="I63" s="170">
        <v>10</v>
      </c>
      <c r="J63" s="18">
        <v>3000</v>
      </c>
      <c r="K63" s="9">
        <f t="shared" ref="K63:K67" si="77">J63/I63</f>
        <v>300</v>
      </c>
      <c r="L63" s="17">
        <v>10</v>
      </c>
      <c r="M63" s="10">
        <f t="shared" ref="M63:M67" si="78">F63/V63*60</f>
        <v>2706.4285714285734</v>
      </c>
      <c r="N63" s="9">
        <f>M63/L63</f>
        <v>270.64285714285734</v>
      </c>
      <c r="O63" s="11">
        <f t="shared" ref="O63:O67" si="79">L63-I63</f>
        <v>0</v>
      </c>
      <c r="P63" s="12">
        <f t="shared" ref="P63:P67" si="80">N63-K63</f>
        <v>-29.357142857142662</v>
      </c>
      <c r="Q63" s="176">
        <f>N63/K63</f>
        <v>0.9021428571428578</v>
      </c>
      <c r="R63" s="470">
        <f>Q68</f>
        <v>0.91049701062657973</v>
      </c>
      <c r="S63" s="24">
        <v>0.25069444444444444</v>
      </c>
      <c r="T63" s="24">
        <v>0.2895833333333333</v>
      </c>
      <c r="U63" s="171"/>
      <c r="V63" s="175">
        <f t="shared" ref="V63:V67" si="81">(T63-S63)*24*60</f>
        <v>55.999999999999957</v>
      </c>
      <c r="W63" s="15"/>
      <c r="X63" s="15"/>
      <c r="Y63" s="456"/>
      <c r="Z63" s="456"/>
      <c r="AA63" s="11">
        <f t="shared" si="2"/>
        <v>-293.57142857142662</v>
      </c>
      <c r="AB63" s="176">
        <f t="shared" si="57"/>
        <v>0.9021428571428578</v>
      </c>
      <c r="AC63" s="470">
        <f>AB68</f>
        <v>0.91049701062657973</v>
      </c>
    </row>
    <row r="64" spans="1:29" ht="15.75" customHeight="1">
      <c r="A64" s="499" t="s">
        <v>11</v>
      </c>
      <c r="B64" s="172" t="s">
        <v>33</v>
      </c>
      <c r="C64" s="487" t="s">
        <v>42</v>
      </c>
      <c r="D64" s="487"/>
      <c r="E64" s="26">
        <v>35.369999999999997</v>
      </c>
      <c r="F64" s="27">
        <v>1836</v>
      </c>
      <c r="G64" s="171">
        <f t="shared" si="76"/>
        <v>64939.319999999992</v>
      </c>
      <c r="H64" s="76" t="s">
        <v>57</v>
      </c>
      <c r="I64" s="170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2753.9999999999991</v>
      </c>
      <c r="N64" s="9">
        <f t="shared" ref="N64:N67" si="82">M64/L64</f>
        <v>275.39999999999992</v>
      </c>
      <c r="O64" s="11">
        <f t="shared" si="79"/>
        <v>0</v>
      </c>
      <c r="P64" s="12">
        <f t="shared" si="80"/>
        <v>-24.60000000000008</v>
      </c>
      <c r="Q64" s="176">
        <f t="shared" ref="Q64:Q67" si="83">N64/K64</f>
        <v>0.91799999999999971</v>
      </c>
      <c r="R64" s="470"/>
      <c r="S64" s="24">
        <v>0.29374999999999996</v>
      </c>
      <c r="T64" s="24">
        <v>0.32152777777777775</v>
      </c>
      <c r="U64" s="171">
        <f>(S64-T63)*24*60</f>
        <v>5.9999999999999787</v>
      </c>
      <c r="V64" s="175">
        <f t="shared" si="81"/>
        <v>40.000000000000014</v>
      </c>
      <c r="W64" s="171"/>
      <c r="X64" s="171"/>
      <c r="Y64" s="456"/>
      <c r="Z64" s="456"/>
      <c r="AA64" s="11">
        <f t="shared" si="2"/>
        <v>-246.00000000000091</v>
      </c>
      <c r="AB64" s="176">
        <f t="shared" si="57"/>
        <v>0.91799999999999971</v>
      </c>
      <c r="AC64" s="470"/>
    </row>
    <row r="65" spans="1:29" ht="15.75" customHeight="1">
      <c r="A65" s="499" t="s">
        <v>11</v>
      </c>
      <c r="B65" s="172" t="s">
        <v>33</v>
      </c>
      <c r="C65" s="487" t="s">
        <v>41</v>
      </c>
      <c r="D65" s="487"/>
      <c r="E65" s="26">
        <v>34.35</v>
      </c>
      <c r="F65" s="27">
        <v>1470</v>
      </c>
      <c r="G65" s="171">
        <f t="shared" si="76"/>
        <v>50494.5</v>
      </c>
      <c r="H65" s="76" t="s">
        <v>57</v>
      </c>
      <c r="I65" s="170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2756.2500000000032</v>
      </c>
      <c r="N65" s="9">
        <f t="shared" si="82"/>
        <v>275.62500000000034</v>
      </c>
      <c r="O65" s="11">
        <f t="shared" si="79"/>
        <v>0</v>
      </c>
      <c r="P65" s="12">
        <f t="shared" si="80"/>
        <v>-24.374999999999659</v>
      </c>
      <c r="Q65" s="176">
        <f t="shared" si="83"/>
        <v>0.91875000000000118</v>
      </c>
      <c r="R65" s="470"/>
      <c r="S65" s="24">
        <v>0.32638888888888884</v>
      </c>
      <c r="T65" s="24">
        <v>0.34861111111111104</v>
      </c>
      <c r="U65" s="171">
        <f t="shared" ref="U65:U67" si="84">(S65-T64)*24*60</f>
        <v>6.9999999999999751</v>
      </c>
      <c r="V65" s="175">
        <f t="shared" si="81"/>
        <v>31.999999999999964</v>
      </c>
      <c r="W65" s="171"/>
      <c r="X65" s="171"/>
      <c r="Y65" s="456"/>
      <c r="Z65" s="456"/>
      <c r="AA65" s="11">
        <f t="shared" si="2"/>
        <v>-243.74999999999682</v>
      </c>
      <c r="AB65" s="176">
        <f t="shared" si="57"/>
        <v>0.91875000000000107</v>
      </c>
      <c r="AC65" s="470"/>
    </row>
    <row r="66" spans="1:29" ht="15.75" customHeight="1">
      <c r="A66" s="499" t="s">
        <v>11</v>
      </c>
      <c r="B66" s="172" t="s">
        <v>15</v>
      </c>
      <c r="C66" s="487" t="s">
        <v>39</v>
      </c>
      <c r="D66" s="487"/>
      <c r="E66" s="26">
        <v>26.97</v>
      </c>
      <c r="F66" s="27">
        <v>3294</v>
      </c>
      <c r="G66" s="171">
        <f t="shared" si="76"/>
        <v>88839.18</v>
      </c>
      <c r="H66" s="76" t="s">
        <v>57</v>
      </c>
      <c r="I66" s="170">
        <v>8</v>
      </c>
      <c r="J66" s="18">
        <v>1440</v>
      </c>
      <c r="K66" s="9">
        <f t="shared" si="77"/>
        <v>180</v>
      </c>
      <c r="L66" s="17">
        <v>8</v>
      </c>
      <c r="M66" s="10">
        <f t="shared" si="78"/>
        <v>1291.7647058823527</v>
      </c>
      <c r="N66" s="9">
        <f t="shared" si="82"/>
        <v>161.47058823529409</v>
      </c>
      <c r="O66" s="11">
        <f t="shared" si="79"/>
        <v>0</v>
      </c>
      <c r="P66" s="12">
        <f t="shared" si="80"/>
        <v>-18.529411764705912</v>
      </c>
      <c r="Q66" s="176">
        <f t="shared" si="83"/>
        <v>0.89705882352941158</v>
      </c>
      <c r="R66" s="470"/>
      <c r="S66" s="24">
        <v>0.35416666666666657</v>
      </c>
      <c r="T66" s="24">
        <v>0.46041666666666659</v>
      </c>
      <c r="U66" s="171">
        <f t="shared" si="84"/>
        <v>7.9999999999999716</v>
      </c>
      <c r="V66" s="175">
        <f t="shared" si="81"/>
        <v>153.00000000000003</v>
      </c>
      <c r="W66" s="171"/>
      <c r="X66" s="171"/>
      <c r="Y66" s="456"/>
      <c r="Z66" s="456"/>
      <c r="AA66" s="11">
        <f t="shared" si="2"/>
        <v>-148.2352941176473</v>
      </c>
      <c r="AB66" s="176">
        <f t="shared" si="57"/>
        <v>0.89705882352941158</v>
      </c>
      <c r="AC66" s="470"/>
    </row>
    <row r="67" spans="1:29">
      <c r="A67" s="500" t="s">
        <v>11</v>
      </c>
      <c r="B67" s="172" t="s">
        <v>33</v>
      </c>
      <c r="C67" s="487" t="s">
        <v>40</v>
      </c>
      <c r="D67" s="487"/>
      <c r="E67" s="26">
        <v>35.119999999999997</v>
      </c>
      <c r="F67" s="27">
        <v>1303</v>
      </c>
      <c r="G67" s="171">
        <f t="shared" si="76"/>
        <v>45761.359999999993</v>
      </c>
      <c r="H67" s="76" t="s">
        <v>57</v>
      </c>
      <c r="I67" s="170">
        <v>13</v>
      </c>
      <c r="J67" s="18">
        <v>2000</v>
      </c>
      <c r="K67" s="9">
        <f t="shared" si="77"/>
        <v>153.84615384615384</v>
      </c>
      <c r="L67" s="17">
        <v>13</v>
      </c>
      <c r="M67" s="10">
        <f t="shared" si="78"/>
        <v>1818.1395348837207</v>
      </c>
      <c r="N67" s="9">
        <f t="shared" si="82"/>
        <v>139.85688729874775</v>
      </c>
      <c r="O67" s="11">
        <f t="shared" si="79"/>
        <v>0</v>
      </c>
      <c r="P67" s="12">
        <f t="shared" si="80"/>
        <v>-13.989266547406089</v>
      </c>
      <c r="Q67" s="176">
        <f t="shared" si="83"/>
        <v>0.90906976744186041</v>
      </c>
      <c r="R67" s="470"/>
      <c r="S67" s="24">
        <v>0.46527777777777768</v>
      </c>
      <c r="T67" s="24">
        <v>0.4951388888888888</v>
      </c>
      <c r="U67" s="171">
        <f t="shared" si="84"/>
        <v>6.9999999999999751</v>
      </c>
      <c r="V67" s="175">
        <f t="shared" si="81"/>
        <v>43.000000000000007</v>
      </c>
      <c r="W67" s="14"/>
      <c r="X67" s="14"/>
      <c r="Y67" s="456"/>
      <c r="Z67" s="456"/>
      <c r="AA67" s="11">
        <f t="shared" si="2"/>
        <v>-181.86046511627933</v>
      </c>
      <c r="AB67" s="176">
        <f t="shared" si="57"/>
        <v>0.9090697674418603</v>
      </c>
      <c r="AC67" s="470"/>
    </row>
    <row r="68" spans="1:29">
      <c r="A68" s="500" t="s">
        <v>11</v>
      </c>
      <c r="B68" s="26" t="s">
        <v>81</v>
      </c>
      <c r="C68" s="466"/>
      <c r="D68" s="466"/>
      <c r="E68" s="177"/>
      <c r="F68" s="16"/>
      <c r="G68" s="9"/>
      <c r="H68" s="172"/>
      <c r="I68" s="17">
        <v>10.199999999999999</v>
      </c>
      <c r="J68" s="18">
        <v>2488</v>
      </c>
      <c r="K68" s="9">
        <f>J68/I68</f>
        <v>243.92156862745099</v>
      </c>
      <c r="L68" s="17">
        <v>10.199999999999999</v>
      </c>
      <c r="M68" s="10">
        <f>AVERAGE(M63:M67)</f>
        <v>2265.3165624389303</v>
      </c>
      <c r="N68" s="9">
        <f>M68/L68</f>
        <v>222.08985906264024</v>
      </c>
      <c r="O68" s="11">
        <f>L68-I68</f>
        <v>0</v>
      </c>
      <c r="P68" s="12">
        <f>N68-K68</f>
        <v>-21.831709564810751</v>
      </c>
      <c r="Q68" s="176">
        <f>N68/K68</f>
        <v>0.91049701062657973</v>
      </c>
      <c r="R68" s="470"/>
      <c r="S68" s="24"/>
      <c r="T68" s="24"/>
      <c r="U68" s="9"/>
      <c r="V68" s="175"/>
      <c r="W68" s="9"/>
      <c r="X68" s="9"/>
      <c r="Y68" s="456"/>
      <c r="Z68" s="456"/>
      <c r="AA68" s="11">
        <f t="shared" si="2"/>
        <v>-222.6834375610697</v>
      </c>
      <c r="AB68" s="176">
        <f t="shared" si="57"/>
        <v>0.91049701062657973</v>
      </c>
      <c r="AC68" s="470"/>
    </row>
    <row r="69" spans="1:29" ht="15.75" customHeight="1">
      <c r="A69" s="467" t="s">
        <v>164</v>
      </c>
      <c r="B69" s="172" t="s">
        <v>24</v>
      </c>
      <c r="C69" s="487" t="s">
        <v>45</v>
      </c>
      <c r="D69" s="487"/>
      <c r="E69" s="26">
        <v>19.02</v>
      </c>
      <c r="F69" s="172">
        <v>5500</v>
      </c>
      <c r="G69" s="171">
        <f t="shared" ref="G69:G76" si="85">E69*F69</f>
        <v>104610</v>
      </c>
      <c r="H69" s="76">
        <v>2</v>
      </c>
      <c r="I69" s="170">
        <v>15</v>
      </c>
      <c r="J69" s="18">
        <v>2400</v>
      </c>
      <c r="K69" s="9">
        <f t="shared" ref="K69:K71" si="86">J69/I69</f>
        <v>160</v>
      </c>
      <c r="L69" s="17">
        <v>15</v>
      </c>
      <c r="M69" s="10">
        <f>F69/V69*60</f>
        <v>2156.8627450980389</v>
      </c>
      <c r="N69" s="9">
        <f t="shared" ref="N69:N76" si="87">M69/L69</f>
        <v>143.79084967320259</v>
      </c>
      <c r="O69" s="11">
        <f t="shared" ref="O69:O76" si="88">L69-I69</f>
        <v>0</v>
      </c>
      <c r="P69" s="12">
        <f t="shared" ref="P69:P76" si="89">N69-K69</f>
        <v>-16.209150326797413</v>
      </c>
      <c r="Q69" s="176">
        <f>N69/K69</f>
        <v>0.89869281045751614</v>
      </c>
      <c r="R69" s="470">
        <f>Q77</f>
        <v>0.90386850118835416</v>
      </c>
      <c r="S69" s="24">
        <v>0.125</v>
      </c>
      <c r="T69" s="24">
        <v>0.23125000000000001</v>
      </c>
      <c r="U69" s="15"/>
      <c r="V69" s="175">
        <f t="shared" ref="V69:V76" si="90">(T69-S69)*24*60</f>
        <v>153.00000000000003</v>
      </c>
      <c r="W69" s="14"/>
      <c r="X69" s="14"/>
      <c r="Y69" s="456"/>
      <c r="Z69" s="456"/>
      <c r="AA69" s="11">
        <f t="shared" ref="AA69:AA77" si="91">M69-J69</f>
        <v>-243.13725490196111</v>
      </c>
      <c r="AB69" s="176">
        <f>M69/J69</f>
        <v>0.89869281045751626</v>
      </c>
      <c r="AC69" s="470">
        <f>AB77</f>
        <v>0.90386850118835416</v>
      </c>
    </row>
    <row r="70" spans="1:29" ht="15.75" customHeight="1">
      <c r="A70" s="467" t="s">
        <v>12</v>
      </c>
      <c r="B70" s="172" t="s">
        <v>24</v>
      </c>
      <c r="C70" s="487" t="s">
        <v>56</v>
      </c>
      <c r="D70" s="487"/>
      <c r="E70" s="26">
        <v>20.2</v>
      </c>
      <c r="F70" s="172">
        <v>2453</v>
      </c>
      <c r="G70" s="171">
        <f t="shared" si="85"/>
        <v>49550.6</v>
      </c>
      <c r="H70" s="76" t="s">
        <v>57</v>
      </c>
      <c r="I70" s="170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ref="M70:M76" si="92">F70/V70*60</f>
        <v>2164.4117647058838</v>
      </c>
      <c r="N70" s="9">
        <f t="shared" si="87"/>
        <v>113.91640866873072</v>
      </c>
      <c r="O70" s="11">
        <f t="shared" si="88"/>
        <v>0</v>
      </c>
      <c r="P70" s="12">
        <f t="shared" si="89"/>
        <v>-12.399380804953481</v>
      </c>
      <c r="Q70" s="176">
        <f t="shared" ref="Q70:Q77" si="93">N70/K70</f>
        <v>0.90183823529411833</v>
      </c>
      <c r="R70" s="470"/>
      <c r="S70" s="24">
        <v>0.23541666666666669</v>
      </c>
      <c r="T70" s="24">
        <v>0.28263888888888888</v>
      </c>
      <c r="U70" s="171">
        <f>(S70-T69)*24*60</f>
        <v>6.0000000000000187</v>
      </c>
      <c r="V70" s="175">
        <f t="shared" si="90"/>
        <v>67.999999999999957</v>
      </c>
      <c r="W70" s="14"/>
      <c r="X70" s="14"/>
      <c r="Y70" s="456"/>
      <c r="Z70" s="456"/>
      <c r="AA70" s="11">
        <f t="shared" si="91"/>
        <v>-235.5882352941162</v>
      </c>
      <c r="AB70" s="176">
        <f t="shared" ref="AB70:AB77" si="94">M70/J70</f>
        <v>0.90183823529411822</v>
      </c>
      <c r="AC70" s="470"/>
    </row>
    <row r="71" spans="1:29" ht="15.75" customHeight="1">
      <c r="A71" s="467" t="s">
        <v>12</v>
      </c>
      <c r="B71" s="172" t="s">
        <v>24</v>
      </c>
      <c r="C71" s="487" t="s">
        <v>83</v>
      </c>
      <c r="D71" s="487"/>
      <c r="E71" s="26">
        <v>32.03</v>
      </c>
      <c r="F71" s="172">
        <v>1812</v>
      </c>
      <c r="G71" s="171">
        <f t="shared" si="85"/>
        <v>58038.36</v>
      </c>
      <c r="H71" s="76" t="s">
        <v>57</v>
      </c>
      <c r="I71" s="170">
        <v>19</v>
      </c>
      <c r="J71" s="18">
        <v>2400</v>
      </c>
      <c r="K71" s="9">
        <f t="shared" si="86"/>
        <v>126.31578947368421</v>
      </c>
      <c r="L71" s="17">
        <v>19</v>
      </c>
      <c r="M71" s="10">
        <f t="shared" si="92"/>
        <v>2174.4000000000005</v>
      </c>
      <c r="N71" s="9">
        <f t="shared" si="87"/>
        <v>114.44210526315793</v>
      </c>
      <c r="O71" s="11">
        <f t="shared" si="88"/>
        <v>0</v>
      </c>
      <c r="P71" s="12">
        <f t="shared" si="89"/>
        <v>-11.873684210526278</v>
      </c>
      <c r="Q71" s="176">
        <f t="shared" si="93"/>
        <v>0.90600000000000025</v>
      </c>
      <c r="R71" s="470"/>
      <c r="S71" s="24">
        <v>0.28611111111111109</v>
      </c>
      <c r="T71" s="24">
        <v>0.3208333333333333</v>
      </c>
      <c r="U71" s="171">
        <f t="shared" ref="U71:U76" si="95">(S71-T70)*24*60</f>
        <v>4.9999999999999822</v>
      </c>
      <c r="V71" s="175">
        <f t="shared" si="90"/>
        <v>49.999999999999986</v>
      </c>
      <c r="W71" s="14"/>
      <c r="X71" s="14"/>
      <c r="Y71" s="456"/>
      <c r="Z71" s="456"/>
      <c r="AA71" s="11">
        <f t="shared" si="91"/>
        <v>-225.59999999999945</v>
      </c>
      <c r="AB71" s="176">
        <f t="shared" si="94"/>
        <v>0.90600000000000025</v>
      </c>
      <c r="AC71" s="470"/>
    </row>
    <row r="72" spans="1:29" ht="15.75" customHeight="1">
      <c r="A72" s="467" t="s">
        <v>12</v>
      </c>
      <c r="B72" s="172" t="s">
        <v>24</v>
      </c>
      <c r="C72" s="487" t="s">
        <v>46</v>
      </c>
      <c r="D72" s="487"/>
      <c r="E72" s="26">
        <v>25</v>
      </c>
      <c r="F72" s="172">
        <v>2700</v>
      </c>
      <c r="G72" s="171">
        <f t="shared" si="85"/>
        <v>67500</v>
      </c>
      <c r="H72" s="76">
        <v>2</v>
      </c>
      <c r="I72" s="170">
        <v>15</v>
      </c>
      <c r="J72" s="18">
        <v>2400</v>
      </c>
      <c r="K72" s="9">
        <f>J72/I72</f>
        <v>160</v>
      </c>
      <c r="L72" s="17">
        <v>15</v>
      </c>
      <c r="M72" s="10">
        <f t="shared" si="92"/>
        <v>2160.0000000000009</v>
      </c>
      <c r="N72" s="9">
        <f t="shared" si="87"/>
        <v>144.00000000000006</v>
      </c>
      <c r="O72" s="11">
        <f t="shared" si="88"/>
        <v>0</v>
      </c>
      <c r="P72" s="12">
        <f t="shared" si="89"/>
        <v>-15.999999999999943</v>
      </c>
      <c r="Q72" s="176">
        <f t="shared" si="93"/>
        <v>0.90000000000000036</v>
      </c>
      <c r="R72" s="470"/>
      <c r="S72" s="24">
        <v>0.32430555555555551</v>
      </c>
      <c r="T72" s="24">
        <v>0.37638888888888883</v>
      </c>
      <c r="U72" s="171">
        <f t="shared" si="95"/>
        <v>4.9999999999999822</v>
      </c>
      <c r="V72" s="175">
        <f t="shared" si="90"/>
        <v>74.999999999999972</v>
      </c>
      <c r="W72" s="14"/>
      <c r="X72" s="14"/>
      <c r="Y72" s="456"/>
      <c r="Z72" s="456"/>
      <c r="AA72" s="11">
        <f t="shared" si="91"/>
        <v>-239.99999999999909</v>
      </c>
      <c r="AB72" s="176">
        <f t="shared" si="94"/>
        <v>0.90000000000000036</v>
      </c>
      <c r="AC72" s="470"/>
    </row>
    <row r="73" spans="1:29" ht="15.75" customHeight="1">
      <c r="A73" s="467" t="s">
        <v>12</v>
      </c>
      <c r="B73" s="172" t="s">
        <v>24</v>
      </c>
      <c r="C73" s="487" t="s">
        <v>510</v>
      </c>
      <c r="D73" s="487"/>
      <c r="E73" s="26">
        <v>27.24</v>
      </c>
      <c r="F73" s="172">
        <v>5500</v>
      </c>
      <c r="G73" s="171">
        <f t="shared" si="85"/>
        <v>149820</v>
      </c>
      <c r="H73" s="76">
        <v>2</v>
      </c>
      <c r="I73" s="170">
        <v>20</v>
      </c>
      <c r="J73" s="18">
        <v>2400</v>
      </c>
      <c r="K73" s="9">
        <f t="shared" ref="K73:K77" si="96">J73/I73</f>
        <v>120</v>
      </c>
      <c r="L73" s="17">
        <v>20</v>
      </c>
      <c r="M73" s="10">
        <f t="shared" si="92"/>
        <v>2156.8627450980389</v>
      </c>
      <c r="N73" s="9">
        <f t="shared" si="87"/>
        <v>107.84313725490195</v>
      </c>
      <c r="O73" s="11">
        <f t="shared" si="88"/>
        <v>0</v>
      </c>
      <c r="P73" s="12">
        <f t="shared" si="89"/>
        <v>-12.156862745098053</v>
      </c>
      <c r="Q73" s="176">
        <f t="shared" si="93"/>
        <v>0.89869281045751626</v>
      </c>
      <c r="R73" s="470"/>
      <c r="S73" s="24">
        <v>0.38194444444444436</v>
      </c>
      <c r="T73" s="24">
        <v>0.48819444444444438</v>
      </c>
      <c r="U73" s="171">
        <f t="shared" si="95"/>
        <v>7.9999999999999716</v>
      </c>
      <c r="V73" s="175">
        <f t="shared" si="90"/>
        <v>153.00000000000003</v>
      </c>
      <c r="W73" s="14"/>
      <c r="X73" s="14"/>
      <c r="Y73" s="456"/>
      <c r="Z73" s="456"/>
      <c r="AA73" s="11">
        <f t="shared" si="91"/>
        <v>-243.13725490196111</v>
      </c>
      <c r="AB73" s="176">
        <f t="shared" si="94"/>
        <v>0.89869281045751626</v>
      </c>
      <c r="AC73" s="470"/>
    </row>
    <row r="74" spans="1:29" ht="15.75" customHeight="1">
      <c r="A74" s="467" t="s">
        <v>12</v>
      </c>
      <c r="B74" s="172" t="s">
        <v>24</v>
      </c>
      <c r="C74" s="487" t="s">
        <v>45</v>
      </c>
      <c r="D74" s="487"/>
      <c r="E74" s="26">
        <v>19.02</v>
      </c>
      <c r="F74" s="172">
        <v>3686</v>
      </c>
      <c r="G74" s="171">
        <f t="shared" si="85"/>
        <v>70107.72</v>
      </c>
      <c r="H74" s="76" t="s">
        <v>57</v>
      </c>
      <c r="I74" s="170">
        <v>15</v>
      </c>
      <c r="J74" s="18">
        <v>2400</v>
      </c>
      <c r="K74" s="9">
        <f t="shared" si="96"/>
        <v>160</v>
      </c>
      <c r="L74" s="17">
        <v>15</v>
      </c>
      <c r="M74" s="10">
        <f t="shared" si="92"/>
        <v>2168.2352941176482</v>
      </c>
      <c r="N74" s="9">
        <f t="shared" si="87"/>
        <v>144.54901960784321</v>
      </c>
      <c r="O74" s="11">
        <f t="shared" si="88"/>
        <v>0</v>
      </c>
      <c r="P74" s="12">
        <f t="shared" si="89"/>
        <v>-15.450980392156794</v>
      </c>
      <c r="Q74" s="176">
        <f t="shared" si="93"/>
        <v>0.90343137254902006</v>
      </c>
      <c r="R74" s="470"/>
      <c r="S74" s="24">
        <v>0.52847222222222212</v>
      </c>
      <c r="T74" s="24">
        <v>0.59930555555555542</v>
      </c>
      <c r="U74" s="171">
        <f t="shared" si="95"/>
        <v>57.999999999999957</v>
      </c>
      <c r="V74" s="175">
        <f t="shared" si="90"/>
        <v>101.99999999999996</v>
      </c>
      <c r="W74" s="14"/>
      <c r="X74" s="14"/>
      <c r="Y74" s="456"/>
      <c r="Z74" s="456"/>
      <c r="AA74" s="11">
        <f t="shared" si="91"/>
        <v>-231.76470588235179</v>
      </c>
      <c r="AB74" s="176">
        <f t="shared" si="94"/>
        <v>0.90343137254902006</v>
      </c>
      <c r="AC74" s="470"/>
    </row>
    <row r="75" spans="1:29" ht="15.75" customHeight="1">
      <c r="A75" s="467" t="s">
        <v>12</v>
      </c>
      <c r="B75" s="172" t="s">
        <v>24</v>
      </c>
      <c r="C75" s="491" t="s">
        <v>510</v>
      </c>
      <c r="D75" s="492"/>
      <c r="E75" s="26">
        <v>27.24</v>
      </c>
      <c r="F75" s="172">
        <v>1252</v>
      </c>
      <c r="G75" s="171">
        <f t="shared" si="85"/>
        <v>34104.479999999996</v>
      </c>
      <c r="H75" s="76" t="s">
        <v>57</v>
      </c>
      <c r="I75" s="170">
        <v>20</v>
      </c>
      <c r="J75" s="18">
        <v>2400</v>
      </c>
      <c r="K75" s="9">
        <f t="shared" si="96"/>
        <v>120</v>
      </c>
      <c r="L75" s="17">
        <v>20</v>
      </c>
      <c r="M75" s="10">
        <f t="shared" si="92"/>
        <v>2209.4117647058797</v>
      </c>
      <c r="N75" s="9">
        <f t="shared" si="87"/>
        <v>110.47058823529399</v>
      </c>
      <c r="O75" s="11">
        <f t="shared" si="88"/>
        <v>0</v>
      </c>
      <c r="P75" s="12">
        <f t="shared" si="89"/>
        <v>-9.5294117647060119</v>
      </c>
      <c r="Q75" s="176">
        <f t="shared" si="93"/>
        <v>0.9205882352941166</v>
      </c>
      <c r="R75" s="470"/>
      <c r="S75" s="24">
        <v>0.60416666666666652</v>
      </c>
      <c r="T75" s="24">
        <v>0.62777777777777766</v>
      </c>
      <c r="U75" s="171">
        <f t="shared" si="95"/>
        <v>6.9999999999999751</v>
      </c>
      <c r="V75" s="175">
        <f t="shared" si="90"/>
        <v>34.000000000000043</v>
      </c>
      <c r="W75" s="14"/>
      <c r="X75" s="14"/>
      <c r="Y75" s="473"/>
      <c r="Z75" s="474"/>
      <c r="AA75" s="11">
        <f t="shared" si="91"/>
        <v>-190.5882352941203</v>
      </c>
      <c r="AB75" s="176">
        <f t="shared" si="94"/>
        <v>0.9205882352941166</v>
      </c>
      <c r="AC75" s="470"/>
    </row>
    <row r="76" spans="1:29" ht="15.75" customHeight="1">
      <c r="A76" s="467" t="s">
        <v>12</v>
      </c>
      <c r="B76" s="172" t="s">
        <v>24</v>
      </c>
      <c r="C76" s="491" t="s">
        <v>46</v>
      </c>
      <c r="D76" s="492"/>
      <c r="E76" s="26">
        <v>25</v>
      </c>
      <c r="F76" s="172">
        <v>1587</v>
      </c>
      <c r="G76" s="171">
        <f t="shared" si="85"/>
        <v>39675</v>
      </c>
      <c r="H76" s="76" t="s">
        <v>57</v>
      </c>
      <c r="I76" s="170">
        <v>15</v>
      </c>
      <c r="J76" s="18">
        <v>2400</v>
      </c>
      <c r="K76" s="9">
        <f t="shared" si="96"/>
        <v>160</v>
      </c>
      <c r="L76" s="17">
        <v>15</v>
      </c>
      <c r="M76" s="10">
        <f t="shared" si="92"/>
        <v>2164.090909090909</v>
      </c>
      <c r="N76" s="9">
        <f t="shared" si="87"/>
        <v>144.27272727272728</v>
      </c>
      <c r="O76" s="11">
        <f t="shared" si="88"/>
        <v>0</v>
      </c>
      <c r="P76" s="12">
        <f t="shared" si="89"/>
        <v>-15.72727272727272</v>
      </c>
      <c r="Q76" s="176">
        <f t="shared" si="93"/>
        <v>0.90170454545454548</v>
      </c>
      <c r="R76" s="470"/>
      <c r="S76" s="24">
        <v>0.63194444444444431</v>
      </c>
      <c r="T76" s="24">
        <v>0.66249999999999987</v>
      </c>
      <c r="U76" s="171">
        <f t="shared" si="95"/>
        <v>5.9999999999999787</v>
      </c>
      <c r="V76" s="175">
        <f t="shared" si="90"/>
        <v>44</v>
      </c>
      <c r="W76" s="14"/>
      <c r="X76" s="14"/>
      <c r="Y76" s="473"/>
      <c r="Z76" s="474"/>
      <c r="AA76" s="11">
        <f t="shared" si="91"/>
        <v>-235.90909090909099</v>
      </c>
      <c r="AB76" s="176">
        <f t="shared" si="94"/>
        <v>0.90170454545454537</v>
      </c>
      <c r="AC76" s="470"/>
    </row>
    <row r="77" spans="1:29" ht="16.5" customHeight="1">
      <c r="A77" s="501" t="s">
        <v>12</v>
      </c>
      <c r="B77" s="26" t="s">
        <v>81</v>
      </c>
      <c r="C77" s="466"/>
      <c r="D77" s="466"/>
      <c r="E77" s="177"/>
      <c r="F77" s="16"/>
      <c r="G77" s="9"/>
      <c r="H77" s="172"/>
      <c r="I77" s="17">
        <v>17.25</v>
      </c>
      <c r="J77" s="18">
        <v>2400</v>
      </c>
      <c r="K77" s="9">
        <f t="shared" si="96"/>
        <v>139.13043478260869</v>
      </c>
      <c r="L77" s="17">
        <v>17.25</v>
      </c>
      <c r="M77" s="10">
        <f>AVERAGE(M69:M76)</f>
        <v>2169.2844028520499</v>
      </c>
      <c r="N77" s="9">
        <f>M77/L77</f>
        <v>125.75561755664057</v>
      </c>
      <c r="O77" s="11">
        <f>L77-I77</f>
        <v>0</v>
      </c>
      <c r="P77" s="12">
        <f>N77-K77</f>
        <v>-13.374817225968116</v>
      </c>
      <c r="Q77" s="176">
        <f t="shared" si="93"/>
        <v>0.90386850118835416</v>
      </c>
      <c r="R77" s="470"/>
      <c r="S77" s="24"/>
      <c r="T77" s="24"/>
      <c r="U77" s="9"/>
      <c r="V77" s="175"/>
      <c r="W77" s="9"/>
      <c r="X77" s="9"/>
      <c r="Y77" s="456"/>
      <c r="Z77" s="456"/>
      <c r="AA77" s="11">
        <f t="shared" si="91"/>
        <v>-230.71559714795012</v>
      </c>
      <c r="AB77" s="176">
        <f t="shared" si="94"/>
        <v>0.90386850118835416</v>
      </c>
      <c r="AC77" s="470"/>
    </row>
    <row r="78" spans="1:29">
      <c r="D78" s="19"/>
      <c r="E78" s="19"/>
    </row>
  </sheetData>
  <mergeCells count="204">
    <mergeCell ref="AC69:AC77"/>
    <mergeCell ref="C70:D70"/>
    <mergeCell ref="Y70:Z70"/>
    <mergeCell ref="C71:D71"/>
    <mergeCell ref="Y71:Z71"/>
    <mergeCell ref="C72:D72"/>
    <mergeCell ref="Y72:Z72"/>
    <mergeCell ref="C73:D73"/>
    <mergeCell ref="Y73:Z73"/>
    <mergeCell ref="C74:D74"/>
    <mergeCell ref="A69:A77"/>
    <mergeCell ref="C69:D69"/>
    <mergeCell ref="R69:R77"/>
    <mergeCell ref="Y69:Z69"/>
    <mergeCell ref="Y74:Z74"/>
    <mergeCell ref="A63:A68"/>
    <mergeCell ref="C63:D63"/>
    <mergeCell ref="R63:R68"/>
    <mergeCell ref="Y63:Z63"/>
    <mergeCell ref="C75:D75"/>
    <mergeCell ref="Y75:Z75"/>
    <mergeCell ref="C76:D76"/>
    <mergeCell ref="Y76:Z76"/>
    <mergeCell ref="C77:D77"/>
    <mergeCell ref="Y77:Z77"/>
    <mergeCell ref="AC63:AC68"/>
    <mergeCell ref="C64:D64"/>
    <mergeCell ref="Y64:Z64"/>
    <mergeCell ref="C65:D65"/>
    <mergeCell ref="Y65:Z65"/>
    <mergeCell ref="C66:D66"/>
    <mergeCell ref="AC58:AC62"/>
    <mergeCell ref="C59:D59"/>
    <mergeCell ref="Y59:Z59"/>
    <mergeCell ref="C60:D60"/>
    <mergeCell ref="C62:D62"/>
    <mergeCell ref="Y62:Z62"/>
    <mergeCell ref="Y66:Z66"/>
    <mergeCell ref="C67:D67"/>
    <mergeCell ref="Y67:Z67"/>
    <mergeCell ref="C68:D68"/>
    <mergeCell ref="Y68:Z68"/>
    <mergeCell ref="A58:A62"/>
    <mergeCell ref="C58:D58"/>
    <mergeCell ref="R58:R62"/>
    <mergeCell ref="Y58:Z58"/>
    <mergeCell ref="Y53:Z53"/>
    <mergeCell ref="C54:D54"/>
    <mergeCell ref="Y54:Z54"/>
    <mergeCell ref="C55:D55"/>
    <mergeCell ref="Y55:Z55"/>
    <mergeCell ref="C56:D56"/>
    <mergeCell ref="Y56:Z56"/>
    <mergeCell ref="A47:A57"/>
    <mergeCell ref="C47:D47"/>
    <mergeCell ref="R47:R57"/>
    <mergeCell ref="Y47:Z47"/>
    <mergeCell ref="Y52:Z52"/>
    <mergeCell ref="C53:D53"/>
    <mergeCell ref="AC47:AC57"/>
    <mergeCell ref="C48:D48"/>
    <mergeCell ref="Y48:Z48"/>
    <mergeCell ref="C49:D49"/>
    <mergeCell ref="Y49:Z49"/>
    <mergeCell ref="C50:D50"/>
    <mergeCell ref="Y50:Z50"/>
    <mergeCell ref="C51:D51"/>
    <mergeCell ref="Y51:Z51"/>
    <mergeCell ref="C52:D52"/>
    <mergeCell ref="C57:D57"/>
    <mergeCell ref="Y57:Z57"/>
    <mergeCell ref="A39:A46"/>
    <mergeCell ref="C39:D39"/>
    <mergeCell ref="R39:R46"/>
    <mergeCell ref="Y39:Z39"/>
    <mergeCell ref="Y44:Z44"/>
    <mergeCell ref="AC39:AC46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45:D45"/>
    <mergeCell ref="Y45:Z45"/>
    <mergeCell ref="C46:D46"/>
    <mergeCell ref="Y46:Z46"/>
    <mergeCell ref="AC29:AC38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36:Z36"/>
    <mergeCell ref="C37:D37"/>
    <mergeCell ref="Y37:Z37"/>
    <mergeCell ref="C38:D38"/>
    <mergeCell ref="Y38:Z38"/>
    <mergeCell ref="A21:A28"/>
    <mergeCell ref="C21:D21"/>
    <mergeCell ref="R21:R28"/>
    <mergeCell ref="Y21:Z21"/>
    <mergeCell ref="C28:D28"/>
    <mergeCell ref="Y28:Z28"/>
    <mergeCell ref="A29:A38"/>
    <mergeCell ref="C29:D29"/>
    <mergeCell ref="R29:R38"/>
    <mergeCell ref="Y29:Z29"/>
    <mergeCell ref="Y34:Z34"/>
    <mergeCell ref="C35:D35"/>
    <mergeCell ref="Y35:Z35"/>
    <mergeCell ref="C36:D36"/>
    <mergeCell ref="AC21:AC28"/>
    <mergeCell ref="C22:D22"/>
    <mergeCell ref="Y22:Z22"/>
    <mergeCell ref="C23:D23"/>
    <mergeCell ref="Y23:Z23"/>
    <mergeCell ref="C24:D24"/>
    <mergeCell ref="Y17:Z17"/>
    <mergeCell ref="C18:D18"/>
    <mergeCell ref="Y18:Z18"/>
    <mergeCell ref="C19:D19"/>
    <mergeCell ref="Y19:Z19"/>
    <mergeCell ref="C20:D20"/>
    <mergeCell ref="Y20:Z20"/>
    <mergeCell ref="Y24:Z24"/>
    <mergeCell ref="C25:D25"/>
    <mergeCell ref="Y25:Z25"/>
    <mergeCell ref="C26:D26"/>
    <mergeCell ref="Y26:Z26"/>
    <mergeCell ref="C27:D27"/>
    <mergeCell ref="Y27:Z27"/>
    <mergeCell ref="A14:A20"/>
    <mergeCell ref="C14:D14"/>
    <mergeCell ref="R14:R20"/>
    <mergeCell ref="Y14:Z14"/>
    <mergeCell ref="AC14:AC20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6:O74 O77 O5:O9 O13:O15 O57:O63 O20:O36 O38:O52">
    <cfRule type="cellIs" dxfId="939" priority="77" operator="greaterThan">
      <formula>0</formula>
    </cfRule>
  </conditionalFormatting>
  <conditionalFormatting sqref="P5:P7 P66:P67 AA66:AA67 P69:P74 P29:P36 P63 P9 P13:P15 P21:P27 P58:P61 P39:P52 AA5:AA63 AA69:AA77">
    <cfRule type="cellIs" dxfId="938" priority="81" operator="lessThan">
      <formula>0</formula>
    </cfRule>
  </conditionalFormatting>
  <conditionalFormatting sqref="AB66:AB67 Q66:Q74 Q77 Q5:Q9 Q13:Q15 Q57:Q63 Q20:Q36 Q38:Q52 AB5:AB63 AB69:AB77">
    <cfRule type="cellIs" dxfId="937" priority="78" operator="greaterThan">
      <formula>1</formula>
    </cfRule>
    <cfRule type="cellIs" dxfId="936" priority="79" operator="lessThan">
      <formula>0.8</formula>
    </cfRule>
  </conditionalFormatting>
  <conditionalFormatting sqref="AC14:AC15 R14:R15 AC66 R66:R74 R20:R26 AC20:AC26 AC28:AC36 R28:R36 R77 AC5:AC9 R5:R9 R38:R52 AC38:AC52 AC57:AC63 R57:R63">
    <cfRule type="cellIs" dxfId="935" priority="83" operator="lessThan">
      <formula>0.8</formula>
    </cfRule>
  </conditionalFormatting>
  <conditionalFormatting sqref="AC47">
    <cfRule type="cellIs" dxfId="934" priority="85" operator="lessThan">
      <formula>0.8</formula>
    </cfRule>
  </conditionalFormatting>
  <conditionalFormatting sqref="AC21:AC26">
    <cfRule type="cellIs" dxfId="933" priority="82" operator="lessThan">
      <formula>0.8</formula>
    </cfRule>
  </conditionalFormatting>
  <conditionalFormatting sqref="AC29">
    <cfRule type="cellIs" dxfId="932" priority="84" operator="lessThan">
      <formula>0.8</formula>
    </cfRule>
  </conditionalFormatting>
  <conditionalFormatting sqref="AC39:AC45">
    <cfRule type="cellIs" dxfId="931" priority="80" operator="lessThan">
      <formula>0.8</formula>
    </cfRule>
  </conditionalFormatting>
  <conditionalFormatting sqref="AA68">
    <cfRule type="cellIs" dxfId="930" priority="76" operator="lessThan">
      <formula>0</formula>
    </cfRule>
  </conditionalFormatting>
  <conditionalFormatting sqref="AB68">
    <cfRule type="cellIs" dxfId="929" priority="74" operator="greaterThan">
      <formula>1</formula>
    </cfRule>
    <cfRule type="cellIs" dxfId="928" priority="75" operator="lessThan">
      <formula>0.8</formula>
    </cfRule>
  </conditionalFormatting>
  <conditionalFormatting sqref="O16:O17">
    <cfRule type="cellIs" dxfId="927" priority="69" operator="greaterThan">
      <formula>0</formula>
    </cfRule>
  </conditionalFormatting>
  <conditionalFormatting sqref="P16:P17">
    <cfRule type="cellIs" dxfId="926" priority="72" operator="lessThan">
      <formula>0</formula>
    </cfRule>
  </conditionalFormatting>
  <conditionalFormatting sqref="Q16:Q17">
    <cfRule type="cellIs" dxfId="925" priority="70" operator="greaterThan">
      <formula>1</formula>
    </cfRule>
    <cfRule type="cellIs" dxfId="924" priority="71" operator="lessThan">
      <formula>0.8</formula>
    </cfRule>
  </conditionalFormatting>
  <conditionalFormatting sqref="R16:R17 AC16:AC17">
    <cfRule type="cellIs" dxfId="923" priority="73" operator="lessThan">
      <formula>0.8</formula>
    </cfRule>
  </conditionalFormatting>
  <conditionalFormatting sqref="O10:O12">
    <cfRule type="cellIs" dxfId="922" priority="65" operator="greaterThan">
      <formula>0</formula>
    </cfRule>
  </conditionalFormatting>
  <conditionalFormatting sqref="P10:P12">
    <cfRule type="cellIs" dxfId="921" priority="68" operator="lessThan">
      <formula>0</formula>
    </cfRule>
  </conditionalFormatting>
  <conditionalFormatting sqref="Q10:Q12">
    <cfRule type="cellIs" dxfId="920" priority="66" operator="greaterThan">
      <formula>1</formula>
    </cfRule>
    <cfRule type="cellIs" dxfId="919" priority="67" operator="lessThan">
      <formula>0.8</formula>
    </cfRule>
  </conditionalFormatting>
  <conditionalFormatting sqref="O65">
    <cfRule type="cellIs" dxfId="918" priority="60" operator="greaterThan">
      <formula>0</formula>
    </cfRule>
  </conditionalFormatting>
  <conditionalFormatting sqref="P65 AA65">
    <cfRule type="cellIs" dxfId="917" priority="63" operator="lessThan">
      <formula>0</formula>
    </cfRule>
  </conditionalFormatting>
  <conditionalFormatting sqref="Q65 AB65">
    <cfRule type="cellIs" dxfId="916" priority="61" operator="greaterThan">
      <formula>1</formula>
    </cfRule>
    <cfRule type="cellIs" dxfId="915" priority="62" operator="lessThan">
      <formula>0.8</formula>
    </cfRule>
  </conditionalFormatting>
  <conditionalFormatting sqref="R65 AC65">
    <cfRule type="cellIs" dxfId="914" priority="64" operator="lessThan">
      <formula>0.8</formula>
    </cfRule>
  </conditionalFormatting>
  <conditionalFormatting sqref="O37">
    <cfRule type="cellIs" dxfId="913" priority="55" operator="greaterThan">
      <formula>0</formula>
    </cfRule>
  </conditionalFormatting>
  <conditionalFormatting sqref="P37">
    <cfRule type="cellIs" dxfId="912" priority="58" operator="lessThan">
      <formula>0</formula>
    </cfRule>
  </conditionalFormatting>
  <conditionalFormatting sqref="Q37">
    <cfRule type="cellIs" dxfId="911" priority="56" operator="greaterThan">
      <formula>1</formula>
    </cfRule>
    <cfRule type="cellIs" dxfId="910" priority="57" operator="lessThan">
      <formula>0.8</formula>
    </cfRule>
  </conditionalFormatting>
  <conditionalFormatting sqref="R37 AC37">
    <cfRule type="cellIs" dxfId="909" priority="59" operator="lessThan">
      <formula>0.8</formula>
    </cfRule>
  </conditionalFormatting>
  <conditionalFormatting sqref="O75">
    <cfRule type="cellIs" dxfId="908" priority="50" operator="greaterThan">
      <formula>0</formula>
    </cfRule>
  </conditionalFormatting>
  <conditionalFormatting sqref="P75">
    <cfRule type="cellIs" dxfId="907" priority="53" operator="lessThan">
      <formula>0</formula>
    </cfRule>
  </conditionalFormatting>
  <conditionalFormatting sqref="Q75">
    <cfRule type="cellIs" dxfId="906" priority="51" operator="greaterThan">
      <formula>1</formula>
    </cfRule>
    <cfRule type="cellIs" dxfId="905" priority="52" operator="lessThan">
      <formula>0.8</formula>
    </cfRule>
  </conditionalFormatting>
  <conditionalFormatting sqref="R75">
    <cfRule type="cellIs" dxfId="904" priority="54" operator="lessThan">
      <formula>0.8</formula>
    </cfRule>
  </conditionalFormatting>
  <conditionalFormatting sqref="O18:O19">
    <cfRule type="cellIs" dxfId="903" priority="45" operator="greaterThan">
      <formula>0</formula>
    </cfRule>
  </conditionalFormatting>
  <conditionalFormatting sqref="P18:P19">
    <cfRule type="cellIs" dxfId="902" priority="48" operator="lessThan">
      <formula>0</formula>
    </cfRule>
  </conditionalFormatting>
  <conditionalFormatting sqref="Q18:Q19">
    <cfRule type="cellIs" dxfId="901" priority="46" operator="greaterThan">
      <formula>1</formula>
    </cfRule>
    <cfRule type="cellIs" dxfId="900" priority="47" operator="lessThan">
      <formula>0.8</formula>
    </cfRule>
  </conditionalFormatting>
  <conditionalFormatting sqref="R18:R19 AC18:AC19">
    <cfRule type="cellIs" dxfId="899" priority="49" operator="lessThan">
      <formula>0.8</formula>
    </cfRule>
  </conditionalFormatting>
  <conditionalFormatting sqref="O53">
    <cfRule type="cellIs" dxfId="898" priority="39" operator="greaterThan">
      <formula>0</formula>
    </cfRule>
  </conditionalFormatting>
  <conditionalFormatting sqref="P53">
    <cfRule type="cellIs" dxfId="897" priority="43" operator="lessThan">
      <formula>0</formula>
    </cfRule>
  </conditionalFormatting>
  <conditionalFormatting sqref="Q53">
    <cfRule type="cellIs" dxfId="896" priority="40" operator="greaterThan">
      <formula>1</formula>
    </cfRule>
    <cfRule type="cellIs" dxfId="895" priority="41" operator="lessThan">
      <formula>0.8</formula>
    </cfRule>
  </conditionalFormatting>
  <conditionalFormatting sqref="R53 AC53">
    <cfRule type="cellIs" dxfId="894" priority="44" operator="lessThan">
      <formula>0.8</formula>
    </cfRule>
  </conditionalFormatting>
  <conditionalFormatting sqref="AC53">
    <cfRule type="cellIs" dxfId="893" priority="42" operator="lessThan">
      <formula>0.8</formula>
    </cfRule>
  </conditionalFormatting>
  <conditionalFormatting sqref="O54">
    <cfRule type="cellIs" dxfId="892" priority="33" operator="greaterThan">
      <formula>0</formula>
    </cfRule>
  </conditionalFormatting>
  <conditionalFormatting sqref="P54">
    <cfRule type="cellIs" dxfId="891" priority="37" operator="lessThan">
      <formula>0</formula>
    </cfRule>
  </conditionalFormatting>
  <conditionalFormatting sqref="Q54">
    <cfRule type="cellIs" dxfId="890" priority="34" operator="greaterThan">
      <formula>1</formula>
    </cfRule>
    <cfRule type="cellIs" dxfId="889" priority="35" operator="lessThan">
      <formula>0.8</formula>
    </cfRule>
  </conditionalFormatting>
  <conditionalFormatting sqref="R54 AC54">
    <cfRule type="cellIs" dxfId="888" priority="38" operator="lessThan">
      <formula>0.8</formula>
    </cfRule>
  </conditionalFormatting>
  <conditionalFormatting sqref="AC54">
    <cfRule type="cellIs" dxfId="887" priority="36" operator="lessThan">
      <formula>0.8</formula>
    </cfRule>
  </conditionalFormatting>
  <conditionalFormatting sqref="R27 AC27">
    <cfRule type="cellIs" dxfId="886" priority="32" operator="lessThan">
      <formula>0.8</formula>
    </cfRule>
  </conditionalFormatting>
  <conditionalFormatting sqref="AC27">
    <cfRule type="cellIs" dxfId="885" priority="31" operator="lessThan">
      <formula>0.8</formula>
    </cfRule>
  </conditionalFormatting>
  <conditionalFormatting sqref="O55">
    <cfRule type="cellIs" dxfId="884" priority="25" operator="greaterThan">
      <formula>0</formula>
    </cfRule>
  </conditionalFormatting>
  <conditionalFormatting sqref="P55">
    <cfRule type="cellIs" dxfId="883" priority="29" operator="lessThan">
      <formula>0</formula>
    </cfRule>
  </conditionalFormatting>
  <conditionalFormatting sqref="Q55">
    <cfRule type="cellIs" dxfId="882" priority="26" operator="greaterThan">
      <formula>1</formula>
    </cfRule>
    <cfRule type="cellIs" dxfId="881" priority="27" operator="lessThan">
      <formula>0.8</formula>
    </cfRule>
  </conditionalFormatting>
  <conditionalFormatting sqref="R55 AC55">
    <cfRule type="cellIs" dxfId="880" priority="30" operator="lessThan">
      <formula>0.8</formula>
    </cfRule>
  </conditionalFormatting>
  <conditionalFormatting sqref="AC55">
    <cfRule type="cellIs" dxfId="879" priority="28" operator="lessThan">
      <formula>0.8</formula>
    </cfRule>
  </conditionalFormatting>
  <conditionalFormatting sqref="O56">
    <cfRule type="cellIs" dxfId="878" priority="19" operator="greaterThan">
      <formula>0</formula>
    </cfRule>
  </conditionalFormatting>
  <conditionalFormatting sqref="P56">
    <cfRule type="cellIs" dxfId="877" priority="23" operator="lessThan">
      <formula>0</formula>
    </cfRule>
  </conditionalFormatting>
  <conditionalFormatting sqref="Q56">
    <cfRule type="cellIs" dxfId="876" priority="20" operator="greaterThan">
      <formula>1</formula>
    </cfRule>
    <cfRule type="cellIs" dxfId="875" priority="21" operator="lessThan">
      <formula>0.8</formula>
    </cfRule>
  </conditionalFormatting>
  <conditionalFormatting sqref="R56 AC56">
    <cfRule type="cellIs" dxfId="874" priority="24" operator="lessThan">
      <formula>0.8</formula>
    </cfRule>
  </conditionalFormatting>
  <conditionalFormatting sqref="AC56">
    <cfRule type="cellIs" dxfId="873" priority="22" operator="lessThan">
      <formula>0.8</formula>
    </cfRule>
  </conditionalFormatting>
  <conditionalFormatting sqref="O64">
    <cfRule type="cellIs" dxfId="872" priority="14" operator="greaterThan">
      <formula>0</formula>
    </cfRule>
  </conditionalFormatting>
  <conditionalFormatting sqref="P64 AA64">
    <cfRule type="cellIs" dxfId="871" priority="17" operator="lessThan">
      <formula>0</formula>
    </cfRule>
  </conditionalFormatting>
  <conditionalFormatting sqref="Q64 AB64">
    <cfRule type="cellIs" dxfId="870" priority="15" operator="greaterThan">
      <formula>1</formula>
    </cfRule>
    <cfRule type="cellIs" dxfId="869" priority="16" operator="lessThan">
      <formula>0.8</formula>
    </cfRule>
  </conditionalFormatting>
  <conditionalFormatting sqref="R64 AC64">
    <cfRule type="cellIs" dxfId="868" priority="18" operator="lessThan">
      <formula>0.8</formula>
    </cfRule>
  </conditionalFormatting>
  <conditionalFormatting sqref="P8">
    <cfRule type="cellIs" dxfId="867" priority="13" operator="lessThan">
      <formula>0</formula>
    </cfRule>
  </conditionalFormatting>
  <conditionalFormatting sqref="P20">
    <cfRule type="cellIs" dxfId="866" priority="12" operator="lessThan">
      <formula>0</formula>
    </cfRule>
  </conditionalFormatting>
  <conditionalFormatting sqref="P28">
    <cfRule type="cellIs" dxfId="865" priority="11" operator="lessThan">
      <formula>0</formula>
    </cfRule>
  </conditionalFormatting>
  <conditionalFormatting sqref="P38">
    <cfRule type="cellIs" dxfId="864" priority="10" operator="lessThan">
      <formula>0</formula>
    </cfRule>
  </conditionalFormatting>
  <conditionalFormatting sqref="P57">
    <cfRule type="cellIs" dxfId="863" priority="9" operator="lessThan">
      <formula>0</formula>
    </cfRule>
  </conditionalFormatting>
  <conditionalFormatting sqref="P62">
    <cfRule type="cellIs" dxfId="862" priority="8" operator="lessThan">
      <formula>0</formula>
    </cfRule>
  </conditionalFormatting>
  <conditionalFormatting sqref="P68">
    <cfRule type="cellIs" dxfId="861" priority="7" operator="lessThan">
      <formula>0</formula>
    </cfRule>
  </conditionalFormatting>
  <conditionalFormatting sqref="P77">
    <cfRule type="cellIs" dxfId="860" priority="6" operator="lessThan">
      <formula>0</formula>
    </cfRule>
  </conditionalFormatting>
  <conditionalFormatting sqref="O76">
    <cfRule type="cellIs" dxfId="859" priority="1" operator="greaterThan">
      <formula>0</formula>
    </cfRule>
  </conditionalFormatting>
  <conditionalFormatting sqref="P76">
    <cfRule type="cellIs" dxfId="858" priority="4" operator="lessThan">
      <formula>0</formula>
    </cfRule>
  </conditionalFormatting>
  <conditionalFormatting sqref="Q76">
    <cfRule type="cellIs" dxfId="857" priority="2" operator="greaterThan">
      <formula>1</formula>
    </cfRule>
    <cfRule type="cellIs" dxfId="856" priority="3" operator="lessThan">
      <formula>0.8</formula>
    </cfRule>
  </conditionalFormatting>
  <conditionalFormatting sqref="R76">
    <cfRule type="cellIs" dxfId="855" priority="5" operator="lessThan">
      <formula>0.8</formula>
    </cfRule>
  </conditionalFormatting>
  <dataValidations count="1">
    <dataValidation type="list" allowBlank="1" showInputMessage="1" showErrorMessage="1" sqref="Z8 Z67 Y5:Z7 Y8:Y67 Z10:Z63 Y68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54" t="s">
        <v>525</v>
      </c>
      <c r="C3" s="421" t="str">
        <f>TEXT('0709 4度C'!A2,"yyyy.mm.ddaaaa")</f>
        <v>2025.07.09星期三</v>
      </c>
      <c r="D3" s="421"/>
      <c r="E3" s="154" t="s">
        <v>127</v>
      </c>
      <c r="F3" s="422">
        <f>'0709 4度C'!D1</f>
        <v>181046</v>
      </c>
      <c r="G3" s="422"/>
      <c r="H3" s="154" t="s">
        <v>90</v>
      </c>
      <c r="I3" s="423">
        <f>'0709 4度C'!F1</f>
        <v>6014286.7900000028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526</v>
      </c>
      <c r="D4" s="424"/>
      <c r="E4" s="425" t="s">
        <v>92</v>
      </c>
      <c r="F4" s="425"/>
      <c r="G4" s="425" t="s">
        <v>527</v>
      </c>
      <c r="H4" s="425"/>
      <c r="I4" s="425" t="s">
        <v>528</v>
      </c>
      <c r="J4" s="425"/>
      <c r="L4" s="33"/>
      <c r="M4" s="33"/>
      <c r="N4" s="33"/>
    </row>
    <row r="5" spans="2:17" ht="28.5" customHeight="1">
      <c r="B5" s="424"/>
      <c r="C5" s="424" t="s">
        <v>249</v>
      </c>
      <c r="D5" s="424"/>
      <c r="E5" s="424" t="s">
        <v>130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140.1727744676881</v>
      </c>
      <c r="F6" s="424">
        <f>AVERAGE(D27:O27,D13:J13)</f>
        <v>146.33782167924821</v>
      </c>
      <c r="G6" s="429">
        <f>AVERAGE(D13:J13)</f>
        <v>146.33782167924821</v>
      </c>
      <c r="H6" s="429"/>
      <c r="I6" s="429">
        <f>AVERAGE(K13:M13)</f>
        <v>125.78766430738119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125.94759901286625</v>
      </c>
      <c r="F7" s="434">
        <f>AVERAGE(D28:O28,D14:J14)</f>
        <v>131.65345662121291</v>
      </c>
      <c r="G7" s="435">
        <f>AVERAGE(D14:J14)</f>
        <v>131.65345662121291</v>
      </c>
      <c r="H7" s="435"/>
      <c r="I7" s="435">
        <f>AVERAGE(K14:M14)</f>
        <v>112.63393126005742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0.89796906780998142</v>
      </c>
      <c r="F8" s="432">
        <f>AVERAGE(D15:J15,D29:O29)</f>
        <v>0.89909050759331399</v>
      </c>
      <c r="G8" s="437">
        <f>AVERAGE(D15:J15)</f>
        <v>0.89909050759331399</v>
      </c>
      <c r="H8" s="437"/>
      <c r="I8" s="437">
        <f>AVERAGE(K15:M15)</f>
        <v>0.89535237498220577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252</v>
      </c>
      <c r="E10" s="441"/>
      <c r="F10" s="441"/>
      <c r="G10" s="441"/>
      <c r="H10" s="441"/>
      <c r="I10" s="441"/>
      <c r="J10" s="442"/>
      <c r="K10" s="443" t="s">
        <v>529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392</v>
      </c>
      <c r="G12" s="42" t="s">
        <v>99</v>
      </c>
      <c r="H12" s="42" t="s">
        <v>530</v>
      </c>
      <c r="I12" s="42" t="s">
        <v>101</v>
      </c>
      <c r="J12" s="43" t="s">
        <v>133</v>
      </c>
      <c r="K12" s="41" t="s">
        <v>531</v>
      </c>
      <c r="L12" s="42" t="s">
        <v>532</v>
      </c>
      <c r="M12" s="43" t="s">
        <v>533</v>
      </c>
    </row>
    <row r="13" spans="2:17" ht="40.15" customHeight="1">
      <c r="B13" s="447" t="s">
        <v>534</v>
      </c>
      <c r="C13" s="44" t="s">
        <v>535</v>
      </c>
      <c r="D13" s="45">
        <f>SUMIFS('0709 4度C'!$K:$K,'0709 4度C'!$A:$A,"燴飯線",'0709 4度C'!$B:$B,"平均")</f>
        <v>104.34782608695652</v>
      </c>
      <c r="E13" s="46">
        <f>SUMIFS('0709 4度C'!$K:$K,'0709 4度C'!$A:$A,"沙拉線一線",'0709 4度C'!$B:$B,"平均")</f>
        <v>80</v>
      </c>
      <c r="F13" s="47">
        <f>SUMIFS('0709 4度C'!$K:$K,'0709 4度C'!$A:$A,"沙拉線二線",'0709 4度C'!$B:$B,"平均")</f>
        <v>81.124999999999986</v>
      </c>
      <c r="G13" s="47">
        <f>SUMIFS('0709 4度C'!$K:$K,'0709 4度C'!$A:$A,"沙拉線三線",'0709 4度C'!$B:$B,"平均")</f>
        <v>106.15384615384616</v>
      </c>
      <c r="H13" s="47">
        <f>SUMIFS('0709 4度C'!$K:$K,'0709 4度C'!$A:$A,"自動包裝線",'0709 4度C'!$B:$B,"平均")</f>
        <v>283.18584070796459</v>
      </c>
      <c r="I13" s="47">
        <f>SUMIFS('0709 4度C'!$K:$K,'0709 4度C'!$A:$A,"涼麵一線",'0709 4度C'!$B:$B,"平均")</f>
        <v>89.552238805970148</v>
      </c>
      <c r="J13" s="48">
        <f>SUMIFS('0709 4度C'!$K:$K,'0709 4度C'!$A:$A,"三明治四線",'0709 4度C'!$B:$B,"平均")</f>
        <v>280</v>
      </c>
      <c r="K13" s="49">
        <f>SUMIFS('0709 4度C'!$K:$K,'0709 4度C'!$A:$A,"三明治一線",'0709 4度C'!$B:$B,"平均")</f>
        <v>108</v>
      </c>
      <c r="L13" s="50">
        <f>SUMIFS('0709 4度C'!$K:$K,'0709 4度C'!$A:$A,"三明治二線",'0709 4度C'!$B:$B,"平均")</f>
        <v>130.23255813953489</v>
      </c>
      <c r="M13" s="48">
        <f>SUMIFS('0709 4度C'!$K:$K,'0709 4度C'!$A:$A,"自動包裝二線",'0709 4度C'!$B:$B,"平均")</f>
        <v>139.13043478260869</v>
      </c>
    </row>
    <row r="14" spans="2:17" ht="39.6" customHeight="1">
      <c r="B14" s="447"/>
      <c r="C14" s="51" t="s">
        <v>88</v>
      </c>
      <c r="D14" s="52">
        <f>SUMIFS('0709 4度C'!$N:$N,'0709 4度C'!$A:$A,"燴飯線",'0709 4度C'!$B:$B,"平均")</f>
        <v>94.096900265309742</v>
      </c>
      <c r="E14" s="53">
        <f>SUMIFS('0709 4度C'!$N:$N,'0709 4度C'!$A:$A,"沙拉線一線",'0709 4度C'!$B:$B,"平均")</f>
        <v>71.795391865047478</v>
      </c>
      <c r="F14" s="53">
        <f>SUMIFS('0709 4度C'!$N:$N,'0709 4度C'!$A:$A,"沙拉線二線",'0709 4度C'!$B:$B,"平均")</f>
        <v>72.717885010160629</v>
      </c>
      <c r="G14" s="53">
        <f>SUMIFS('0709 4度C'!$N:$N,'0709 4度C'!$A:$A,"沙拉線三線",'0709 4度C'!$B:$B,"平均")</f>
        <v>95.828907069584773</v>
      </c>
      <c r="H14" s="53">
        <f>SUMIFS('0709 4度C'!$N:$N,'0709 4度C'!$A:$A,"自動包裝線",'0709 4度C'!$B:$B,"平均")</f>
        <v>253.81950088519116</v>
      </c>
      <c r="I14" s="53">
        <f>SUMIFS('0709 4度C'!$N:$N,'0709 4度C'!$A:$A,"涼麵一線",'0709 4度C'!$B:$B,"平均")</f>
        <v>80.130696780951723</v>
      </c>
      <c r="J14" s="54">
        <f>SUMIFS('0709 4度C'!$N:$N,'0709 4度C'!$A:$A,"三明治四線",'0709 4度C'!$B:$B,"平均")</f>
        <v>253.18491447224471</v>
      </c>
      <c r="K14" s="55">
        <f>SUMIFS('0709 4度C'!$N:$N,'0709 4度C'!$A:$A,"三明治一線",'0709 4度C'!$B:$B,"平均")</f>
        <v>96.546726365469965</v>
      </c>
      <c r="L14" s="56">
        <f>SUMIFS('0709 4度C'!$N:$N,'0709 4度C'!$A:$A,"三明治二線",'0709 4度C'!$B:$B,"平均")</f>
        <v>116.81886690024089</v>
      </c>
      <c r="M14" s="54">
        <f>SUMIFS('0709 4度C'!$N:$N,'0709 4度C'!$A:$A,"自動包裝二線",'0709 4度C'!$B:$B,"平均")</f>
        <v>124.53620051446141</v>
      </c>
    </row>
    <row r="15" spans="2:17" ht="40.15" customHeight="1">
      <c r="B15" s="447"/>
      <c r="C15" s="57" t="s">
        <v>536</v>
      </c>
      <c r="D15" s="58">
        <f>D14/D13</f>
        <v>0.90176196087588512</v>
      </c>
      <c r="E15" s="59">
        <f t="shared" ref="E15:M15" si="0">E14/E13</f>
        <v>0.89744239831309347</v>
      </c>
      <c r="F15" s="59">
        <f t="shared" si="0"/>
        <v>0.89636838225159499</v>
      </c>
      <c r="G15" s="59">
        <f t="shared" si="0"/>
        <v>0.90273608109029124</v>
      </c>
      <c r="H15" s="59">
        <f>H14/H13</f>
        <v>0.8963001125008313</v>
      </c>
      <c r="I15" s="59">
        <f>I14/I13</f>
        <v>0.89479278072062762</v>
      </c>
      <c r="J15" s="60">
        <f>J14/J13</f>
        <v>0.90423183740087398</v>
      </c>
      <c r="K15" s="58">
        <f>K14/K13</f>
        <v>0.89395117005064784</v>
      </c>
      <c r="L15" s="59">
        <f>L14/L13</f>
        <v>0.89700201369827826</v>
      </c>
      <c r="M15" s="60">
        <f t="shared" si="0"/>
        <v>0.89510394119769143</v>
      </c>
    </row>
    <row r="16" spans="2:17" ht="17.25" customHeight="1">
      <c r="B16" s="430" t="s">
        <v>338</v>
      </c>
      <c r="C16" s="153" t="s">
        <v>103</v>
      </c>
      <c r="D16" s="61">
        <f>VLOOKUP("燴飯線",'0709 4度C'!$A:$T,19,0)</f>
        <v>0.70833333333333337</v>
      </c>
      <c r="E16" s="24">
        <f>VLOOKUP("沙拉線一線",'0709 4度C'!$A:$T,19,0)</f>
        <v>8.7499999999999994E-2</v>
      </c>
      <c r="F16" s="24">
        <f>VLOOKUP("沙拉線二線",'0709 4度C'!$A:$T,19,0)</f>
        <v>0.25</v>
      </c>
      <c r="G16" s="24">
        <f>VLOOKUP("沙拉線三線",'0709 4度C'!$A:$T,19,0)</f>
        <v>0.25</v>
      </c>
      <c r="H16" s="24">
        <f>VLOOKUP("自動包裝線",'0709 4度C'!$A:$T,19,0)</f>
        <v>0.125</v>
      </c>
      <c r="I16" s="24">
        <f>VLOOKUP("涼麵一線",'0709 4度C'!$A:$T,19,0)</f>
        <v>0.29305555555555557</v>
      </c>
      <c r="J16" s="62">
        <f>VLOOKUP("三明治四線",'0709 4度C'!$A:$T,19,0)</f>
        <v>0.25069444444444444</v>
      </c>
      <c r="K16" s="63">
        <f>VLOOKUP("三明治一線",'0709 4度C'!$A:$T,19,0)</f>
        <v>8.3333333333333329E-2</v>
      </c>
      <c r="L16" s="64">
        <f>VLOOKUP("三明治二線",'0709 4度C'!$A:$T,19,0)</f>
        <v>0.125</v>
      </c>
      <c r="M16" s="65">
        <f>VLOOKUP("自動包裝二線",'0709 4度C'!$A:$T,19,0)</f>
        <v>0.125</v>
      </c>
    </row>
    <row r="17" spans="2:13" ht="17.25" customHeight="1">
      <c r="B17" s="431"/>
      <c r="C17" s="153" t="s">
        <v>537</v>
      </c>
      <c r="D17" s="63">
        <f>LOOKUP(2,1/(('0709 4度C'!$A:$A="燴飯線")*('0709 4度C'!$T:$T&lt;&gt;"")),'0709 4度C'!$T:$T)</f>
        <v>0.93888888888888888</v>
      </c>
      <c r="E17" s="24">
        <f>LOOKUP(2,1/(('0709 4度C'!$A:$A="沙拉線一線")*('0709 4度C'!$T:$T&lt;&gt;"")),'0709 4度C'!$T:$T)</f>
        <v>0.60624999999999996</v>
      </c>
      <c r="F17" s="24">
        <f>LOOKUP(2,1/(('0709 4度C'!$A:$A="沙拉線二線")*('0709 4度C'!$T:$T&lt;&gt;"")),'0709 4度C'!$T:$T)</f>
        <v>0.84305555555555556</v>
      </c>
      <c r="G17" s="24">
        <f>LOOKUP(2,1/(('0709 4度C'!$A:$A="沙拉線三線")*('0709 4度C'!$T:$T&lt;&gt;"")),'0709 4度C'!$T:$T)</f>
        <v>0.91527777777777786</v>
      </c>
      <c r="H17" s="24">
        <f>LOOKUP(2,1/(('0709 4度C'!$A:$A="自動包裝線")*('0709 4度C'!$T:$T&lt;&gt;"")),'0709 4度C'!$T:$T)</f>
        <v>0.66874999999999996</v>
      </c>
      <c r="I17" s="24">
        <f>LOOKUP(2,1/(('0709 4度C'!$A:$A="涼麵一線")*('0709 4度C'!$T:$T&lt;&gt;"")),'0709 4度C'!$T:$T)</f>
        <v>0.8305555555555556</v>
      </c>
      <c r="J17" s="62">
        <f>LOOKUP(2,1/(('0709 4度C'!$A:$A="三明治四線")*('0709 4度C'!$T:$T&lt;&gt;"")),'0709 4度C'!$T:$T)</f>
        <v>0.53611111111111098</v>
      </c>
      <c r="K17" s="61">
        <f>LOOKUP(2,1/(('0709 4度C'!$A:$A="三明治一線")*('0709 4度C'!$T:$T&lt;&gt;"")),'0709 4度C'!$T:$T)</f>
        <v>0.68749999999999989</v>
      </c>
      <c r="L17" s="24">
        <f>LOOKUP(2,1/(('0709 4度C'!$A:$A="三明治二線")*('0709 4度C'!$T:$T&lt;&gt;"")),'0709 4度C'!$T:$T)</f>
        <v>0.7041666666666665</v>
      </c>
      <c r="M17" s="62">
        <f>LOOKUP(2,1/(('0709 4度C'!$A:$A="自動包裝二線")*('0709 4度C'!$T:$T&lt;&gt;"")),'0709 4度C'!$T:$T)</f>
        <v>0.69861111111111107</v>
      </c>
    </row>
    <row r="18" spans="2:13" ht="17.25" customHeight="1">
      <c r="B18" s="431" t="s">
        <v>341</v>
      </c>
      <c r="C18" s="446"/>
      <c r="D18" s="66">
        <f>SUMIFS('0709 4度C'!$I:$I,'0709 4度C'!$A:$A,"燴飯線",'0709 4度C'!$B:$B,"平均")</f>
        <v>17.25</v>
      </c>
      <c r="E18" s="67">
        <f>SUMIFS('0709 4度C'!$I:$I,'0709 4度C'!$A:$A,"沙拉線一線",'0709 4度C'!$B:$B,"平均")</f>
        <v>18.75</v>
      </c>
      <c r="F18" s="67">
        <f>SUMIFS('0709 4度C'!$I:$I,'0709 4度C'!$A:$A,"沙拉線二線",'0709 4度C'!$B:$B,"平均")</f>
        <v>18.666666666666668</v>
      </c>
      <c r="G18" s="67">
        <f>SUMIFS('0709 4度C'!$I:$I,'0709 4度C'!$A:$A,"沙拉線三線",'0709 4度C'!$B:$B,"平均")</f>
        <v>16.25</v>
      </c>
      <c r="H18" s="67">
        <f>SUMIFS('0709 4度C'!$I:$I,'0709 4度C'!$A:$A,"自動包裝線",'0709 4度C'!$B:$B,"平均")</f>
        <v>10.272727272727273</v>
      </c>
      <c r="I18" s="67">
        <f>SUMIFS('0709 4度C'!$I:$I,'0709 4度C'!$A:$A,"涼麵一線",'0709 4度C'!$B:$B,"平均")</f>
        <v>16.75</v>
      </c>
      <c r="J18" s="68">
        <f>SUMIFS('0709 4度C'!$I:$I,'0709 4度C'!$A:$A,"三明治四線",'0709 4度C'!$B:$B,"平均")</f>
        <v>9.6</v>
      </c>
      <c r="K18" s="66">
        <f>SUMIFS('0709 4度C'!$I:$I,'0709 4度C'!$A:$A,"三明治一線",'0709 4度C'!$B:$B,"平均")</f>
        <v>22.222222222222221</v>
      </c>
      <c r="L18" s="67">
        <f>SUMIFS('0709 4度C'!$I:$I,'0709 4度C'!$A:$A,"三明治二線",'0709 4度C'!$B:$B,"平均")</f>
        <v>18.428571428571427</v>
      </c>
      <c r="M18" s="68">
        <f>SUMIFS('0709 4度C'!$I:$I,'0709 4度C'!$A:$A,"自動包裝二線",'0709 4度C'!$B:$B,"平均")</f>
        <v>17.25</v>
      </c>
    </row>
    <row r="19" spans="2:13" ht="17.25" customHeight="1">
      <c r="B19" s="448" t="s">
        <v>538</v>
      </c>
      <c r="C19" s="449"/>
      <c r="D19" s="69" t="s">
        <v>50</v>
      </c>
      <c r="E19" s="70" t="s">
        <v>51</v>
      </c>
      <c r="F19" s="70" t="s">
        <v>258</v>
      </c>
      <c r="G19" s="70" t="s">
        <v>539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540</v>
      </c>
      <c r="M19" s="71" t="s">
        <v>541</v>
      </c>
    </row>
    <row r="20" spans="2:13" ht="17.25" customHeight="1">
      <c r="B20" s="448" t="s">
        <v>542</v>
      </c>
      <c r="C20" s="449"/>
      <c r="D20" s="69"/>
      <c r="E20" s="70"/>
      <c r="F20" s="70" t="s">
        <v>543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343</v>
      </c>
      <c r="C21" s="451"/>
      <c r="D21" s="72"/>
      <c r="E21" s="73" t="s">
        <v>200</v>
      </c>
      <c r="F21" s="452" t="s">
        <v>544</v>
      </c>
      <c r="G21" s="453"/>
      <c r="H21" s="73" t="s">
        <v>545</v>
      </c>
      <c r="I21" s="73" t="s">
        <v>108</v>
      </c>
      <c r="J21" s="74" t="s">
        <v>546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5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1"/>
  <sheetViews>
    <sheetView zoomScale="80" zoomScaleNormal="80" workbookViewId="0">
      <pane ySplit="4" topLeftCell="A5" activePane="bottomLeft" state="frozen"/>
      <selection activeCell="L4" sqref="L4"/>
      <selection pane="bottomLeft" activeCell="L4" sqref="L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SUM(F5:F80)</f>
        <v>181046</v>
      </c>
      <c r="E1" s="155" t="s">
        <v>295</v>
      </c>
      <c r="F1" s="1">
        <f>SUM(G5:G80)</f>
        <v>6014286.7900000028</v>
      </c>
      <c r="G1" s="1" t="s">
        <v>111</v>
      </c>
      <c r="H1" s="4">
        <f>L9+L14+L60+L65+L21+L71+L40+L48+L30+L80</f>
        <v>165.44018759018758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45847</v>
      </c>
      <c r="B2" s="23" t="s">
        <v>214</v>
      </c>
      <c r="C2" s="2" t="s">
        <v>114</v>
      </c>
      <c r="D2" s="6">
        <f>AVERAGE(N9,N14,N60,N65,N21,N71,N30,N40,N48,N80)</f>
        <v>125.94759901286625</v>
      </c>
      <c r="E2" s="7" t="s">
        <v>0</v>
      </c>
      <c r="F2" s="8">
        <f>F1/D1</f>
        <v>33.219661246313109</v>
      </c>
      <c r="G2" s="1" t="s">
        <v>146</v>
      </c>
      <c r="H2" s="166">
        <f>COUNT(H5:H80)</f>
        <v>15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358</v>
      </c>
      <c r="B3" s="456" t="s">
        <v>116</v>
      </c>
      <c r="C3" s="456" t="s">
        <v>147</v>
      </c>
      <c r="D3" s="456"/>
      <c r="E3" s="457" t="s">
        <v>117</v>
      </c>
      <c r="F3" s="456" t="s">
        <v>118</v>
      </c>
      <c r="G3" s="457" t="s">
        <v>148</v>
      </c>
      <c r="H3" s="463" t="s">
        <v>223</v>
      </c>
      <c r="I3" s="464" t="s">
        <v>313</v>
      </c>
      <c r="J3" s="465" t="s">
        <v>149</v>
      </c>
      <c r="K3" s="459" t="s">
        <v>114</v>
      </c>
      <c r="L3" s="464" t="s">
        <v>313</v>
      </c>
      <c r="M3" s="465" t="s">
        <v>149</v>
      </c>
      <c r="N3" s="459" t="s">
        <v>114</v>
      </c>
      <c r="O3" s="464" t="s">
        <v>313</v>
      </c>
      <c r="P3" s="459" t="s">
        <v>114</v>
      </c>
      <c r="Q3" s="460" t="s">
        <v>228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150</v>
      </c>
      <c r="X3" s="456"/>
      <c r="Y3" s="475" t="s">
        <v>231</v>
      </c>
      <c r="Z3" s="476"/>
      <c r="AA3" s="465" t="s">
        <v>149</v>
      </c>
      <c r="AB3" s="460" t="s">
        <v>228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65" t="s">
        <v>3</v>
      </c>
      <c r="T4" s="165" t="s">
        <v>4</v>
      </c>
      <c r="U4" s="463"/>
      <c r="V4" s="463"/>
      <c r="W4" s="155" t="s">
        <v>232</v>
      </c>
      <c r="X4" s="155" t="s">
        <v>322</v>
      </c>
      <c r="Y4" s="476"/>
      <c r="Z4" s="476"/>
      <c r="AA4" s="465"/>
      <c r="AB4" s="460"/>
      <c r="AC4" s="461"/>
    </row>
    <row r="5" spans="1:29">
      <c r="A5" s="471" t="s">
        <v>234</v>
      </c>
      <c r="B5" s="26" t="s">
        <v>13</v>
      </c>
      <c r="C5" s="472" t="s">
        <v>58</v>
      </c>
      <c r="D5" s="472"/>
      <c r="E5" s="26">
        <v>46.93</v>
      </c>
      <c r="F5" s="165">
        <v>1228</v>
      </c>
      <c r="G5" s="155">
        <f>E5*F5</f>
        <v>57630.04</v>
      </c>
      <c r="H5" s="76" t="s">
        <v>57</v>
      </c>
      <c r="I5" s="163">
        <v>17</v>
      </c>
      <c r="J5" s="18">
        <v>1800</v>
      </c>
      <c r="K5" s="9">
        <f>J5/I5</f>
        <v>105.88235294117646</v>
      </c>
      <c r="L5" s="163">
        <v>17</v>
      </c>
      <c r="M5" s="10">
        <f>F5/V5*60</f>
        <v>1637.3333333333333</v>
      </c>
      <c r="N5" s="9">
        <f>M5/L5</f>
        <v>96.313725490196077</v>
      </c>
      <c r="O5" s="11">
        <f t="shared" ref="O5:O8" si="0">L5-I5</f>
        <v>0</v>
      </c>
      <c r="P5" s="12">
        <f t="shared" ref="P5:P7" si="1">N5-K5</f>
        <v>-9.5686274509803866</v>
      </c>
      <c r="Q5" s="156">
        <f>N5/K5</f>
        <v>0.90962962962962968</v>
      </c>
      <c r="R5" s="470">
        <f>Q9</f>
        <v>0.90176196087588512</v>
      </c>
      <c r="S5" s="24">
        <v>0.70833333333333337</v>
      </c>
      <c r="T5" s="24">
        <v>0.73958333333333337</v>
      </c>
      <c r="U5" s="155"/>
      <c r="V5" s="164">
        <f>(T5-S5)*24*60</f>
        <v>45</v>
      </c>
      <c r="W5" s="13"/>
      <c r="X5" s="13"/>
      <c r="Y5" s="456"/>
      <c r="Z5" s="456"/>
      <c r="AA5" s="11">
        <f t="shared" ref="AA5:AA68" si="2">M5-J5</f>
        <v>-162.66666666666674</v>
      </c>
      <c r="AB5" s="156">
        <f t="shared" ref="AB5:AB8" si="3">M5/J5</f>
        <v>0.90962962962962957</v>
      </c>
      <c r="AC5" s="470">
        <f>AB9</f>
        <v>0.901761960875885</v>
      </c>
    </row>
    <row r="6" spans="1:29">
      <c r="A6" s="464" t="s">
        <v>234</v>
      </c>
      <c r="B6" s="26" t="s">
        <v>13</v>
      </c>
      <c r="C6" s="472" t="s">
        <v>60</v>
      </c>
      <c r="D6" s="472"/>
      <c r="E6" s="26">
        <v>50.49</v>
      </c>
      <c r="F6" s="165">
        <v>2126</v>
      </c>
      <c r="G6" s="155">
        <f t="shared" ref="G6:G8" si="4">E6*F6</f>
        <v>107341.74</v>
      </c>
      <c r="H6" s="76" t="s">
        <v>57</v>
      </c>
      <c r="I6" s="163">
        <v>16</v>
      </c>
      <c r="J6" s="18">
        <v>1800</v>
      </c>
      <c r="K6" s="9">
        <f t="shared" ref="K6:K8" si="5">J6/I6</f>
        <v>112.5</v>
      </c>
      <c r="L6" s="163">
        <v>16</v>
      </c>
      <c r="M6" s="10">
        <f>F6/V6*60</f>
        <v>1614.6835443037967</v>
      </c>
      <c r="N6" s="9">
        <f t="shared" ref="N6:N7" si="6">M6/L6</f>
        <v>100.91772151898729</v>
      </c>
      <c r="O6" s="11">
        <f t="shared" si="0"/>
        <v>0</v>
      </c>
      <c r="P6" s="12">
        <f t="shared" si="1"/>
        <v>-11.582278481012708</v>
      </c>
      <c r="Q6" s="156">
        <f t="shared" ref="Q6:Q8" si="7">N6/K6</f>
        <v>0.89704641350210923</v>
      </c>
      <c r="R6" s="470"/>
      <c r="S6" s="24">
        <v>0.74444444444444446</v>
      </c>
      <c r="T6" s="24">
        <v>0.7993055555555556</v>
      </c>
      <c r="U6" s="155">
        <f>(S6-T5)*24*60</f>
        <v>6.9999999999999751</v>
      </c>
      <c r="V6" s="164">
        <f>(T6-S6)*24*60</f>
        <v>79.000000000000043</v>
      </c>
      <c r="W6" s="14"/>
      <c r="X6" s="14"/>
      <c r="Y6" s="456"/>
      <c r="Z6" s="456"/>
      <c r="AA6" s="11">
        <f t="shared" si="2"/>
        <v>-185.31645569620332</v>
      </c>
      <c r="AB6" s="156">
        <f t="shared" si="3"/>
        <v>0.89704641350210923</v>
      </c>
      <c r="AC6" s="470"/>
    </row>
    <row r="7" spans="1:29">
      <c r="A7" s="464" t="s">
        <v>234</v>
      </c>
      <c r="B7" s="26" t="s">
        <v>13</v>
      </c>
      <c r="C7" s="468" t="s">
        <v>448</v>
      </c>
      <c r="D7" s="469"/>
      <c r="E7" s="26">
        <v>48.36</v>
      </c>
      <c r="F7" s="165">
        <v>1700</v>
      </c>
      <c r="G7" s="155">
        <f t="shared" si="4"/>
        <v>82212</v>
      </c>
      <c r="H7" s="76">
        <v>3</v>
      </c>
      <c r="I7" s="163">
        <v>18</v>
      </c>
      <c r="J7" s="18">
        <v>1800</v>
      </c>
      <c r="K7" s="9">
        <f t="shared" si="5"/>
        <v>100</v>
      </c>
      <c r="L7" s="163">
        <v>18</v>
      </c>
      <c r="M7" s="10">
        <f t="shared" ref="M7" si="8">F7/V7*60</f>
        <v>1619.0476190476209</v>
      </c>
      <c r="N7" s="9">
        <f t="shared" si="6"/>
        <v>89.947089947090049</v>
      </c>
      <c r="O7" s="11">
        <f t="shared" si="0"/>
        <v>0</v>
      </c>
      <c r="P7" s="12">
        <f t="shared" si="1"/>
        <v>-10.052910052909951</v>
      </c>
      <c r="Q7" s="156">
        <f t="shared" si="7"/>
        <v>0.89947089947090053</v>
      </c>
      <c r="R7" s="470"/>
      <c r="S7" s="24">
        <v>0.80347222222222225</v>
      </c>
      <c r="T7" s="24">
        <v>0.84722222222222221</v>
      </c>
      <c r="U7" s="155">
        <f t="shared" ref="U7:U8" si="9">(S7-T6)*24*60</f>
        <v>5.9999999999999787</v>
      </c>
      <c r="V7" s="164">
        <f t="shared" ref="V7:V8" si="10">(T7-S7)*24*60</f>
        <v>62.999999999999936</v>
      </c>
      <c r="W7" s="14"/>
      <c r="X7" s="14"/>
      <c r="Y7" s="473"/>
      <c r="Z7" s="474"/>
      <c r="AA7" s="11">
        <f t="shared" si="2"/>
        <v>-180.95238095237914</v>
      </c>
      <c r="AB7" s="156">
        <f t="shared" si="3"/>
        <v>0.89947089947090042</v>
      </c>
      <c r="AC7" s="470"/>
    </row>
    <row r="8" spans="1:29">
      <c r="A8" s="464" t="s">
        <v>234</v>
      </c>
      <c r="B8" s="26" t="s">
        <v>13</v>
      </c>
      <c r="C8" s="468" t="s">
        <v>448</v>
      </c>
      <c r="D8" s="469"/>
      <c r="E8" s="26">
        <v>48.36</v>
      </c>
      <c r="F8" s="165">
        <v>2000</v>
      </c>
      <c r="G8" s="155">
        <f t="shared" si="4"/>
        <v>96720</v>
      </c>
      <c r="H8" s="76" t="s">
        <v>57</v>
      </c>
      <c r="I8" s="163">
        <v>18</v>
      </c>
      <c r="J8" s="18">
        <v>1800</v>
      </c>
      <c r="K8" s="9">
        <f t="shared" si="5"/>
        <v>100</v>
      </c>
      <c r="L8" s="163">
        <v>18</v>
      </c>
      <c r="M8" s="10">
        <f>F8/V8*60</f>
        <v>1621.6216216216203</v>
      </c>
      <c r="N8" s="9">
        <f>M8/L8</f>
        <v>90.090090090090015</v>
      </c>
      <c r="O8" s="11">
        <f t="shared" si="0"/>
        <v>0</v>
      </c>
      <c r="P8" s="12">
        <f>N8-K8</f>
        <v>-9.9099099099099845</v>
      </c>
      <c r="Q8" s="156">
        <f t="shared" si="7"/>
        <v>0.90090090090090014</v>
      </c>
      <c r="R8" s="470"/>
      <c r="S8" s="24">
        <v>0.88749999999999996</v>
      </c>
      <c r="T8" s="24">
        <v>0.93888888888888888</v>
      </c>
      <c r="U8" s="155">
        <f t="shared" si="9"/>
        <v>57.999999999999957</v>
      </c>
      <c r="V8" s="164">
        <f t="shared" si="10"/>
        <v>74.000000000000057</v>
      </c>
      <c r="W8" s="15"/>
      <c r="X8" s="15"/>
      <c r="Y8" s="473"/>
      <c r="Z8" s="474"/>
      <c r="AA8" s="11">
        <f t="shared" si="2"/>
        <v>-178.37837837837969</v>
      </c>
      <c r="AB8" s="156">
        <f t="shared" si="3"/>
        <v>0.90090090090090014</v>
      </c>
      <c r="AC8" s="470"/>
    </row>
    <row r="9" spans="1:29">
      <c r="A9" s="464" t="s">
        <v>234</v>
      </c>
      <c r="B9" s="26" t="s">
        <v>81</v>
      </c>
      <c r="C9" s="466"/>
      <c r="D9" s="466"/>
      <c r="E9" s="157"/>
      <c r="F9" s="16"/>
      <c r="G9" s="9"/>
      <c r="H9" s="165"/>
      <c r="I9" s="17">
        <v>17.25</v>
      </c>
      <c r="J9" s="18">
        <v>1800</v>
      </c>
      <c r="K9" s="9">
        <f>J9/I9</f>
        <v>104.34782608695652</v>
      </c>
      <c r="L9" s="17">
        <v>17.25</v>
      </c>
      <c r="M9" s="10">
        <f>AVERAGE(M5:M8)</f>
        <v>1623.171529576593</v>
      </c>
      <c r="N9" s="9">
        <f>M9/L9</f>
        <v>94.096900265309742</v>
      </c>
      <c r="O9" s="11">
        <f>L9-I9</f>
        <v>0</v>
      </c>
      <c r="P9" s="12">
        <f>N9-K9</f>
        <v>-10.250925821646774</v>
      </c>
      <c r="Q9" s="156">
        <f>N9/K9</f>
        <v>0.90176196087588512</v>
      </c>
      <c r="R9" s="470"/>
      <c r="S9" s="24"/>
      <c r="T9" s="24"/>
      <c r="U9" s="155"/>
      <c r="V9" s="164"/>
      <c r="W9" s="9"/>
      <c r="X9" s="9"/>
      <c r="Y9" s="456"/>
      <c r="Z9" s="456"/>
      <c r="AA9" s="11">
        <f t="shared" si="2"/>
        <v>-176.828470423407</v>
      </c>
      <c r="AB9" s="156">
        <f>M9/J9</f>
        <v>0.901761960875885</v>
      </c>
      <c r="AC9" s="470"/>
    </row>
    <row r="10" spans="1:29" ht="15.75" customHeight="1">
      <c r="A10" s="467" t="s">
        <v>237</v>
      </c>
      <c r="B10" s="26" t="s">
        <v>15</v>
      </c>
      <c r="C10" s="468" t="s">
        <v>16</v>
      </c>
      <c r="D10" s="469"/>
      <c r="E10" s="26">
        <v>39.619999999999997</v>
      </c>
      <c r="F10" s="165">
        <v>2700</v>
      </c>
      <c r="G10" s="155">
        <f t="shared" ref="G10:G13" si="11">E10*F10</f>
        <v>106974</v>
      </c>
      <c r="H10" s="76">
        <v>2</v>
      </c>
      <c r="I10" s="163">
        <v>19</v>
      </c>
      <c r="J10" s="18">
        <v>1500</v>
      </c>
      <c r="K10" s="9">
        <f t="shared" ref="K10:K13" si="12">J10/I10</f>
        <v>78.94736842105263</v>
      </c>
      <c r="L10" s="163">
        <v>19</v>
      </c>
      <c r="M10" s="10">
        <f t="shared" ref="M10:M13" si="13">F10/V10*60</f>
        <v>1350</v>
      </c>
      <c r="N10" s="9">
        <f t="shared" ref="N10:N13" si="14">M10/L10</f>
        <v>71.05263157894737</v>
      </c>
      <c r="O10" s="11">
        <f t="shared" ref="O10:O13" si="15">L10-I10</f>
        <v>0</v>
      </c>
      <c r="P10" s="12">
        <f>N10-K10</f>
        <v>-7.8947368421052602</v>
      </c>
      <c r="Q10" s="156">
        <f>N10/K10</f>
        <v>0.9</v>
      </c>
      <c r="R10" s="470">
        <f>Q14</f>
        <v>0.89744239831309347</v>
      </c>
      <c r="S10" s="24">
        <v>8.7499999999999994E-2</v>
      </c>
      <c r="T10" s="24">
        <v>0.17083333333333334</v>
      </c>
      <c r="U10" s="155"/>
      <c r="V10" s="164">
        <f t="shared" ref="V10:V13" si="16">(T10-S10)*24*60</f>
        <v>120</v>
      </c>
      <c r="W10" s="9"/>
      <c r="X10" s="9"/>
      <c r="Y10" s="456"/>
      <c r="Z10" s="456"/>
      <c r="AA10" s="11">
        <f t="shared" si="2"/>
        <v>-150</v>
      </c>
      <c r="AB10" s="156">
        <f>M10/J10</f>
        <v>0.9</v>
      </c>
      <c r="AC10" s="470">
        <f>AB14</f>
        <v>0.89744239831309336</v>
      </c>
    </row>
    <row r="11" spans="1:29" ht="15.75" customHeight="1">
      <c r="A11" s="467" t="s">
        <v>5</v>
      </c>
      <c r="B11" s="26" t="s">
        <v>15</v>
      </c>
      <c r="C11" s="468" t="s">
        <v>17</v>
      </c>
      <c r="D11" s="469"/>
      <c r="E11" s="26">
        <v>39.799999999999997</v>
      </c>
      <c r="F11" s="165">
        <v>4000</v>
      </c>
      <c r="G11" s="155">
        <f t="shared" si="11"/>
        <v>159200</v>
      </c>
      <c r="H11" s="76">
        <v>2</v>
      </c>
      <c r="I11" s="163">
        <v>18</v>
      </c>
      <c r="J11" s="18">
        <v>1500</v>
      </c>
      <c r="K11" s="9">
        <f t="shared" si="12"/>
        <v>83.333333333333329</v>
      </c>
      <c r="L11" s="163">
        <v>18</v>
      </c>
      <c r="M11" s="10">
        <f t="shared" si="13"/>
        <v>1340.7821229050282</v>
      </c>
      <c r="N11" s="9">
        <f t="shared" si="14"/>
        <v>74.487895716946014</v>
      </c>
      <c r="O11" s="11">
        <f t="shared" si="15"/>
        <v>0</v>
      </c>
      <c r="P11" s="12">
        <f t="shared" ref="P11:P13" si="17">N11-K11</f>
        <v>-8.845437616387315</v>
      </c>
      <c r="Q11" s="156">
        <f t="shared" ref="Q11:Q13" si="18">N11/K11</f>
        <v>0.89385474860335223</v>
      </c>
      <c r="R11" s="470"/>
      <c r="S11" s="24">
        <v>0.19444444444444445</v>
      </c>
      <c r="T11" s="24">
        <v>0.31874999999999998</v>
      </c>
      <c r="U11" s="155">
        <f>(S11-T10)*24*60</f>
        <v>34</v>
      </c>
      <c r="V11" s="164">
        <f t="shared" si="16"/>
        <v>178.99999999999994</v>
      </c>
      <c r="W11" s="14"/>
      <c r="X11" s="14"/>
      <c r="Y11" s="456"/>
      <c r="Z11" s="456"/>
      <c r="AA11" s="11">
        <f t="shared" si="2"/>
        <v>-159.21787709497175</v>
      </c>
      <c r="AB11" s="156">
        <f t="shared" ref="AB11:AB30" si="19">M11/J11</f>
        <v>0.89385474860335212</v>
      </c>
      <c r="AC11" s="470"/>
    </row>
    <row r="12" spans="1:29" ht="15.75" customHeight="1">
      <c r="A12" s="467" t="s">
        <v>5</v>
      </c>
      <c r="B12" s="26" t="s">
        <v>15</v>
      </c>
      <c r="C12" s="468" t="s">
        <v>517</v>
      </c>
      <c r="D12" s="469"/>
      <c r="E12" s="26">
        <v>37.5</v>
      </c>
      <c r="F12" s="165">
        <v>5898</v>
      </c>
      <c r="G12" s="155">
        <f t="shared" si="11"/>
        <v>221175</v>
      </c>
      <c r="H12" s="76" t="s">
        <v>57</v>
      </c>
      <c r="I12" s="163">
        <v>19</v>
      </c>
      <c r="J12" s="18">
        <v>1500</v>
      </c>
      <c r="K12" s="9">
        <f t="shared" si="12"/>
        <v>78.94736842105263</v>
      </c>
      <c r="L12" s="163">
        <v>19</v>
      </c>
      <c r="M12" s="10">
        <f t="shared" si="13"/>
        <v>1340.4545454545455</v>
      </c>
      <c r="N12" s="9">
        <f t="shared" si="14"/>
        <v>70.550239234449762</v>
      </c>
      <c r="O12" s="11">
        <f t="shared" si="15"/>
        <v>0</v>
      </c>
      <c r="P12" s="12">
        <f t="shared" si="17"/>
        <v>-8.3971291866028679</v>
      </c>
      <c r="Q12" s="156">
        <f t="shared" si="18"/>
        <v>0.89363636363636367</v>
      </c>
      <c r="R12" s="470"/>
      <c r="S12" s="24">
        <v>0.32847222222222217</v>
      </c>
      <c r="T12" s="24">
        <v>0.51180555555555551</v>
      </c>
      <c r="U12" s="155">
        <f t="shared" ref="U12:U13" si="20">(S12-T11)*24*60</f>
        <v>13.99999999999995</v>
      </c>
      <c r="V12" s="164">
        <f t="shared" si="16"/>
        <v>264</v>
      </c>
      <c r="W12" s="14"/>
      <c r="X12" s="14"/>
      <c r="Y12" s="456"/>
      <c r="Z12" s="456"/>
      <c r="AA12" s="11">
        <f t="shared" si="2"/>
        <v>-159.5454545454545</v>
      </c>
      <c r="AB12" s="156">
        <f t="shared" si="19"/>
        <v>0.89363636363636367</v>
      </c>
      <c r="AC12" s="470"/>
    </row>
    <row r="13" spans="1:29" ht="15.75" customHeight="1">
      <c r="A13" s="467" t="s">
        <v>5</v>
      </c>
      <c r="B13" s="26" t="s">
        <v>15</v>
      </c>
      <c r="C13" s="468" t="s">
        <v>16</v>
      </c>
      <c r="D13" s="469"/>
      <c r="E13" s="26">
        <v>39.619999999999997</v>
      </c>
      <c r="F13" s="165">
        <v>1782</v>
      </c>
      <c r="G13" s="155">
        <f t="shared" si="11"/>
        <v>70602.84</v>
      </c>
      <c r="H13" s="76" t="s">
        <v>57</v>
      </c>
      <c r="I13" s="163">
        <v>19</v>
      </c>
      <c r="J13" s="18">
        <v>1500</v>
      </c>
      <c r="K13" s="9">
        <f t="shared" si="12"/>
        <v>78.94736842105263</v>
      </c>
      <c r="L13" s="163">
        <v>19</v>
      </c>
      <c r="M13" s="10">
        <f t="shared" si="13"/>
        <v>1353.4177215189866</v>
      </c>
      <c r="N13" s="9">
        <f t="shared" si="14"/>
        <v>71.232511658894026</v>
      </c>
      <c r="O13" s="11">
        <f t="shared" si="15"/>
        <v>0</v>
      </c>
      <c r="P13" s="12">
        <f t="shared" si="17"/>
        <v>-7.7148567621586039</v>
      </c>
      <c r="Q13" s="156">
        <f t="shared" si="18"/>
        <v>0.90227848101265773</v>
      </c>
      <c r="R13" s="470"/>
      <c r="S13" s="24">
        <v>0.55138888888888882</v>
      </c>
      <c r="T13" s="24">
        <v>0.60624999999999996</v>
      </c>
      <c r="U13" s="155">
        <f t="shared" si="20"/>
        <v>56.999999999999957</v>
      </c>
      <c r="V13" s="164">
        <f t="shared" si="16"/>
        <v>79.000000000000043</v>
      </c>
      <c r="W13" s="14"/>
      <c r="X13" s="14"/>
      <c r="Y13" s="456"/>
      <c r="Z13" s="456"/>
      <c r="AA13" s="11">
        <f t="shared" si="2"/>
        <v>-146.58227848101342</v>
      </c>
      <c r="AB13" s="156">
        <f t="shared" si="19"/>
        <v>0.90227848101265773</v>
      </c>
      <c r="AC13" s="470"/>
    </row>
    <row r="14" spans="1:29" ht="16.5" customHeight="1">
      <c r="A14" s="467" t="s">
        <v>5</v>
      </c>
      <c r="B14" s="26" t="s">
        <v>81</v>
      </c>
      <c r="C14" s="466"/>
      <c r="D14" s="466"/>
      <c r="E14" s="157"/>
      <c r="F14" s="18"/>
      <c r="G14" s="10"/>
      <c r="H14" s="165"/>
      <c r="I14" s="17">
        <v>18.75</v>
      </c>
      <c r="J14" s="18">
        <v>1500</v>
      </c>
      <c r="K14" s="9">
        <f>J14/I14</f>
        <v>80</v>
      </c>
      <c r="L14" s="17">
        <v>18.75</v>
      </c>
      <c r="M14" s="10">
        <f>AVERAGE(M10:M13)</f>
        <v>1346.1635974696401</v>
      </c>
      <c r="N14" s="9">
        <f>M14/L14</f>
        <v>71.795391865047478</v>
      </c>
      <c r="O14" s="11">
        <f>L14-I14</f>
        <v>0</v>
      </c>
      <c r="P14" s="12">
        <f>N14-K14</f>
        <v>-8.2046081349525224</v>
      </c>
      <c r="Q14" s="156">
        <f>N14/K14</f>
        <v>0.89744239831309347</v>
      </c>
      <c r="R14" s="470"/>
      <c r="S14" s="24"/>
      <c r="T14" s="24"/>
      <c r="U14" s="9"/>
      <c r="V14" s="164"/>
      <c r="W14" s="9"/>
      <c r="X14" s="9"/>
      <c r="Y14" s="456"/>
      <c r="Z14" s="456"/>
      <c r="AA14" s="11">
        <f t="shared" si="2"/>
        <v>-153.83640253035992</v>
      </c>
      <c r="AB14" s="156">
        <f t="shared" si="19"/>
        <v>0.89744239831309336</v>
      </c>
      <c r="AC14" s="470"/>
    </row>
    <row r="15" spans="1:29" ht="16.5" customHeight="1">
      <c r="A15" s="480" t="s">
        <v>377</v>
      </c>
      <c r="B15" s="165" t="s">
        <v>18</v>
      </c>
      <c r="C15" s="477" t="s">
        <v>19</v>
      </c>
      <c r="D15" s="477"/>
      <c r="E15" s="26">
        <v>41</v>
      </c>
      <c r="F15" s="165">
        <v>1759</v>
      </c>
      <c r="G15" s="155">
        <f t="shared" ref="G15:G20" si="21">E15*F15</f>
        <v>72119</v>
      </c>
      <c r="H15" s="76" t="s">
        <v>57</v>
      </c>
      <c r="I15" s="163">
        <v>26</v>
      </c>
      <c r="J15" s="18">
        <v>1286</v>
      </c>
      <c r="K15" s="9">
        <f>J15/I15</f>
        <v>49.46153846153846</v>
      </c>
      <c r="L15" s="163">
        <v>26</v>
      </c>
      <c r="M15" s="10">
        <f>F15/V15*60</f>
        <v>1147.1739130434783</v>
      </c>
      <c r="N15" s="9">
        <f t="shared" ref="N15:N29" si="22">M15/L15</f>
        <v>44.12207357859532</v>
      </c>
      <c r="O15" s="11">
        <f t="shared" ref="O15" si="23">L15-I15</f>
        <v>0</v>
      </c>
      <c r="P15" s="12">
        <f t="shared" ref="P15" si="24">N15-K15</f>
        <v>-5.3394648829431404</v>
      </c>
      <c r="Q15" s="156">
        <f>N15/K15</f>
        <v>0.89204814389072962</v>
      </c>
      <c r="R15" s="470">
        <f>Q21</f>
        <v>0.89636838225159499</v>
      </c>
      <c r="S15" s="24">
        <v>0.25</v>
      </c>
      <c r="T15" s="24">
        <v>0.31388888888888888</v>
      </c>
      <c r="U15" s="155"/>
      <c r="V15" s="164">
        <f>(T15-S15)*24*60</f>
        <v>92</v>
      </c>
      <c r="W15" s="15"/>
      <c r="X15" s="15"/>
      <c r="Y15" s="456"/>
      <c r="Z15" s="456"/>
      <c r="AA15" s="11">
        <f t="shared" si="2"/>
        <v>-138.82608695652175</v>
      </c>
      <c r="AB15" s="156">
        <f t="shared" si="19"/>
        <v>0.89204814389072962</v>
      </c>
      <c r="AC15" s="470">
        <f>AB21</f>
        <v>0.89636838225159499</v>
      </c>
    </row>
    <row r="16" spans="1:29" ht="16.5" customHeight="1">
      <c r="A16" s="481" t="s">
        <v>6</v>
      </c>
      <c r="B16" s="165" t="s">
        <v>15</v>
      </c>
      <c r="C16" s="477" t="s">
        <v>68</v>
      </c>
      <c r="D16" s="477"/>
      <c r="E16" s="26">
        <v>39.29</v>
      </c>
      <c r="F16" s="165">
        <v>2319</v>
      </c>
      <c r="G16" s="155">
        <f t="shared" si="21"/>
        <v>91113.51</v>
      </c>
      <c r="H16" s="76" t="s">
        <v>57</v>
      </c>
      <c r="I16" s="163">
        <v>18</v>
      </c>
      <c r="J16" s="18">
        <v>1500</v>
      </c>
      <c r="K16" s="9">
        <f>J16/I16</f>
        <v>83.333333333333329</v>
      </c>
      <c r="L16" s="163">
        <v>18</v>
      </c>
      <c r="M16" s="10">
        <f>F16/V16*60</f>
        <v>1350.8737864077675</v>
      </c>
      <c r="N16" s="9">
        <f t="shared" si="22"/>
        <v>75.048543689320411</v>
      </c>
      <c r="O16" s="11">
        <f>L16-I16</f>
        <v>0</v>
      </c>
      <c r="P16" s="12">
        <f>N16-K16</f>
        <v>-8.2847896440129176</v>
      </c>
      <c r="Q16" s="156">
        <f>N16/K16</f>
        <v>0.90058252427184493</v>
      </c>
      <c r="R16" s="470"/>
      <c r="S16" s="24">
        <v>0.32430555555555551</v>
      </c>
      <c r="T16" s="24">
        <v>0.39583333333333326</v>
      </c>
      <c r="U16" s="155">
        <f>(S16-T15)*24*60</f>
        <v>14.999999999999947</v>
      </c>
      <c r="V16" s="164">
        <f>(T16-S16)*24*60</f>
        <v>102.99999999999996</v>
      </c>
      <c r="W16" s="14"/>
      <c r="X16" s="14"/>
      <c r="Y16" s="456"/>
      <c r="Z16" s="456"/>
      <c r="AA16" s="11">
        <f t="shared" si="2"/>
        <v>-149.12621359223249</v>
      </c>
      <c r="AB16" s="156">
        <f t="shared" si="19"/>
        <v>0.90058252427184504</v>
      </c>
      <c r="AC16" s="470"/>
    </row>
    <row r="17" spans="1:29" ht="16.5" customHeight="1">
      <c r="A17" s="481" t="s">
        <v>6</v>
      </c>
      <c r="B17" s="165" t="s">
        <v>15</v>
      </c>
      <c r="C17" s="477" t="s">
        <v>54</v>
      </c>
      <c r="D17" s="477"/>
      <c r="E17" s="26">
        <v>39.29</v>
      </c>
      <c r="F17" s="165">
        <v>3478</v>
      </c>
      <c r="G17" s="155">
        <f t="shared" si="21"/>
        <v>136650.62</v>
      </c>
      <c r="H17" s="76" t="s">
        <v>57</v>
      </c>
      <c r="I17" s="163">
        <v>17</v>
      </c>
      <c r="J17" s="18">
        <v>1500</v>
      </c>
      <c r="K17" s="9">
        <f t="shared" ref="K17:K20" si="25">J17/I17</f>
        <v>88.235294117647058</v>
      </c>
      <c r="L17" s="163">
        <v>17</v>
      </c>
      <c r="M17" s="10">
        <f t="shared" ref="M17:M19" si="26">F17/V17*60</f>
        <v>1337.6923076923069</v>
      </c>
      <c r="N17" s="9">
        <f t="shared" si="22"/>
        <v>78.687782805429819</v>
      </c>
      <c r="O17" s="11">
        <f t="shared" ref="O17:O20" si="27">L17-I17</f>
        <v>0</v>
      </c>
      <c r="P17" s="12">
        <f t="shared" ref="P17:P20" si="28">N17-K17</f>
        <v>-9.5475113122172388</v>
      </c>
      <c r="Q17" s="156">
        <f t="shared" ref="Q17:Q29" si="29">N17/K17</f>
        <v>0.89179487179487127</v>
      </c>
      <c r="R17" s="470"/>
      <c r="S17" s="24">
        <v>0.40416666666666656</v>
      </c>
      <c r="T17" s="24">
        <v>0.51249999999999996</v>
      </c>
      <c r="U17" s="155">
        <f t="shared" ref="U17:U20" si="30">(S17-T16)*24*60</f>
        <v>11.999999999999957</v>
      </c>
      <c r="V17" s="164">
        <f t="shared" ref="V17:V20" si="31">(T17-S17)*24*60</f>
        <v>156.00000000000009</v>
      </c>
      <c r="W17" s="14"/>
      <c r="X17" s="14"/>
      <c r="Y17" s="456"/>
      <c r="Z17" s="456"/>
      <c r="AA17" s="11">
        <f t="shared" si="2"/>
        <v>-162.30769230769306</v>
      </c>
      <c r="AB17" s="156">
        <f t="shared" si="19"/>
        <v>0.89179487179487127</v>
      </c>
      <c r="AC17" s="470"/>
    </row>
    <row r="18" spans="1:29" ht="16.5" customHeight="1">
      <c r="A18" s="481" t="s">
        <v>6</v>
      </c>
      <c r="B18" s="165" t="s">
        <v>15</v>
      </c>
      <c r="C18" s="477" t="s">
        <v>17</v>
      </c>
      <c r="D18" s="477"/>
      <c r="E18" s="26">
        <v>39.799999999999997</v>
      </c>
      <c r="F18" s="165">
        <v>2025</v>
      </c>
      <c r="G18" s="155">
        <f t="shared" si="21"/>
        <v>80595</v>
      </c>
      <c r="H18" s="76" t="s">
        <v>57</v>
      </c>
      <c r="I18" s="163">
        <v>18</v>
      </c>
      <c r="J18" s="18">
        <v>1500</v>
      </c>
      <c r="K18" s="9">
        <f t="shared" si="25"/>
        <v>83.333333333333329</v>
      </c>
      <c r="L18" s="163">
        <v>18</v>
      </c>
      <c r="M18" s="10">
        <f t="shared" si="26"/>
        <v>1350</v>
      </c>
      <c r="N18" s="9">
        <f t="shared" si="22"/>
        <v>75</v>
      </c>
      <c r="O18" s="11">
        <f t="shared" si="27"/>
        <v>0</v>
      </c>
      <c r="P18" s="12">
        <f t="shared" si="28"/>
        <v>-8.3333333333333286</v>
      </c>
      <c r="Q18" s="156">
        <f t="shared" si="29"/>
        <v>0.9</v>
      </c>
      <c r="R18" s="470"/>
      <c r="S18" s="24">
        <v>0.59374999999999989</v>
      </c>
      <c r="T18" s="24">
        <v>0.65624999999999989</v>
      </c>
      <c r="U18" s="155">
        <f t="shared" si="30"/>
        <v>116.9999999999999</v>
      </c>
      <c r="V18" s="164">
        <f t="shared" si="31"/>
        <v>90</v>
      </c>
      <c r="W18" s="14"/>
      <c r="X18" s="14"/>
      <c r="Y18" s="456"/>
      <c r="Z18" s="456"/>
      <c r="AA18" s="11">
        <f t="shared" si="2"/>
        <v>-150</v>
      </c>
      <c r="AB18" s="156">
        <f t="shared" si="19"/>
        <v>0.9</v>
      </c>
      <c r="AC18" s="470"/>
    </row>
    <row r="19" spans="1:29" ht="16.5" customHeight="1">
      <c r="A19" s="481" t="s">
        <v>6</v>
      </c>
      <c r="B19" s="165" t="s">
        <v>13</v>
      </c>
      <c r="C19" s="477" t="s">
        <v>63</v>
      </c>
      <c r="D19" s="477"/>
      <c r="E19" s="26">
        <v>50.98</v>
      </c>
      <c r="F19" s="165">
        <v>2799</v>
      </c>
      <c r="G19" s="155">
        <f t="shared" si="21"/>
        <v>142693.01999999999</v>
      </c>
      <c r="H19" s="76" t="s">
        <v>57</v>
      </c>
      <c r="I19" s="163">
        <v>17</v>
      </c>
      <c r="J19" s="18">
        <v>1800</v>
      </c>
      <c r="K19" s="9">
        <f t="shared" si="25"/>
        <v>105.88235294117646</v>
      </c>
      <c r="L19" s="163">
        <v>17</v>
      </c>
      <c r="M19" s="10">
        <f t="shared" si="26"/>
        <v>1614.8076923076933</v>
      </c>
      <c r="N19" s="9">
        <f t="shared" si="22"/>
        <v>94.988687782805485</v>
      </c>
      <c r="O19" s="11">
        <f t="shared" si="27"/>
        <v>0</v>
      </c>
      <c r="P19" s="12">
        <f t="shared" si="28"/>
        <v>-10.893665158370979</v>
      </c>
      <c r="Q19" s="156">
        <f t="shared" si="29"/>
        <v>0.8971153846153852</v>
      </c>
      <c r="R19" s="470"/>
      <c r="S19" s="24">
        <v>0.70833333333333337</v>
      </c>
      <c r="T19" s="24">
        <v>0.78055555555555556</v>
      </c>
      <c r="U19" s="155">
        <f t="shared" si="30"/>
        <v>75.000000000000213</v>
      </c>
      <c r="V19" s="164">
        <f t="shared" si="31"/>
        <v>103.99999999999994</v>
      </c>
      <c r="W19" s="14"/>
      <c r="X19" s="14"/>
      <c r="Y19" s="456"/>
      <c r="Z19" s="456"/>
      <c r="AA19" s="11">
        <f t="shared" si="2"/>
        <v>-185.19230769230671</v>
      </c>
      <c r="AB19" s="156">
        <f t="shared" si="19"/>
        <v>0.8971153846153852</v>
      </c>
      <c r="AC19" s="470"/>
    </row>
    <row r="20" spans="1:29" ht="16.5" customHeight="1">
      <c r="A20" s="481" t="s">
        <v>6</v>
      </c>
      <c r="B20" s="165" t="s">
        <v>13</v>
      </c>
      <c r="C20" s="482" t="s">
        <v>66</v>
      </c>
      <c r="D20" s="483"/>
      <c r="E20" s="26">
        <v>57.73</v>
      </c>
      <c r="F20" s="165">
        <v>1859</v>
      </c>
      <c r="G20" s="155">
        <f t="shared" si="21"/>
        <v>107320.06999999999</v>
      </c>
      <c r="H20" s="76" t="s">
        <v>57</v>
      </c>
      <c r="I20" s="163">
        <v>16</v>
      </c>
      <c r="J20" s="18">
        <v>1500</v>
      </c>
      <c r="K20" s="9">
        <f t="shared" si="25"/>
        <v>93.75</v>
      </c>
      <c r="L20" s="163">
        <v>16</v>
      </c>
      <c r="M20" s="10">
        <f>F20/V20*60</f>
        <v>1343.8554216867465</v>
      </c>
      <c r="N20" s="9">
        <f t="shared" si="22"/>
        <v>83.990963855421654</v>
      </c>
      <c r="O20" s="11">
        <f t="shared" si="27"/>
        <v>0</v>
      </c>
      <c r="P20" s="12">
        <f t="shared" si="28"/>
        <v>-9.7590361445783458</v>
      </c>
      <c r="Q20" s="156">
        <f t="shared" si="29"/>
        <v>0.89590361445783095</v>
      </c>
      <c r="R20" s="470"/>
      <c r="S20" s="24">
        <v>0.78541666666666665</v>
      </c>
      <c r="T20" s="24">
        <v>0.84305555555555556</v>
      </c>
      <c r="U20" s="155">
        <f t="shared" si="30"/>
        <v>6.9999999999999751</v>
      </c>
      <c r="V20" s="164">
        <f t="shared" si="31"/>
        <v>83.000000000000028</v>
      </c>
      <c r="W20" s="14"/>
      <c r="X20" s="14"/>
      <c r="Y20" s="473"/>
      <c r="Z20" s="474"/>
      <c r="AA20" s="11">
        <f t="shared" si="2"/>
        <v>-156.14457831325353</v>
      </c>
      <c r="AB20" s="156">
        <f t="shared" si="19"/>
        <v>0.89590361445783095</v>
      </c>
      <c r="AC20" s="470"/>
    </row>
    <row r="21" spans="1:29" ht="16.5" customHeight="1">
      <c r="A21" s="481" t="s">
        <v>6</v>
      </c>
      <c r="B21" s="26" t="s">
        <v>81</v>
      </c>
      <c r="C21" s="466"/>
      <c r="D21" s="466"/>
      <c r="E21" s="157"/>
      <c r="F21" s="16"/>
      <c r="G21" s="9"/>
      <c r="H21" s="165"/>
      <c r="I21" s="17">
        <v>18.666666666666668</v>
      </c>
      <c r="J21" s="18">
        <v>1514.3333333333333</v>
      </c>
      <c r="K21" s="9">
        <f>J21/I21</f>
        <v>81.124999999999986</v>
      </c>
      <c r="L21" s="17">
        <v>18.666666666666668</v>
      </c>
      <c r="M21" s="10">
        <f>AVERAGE(M15:M20)</f>
        <v>1357.4005201896653</v>
      </c>
      <c r="N21" s="9">
        <f t="shared" si="22"/>
        <v>72.717885010160629</v>
      </c>
      <c r="O21" s="11">
        <f>L21-I21</f>
        <v>0</v>
      </c>
      <c r="P21" s="12">
        <f>N21-K21</f>
        <v>-8.4071149898393571</v>
      </c>
      <c r="Q21" s="156">
        <f t="shared" si="29"/>
        <v>0.89636838225159499</v>
      </c>
      <c r="R21" s="470"/>
      <c r="S21" s="24"/>
      <c r="T21" s="24"/>
      <c r="U21" s="155"/>
      <c r="V21" s="164"/>
      <c r="W21" s="9"/>
      <c r="X21" s="9"/>
      <c r="Y21" s="456"/>
      <c r="Z21" s="456"/>
      <c r="AA21" s="11">
        <f t="shared" si="2"/>
        <v>-156.932813143668</v>
      </c>
      <c r="AB21" s="156">
        <f t="shared" si="19"/>
        <v>0.89636838225159499</v>
      </c>
      <c r="AC21" s="470"/>
    </row>
    <row r="22" spans="1:29" ht="15.75" customHeight="1">
      <c r="A22" s="478" t="s">
        <v>240</v>
      </c>
      <c r="B22" s="26" t="s">
        <v>21</v>
      </c>
      <c r="C22" s="477" t="s">
        <v>22</v>
      </c>
      <c r="D22" s="477"/>
      <c r="E22" s="26">
        <v>43.14</v>
      </c>
      <c r="F22" s="165">
        <v>1373</v>
      </c>
      <c r="G22" s="155">
        <f t="shared" ref="G22:G29" si="32">E22*F22</f>
        <v>59231.22</v>
      </c>
      <c r="H22" s="76" t="s">
        <v>57</v>
      </c>
      <c r="I22" s="163">
        <v>17</v>
      </c>
      <c r="J22" s="18">
        <v>1200</v>
      </c>
      <c r="K22" s="9">
        <f t="shared" ref="K22:K30" si="33">J22/I22</f>
        <v>70.588235294117652</v>
      </c>
      <c r="L22" s="163">
        <v>17</v>
      </c>
      <c r="M22" s="10">
        <f t="shared" ref="M22:M29" si="34">F22/V22*60</f>
        <v>1069.8701298701292</v>
      </c>
      <c r="N22" s="9">
        <f t="shared" si="22"/>
        <v>62.933537051184068</v>
      </c>
      <c r="O22" s="11">
        <f t="shared" ref="O22:O29" si="35">L22-I22</f>
        <v>0</v>
      </c>
      <c r="P22" s="12">
        <f t="shared" ref="P22:P29" si="36">N22-K22</f>
        <v>-7.6546982429335841</v>
      </c>
      <c r="Q22" s="156">
        <f t="shared" si="29"/>
        <v>0.89155844155844088</v>
      </c>
      <c r="R22" s="470">
        <f>Q30</f>
        <v>0.90273608109029124</v>
      </c>
      <c r="S22" s="24">
        <v>0.25</v>
      </c>
      <c r="T22" s="24">
        <v>0.30347222222222225</v>
      </c>
      <c r="U22" s="155"/>
      <c r="V22" s="164">
        <f>(T22-S22)*24*60</f>
        <v>77.000000000000043</v>
      </c>
      <c r="W22" s="15"/>
      <c r="X22" s="15"/>
      <c r="Y22" s="456"/>
      <c r="Z22" s="456"/>
      <c r="AA22" s="11">
        <f t="shared" si="2"/>
        <v>-130.12987012987082</v>
      </c>
      <c r="AB22" s="156">
        <f t="shared" si="19"/>
        <v>0.89155844155844099</v>
      </c>
      <c r="AC22" s="470">
        <f>AB30</f>
        <v>0.90273608109029135</v>
      </c>
    </row>
    <row r="23" spans="1:29" ht="15.75" customHeight="1">
      <c r="A23" s="479" t="s">
        <v>7</v>
      </c>
      <c r="B23" s="26" t="s">
        <v>13</v>
      </c>
      <c r="C23" s="477" t="s">
        <v>23</v>
      </c>
      <c r="D23" s="477"/>
      <c r="E23" s="26">
        <v>57.73</v>
      </c>
      <c r="F23" s="165">
        <v>2898</v>
      </c>
      <c r="G23" s="155">
        <f t="shared" si="32"/>
        <v>167301.53999999998</v>
      </c>
      <c r="H23" s="76" t="s">
        <v>57</v>
      </c>
      <c r="I23" s="163">
        <v>16</v>
      </c>
      <c r="J23" s="18">
        <v>1800</v>
      </c>
      <c r="K23" s="9">
        <f t="shared" si="33"/>
        <v>112.5</v>
      </c>
      <c r="L23" s="163">
        <v>16</v>
      </c>
      <c r="M23" s="10">
        <f t="shared" si="34"/>
        <v>1609.9999999999998</v>
      </c>
      <c r="N23" s="9">
        <f t="shared" si="22"/>
        <v>100.62499999999999</v>
      </c>
      <c r="O23" s="11">
        <f t="shared" si="35"/>
        <v>0</v>
      </c>
      <c r="P23" s="12">
        <f t="shared" si="36"/>
        <v>-11.875000000000014</v>
      </c>
      <c r="Q23" s="156">
        <f t="shared" si="29"/>
        <v>0.89444444444444426</v>
      </c>
      <c r="R23" s="470"/>
      <c r="S23" s="24">
        <v>0.30763888888888891</v>
      </c>
      <c r="T23" s="24">
        <v>0.38263888888888892</v>
      </c>
      <c r="U23" s="155">
        <f>(S23-T22)*24*60</f>
        <v>5.9999999999999787</v>
      </c>
      <c r="V23" s="164">
        <f t="shared" ref="V23:V29" si="37">(T23-S23)*24*60</f>
        <v>108.00000000000001</v>
      </c>
      <c r="W23" s="14"/>
      <c r="X23" s="155"/>
      <c r="Y23" s="456"/>
      <c r="Z23" s="456"/>
      <c r="AA23" s="11">
        <f t="shared" si="2"/>
        <v>-190.00000000000023</v>
      </c>
      <c r="AB23" s="156">
        <f t="shared" si="19"/>
        <v>0.89444444444444426</v>
      </c>
      <c r="AC23" s="470"/>
    </row>
    <row r="24" spans="1:29" ht="15.75" customHeight="1">
      <c r="A24" s="479" t="s">
        <v>7</v>
      </c>
      <c r="B24" s="26" t="s">
        <v>13</v>
      </c>
      <c r="C24" s="477" t="s">
        <v>14</v>
      </c>
      <c r="D24" s="477"/>
      <c r="E24" s="26">
        <v>53.68</v>
      </c>
      <c r="F24" s="165">
        <v>2126</v>
      </c>
      <c r="G24" s="155">
        <f t="shared" si="32"/>
        <v>114123.68</v>
      </c>
      <c r="H24" s="76" t="s">
        <v>57</v>
      </c>
      <c r="I24" s="163">
        <v>17</v>
      </c>
      <c r="J24" s="18">
        <v>1800</v>
      </c>
      <c r="K24" s="9">
        <f t="shared" si="33"/>
        <v>105.88235294117646</v>
      </c>
      <c r="L24" s="163">
        <v>17</v>
      </c>
      <c r="M24" s="10">
        <f t="shared" si="34"/>
        <v>1614.6835443037985</v>
      </c>
      <c r="N24" s="9">
        <f t="shared" si="22"/>
        <v>94.981384959046977</v>
      </c>
      <c r="O24" s="11">
        <f t="shared" si="35"/>
        <v>0</v>
      </c>
      <c r="P24" s="12">
        <f t="shared" si="36"/>
        <v>-10.900967982129487</v>
      </c>
      <c r="Q24" s="156">
        <f t="shared" si="29"/>
        <v>0.89704641350211045</v>
      </c>
      <c r="R24" s="470"/>
      <c r="S24" s="24">
        <v>0.38819444444444445</v>
      </c>
      <c r="T24" s="24">
        <v>0.44305555555555554</v>
      </c>
      <c r="U24" s="155">
        <f t="shared" ref="U24:U29" si="38">(S24-T23)*24*60</f>
        <v>7.9999999999999716</v>
      </c>
      <c r="V24" s="164">
        <f t="shared" si="37"/>
        <v>78.999999999999957</v>
      </c>
      <c r="W24" s="14"/>
      <c r="X24" s="155"/>
      <c r="Y24" s="456"/>
      <c r="Z24" s="456"/>
      <c r="AA24" s="11">
        <f t="shared" si="2"/>
        <v>-185.3164556962015</v>
      </c>
      <c r="AB24" s="156">
        <f t="shared" si="19"/>
        <v>0.89704641350211023</v>
      </c>
      <c r="AC24" s="470"/>
    </row>
    <row r="25" spans="1:29" ht="15.75" customHeight="1">
      <c r="A25" s="479" t="s">
        <v>7</v>
      </c>
      <c r="B25" s="26" t="s">
        <v>13</v>
      </c>
      <c r="C25" s="477" t="s">
        <v>72</v>
      </c>
      <c r="D25" s="477"/>
      <c r="E25" s="26">
        <v>50.67</v>
      </c>
      <c r="F25" s="165">
        <v>1377</v>
      </c>
      <c r="G25" s="155">
        <f t="shared" si="32"/>
        <v>69772.59</v>
      </c>
      <c r="H25" s="76" t="s">
        <v>57</v>
      </c>
      <c r="I25" s="163">
        <v>16</v>
      </c>
      <c r="J25" s="18">
        <v>1800</v>
      </c>
      <c r="K25" s="9">
        <f t="shared" si="33"/>
        <v>112.5</v>
      </c>
      <c r="L25" s="163">
        <v>16</v>
      </c>
      <c r="M25" s="10">
        <f t="shared" si="34"/>
        <v>1620.0000000000007</v>
      </c>
      <c r="N25" s="9">
        <f t="shared" si="22"/>
        <v>101.25000000000004</v>
      </c>
      <c r="O25" s="11">
        <f t="shared" si="35"/>
        <v>0</v>
      </c>
      <c r="P25" s="12">
        <f t="shared" si="36"/>
        <v>-11.249999999999957</v>
      </c>
      <c r="Q25" s="156">
        <f t="shared" si="29"/>
        <v>0.90000000000000036</v>
      </c>
      <c r="R25" s="470"/>
      <c r="S25" s="24">
        <v>0.44791666666666663</v>
      </c>
      <c r="T25" s="24">
        <v>0.48333333333333328</v>
      </c>
      <c r="U25" s="155">
        <f t="shared" si="38"/>
        <v>6.9999999999999751</v>
      </c>
      <c r="V25" s="164">
        <f t="shared" si="37"/>
        <v>50.999999999999979</v>
      </c>
      <c r="W25" s="14"/>
      <c r="X25" s="155"/>
      <c r="Y25" s="456"/>
      <c r="Z25" s="456"/>
      <c r="AA25" s="11">
        <f t="shared" si="2"/>
        <v>-179.99999999999932</v>
      </c>
      <c r="AB25" s="156">
        <f t="shared" si="19"/>
        <v>0.90000000000000036</v>
      </c>
      <c r="AC25" s="470"/>
    </row>
    <row r="26" spans="1:29" ht="15.75" customHeight="1">
      <c r="A26" s="479" t="s">
        <v>7</v>
      </c>
      <c r="B26" s="26" t="s">
        <v>13</v>
      </c>
      <c r="C26" s="477" t="s">
        <v>59</v>
      </c>
      <c r="D26" s="477"/>
      <c r="E26" s="26">
        <v>50.92</v>
      </c>
      <c r="F26" s="165">
        <v>3146</v>
      </c>
      <c r="G26" s="155">
        <f t="shared" si="32"/>
        <v>160194.32</v>
      </c>
      <c r="H26" s="76" t="s">
        <v>57</v>
      </c>
      <c r="I26" s="163">
        <v>16</v>
      </c>
      <c r="J26" s="18">
        <v>1800</v>
      </c>
      <c r="K26" s="9">
        <f t="shared" si="33"/>
        <v>112.5</v>
      </c>
      <c r="L26" s="163">
        <v>16</v>
      </c>
      <c r="M26" s="10">
        <f t="shared" si="34"/>
        <v>1613.3333333333326</v>
      </c>
      <c r="N26" s="9">
        <f t="shared" si="22"/>
        <v>100.83333333333329</v>
      </c>
      <c r="O26" s="11">
        <f t="shared" si="35"/>
        <v>0</v>
      </c>
      <c r="P26" s="12">
        <f t="shared" si="36"/>
        <v>-11.666666666666714</v>
      </c>
      <c r="Q26" s="156">
        <f t="shared" si="29"/>
        <v>0.89629629629629592</v>
      </c>
      <c r="R26" s="470"/>
      <c r="S26" s="24">
        <v>0.70833333333333337</v>
      </c>
      <c r="T26" s="24">
        <v>0.78958333333333341</v>
      </c>
      <c r="U26" s="155">
        <f t="shared" si="38"/>
        <v>324.00000000000011</v>
      </c>
      <c r="V26" s="164">
        <f t="shared" si="37"/>
        <v>117.00000000000006</v>
      </c>
      <c r="W26" s="14"/>
      <c r="X26" s="155"/>
      <c r="Y26" s="456"/>
      <c r="Z26" s="456"/>
      <c r="AA26" s="11">
        <f t="shared" si="2"/>
        <v>-186.66666666666742</v>
      </c>
      <c r="AB26" s="156">
        <f t="shared" si="19"/>
        <v>0.89629629629629592</v>
      </c>
      <c r="AC26" s="470"/>
    </row>
    <row r="27" spans="1:29" ht="15.75" customHeight="1">
      <c r="A27" s="479" t="s">
        <v>7</v>
      </c>
      <c r="B27" s="26" t="s">
        <v>13</v>
      </c>
      <c r="C27" s="477" t="s">
        <v>62</v>
      </c>
      <c r="D27" s="477"/>
      <c r="E27" s="26">
        <v>53.27</v>
      </c>
      <c r="F27" s="165">
        <v>734</v>
      </c>
      <c r="G27" s="155">
        <f t="shared" si="32"/>
        <v>39100.18</v>
      </c>
      <c r="H27" s="76" t="s">
        <v>57</v>
      </c>
      <c r="I27" s="163">
        <v>15</v>
      </c>
      <c r="J27" s="18">
        <v>1800</v>
      </c>
      <c r="K27" s="9">
        <f t="shared" si="33"/>
        <v>120</v>
      </c>
      <c r="L27" s="163">
        <v>15</v>
      </c>
      <c r="M27" s="10">
        <f t="shared" si="34"/>
        <v>1631.1111111111072</v>
      </c>
      <c r="N27" s="9">
        <f t="shared" si="22"/>
        <v>108.74074074074048</v>
      </c>
      <c r="O27" s="11">
        <f t="shared" si="35"/>
        <v>0</v>
      </c>
      <c r="P27" s="12">
        <f t="shared" si="36"/>
        <v>-11.259259259259522</v>
      </c>
      <c r="Q27" s="156">
        <f t="shared" si="29"/>
        <v>0.90617283950617067</v>
      </c>
      <c r="R27" s="470"/>
      <c r="S27" s="24">
        <v>0.79513888888888895</v>
      </c>
      <c r="T27" s="24">
        <v>0.81388888888888899</v>
      </c>
      <c r="U27" s="155">
        <f t="shared" si="38"/>
        <v>7.9999999999999716</v>
      </c>
      <c r="V27" s="164">
        <f t="shared" si="37"/>
        <v>27.000000000000064</v>
      </c>
      <c r="W27" s="14"/>
      <c r="X27" s="15"/>
      <c r="Y27" s="456"/>
      <c r="Z27" s="456"/>
      <c r="AA27" s="11">
        <f t="shared" si="2"/>
        <v>-168.88888888889278</v>
      </c>
      <c r="AB27" s="156">
        <f t="shared" si="19"/>
        <v>0.90617283950617067</v>
      </c>
      <c r="AC27" s="470"/>
    </row>
    <row r="28" spans="1:29" ht="15.75" customHeight="1">
      <c r="A28" s="479" t="s">
        <v>7</v>
      </c>
      <c r="B28" s="26" t="s">
        <v>13</v>
      </c>
      <c r="C28" s="477" t="s">
        <v>61</v>
      </c>
      <c r="D28" s="477"/>
      <c r="E28" s="26">
        <v>49.91</v>
      </c>
      <c r="F28" s="165">
        <v>639</v>
      </c>
      <c r="G28" s="155">
        <f t="shared" si="32"/>
        <v>31892.489999999998</v>
      </c>
      <c r="H28" s="76" t="s">
        <v>57</v>
      </c>
      <c r="I28" s="163">
        <v>15</v>
      </c>
      <c r="J28" s="18">
        <v>1800</v>
      </c>
      <c r="K28" s="9">
        <f t="shared" si="33"/>
        <v>120</v>
      </c>
      <c r="L28" s="163">
        <v>15</v>
      </c>
      <c r="M28" s="10">
        <f t="shared" si="34"/>
        <v>1666.9565217391248</v>
      </c>
      <c r="N28" s="9">
        <f t="shared" si="22"/>
        <v>111.13043478260832</v>
      </c>
      <c r="O28" s="11">
        <f t="shared" si="35"/>
        <v>0</v>
      </c>
      <c r="P28" s="12">
        <f t="shared" si="36"/>
        <v>-8.8695652173916812</v>
      </c>
      <c r="Q28" s="156">
        <f t="shared" si="29"/>
        <v>0.926086956521736</v>
      </c>
      <c r="R28" s="470"/>
      <c r="S28" s="24">
        <v>0.81875000000000009</v>
      </c>
      <c r="T28" s="24">
        <v>0.83472222222222237</v>
      </c>
      <c r="U28" s="155">
        <f t="shared" si="38"/>
        <v>6.9999999999999751</v>
      </c>
      <c r="V28" s="164">
        <f t="shared" si="37"/>
        <v>23.000000000000078</v>
      </c>
      <c r="W28" s="14"/>
      <c r="X28" s="15"/>
      <c r="Y28" s="473"/>
      <c r="Z28" s="474"/>
      <c r="AA28" s="11">
        <f t="shared" si="2"/>
        <v>-133.04347826087519</v>
      </c>
      <c r="AB28" s="156">
        <f t="shared" si="19"/>
        <v>0.926086956521736</v>
      </c>
      <c r="AC28" s="470"/>
    </row>
    <row r="29" spans="1:29" ht="15.75" customHeight="1">
      <c r="A29" s="479" t="s">
        <v>7</v>
      </c>
      <c r="B29" s="26" t="s">
        <v>13</v>
      </c>
      <c r="C29" s="482" t="s">
        <v>448</v>
      </c>
      <c r="D29" s="483"/>
      <c r="E29" s="26">
        <v>48.36</v>
      </c>
      <c r="F29" s="165">
        <v>1659</v>
      </c>
      <c r="G29" s="155">
        <f t="shared" si="32"/>
        <v>80229.240000000005</v>
      </c>
      <c r="H29" s="76" t="s">
        <v>57</v>
      </c>
      <c r="I29" s="163">
        <v>18</v>
      </c>
      <c r="J29" s="18">
        <v>1800</v>
      </c>
      <c r="K29" s="9">
        <f t="shared" si="33"/>
        <v>100</v>
      </c>
      <c r="L29" s="163">
        <v>18</v>
      </c>
      <c r="M29" s="10">
        <f t="shared" si="34"/>
        <v>1631.8032786885262</v>
      </c>
      <c r="N29" s="9">
        <f t="shared" si="22"/>
        <v>90.655737704918124</v>
      </c>
      <c r="O29" s="11">
        <f t="shared" si="35"/>
        <v>0</v>
      </c>
      <c r="P29" s="12">
        <f t="shared" si="36"/>
        <v>-9.3442622950818759</v>
      </c>
      <c r="Q29" s="156">
        <f t="shared" si="29"/>
        <v>0.90655737704918127</v>
      </c>
      <c r="R29" s="470"/>
      <c r="S29" s="24">
        <v>0.87291666666666679</v>
      </c>
      <c r="T29" s="24">
        <v>0.91527777777777786</v>
      </c>
      <c r="U29" s="155">
        <f t="shared" si="38"/>
        <v>54.999999999999964</v>
      </c>
      <c r="V29" s="164">
        <f t="shared" si="37"/>
        <v>60.999999999999943</v>
      </c>
      <c r="W29" s="14"/>
      <c r="X29" s="14"/>
      <c r="Y29" s="473"/>
      <c r="Z29" s="474"/>
      <c r="AA29" s="11">
        <f t="shared" si="2"/>
        <v>-168.19672131147377</v>
      </c>
      <c r="AB29" s="156">
        <f t="shared" si="19"/>
        <v>0.90655737704918127</v>
      </c>
      <c r="AC29" s="470"/>
    </row>
    <row r="30" spans="1:29" ht="15.75" customHeight="1">
      <c r="A30" s="479" t="s">
        <v>7</v>
      </c>
      <c r="B30" s="26" t="s">
        <v>81</v>
      </c>
      <c r="C30" s="466"/>
      <c r="D30" s="466"/>
      <c r="E30" s="157"/>
      <c r="F30" s="165"/>
      <c r="G30" s="155"/>
      <c r="H30" s="165"/>
      <c r="I30" s="17">
        <v>16.25</v>
      </c>
      <c r="J30" s="18">
        <v>1725</v>
      </c>
      <c r="K30" s="9">
        <f t="shared" si="33"/>
        <v>106.15384615384616</v>
      </c>
      <c r="L30" s="17">
        <v>16.25</v>
      </c>
      <c r="M30" s="10">
        <f>AVERAGE(M22:M29)</f>
        <v>1557.2197398807525</v>
      </c>
      <c r="N30" s="9">
        <f>M30/L30</f>
        <v>95.828907069584773</v>
      </c>
      <c r="O30" s="11">
        <f>L30-I30</f>
        <v>0</v>
      </c>
      <c r="P30" s="12">
        <f>N30-K30</f>
        <v>-10.324939084261388</v>
      </c>
      <c r="Q30" s="156">
        <f>N30/K30</f>
        <v>0.90273608109029124</v>
      </c>
      <c r="R30" s="470"/>
      <c r="S30" s="24"/>
      <c r="T30" s="24"/>
      <c r="U30" s="9"/>
      <c r="V30" s="164"/>
      <c r="W30" s="9"/>
      <c r="X30" s="9"/>
      <c r="Y30" s="456"/>
      <c r="Z30" s="456"/>
      <c r="AA30" s="11">
        <f t="shared" si="2"/>
        <v>-167.78026011924749</v>
      </c>
      <c r="AB30" s="156">
        <f t="shared" si="19"/>
        <v>0.90273608109029135</v>
      </c>
      <c r="AC30" s="470"/>
    </row>
    <row r="31" spans="1:29" ht="15.75" customHeight="1">
      <c r="A31" s="484" t="s">
        <v>241</v>
      </c>
      <c r="B31" s="26" t="s">
        <v>24</v>
      </c>
      <c r="C31" s="477" t="s">
        <v>25</v>
      </c>
      <c r="D31" s="477"/>
      <c r="E31" s="26">
        <v>20.52</v>
      </c>
      <c r="F31" s="165">
        <v>3000</v>
      </c>
      <c r="G31" s="155">
        <f t="shared" ref="G31:G39" si="39">E31*F31</f>
        <v>61560</v>
      </c>
      <c r="H31" s="76">
        <v>2</v>
      </c>
      <c r="I31" s="163">
        <v>22</v>
      </c>
      <c r="J31" s="18">
        <v>2400</v>
      </c>
      <c r="K31" s="9">
        <f>J31/I31</f>
        <v>109.09090909090909</v>
      </c>
      <c r="L31" s="163">
        <v>22</v>
      </c>
      <c r="M31" s="10">
        <f t="shared" ref="M31:M39" si="40">F31/V31*60</f>
        <v>2142.8571428571431</v>
      </c>
      <c r="N31" s="9">
        <f t="shared" ref="N31:N39" si="41">M31/L31</f>
        <v>97.402597402597408</v>
      </c>
      <c r="O31" s="11">
        <f t="shared" ref="O31:O39" si="42">L31-I31</f>
        <v>0</v>
      </c>
      <c r="P31" s="12">
        <f t="shared" ref="P31:P39" si="43">N31-K31</f>
        <v>-11.688311688311686</v>
      </c>
      <c r="Q31" s="156">
        <f t="shared" ref="Q31:Q39" si="44">N31/K31</f>
        <v>0.8928571428571429</v>
      </c>
      <c r="R31" s="470">
        <f>Q40</f>
        <v>0.89395117005064784</v>
      </c>
      <c r="S31" s="24">
        <v>8.3333333333333329E-2</v>
      </c>
      <c r="T31" s="24">
        <v>0.14166666666666666</v>
      </c>
      <c r="U31" s="155"/>
      <c r="V31" s="164">
        <f t="shared" ref="V31:V39" si="45">(T31-S31)*24*60</f>
        <v>84</v>
      </c>
      <c r="W31" s="14"/>
      <c r="X31" s="14"/>
      <c r="Y31" s="456"/>
      <c r="Z31" s="456"/>
      <c r="AA31" s="11">
        <f t="shared" si="2"/>
        <v>-257.14285714285688</v>
      </c>
      <c r="AB31" s="156">
        <f>M31/J31</f>
        <v>0.89285714285714302</v>
      </c>
      <c r="AC31" s="470">
        <f>AB40</f>
        <v>0.89395117005064773</v>
      </c>
    </row>
    <row r="32" spans="1:29" ht="15.75" customHeight="1">
      <c r="A32" s="484" t="s">
        <v>8</v>
      </c>
      <c r="B32" s="26" t="s">
        <v>24</v>
      </c>
      <c r="C32" s="477" t="s">
        <v>26</v>
      </c>
      <c r="D32" s="477"/>
      <c r="E32" s="26">
        <v>26.2</v>
      </c>
      <c r="F32" s="165">
        <v>3300</v>
      </c>
      <c r="G32" s="155">
        <f t="shared" si="39"/>
        <v>86460</v>
      </c>
      <c r="H32" s="76">
        <v>2</v>
      </c>
      <c r="I32" s="163">
        <v>24</v>
      </c>
      <c r="J32" s="18">
        <v>2400</v>
      </c>
      <c r="K32" s="9">
        <f t="shared" ref="K32:K40" si="46">J32/I32</f>
        <v>100</v>
      </c>
      <c r="L32" s="163">
        <v>24</v>
      </c>
      <c r="M32" s="10">
        <f t="shared" si="40"/>
        <v>2152.1739130434776</v>
      </c>
      <c r="N32" s="9">
        <f t="shared" si="41"/>
        <v>89.673913043478237</v>
      </c>
      <c r="O32" s="11">
        <f t="shared" si="42"/>
        <v>0</v>
      </c>
      <c r="P32" s="12">
        <f t="shared" si="43"/>
        <v>-10.326086956521763</v>
      </c>
      <c r="Q32" s="156">
        <f t="shared" si="44"/>
        <v>0.89673913043478237</v>
      </c>
      <c r="R32" s="470"/>
      <c r="S32" s="24">
        <v>0.16180555555555556</v>
      </c>
      <c r="T32" s="24">
        <v>0.22569444444444448</v>
      </c>
      <c r="U32" s="155">
        <f>(S32-T31)*24*60</f>
        <v>29.000000000000018</v>
      </c>
      <c r="V32" s="164">
        <f t="shared" si="45"/>
        <v>92.000000000000028</v>
      </c>
      <c r="W32" s="14"/>
      <c r="X32" s="14"/>
      <c r="Y32" s="456"/>
      <c r="Z32" s="456"/>
      <c r="AA32" s="11">
        <f t="shared" si="2"/>
        <v>-247.82608695652243</v>
      </c>
      <c r="AB32" s="156">
        <f t="shared" ref="AB32:AB39" si="47">M32/J32</f>
        <v>0.89673913043478237</v>
      </c>
      <c r="AC32" s="470"/>
    </row>
    <row r="33" spans="1:29" ht="15.75" customHeight="1">
      <c r="A33" s="484" t="s">
        <v>8</v>
      </c>
      <c r="B33" s="26" t="s">
        <v>24</v>
      </c>
      <c r="C33" s="477" t="s">
        <v>55</v>
      </c>
      <c r="D33" s="477"/>
      <c r="E33" s="26">
        <v>26.2</v>
      </c>
      <c r="F33" s="165">
        <v>2000</v>
      </c>
      <c r="G33" s="155">
        <f t="shared" si="39"/>
        <v>52400</v>
      </c>
      <c r="H33" s="76">
        <v>2</v>
      </c>
      <c r="I33" s="163">
        <v>23</v>
      </c>
      <c r="J33" s="18">
        <v>2400</v>
      </c>
      <c r="K33" s="9">
        <f t="shared" si="46"/>
        <v>104.34782608695652</v>
      </c>
      <c r="L33" s="163">
        <v>23</v>
      </c>
      <c r="M33" s="10">
        <f t="shared" si="40"/>
        <v>2142.8571428571431</v>
      </c>
      <c r="N33" s="9">
        <f t="shared" si="41"/>
        <v>93.167701863354054</v>
      </c>
      <c r="O33" s="11">
        <f t="shared" si="42"/>
        <v>0</v>
      </c>
      <c r="P33" s="12">
        <f t="shared" si="43"/>
        <v>-11.180124223602462</v>
      </c>
      <c r="Q33" s="156">
        <f t="shared" si="44"/>
        <v>0.89285714285714302</v>
      </c>
      <c r="R33" s="470"/>
      <c r="S33" s="24">
        <v>0.23125000000000004</v>
      </c>
      <c r="T33" s="24">
        <v>0.27013888888888893</v>
      </c>
      <c r="U33" s="155">
        <f t="shared" ref="U33:U39" si="48">(S33-T32)*24*60</f>
        <v>8.0000000000000107</v>
      </c>
      <c r="V33" s="164">
        <f t="shared" si="45"/>
        <v>56</v>
      </c>
      <c r="W33" s="14"/>
      <c r="X33" s="14"/>
      <c r="Y33" s="456"/>
      <c r="Z33" s="456"/>
      <c r="AA33" s="11">
        <f t="shared" si="2"/>
        <v>-257.14285714285688</v>
      </c>
      <c r="AB33" s="156">
        <f t="shared" si="47"/>
        <v>0.89285714285714302</v>
      </c>
      <c r="AC33" s="470"/>
    </row>
    <row r="34" spans="1:29" ht="15.75" customHeight="1">
      <c r="A34" s="484" t="s">
        <v>8</v>
      </c>
      <c r="B34" s="26" t="s">
        <v>24</v>
      </c>
      <c r="C34" s="477" t="s">
        <v>27</v>
      </c>
      <c r="D34" s="477"/>
      <c r="E34" s="26">
        <v>20.52</v>
      </c>
      <c r="F34" s="165">
        <v>3407</v>
      </c>
      <c r="G34" s="155">
        <f t="shared" si="39"/>
        <v>69911.64</v>
      </c>
      <c r="H34" s="76" t="s">
        <v>57</v>
      </c>
      <c r="I34" s="163">
        <v>22</v>
      </c>
      <c r="J34" s="18">
        <v>2400</v>
      </c>
      <c r="K34" s="9">
        <f t="shared" si="46"/>
        <v>109.09090909090909</v>
      </c>
      <c r="L34" s="163">
        <v>22</v>
      </c>
      <c r="M34" s="10">
        <f t="shared" si="40"/>
        <v>2151.7894736842109</v>
      </c>
      <c r="N34" s="9">
        <f t="shared" si="41"/>
        <v>97.808612440191396</v>
      </c>
      <c r="O34" s="11">
        <f t="shared" si="42"/>
        <v>0</v>
      </c>
      <c r="P34" s="12">
        <f t="shared" si="43"/>
        <v>-11.282296650717697</v>
      </c>
      <c r="Q34" s="156">
        <f t="shared" si="44"/>
        <v>0.89657894736842114</v>
      </c>
      <c r="R34" s="470"/>
      <c r="S34" s="24">
        <v>0.27569444444444446</v>
      </c>
      <c r="T34" s="24">
        <v>0.34166666666666667</v>
      </c>
      <c r="U34" s="155">
        <f t="shared" si="48"/>
        <v>7.9999999999999716</v>
      </c>
      <c r="V34" s="164">
        <f t="shared" si="45"/>
        <v>94.999999999999986</v>
      </c>
      <c r="W34" s="14"/>
      <c r="X34" s="14"/>
      <c r="Y34" s="456"/>
      <c r="Z34" s="456"/>
      <c r="AA34" s="11">
        <f t="shared" si="2"/>
        <v>-248.21052631578914</v>
      </c>
      <c r="AB34" s="156">
        <f t="shared" si="47"/>
        <v>0.89657894736842114</v>
      </c>
      <c r="AC34" s="470"/>
    </row>
    <row r="35" spans="1:29" ht="15.75" customHeight="1">
      <c r="A35" s="484" t="s">
        <v>8</v>
      </c>
      <c r="B35" s="26" t="s">
        <v>24</v>
      </c>
      <c r="C35" s="477" t="s">
        <v>513</v>
      </c>
      <c r="D35" s="477"/>
      <c r="E35" s="26">
        <v>29.94</v>
      </c>
      <c r="F35" s="165">
        <v>6000</v>
      </c>
      <c r="G35" s="155">
        <f t="shared" si="39"/>
        <v>179640</v>
      </c>
      <c r="H35" s="76">
        <v>2</v>
      </c>
      <c r="I35" s="163">
        <v>20</v>
      </c>
      <c r="J35" s="18">
        <v>2400</v>
      </c>
      <c r="K35" s="9">
        <f t="shared" si="46"/>
        <v>120</v>
      </c>
      <c r="L35" s="163">
        <v>20</v>
      </c>
      <c r="M35" s="10">
        <f t="shared" si="40"/>
        <v>2142.8571428571431</v>
      </c>
      <c r="N35" s="9">
        <f t="shared" si="41"/>
        <v>107.14285714285715</v>
      </c>
      <c r="O35" s="11">
        <f t="shared" si="42"/>
        <v>0</v>
      </c>
      <c r="P35" s="12">
        <f t="shared" si="43"/>
        <v>-12.857142857142847</v>
      </c>
      <c r="Q35" s="156">
        <f t="shared" si="44"/>
        <v>0.8928571428571429</v>
      </c>
      <c r="R35" s="470"/>
      <c r="S35" s="24">
        <v>0.34722222222222221</v>
      </c>
      <c r="T35" s="24">
        <v>0.46388888888888885</v>
      </c>
      <c r="U35" s="155">
        <f t="shared" si="48"/>
        <v>7.9999999999999716</v>
      </c>
      <c r="V35" s="164">
        <f t="shared" si="45"/>
        <v>167.99999999999997</v>
      </c>
      <c r="W35" s="14"/>
      <c r="X35" s="14"/>
      <c r="Y35" s="456"/>
      <c r="Z35" s="456"/>
      <c r="AA35" s="11">
        <f t="shared" si="2"/>
        <v>-257.14285714285688</v>
      </c>
      <c r="AB35" s="156">
        <f t="shared" si="47"/>
        <v>0.89285714285714302</v>
      </c>
      <c r="AC35" s="470"/>
    </row>
    <row r="36" spans="1:29" ht="15.75" customHeight="1">
      <c r="A36" s="484" t="s">
        <v>8</v>
      </c>
      <c r="B36" s="26" t="s">
        <v>24</v>
      </c>
      <c r="C36" s="477" t="s">
        <v>84</v>
      </c>
      <c r="D36" s="477"/>
      <c r="E36" s="26">
        <v>24.25</v>
      </c>
      <c r="F36" s="165">
        <v>3000</v>
      </c>
      <c r="G36" s="155">
        <f t="shared" si="39"/>
        <v>72750</v>
      </c>
      <c r="H36" s="76">
        <v>2</v>
      </c>
      <c r="I36" s="163">
        <v>22</v>
      </c>
      <c r="J36" s="18">
        <v>2400</v>
      </c>
      <c r="K36" s="9">
        <f t="shared" si="46"/>
        <v>109.09090909090909</v>
      </c>
      <c r="L36" s="163">
        <v>22</v>
      </c>
      <c r="M36" s="10">
        <f t="shared" si="40"/>
        <v>2142.857142857144</v>
      </c>
      <c r="N36" s="9">
        <f t="shared" si="41"/>
        <v>97.402597402597451</v>
      </c>
      <c r="O36" s="11">
        <f t="shared" si="42"/>
        <v>0</v>
      </c>
      <c r="P36" s="12">
        <f t="shared" si="43"/>
        <v>-11.688311688311643</v>
      </c>
      <c r="Q36" s="156">
        <f t="shared" si="44"/>
        <v>0.89285714285714324</v>
      </c>
      <c r="R36" s="470"/>
      <c r="S36" s="24">
        <v>0.46944444444444439</v>
      </c>
      <c r="T36" s="24">
        <v>0.52777777777777768</v>
      </c>
      <c r="U36" s="155">
        <f t="shared" si="48"/>
        <v>7.9999999999999716</v>
      </c>
      <c r="V36" s="164">
        <f t="shared" si="45"/>
        <v>83.999999999999943</v>
      </c>
      <c r="W36" s="14"/>
      <c r="X36" s="14"/>
      <c r="Y36" s="456"/>
      <c r="Z36" s="456"/>
      <c r="AA36" s="11">
        <f t="shared" si="2"/>
        <v>-257.14285714285597</v>
      </c>
      <c r="AB36" s="156">
        <f t="shared" si="47"/>
        <v>0.89285714285714335</v>
      </c>
      <c r="AC36" s="470"/>
    </row>
    <row r="37" spans="1:29" ht="15.75" customHeight="1">
      <c r="A37" s="484" t="s">
        <v>8</v>
      </c>
      <c r="B37" s="26" t="s">
        <v>24</v>
      </c>
      <c r="C37" s="477" t="s">
        <v>69</v>
      </c>
      <c r="D37" s="477"/>
      <c r="E37" s="26">
        <v>22.35</v>
      </c>
      <c r="F37" s="165">
        <v>3288</v>
      </c>
      <c r="G37" s="155">
        <f t="shared" si="39"/>
        <v>73486.8</v>
      </c>
      <c r="H37" s="76" t="s">
        <v>57</v>
      </c>
      <c r="I37" s="163">
        <v>20</v>
      </c>
      <c r="J37" s="18">
        <v>2400</v>
      </c>
      <c r="K37" s="9">
        <f t="shared" si="46"/>
        <v>120</v>
      </c>
      <c r="L37" s="163">
        <v>20</v>
      </c>
      <c r="M37" s="10">
        <f t="shared" si="40"/>
        <v>2144.3478260869565</v>
      </c>
      <c r="N37" s="9">
        <f t="shared" si="41"/>
        <v>107.21739130434783</v>
      </c>
      <c r="O37" s="11">
        <f t="shared" si="42"/>
        <v>0</v>
      </c>
      <c r="P37" s="12">
        <f t="shared" si="43"/>
        <v>-12.782608695652172</v>
      </c>
      <c r="Q37" s="156">
        <f t="shared" si="44"/>
        <v>0.89347826086956528</v>
      </c>
      <c r="R37" s="470"/>
      <c r="S37" s="24">
        <v>0.53263888888888877</v>
      </c>
      <c r="T37" s="24">
        <v>0.59652777777777766</v>
      </c>
      <c r="U37" s="155">
        <f t="shared" si="48"/>
        <v>6.9999999999999751</v>
      </c>
      <c r="V37" s="164">
        <f t="shared" si="45"/>
        <v>92</v>
      </c>
      <c r="W37" s="14"/>
      <c r="X37" s="14"/>
      <c r="Y37" s="456"/>
      <c r="Z37" s="456"/>
      <c r="AA37" s="11">
        <f t="shared" si="2"/>
        <v>-255.6521739130435</v>
      </c>
      <c r="AB37" s="156">
        <f t="shared" si="47"/>
        <v>0.89347826086956517</v>
      </c>
      <c r="AC37" s="470"/>
    </row>
    <row r="38" spans="1:29" ht="15.75" customHeight="1">
      <c r="A38" s="484" t="s">
        <v>8</v>
      </c>
      <c r="B38" s="26" t="s">
        <v>24</v>
      </c>
      <c r="C38" s="477" t="s">
        <v>55</v>
      </c>
      <c r="D38" s="477"/>
      <c r="E38" s="26">
        <v>26.2</v>
      </c>
      <c r="F38" s="165">
        <v>2360</v>
      </c>
      <c r="G38" s="155">
        <f t="shared" si="39"/>
        <v>61832</v>
      </c>
      <c r="H38" s="76" t="s">
        <v>57</v>
      </c>
      <c r="I38" s="163">
        <v>23</v>
      </c>
      <c r="J38" s="18">
        <v>2400</v>
      </c>
      <c r="K38" s="9">
        <f t="shared" si="46"/>
        <v>104.34782608695652</v>
      </c>
      <c r="L38" s="163">
        <v>23</v>
      </c>
      <c r="M38" s="10">
        <f t="shared" si="40"/>
        <v>2145.4545454545423</v>
      </c>
      <c r="N38" s="9">
        <f t="shared" si="41"/>
        <v>93.28063241106706</v>
      </c>
      <c r="O38" s="11">
        <f t="shared" si="42"/>
        <v>0</v>
      </c>
      <c r="P38" s="12">
        <f t="shared" si="43"/>
        <v>-11.067193675889456</v>
      </c>
      <c r="Q38" s="156">
        <f t="shared" si="44"/>
        <v>0.8939393939393927</v>
      </c>
      <c r="R38" s="470"/>
      <c r="S38" s="24">
        <v>0.59999999999999987</v>
      </c>
      <c r="T38" s="24">
        <v>0.64583333333333326</v>
      </c>
      <c r="U38" s="155">
        <f t="shared" si="48"/>
        <v>4.9999999999999822</v>
      </c>
      <c r="V38" s="164">
        <f t="shared" si="45"/>
        <v>66.000000000000085</v>
      </c>
      <c r="W38" s="14"/>
      <c r="X38" s="14"/>
      <c r="Y38" s="456"/>
      <c r="Z38" s="456"/>
      <c r="AA38" s="11">
        <f t="shared" si="2"/>
        <v>-254.54545454545769</v>
      </c>
      <c r="AB38" s="156">
        <f t="shared" si="47"/>
        <v>0.89393939393939259</v>
      </c>
      <c r="AC38" s="470"/>
    </row>
    <row r="39" spans="1:29" ht="15.75" customHeight="1">
      <c r="A39" s="484" t="s">
        <v>8</v>
      </c>
      <c r="B39" s="26" t="s">
        <v>24</v>
      </c>
      <c r="C39" s="482" t="s">
        <v>26</v>
      </c>
      <c r="D39" s="483"/>
      <c r="E39" s="26">
        <v>26.2</v>
      </c>
      <c r="F39" s="165">
        <v>1894</v>
      </c>
      <c r="G39" s="155">
        <f t="shared" si="39"/>
        <v>49622.799999999996</v>
      </c>
      <c r="H39" s="76" t="s">
        <v>57</v>
      </c>
      <c r="I39" s="163">
        <v>24</v>
      </c>
      <c r="J39" s="18">
        <v>2400</v>
      </c>
      <c r="K39" s="9">
        <f t="shared" si="46"/>
        <v>100</v>
      </c>
      <c r="L39" s="163">
        <v>24</v>
      </c>
      <c r="M39" s="10">
        <f t="shared" si="40"/>
        <v>2144.1509433962274</v>
      </c>
      <c r="N39" s="9">
        <f t="shared" si="41"/>
        <v>89.339622641509479</v>
      </c>
      <c r="O39" s="11">
        <f t="shared" si="42"/>
        <v>0</v>
      </c>
      <c r="P39" s="12">
        <f t="shared" si="43"/>
        <v>-10.660377358490521</v>
      </c>
      <c r="Q39" s="156">
        <f t="shared" si="44"/>
        <v>0.89339622641509475</v>
      </c>
      <c r="R39" s="470"/>
      <c r="S39" s="24">
        <v>0.65069444444444435</v>
      </c>
      <c r="T39" s="24">
        <v>0.68749999999999989</v>
      </c>
      <c r="U39" s="155">
        <f t="shared" si="48"/>
        <v>6.9999999999999751</v>
      </c>
      <c r="V39" s="164">
        <f t="shared" si="45"/>
        <v>52.999999999999972</v>
      </c>
      <c r="W39" s="14"/>
      <c r="X39" s="14"/>
      <c r="Y39" s="473"/>
      <c r="Z39" s="474"/>
      <c r="AA39" s="11">
        <f t="shared" si="2"/>
        <v>-255.84905660377262</v>
      </c>
      <c r="AB39" s="156">
        <f t="shared" si="47"/>
        <v>0.89339622641509475</v>
      </c>
      <c r="AC39" s="470"/>
    </row>
    <row r="40" spans="1:29" ht="15.75" customHeight="1">
      <c r="A40" s="484" t="s">
        <v>8</v>
      </c>
      <c r="B40" s="26" t="s">
        <v>81</v>
      </c>
      <c r="C40" s="466"/>
      <c r="D40" s="466"/>
      <c r="E40" s="157"/>
      <c r="F40" s="165"/>
      <c r="G40" s="155"/>
      <c r="H40" s="165"/>
      <c r="I40" s="17">
        <v>22.222222222222221</v>
      </c>
      <c r="J40" s="18">
        <v>2400</v>
      </c>
      <c r="K40" s="9">
        <f t="shared" si="46"/>
        <v>108</v>
      </c>
      <c r="L40" s="17">
        <v>22.222222222222221</v>
      </c>
      <c r="M40" s="10">
        <f>AVERAGE(M31:M39)</f>
        <v>2145.4828081215546</v>
      </c>
      <c r="N40" s="9">
        <f>M40/L40</f>
        <v>96.546726365469965</v>
      </c>
      <c r="O40" s="11">
        <f>L40-I40</f>
        <v>0</v>
      </c>
      <c r="P40" s="12">
        <f>N40-K40</f>
        <v>-11.453273634530035</v>
      </c>
      <c r="Q40" s="156">
        <f>N40/K40</f>
        <v>0.89395117005064784</v>
      </c>
      <c r="R40" s="470"/>
      <c r="S40" s="24"/>
      <c r="T40" s="24"/>
      <c r="U40" s="155"/>
      <c r="V40" s="164"/>
      <c r="W40" s="155"/>
      <c r="X40" s="155"/>
      <c r="Y40" s="456"/>
      <c r="Z40" s="456"/>
      <c r="AA40" s="11">
        <f t="shared" si="2"/>
        <v>-254.51719187844537</v>
      </c>
      <c r="AB40" s="156">
        <f>M40/J40</f>
        <v>0.89395117005064773</v>
      </c>
      <c r="AC40" s="470"/>
    </row>
    <row r="41" spans="1:29" ht="15.75" customHeight="1">
      <c r="A41" s="485" t="s">
        <v>160</v>
      </c>
      <c r="B41" s="26" t="s">
        <v>24</v>
      </c>
      <c r="C41" s="487" t="s">
        <v>29</v>
      </c>
      <c r="D41" s="487"/>
      <c r="E41" s="26">
        <v>26.2</v>
      </c>
      <c r="F41" s="165">
        <v>6765</v>
      </c>
      <c r="G41" s="155">
        <f t="shared" ref="G41:G47" si="49">E41*F41</f>
        <v>177243</v>
      </c>
      <c r="H41" s="76" t="s">
        <v>57</v>
      </c>
      <c r="I41" s="163">
        <v>18</v>
      </c>
      <c r="J41" s="18">
        <v>2400</v>
      </c>
      <c r="K41" s="9">
        <f>J41/I41</f>
        <v>133.33333333333334</v>
      </c>
      <c r="L41" s="163">
        <v>18</v>
      </c>
      <c r="M41" s="10">
        <f>F41/V41*60</f>
        <v>2147.6190476190477</v>
      </c>
      <c r="N41" s="9">
        <f>M41/L41</f>
        <v>119.31216931216932</v>
      </c>
      <c r="O41" s="11">
        <f t="shared" ref="O41:O47" si="50">L41-I41</f>
        <v>0</v>
      </c>
      <c r="P41" s="12">
        <f t="shared" ref="P41:P60" si="51">N41-K41</f>
        <v>-14.021164021164026</v>
      </c>
      <c r="Q41" s="156">
        <f t="shared" ref="Q41:Q52" si="52">N41/K41</f>
        <v>0.89484126984126977</v>
      </c>
      <c r="R41" s="470">
        <f>Q48</f>
        <v>0.89700201369827826</v>
      </c>
      <c r="S41" s="24">
        <v>0.125</v>
      </c>
      <c r="T41" s="24">
        <v>0.25624999999999998</v>
      </c>
      <c r="U41" s="155"/>
      <c r="V41" s="164">
        <f t="shared" ref="V41:V47" si="53">(T41-S41)*24*60</f>
        <v>188.99999999999997</v>
      </c>
      <c r="W41" s="15"/>
      <c r="X41" s="15"/>
      <c r="Y41" s="456"/>
      <c r="Z41" s="456"/>
      <c r="AA41" s="11">
        <f t="shared" si="2"/>
        <v>-252.38095238095229</v>
      </c>
      <c r="AB41" s="156">
        <f>M41/J41</f>
        <v>0.89484126984126988</v>
      </c>
      <c r="AC41" s="470">
        <f>AB48</f>
        <v>0.89700201369827826</v>
      </c>
    </row>
    <row r="42" spans="1:29" ht="15.75" customHeight="1">
      <c r="A42" s="485" t="s">
        <v>160</v>
      </c>
      <c r="B42" s="26" t="s">
        <v>24</v>
      </c>
      <c r="C42" s="487" t="s">
        <v>31</v>
      </c>
      <c r="D42" s="487"/>
      <c r="E42" s="26">
        <v>24.45</v>
      </c>
      <c r="F42" s="165">
        <v>2656</v>
      </c>
      <c r="G42" s="155">
        <f t="shared" si="49"/>
        <v>64939.199999999997</v>
      </c>
      <c r="H42" s="76" t="s">
        <v>57</v>
      </c>
      <c r="I42" s="163">
        <v>20</v>
      </c>
      <c r="J42" s="18">
        <v>2400</v>
      </c>
      <c r="K42" s="9">
        <f t="shared" ref="K42:K59" si="54">J42/I42</f>
        <v>120</v>
      </c>
      <c r="L42" s="163">
        <v>20</v>
      </c>
      <c r="M42" s="10">
        <f t="shared" ref="M42:M47" si="55">F42/V42*60</f>
        <v>2153.5135135135147</v>
      </c>
      <c r="N42" s="9">
        <f t="shared" ref="N42:N47" si="56">M42/L42</f>
        <v>107.67567567567573</v>
      </c>
      <c r="O42" s="11">
        <f t="shared" si="50"/>
        <v>0</v>
      </c>
      <c r="P42" s="12">
        <f t="shared" si="51"/>
        <v>-12.324324324324266</v>
      </c>
      <c r="Q42" s="156">
        <f t="shared" si="52"/>
        <v>0.89729729729729779</v>
      </c>
      <c r="R42" s="470"/>
      <c r="S42" s="24">
        <v>0.26041666666666663</v>
      </c>
      <c r="T42" s="24">
        <v>0.3118055555555555</v>
      </c>
      <c r="U42" s="155">
        <f>(S42-T41)*24*60</f>
        <v>5.9999999999999787</v>
      </c>
      <c r="V42" s="164">
        <f t="shared" si="53"/>
        <v>73.999999999999972</v>
      </c>
      <c r="W42" s="155"/>
      <c r="X42" s="155"/>
      <c r="Y42" s="456"/>
      <c r="Z42" s="456"/>
      <c r="AA42" s="11">
        <f t="shared" si="2"/>
        <v>-246.48648648648532</v>
      </c>
      <c r="AB42" s="156">
        <f t="shared" ref="AB42:AB71" si="57">M42/J42</f>
        <v>0.89729729729729779</v>
      </c>
      <c r="AC42" s="470"/>
    </row>
    <row r="43" spans="1:29">
      <c r="A43" s="486" t="s">
        <v>160</v>
      </c>
      <c r="B43" s="26" t="s">
        <v>24</v>
      </c>
      <c r="C43" s="487" t="s">
        <v>32</v>
      </c>
      <c r="D43" s="487"/>
      <c r="E43" s="26">
        <v>26.2</v>
      </c>
      <c r="F43" s="165">
        <v>2970</v>
      </c>
      <c r="G43" s="155">
        <f t="shared" si="49"/>
        <v>77814</v>
      </c>
      <c r="H43" s="76" t="s">
        <v>57</v>
      </c>
      <c r="I43" s="163">
        <v>20</v>
      </c>
      <c r="J43" s="18">
        <v>2400</v>
      </c>
      <c r="K43" s="9">
        <f t="shared" si="54"/>
        <v>120</v>
      </c>
      <c r="L43" s="163">
        <v>20</v>
      </c>
      <c r="M43" s="10">
        <f t="shared" si="55"/>
        <v>2146.987951807228</v>
      </c>
      <c r="N43" s="9">
        <f t="shared" si="56"/>
        <v>107.34939759036141</v>
      </c>
      <c r="O43" s="11">
        <f t="shared" si="50"/>
        <v>0</v>
      </c>
      <c r="P43" s="12">
        <f t="shared" si="51"/>
        <v>-12.650602409638594</v>
      </c>
      <c r="Q43" s="156">
        <f t="shared" si="52"/>
        <v>0.89457831325301174</v>
      </c>
      <c r="R43" s="470"/>
      <c r="S43" s="24">
        <v>0.31527777777777771</v>
      </c>
      <c r="T43" s="24">
        <v>0.37291666666666662</v>
      </c>
      <c r="U43" s="155">
        <f t="shared" ref="U43:U47" si="58">(S43-T42)*24*60</f>
        <v>4.9999999999999822</v>
      </c>
      <c r="V43" s="164">
        <f t="shared" si="53"/>
        <v>83.000000000000028</v>
      </c>
      <c r="W43" s="155"/>
      <c r="X43" s="155"/>
      <c r="Y43" s="456"/>
      <c r="Z43" s="456"/>
      <c r="AA43" s="11">
        <f t="shared" si="2"/>
        <v>-253.012048192772</v>
      </c>
      <c r="AB43" s="156">
        <f t="shared" si="57"/>
        <v>0.89457831325301163</v>
      </c>
      <c r="AC43" s="470"/>
    </row>
    <row r="44" spans="1:29">
      <c r="A44" s="486" t="s">
        <v>160</v>
      </c>
      <c r="B44" s="26" t="s">
        <v>24</v>
      </c>
      <c r="C44" s="487" t="s">
        <v>30</v>
      </c>
      <c r="D44" s="487"/>
      <c r="E44" s="26">
        <v>26.39</v>
      </c>
      <c r="F44" s="165">
        <v>5982</v>
      </c>
      <c r="G44" s="155">
        <f t="shared" si="49"/>
        <v>157864.98000000001</v>
      </c>
      <c r="H44" s="76" t="s">
        <v>57</v>
      </c>
      <c r="I44" s="163">
        <v>19</v>
      </c>
      <c r="J44" s="18">
        <v>2400</v>
      </c>
      <c r="K44" s="9">
        <f t="shared" si="54"/>
        <v>126.31578947368421</v>
      </c>
      <c r="L44" s="163">
        <v>19</v>
      </c>
      <c r="M44" s="10">
        <f t="shared" si="55"/>
        <v>2136.4285714285716</v>
      </c>
      <c r="N44" s="9">
        <f t="shared" si="56"/>
        <v>112.4436090225564</v>
      </c>
      <c r="O44" s="11">
        <f t="shared" si="50"/>
        <v>0</v>
      </c>
      <c r="P44" s="12">
        <f t="shared" si="51"/>
        <v>-13.872180451127804</v>
      </c>
      <c r="Q44" s="156">
        <f t="shared" si="52"/>
        <v>0.8901785714285716</v>
      </c>
      <c r="R44" s="470"/>
      <c r="S44" s="24">
        <v>0.37847222222222215</v>
      </c>
      <c r="T44" s="24">
        <v>0.4951388888888888</v>
      </c>
      <c r="U44" s="155">
        <f t="shared" si="58"/>
        <v>7.9999999999999716</v>
      </c>
      <c r="V44" s="164">
        <f t="shared" si="53"/>
        <v>167.99999999999997</v>
      </c>
      <c r="W44" s="14"/>
      <c r="X44" s="14"/>
      <c r="Y44" s="456"/>
      <c r="Z44" s="456"/>
      <c r="AA44" s="11">
        <f t="shared" si="2"/>
        <v>-263.57142857142844</v>
      </c>
      <c r="AB44" s="156">
        <f t="shared" si="57"/>
        <v>0.89017857142857149</v>
      </c>
      <c r="AC44" s="470"/>
    </row>
    <row r="45" spans="1:29">
      <c r="A45" s="486" t="s">
        <v>160</v>
      </c>
      <c r="B45" s="26" t="s">
        <v>24</v>
      </c>
      <c r="C45" s="487" t="s">
        <v>84</v>
      </c>
      <c r="D45" s="487"/>
      <c r="E45" s="26">
        <v>24.25</v>
      </c>
      <c r="F45" s="165">
        <v>3060</v>
      </c>
      <c r="G45" s="155">
        <f t="shared" si="49"/>
        <v>74205</v>
      </c>
      <c r="H45" s="76" t="s">
        <v>57</v>
      </c>
      <c r="I45" s="163">
        <v>18</v>
      </c>
      <c r="J45" s="18">
        <v>2400</v>
      </c>
      <c r="K45" s="9">
        <f t="shared" si="54"/>
        <v>133.33333333333334</v>
      </c>
      <c r="L45" s="163">
        <v>18</v>
      </c>
      <c r="M45" s="10">
        <f t="shared" si="55"/>
        <v>2159.9999999999995</v>
      </c>
      <c r="N45" s="9">
        <f t="shared" si="56"/>
        <v>119.99999999999997</v>
      </c>
      <c r="O45" s="11">
        <f t="shared" si="50"/>
        <v>0</v>
      </c>
      <c r="P45" s="12">
        <f t="shared" si="51"/>
        <v>-13.333333333333371</v>
      </c>
      <c r="Q45" s="156">
        <f t="shared" si="52"/>
        <v>0.89999999999999969</v>
      </c>
      <c r="R45" s="470"/>
      <c r="S45" s="24">
        <v>0.5347222222222221</v>
      </c>
      <c r="T45" s="24">
        <v>0.59374999999999989</v>
      </c>
      <c r="U45" s="155">
        <f t="shared" si="58"/>
        <v>56.999999999999957</v>
      </c>
      <c r="V45" s="164">
        <f t="shared" si="53"/>
        <v>85.000000000000014</v>
      </c>
      <c r="W45" s="14"/>
      <c r="X45" s="14"/>
      <c r="Y45" s="456"/>
      <c r="Z45" s="456"/>
      <c r="AA45" s="11">
        <f t="shared" si="2"/>
        <v>-240.00000000000045</v>
      </c>
      <c r="AB45" s="156">
        <f t="shared" si="57"/>
        <v>0.8999999999999998</v>
      </c>
      <c r="AC45" s="470"/>
    </row>
    <row r="46" spans="1:29">
      <c r="A46" s="486" t="s">
        <v>160</v>
      </c>
      <c r="B46" s="26" t="s">
        <v>24</v>
      </c>
      <c r="C46" s="487" t="s">
        <v>513</v>
      </c>
      <c r="D46" s="487"/>
      <c r="E46" s="26">
        <v>29.94</v>
      </c>
      <c r="F46" s="165">
        <v>3096</v>
      </c>
      <c r="G46" s="155">
        <f t="shared" si="49"/>
        <v>92694.24</v>
      </c>
      <c r="H46" s="76" t="s">
        <v>57</v>
      </c>
      <c r="I46" s="163">
        <v>16</v>
      </c>
      <c r="J46" s="18">
        <v>2400</v>
      </c>
      <c r="K46" s="9">
        <f t="shared" si="54"/>
        <v>150</v>
      </c>
      <c r="L46" s="163">
        <v>16</v>
      </c>
      <c r="M46" s="10">
        <f t="shared" si="55"/>
        <v>2159.9999999999995</v>
      </c>
      <c r="N46" s="9">
        <f t="shared" si="56"/>
        <v>134.99999999999997</v>
      </c>
      <c r="O46" s="11">
        <f t="shared" si="50"/>
        <v>0</v>
      </c>
      <c r="P46" s="12">
        <f t="shared" si="51"/>
        <v>-15.000000000000028</v>
      </c>
      <c r="Q46" s="156">
        <f t="shared" si="52"/>
        <v>0.8999999999999998</v>
      </c>
      <c r="R46" s="470"/>
      <c r="S46" s="24">
        <v>0.59930555555555542</v>
      </c>
      <c r="T46" s="24">
        <v>0.65902777777777766</v>
      </c>
      <c r="U46" s="155">
        <f t="shared" si="58"/>
        <v>7.9999999999999716</v>
      </c>
      <c r="V46" s="164">
        <f t="shared" si="53"/>
        <v>86.000000000000014</v>
      </c>
      <c r="W46" s="14"/>
      <c r="X46" s="14"/>
      <c r="Y46" s="456"/>
      <c r="Z46" s="456"/>
      <c r="AA46" s="11">
        <f t="shared" si="2"/>
        <v>-240.00000000000045</v>
      </c>
      <c r="AB46" s="156">
        <f t="shared" si="57"/>
        <v>0.8999999999999998</v>
      </c>
      <c r="AC46" s="470"/>
    </row>
    <row r="47" spans="1:29">
      <c r="A47" s="486" t="s">
        <v>160</v>
      </c>
      <c r="B47" s="26" t="s">
        <v>24</v>
      </c>
      <c r="C47" s="487" t="s">
        <v>25</v>
      </c>
      <c r="D47" s="487"/>
      <c r="E47" s="26">
        <v>20.52</v>
      </c>
      <c r="F47" s="165">
        <v>2129</v>
      </c>
      <c r="G47" s="155">
        <f t="shared" si="49"/>
        <v>43687.08</v>
      </c>
      <c r="H47" s="76" t="s">
        <v>57</v>
      </c>
      <c r="I47" s="163">
        <v>18</v>
      </c>
      <c r="J47" s="18">
        <v>2400</v>
      </c>
      <c r="K47" s="9">
        <f t="shared" si="54"/>
        <v>133.33333333333334</v>
      </c>
      <c r="L47" s="163">
        <v>18</v>
      </c>
      <c r="M47" s="10">
        <f t="shared" si="55"/>
        <v>2165.0847457627137</v>
      </c>
      <c r="N47" s="9">
        <f t="shared" si="56"/>
        <v>120.28248587570631</v>
      </c>
      <c r="O47" s="11">
        <f t="shared" si="50"/>
        <v>0</v>
      </c>
      <c r="P47" s="12">
        <f t="shared" si="51"/>
        <v>-13.050847457627029</v>
      </c>
      <c r="Q47" s="156">
        <f t="shared" si="52"/>
        <v>0.90211864406779729</v>
      </c>
      <c r="R47" s="470"/>
      <c r="S47" s="24">
        <v>0.66319444444444431</v>
      </c>
      <c r="T47" s="24">
        <v>0.7041666666666665</v>
      </c>
      <c r="U47" s="155">
        <f t="shared" si="58"/>
        <v>5.9999999999999787</v>
      </c>
      <c r="V47" s="164">
        <f t="shared" si="53"/>
        <v>58.99999999999995</v>
      </c>
      <c r="W47" s="14"/>
      <c r="X47" s="14"/>
      <c r="Y47" s="473"/>
      <c r="Z47" s="474"/>
      <c r="AA47" s="11">
        <f t="shared" si="2"/>
        <v>-234.91525423728626</v>
      </c>
      <c r="AB47" s="156">
        <f t="shared" si="57"/>
        <v>0.9021186440677974</v>
      </c>
      <c r="AC47" s="470"/>
    </row>
    <row r="48" spans="1:29">
      <c r="A48" s="486" t="s">
        <v>160</v>
      </c>
      <c r="B48" s="16" t="s">
        <v>81</v>
      </c>
      <c r="C48" s="466"/>
      <c r="D48" s="466"/>
      <c r="E48" s="157"/>
      <c r="F48" s="16"/>
      <c r="G48" s="9"/>
      <c r="H48" s="165"/>
      <c r="I48" s="17">
        <v>18.428571428571427</v>
      </c>
      <c r="J48" s="18">
        <v>2400</v>
      </c>
      <c r="K48" s="9">
        <f t="shared" si="54"/>
        <v>130.23255813953489</v>
      </c>
      <c r="L48" s="17">
        <v>18.428571428571427</v>
      </c>
      <c r="M48" s="10">
        <f>AVERAGE(M41:M47)</f>
        <v>2152.8048328758678</v>
      </c>
      <c r="N48" s="9">
        <f>M48/L48</f>
        <v>116.81886690024089</v>
      </c>
      <c r="O48" s="11">
        <f>L48-I48</f>
        <v>0</v>
      </c>
      <c r="P48" s="12">
        <f t="shared" si="51"/>
        <v>-13.413691239293996</v>
      </c>
      <c r="Q48" s="156">
        <f t="shared" si="52"/>
        <v>0.89700201369827826</v>
      </c>
      <c r="R48" s="470"/>
      <c r="S48" s="24"/>
      <c r="T48" s="24"/>
      <c r="U48" s="9"/>
      <c r="V48" s="164"/>
      <c r="W48" s="9"/>
      <c r="X48" s="9"/>
      <c r="Y48" s="456"/>
      <c r="Z48" s="456"/>
      <c r="AA48" s="11">
        <f t="shared" si="2"/>
        <v>-247.19516712413224</v>
      </c>
      <c r="AB48" s="156">
        <f t="shared" si="57"/>
        <v>0.89700201369827826</v>
      </c>
      <c r="AC48" s="470"/>
    </row>
    <row r="49" spans="1:29" ht="15.75" customHeight="1">
      <c r="A49" s="488" t="s">
        <v>244</v>
      </c>
      <c r="B49" s="26" t="s">
        <v>33</v>
      </c>
      <c r="C49" s="491" t="s">
        <v>34</v>
      </c>
      <c r="D49" s="492"/>
      <c r="E49" s="26">
        <v>27.17</v>
      </c>
      <c r="F49" s="165">
        <v>2800</v>
      </c>
      <c r="G49" s="155">
        <f t="shared" ref="G49:G59" si="59">E49*F49</f>
        <v>76076</v>
      </c>
      <c r="H49" s="76">
        <v>2</v>
      </c>
      <c r="I49" s="163">
        <v>10</v>
      </c>
      <c r="J49" s="18">
        <v>3000</v>
      </c>
      <c r="K49" s="9">
        <f t="shared" si="54"/>
        <v>300</v>
      </c>
      <c r="L49" s="163">
        <v>10</v>
      </c>
      <c r="M49" s="10">
        <f t="shared" ref="M49:M50" si="60">F49/V49*60</f>
        <v>2709.6774193548376</v>
      </c>
      <c r="N49" s="10">
        <f t="shared" ref="N49:N60" si="61">M49/L49</f>
        <v>270.96774193548379</v>
      </c>
      <c r="O49" s="11">
        <f t="shared" ref="O49:O60" si="62">L49-I49</f>
        <v>0</v>
      </c>
      <c r="P49" s="12">
        <f t="shared" si="51"/>
        <v>-29.032258064516213</v>
      </c>
      <c r="Q49" s="156">
        <f t="shared" si="52"/>
        <v>0.90322580645161266</v>
      </c>
      <c r="R49" s="493">
        <f>Q60</f>
        <v>0.8963001125008313</v>
      </c>
      <c r="S49" s="24">
        <v>0.125</v>
      </c>
      <c r="T49" s="24">
        <v>0.16805555555555557</v>
      </c>
      <c r="U49" s="15"/>
      <c r="V49" s="164">
        <f t="shared" ref="V49:V59" si="63">(T49-S49)*24*60</f>
        <v>62.000000000000021</v>
      </c>
      <c r="W49" s="155"/>
      <c r="X49" s="155"/>
      <c r="Y49" s="473"/>
      <c r="Z49" s="474"/>
      <c r="AA49" s="11">
        <f t="shared" si="2"/>
        <v>-290.32258064516236</v>
      </c>
      <c r="AB49" s="156">
        <f t="shared" si="57"/>
        <v>0.90322580645161255</v>
      </c>
      <c r="AC49" s="493">
        <f>AB60</f>
        <v>0.8963001125008313</v>
      </c>
    </row>
    <row r="50" spans="1:29" ht="15.75" customHeight="1">
      <c r="A50" s="489" t="s">
        <v>9</v>
      </c>
      <c r="B50" s="26" t="s">
        <v>33</v>
      </c>
      <c r="C50" s="491" t="s">
        <v>35</v>
      </c>
      <c r="D50" s="492"/>
      <c r="E50" s="26">
        <v>21.13</v>
      </c>
      <c r="F50" s="165">
        <v>3100</v>
      </c>
      <c r="G50" s="155">
        <f t="shared" si="59"/>
        <v>65503</v>
      </c>
      <c r="H50" s="76">
        <v>2</v>
      </c>
      <c r="I50" s="163">
        <v>10</v>
      </c>
      <c r="J50" s="18">
        <v>3000</v>
      </c>
      <c r="K50" s="9">
        <f t="shared" si="54"/>
        <v>300</v>
      </c>
      <c r="L50" s="163">
        <v>10</v>
      </c>
      <c r="M50" s="10">
        <f t="shared" si="60"/>
        <v>2695.6521739130435</v>
      </c>
      <c r="N50" s="10">
        <f t="shared" si="61"/>
        <v>269.56521739130437</v>
      </c>
      <c r="O50" s="11">
        <f t="shared" si="62"/>
        <v>0</v>
      </c>
      <c r="P50" s="12">
        <f t="shared" si="51"/>
        <v>-30.434782608695627</v>
      </c>
      <c r="Q50" s="156">
        <f t="shared" si="52"/>
        <v>0.89855072463768126</v>
      </c>
      <c r="R50" s="494"/>
      <c r="S50" s="24">
        <v>0.18888888888888891</v>
      </c>
      <c r="T50" s="24">
        <v>0.23680555555555557</v>
      </c>
      <c r="U50" s="155">
        <f>(S50-T49)*24*60</f>
        <v>30.000000000000014</v>
      </c>
      <c r="V50" s="164">
        <f t="shared" si="63"/>
        <v>69</v>
      </c>
      <c r="W50" s="14"/>
      <c r="X50" s="14"/>
      <c r="Y50" s="473"/>
      <c r="Z50" s="474"/>
      <c r="AA50" s="11">
        <f t="shared" si="2"/>
        <v>-304.3478260869565</v>
      </c>
      <c r="AB50" s="156">
        <f t="shared" si="57"/>
        <v>0.89855072463768115</v>
      </c>
      <c r="AC50" s="494"/>
    </row>
    <row r="51" spans="1:29" ht="15.75" customHeight="1">
      <c r="A51" s="489" t="s">
        <v>9</v>
      </c>
      <c r="B51" s="26" t="s">
        <v>33</v>
      </c>
      <c r="C51" s="491" t="s">
        <v>43</v>
      </c>
      <c r="D51" s="492"/>
      <c r="E51" s="26">
        <v>35.119999999999997</v>
      </c>
      <c r="F51" s="165">
        <v>3000</v>
      </c>
      <c r="G51" s="155">
        <f t="shared" si="59"/>
        <v>105359.99999999999</v>
      </c>
      <c r="H51" s="76">
        <v>2</v>
      </c>
      <c r="I51" s="163">
        <v>10</v>
      </c>
      <c r="J51" s="18">
        <v>3000</v>
      </c>
      <c r="K51" s="9">
        <f t="shared" si="54"/>
        <v>300</v>
      </c>
      <c r="L51" s="163">
        <v>10</v>
      </c>
      <c r="M51" s="10">
        <f>F51/V51*60</f>
        <v>2686.5671641791059</v>
      </c>
      <c r="N51" s="10">
        <f t="shared" si="61"/>
        <v>268.65671641791062</v>
      </c>
      <c r="O51" s="11">
        <f t="shared" si="62"/>
        <v>0</v>
      </c>
      <c r="P51" s="12">
        <f t="shared" si="51"/>
        <v>-31.343283582089384</v>
      </c>
      <c r="Q51" s="156">
        <f t="shared" si="52"/>
        <v>0.89552238805970208</v>
      </c>
      <c r="R51" s="494"/>
      <c r="S51" s="24">
        <v>0.24027777777777778</v>
      </c>
      <c r="T51" s="24">
        <v>0.28680555555555554</v>
      </c>
      <c r="U51" s="155">
        <f t="shared" ref="U51:U59" si="64">(S51-T50)*24*60</f>
        <v>4.9999999999999822</v>
      </c>
      <c r="V51" s="164">
        <f t="shared" si="63"/>
        <v>66.999999999999957</v>
      </c>
      <c r="W51" s="14"/>
      <c r="X51" s="14"/>
      <c r="Y51" s="473"/>
      <c r="Z51" s="474"/>
      <c r="AA51" s="11">
        <f t="shared" si="2"/>
        <v>-313.43283582089407</v>
      </c>
      <c r="AB51" s="156">
        <f t="shared" si="57"/>
        <v>0.89552238805970197</v>
      </c>
      <c r="AC51" s="494"/>
    </row>
    <row r="52" spans="1:29" ht="15.75" customHeight="1">
      <c r="A52" s="489" t="s">
        <v>9</v>
      </c>
      <c r="B52" s="26" t="s">
        <v>33</v>
      </c>
      <c r="C52" s="491" t="s">
        <v>67</v>
      </c>
      <c r="D52" s="492"/>
      <c r="E52" s="26">
        <v>40.18</v>
      </c>
      <c r="F52" s="165">
        <v>2726</v>
      </c>
      <c r="G52" s="155">
        <f t="shared" si="59"/>
        <v>109530.68</v>
      </c>
      <c r="H52" s="76" t="s">
        <v>57</v>
      </c>
      <c r="I52" s="163">
        <v>10</v>
      </c>
      <c r="J52" s="18">
        <v>3000</v>
      </c>
      <c r="K52" s="9">
        <f t="shared" si="54"/>
        <v>300</v>
      </c>
      <c r="L52" s="163">
        <v>10</v>
      </c>
      <c r="M52" s="10">
        <f t="shared" ref="M52:M59" si="65">F52/V52*60</f>
        <v>2681.3114754098351</v>
      </c>
      <c r="N52" s="10">
        <f t="shared" si="61"/>
        <v>268.13114754098353</v>
      </c>
      <c r="O52" s="11">
        <f t="shared" si="62"/>
        <v>0</v>
      </c>
      <c r="P52" s="12">
        <f t="shared" si="51"/>
        <v>-31.868852459016466</v>
      </c>
      <c r="Q52" s="156">
        <f t="shared" si="52"/>
        <v>0.8937704918032785</v>
      </c>
      <c r="R52" s="494"/>
      <c r="S52" s="24">
        <v>0.29027777777777775</v>
      </c>
      <c r="T52" s="24">
        <v>0.33263888888888887</v>
      </c>
      <c r="U52" s="155">
        <f t="shared" si="64"/>
        <v>4.9999999999999822</v>
      </c>
      <c r="V52" s="164">
        <f t="shared" si="63"/>
        <v>61.000000000000021</v>
      </c>
      <c r="W52" s="14"/>
      <c r="X52" s="14"/>
      <c r="Y52" s="473"/>
      <c r="Z52" s="474"/>
      <c r="AA52" s="11">
        <f t="shared" si="2"/>
        <v>-318.68852459016489</v>
      </c>
      <c r="AB52" s="156">
        <f t="shared" si="57"/>
        <v>0.89377049180327839</v>
      </c>
      <c r="AC52" s="494"/>
    </row>
    <row r="53" spans="1:29" ht="15.75" customHeight="1">
      <c r="A53" s="489" t="s">
        <v>9</v>
      </c>
      <c r="B53" s="26" t="s">
        <v>33</v>
      </c>
      <c r="C53" s="491" t="s">
        <v>73</v>
      </c>
      <c r="D53" s="492"/>
      <c r="E53" s="26">
        <v>28.5</v>
      </c>
      <c r="F53" s="165">
        <v>2070</v>
      </c>
      <c r="G53" s="155">
        <f t="shared" si="59"/>
        <v>58995</v>
      </c>
      <c r="H53" s="76" t="s">
        <v>57</v>
      </c>
      <c r="I53" s="163">
        <v>10</v>
      </c>
      <c r="J53" s="18">
        <v>3000</v>
      </c>
      <c r="K53" s="9">
        <f t="shared" si="54"/>
        <v>300</v>
      </c>
      <c r="L53" s="163">
        <v>10</v>
      </c>
      <c r="M53" s="10">
        <f t="shared" si="65"/>
        <v>2700</v>
      </c>
      <c r="N53" s="10">
        <f t="shared" si="61"/>
        <v>270</v>
      </c>
      <c r="O53" s="11">
        <f t="shared" si="62"/>
        <v>0</v>
      </c>
      <c r="P53" s="12">
        <f t="shared" si="51"/>
        <v>-30</v>
      </c>
      <c r="Q53" s="156">
        <f>N53/K53</f>
        <v>0.9</v>
      </c>
      <c r="R53" s="494"/>
      <c r="S53" s="24">
        <v>0.33749999999999997</v>
      </c>
      <c r="T53" s="24">
        <v>0.36944444444444441</v>
      </c>
      <c r="U53" s="155">
        <f t="shared" si="64"/>
        <v>6.9999999999999751</v>
      </c>
      <c r="V53" s="164">
        <f t="shared" si="63"/>
        <v>46</v>
      </c>
      <c r="W53" s="14"/>
      <c r="X53" s="14"/>
      <c r="Y53" s="473"/>
      <c r="Z53" s="474"/>
      <c r="AA53" s="11">
        <f t="shared" si="2"/>
        <v>-300</v>
      </c>
      <c r="AB53" s="156">
        <f t="shared" si="57"/>
        <v>0.9</v>
      </c>
      <c r="AC53" s="494"/>
    </row>
    <row r="54" spans="1:29" ht="15.75" customHeight="1">
      <c r="A54" s="489" t="s">
        <v>9</v>
      </c>
      <c r="B54" s="26" t="s">
        <v>33</v>
      </c>
      <c r="C54" s="491" t="s">
        <v>511</v>
      </c>
      <c r="D54" s="492"/>
      <c r="E54" s="26">
        <v>34.26</v>
      </c>
      <c r="F54" s="165">
        <v>3300</v>
      </c>
      <c r="G54" s="155">
        <f t="shared" si="59"/>
        <v>113058</v>
      </c>
      <c r="H54" s="76">
        <v>2</v>
      </c>
      <c r="I54" s="163">
        <v>10</v>
      </c>
      <c r="J54" s="18">
        <v>3000</v>
      </c>
      <c r="K54" s="9">
        <f t="shared" si="54"/>
        <v>300</v>
      </c>
      <c r="L54" s="163">
        <v>10</v>
      </c>
      <c r="M54" s="10">
        <f t="shared" si="65"/>
        <v>2675.6756756756768</v>
      </c>
      <c r="N54" s="10">
        <f t="shared" si="61"/>
        <v>267.56756756756766</v>
      </c>
      <c r="O54" s="11">
        <f t="shared" si="62"/>
        <v>0</v>
      </c>
      <c r="P54" s="12">
        <f t="shared" si="51"/>
        <v>-32.432432432432336</v>
      </c>
      <c r="Q54" s="156">
        <f t="shared" ref="Q54:Q60" si="66">N54/K54</f>
        <v>0.89189189189189222</v>
      </c>
      <c r="R54" s="494"/>
      <c r="S54" s="24">
        <v>0.3743055555555555</v>
      </c>
      <c r="T54" s="24">
        <v>0.42569444444444438</v>
      </c>
      <c r="U54" s="155">
        <f t="shared" si="64"/>
        <v>6.9999999999999751</v>
      </c>
      <c r="V54" s="164">
        <f t="shared" si="63"/>
        <v>73.999999999999972</v>
      </c>
      <c r="W54" s="14"/>
      <c r="X54" s="14"/>
      <c r="Y54" s="473"/>
      <c r="Z54" s="474"/>
      <c r="AA54" s="11">
        <f t="shared" si="2"/>
        <v>-324.32432432432324</v>
      </c>
      <c r="AB54" s="156">
        <f t="shared" si="57"/>
        <v>0.89189189189189222</v>
      </c>
      <c r="AC54" s="494"/>
    </row>
    <row r="55" spans="1:29" ht="15.75" customHeight="1">
      <c r="A55" s="489" t="s">
        <v>9</v>
      </c>
      <c r="B55" s="26" t="s">
        <v>33</v>
      </c>
      <c r="C55" s="491" t="s">
        <v>37</v>
      </c>
      <c r="D55" s="492"/>
      <c r="E55" s="26">
        <v>34.36</v>
      </c>
      <c r="F55" s="165">
        <v>2855</v>
      </c>
      <c r="G55" s="155">
        <f t="shared" si="59"/>
        <v>98097.8</v>
      </c>
      <c r="H55" s="76" t="s">
        <v>57</v>
      </c>
      <c r="I55" s="163">
        <v>10</v>
      </c>
      <c r="J55" s="18">
        <v>3000</v>
      </c>
      <c r="K55" s="9">
        <f t="shared" si="54"/>
        <v>300</v>
      </c>
      <c r="L55" s="163">
        <v>10</v>
      </c>
      <c r="M55" s="10">
        <f t="shared" si="65"/>
        <v>2676.5624999999995</v>
      </c>
      <c r="N55" s="10">
        <f t="shared" si="61"/>
        <v>267.65624999999994</v>
      </c>
      <c r="O55" s="11">
        <f t="shared" si="62"/>
        <v>0</v>
      </c>
      <c r="P55" s="12">
        <f t="shared" si="51"/>
        <v>-32.343750000000057</v>
      </c>
      <c r="Q55" s="156">
        <f t="shared" si="66"/>
        <v>0.8921874999999998</v>
      </c>
      <c r="R55" s="494"/>
      <c r="S55" s="24">
        <v>0.43055555555555547</v>
      </c>
      <c r="T55" s="24">
        <v>0.47499999999999992</v>
      </c>
      <c r="U55" s="155">
        <f t="shared" si="64"/>
        <v>6.9999999999999751</v>
      </c>
      <c r="V55" s="164">
        <f t="shared" si="63"/>
        <v>64.000000000000014</v>
      </c>
      <c r="W55" s="14"/>
      <c r="X55" s="14"/>
      <c r="Y55" s="473"/>
      <c r="Z55" s="474"/>
      <c r="AA55" s="11">
        <f t="shared" si="2"/>
        <v>-323.43750000000045</v>
      </c>
      <c r="AB55" s="156">
        <f t="shared" si="57"/>
        <v>0.8921874999999998</v>
      </c>
      <c r="AC55" s="494"/>
    </row>
    <row r="56" spans="1:29" ht="15.75" customHeight="1">
      <c r="A56" s="489" t="s">
        <v>9</v>
      </c>
      <c r="B56" s="26" t="s">
        <v>33</v>
      </c>
      <c r="C56" s="491" t="s">
        <v>40</v>
      </c>
      <c r="D56" s="492"/>
      <c r="E56" s="26">
        <v>35.119999999999997</v>
      </c>
      <c r="F56" s="165">
        <v>1376</v>
      </c>
      <c r="G56" s="155">
        <f t="shared" si="59"/>
        <v>48325.119999999995</v>
      </c>
      <c r="H56" s="76" t="s">
        <v>57</v>
      </c>
      <c r="I56" s="163">
        <v>13</v>
      </c>
      <c r="J56" s="18">
        <v>2000</v>
      </c>
      <c r="K56" s="9">
        <f t="shared" si="54"/>
        <v>153.84615384615384</v>
      </c>
      <c r="L56" s="163">
        <v>13</v>
      </c>
      <c r="M56" s="10">
        <f t="shared" si="65"/>
        <v>1794.7826086956491</v>
      </c>
      <c r="N56" s="10">
        <f t="shared" si="61"/>
        <v>138.06020066889607</v>
      </c>
      <c r="O56" s="11">
        <f t="shared" si="62"/>
        <v>0</v>
      </c>
      <c r="P56" s="12">
        <f t="shared" si="51"/>
        <v>-15.785953177257767</v>
      </c>
      <c r="Q56" s="156">
        <f t="shared" si="66"/>
        <v>0.89739130434782455</v>
      </c>
      <c r="R56" s="494"/>
      <c r="S56" s="24">
        <v>0.48055555555555546</v>
      </c>
      <c r="T56" s="24">
        <v>0.51249999999999996</v>
      </c>
      <c r="U56" s="155">
        <f t="shared" si="64"/>
        <v>7.9999999999999716</v>
      </c>
      <c r="V56" s="164">
        <f t="shared" si="63"/>
        <v>46.000000000000078</v>
      </c>
      <c r="W56" s="14"/>
      <c r="X56" s="14"/>
      <c r="Y56" s="473"/>
      <c r="Z56" s="474"/>
      <c r="AA56" s="11">
        <f t="shared" si="2"/>
        <v>-205.21739130435094</v>
      </c>
      <c r="AB56" s="156">
        <f t="shared" si="57"/>
        <v>0.89739130434782455</v>
      </c>
      <c r="AC56" s="494"/>
    </row>
    <row r="57" spans="1:29" ht="15.75" customHeight="1">
      <c r="A57" s="489" t="s">
        <v>9</v>
      </c>
      <c r="B57" s="26" t="s">
        <v>33</v>
      </c>
      <c r="C57" s="491" t="s">
        <v>34</v>
      </c>
      <c r="D57" s="492"/>
      <c r="E57" s="26">
        <v>27.17</v>
      </c>
      <c r="F57" s="165">
        <v>3344</v>
      </c>
      <c r="G57" s="155">
        <f t="shared" si="59"/>
        <v>90856.48000000001</v>
      </c>
      <c r="H57" s="76" t="s">
        <v>57</v>
      </c>
      <c r="I57" s="163">
        <v>10</v>
      </c>
      <c r="J57" s="18">
        <v>3000</v>
      </c>
      <c r="K57" s="9">
        <f t="shared" si="54"/>
        <v>300</v>
      </c>
      <c r="L57" s="163">
        <v>10</v>
      </c>
      <c r="M57" s="10">
        <f t="shared" si="65"/>
        <v>2675.199999999998</v>
      </c>
      <c r="N57" s="10">
        <f t="shared" si="61"/>
        <v>267.51999999999981</v>
      </c>
      <c r="O57" s="11">
        <f t="shared" si="62"/>
        <v>0</v>
      </c>
      <c r="P57" s="12">
        <f t="shared" si="51"/>
        <v>-32.480000000000189</v>
      </c>
      <c r="Q57" s="156">
        <f t="shared" si="66"/>
        <v>0.89173333333333271</v>
      </c>
      <c r="R57" s="494"/>
      <c r="S57" s="24">
        <v>0.55416666666666659</v>
      </c>
      <c r="T57" s="24">
        <v>0.60624999999999996</v>
      </c>
      <c r="U57" s="155">
        <f t="shared" si="64"/>
        <v>59.999999999999943</v>
      </c>
      <c r="V57" s="164">
        <f t="shared" si="63"/>
        <v>75.000000000000057</v>
      </c>
      <c r="W57" s="14"/>
      <c r="X57" s="14"/>
      <c r="Y57" s="473"/>
      <c r="Z57" s="474"/>
      <c r="AA57" s="11">
        <f t="shared" si="2"/>
        <v>-324.800000000002</v>
      </c>
      <c r="AB57" s="156">
        <f t="shared" si="57"/>
        <v>0.89173333333333271</v>
      </c>
      <c r="AC57" s="494"/>
    </row>
    <row r="58" spans="1:29" ht="15.75" customHeight="1">
      <c r="A58" s="489" t="s">
        <v>9</v>
      </c>
      <c r="B58" s="26" t="s">
        <v>33</v>
      </c>
      <c r="C58" s="491" t="s">
        <v>35</v>
      </c>
      <c r="D58" s="492"/>
      <c r="E58" s="26">
        <v>21.13</v>
      </c>
      <c r="F58" s="165">
        <v>1717</v>
      </c>
      <c r="G58" s="155">
        <f t="shared" si="59"/>
        <v>36280.21</v>
      </c>
      <c r="H58" s="76" t="s">
        <v>57</v>
      </c>
      <c r="I58" s="163">
        <v>10</v>
      </c>
      <c r="J58" s="18">
        <v>3000</v>
      </c>
      <c r="K58" s="9">
        <f t="shared" si="54"/>
        <v>300</v>
      </c>
      <c r="L58" s="163">
        <v>10</v>
      </c>
      <c r="M58" s="10">
        <f t="shared" si="65"/>
        <v>2711.0526315789457</v>
      </c>
      <c r="N58" s="10">
        <f t="shared" si="61"/>
        <v>271.10526315789457</v>
      </c>
      <c r="O58" s="11">
        <f t="shared" si="62"/>
        <v>0</v>
      </c>
      <c r="P58" s="12">
        <f t="shared" si="51"/>
        <v>-28.894736842105431</v>
      </c>
      <c r="Q58" s="156">
        <f t="shared" si="66"/>
        <v>0.9036842105263152</v>
      </c>
      <c r="R58" s="494"/>
      <c r="S58" s="24">
        <v>0.60972222222222217</v>
      </c>
      <c r="T58" s="24">
        <v>0.63611111111111107</v>
      </c>
      <c r="U58" s="155">
        <f t="shared" si="64"/>
        <v>4.9999999999999822</v>
      </c>
      <c r="V58" s="164">
        <f t="shared" si="63"/>
        <v>38.000000000000028</v>
      </c>
      <c r="W58" s="14"/>
      <c r="X58" s="14"/>
      <c r="Y58" s="473"/>
      <c r="Z58" s="474"/>
      <c r="AA58" s="11">
        <f t="shared" si="2"/>
        <v>-288.94736842105431</v>
      </c>
      <c r="AB58" s="156">
        <f t="shared" si="57"/>
        <v>0.9036842105263152</v>
      </c>
      <c r="AC58" s="494"/>
    </row>
    <row r="59" spans="1:29" ht="15.75" customHeight="1">
      <c r="A59" s="489" t="s">
        <v>9</v>
      </c>
      <c r="B59" s="26" t="s">
        <v>33</v>
      </c>
      <c r="C59" s="491" t="s">
        <v>43</v>
      </c>
      <c r="D59" s="492"/>
      <c r="E59" s="26">
        <v>35.119999999999997</v>
      </c>
      <c r="F59" s="165">
        <v>1828</v>
      </c>
      <c r="G59" s="155">
        <f t="shared" si="59"/>
        <v>64199.359999999993</v>
      </c>
      <c r="H59" s="76" t="s">
        <v>57</v>
      </c>
      <c r="I59" s="163">
        <v>10</v>
      </c>
      <c r="J59" s="18">
        <v>3000</v>
      </c>
      <c r="K59" s="9">
        <f t="shared" si="54"/>
        <v>300</v>
      </c>
      <c r="L59" s="163">
        <v>10</v>
      </c>
      <c r="M59" s="10">
        <f t="shared" si="65"/>
        <v>2675.1219512195112</v>
      </c>
      <c r="N59" s="10">
        <f t="shared" si="61"/>
        <v>267.51219512195109</v>
      </c>
      <c r="O59" s="11">
        <f t="shared" si="62"/>
        <v>0</v>
      </c>
      <c r="P59" s="12">
        <f t="shared" si="51"/>
        <v>-32.487804878048905</v>
      </c>
      <c r="Q59" s="156">
        <f t="shared" si="66"/>
        <v>0.8917073170731703</v>
      </c>
      <c r="R59" s="494"/>
      <c r="S59" s="24">
        <v>0.64027777777777772</v>
      </c>
      <c r="T59" s="24">
        <v>0.66874999999999996</v>
      </c>
      <c r="U59" s="155">
        <f t="shared" si="64"/>
        <v>5.9999999999999787</v>
      </c>
      <c r="V59" s="164">
        <f t="shared" si="63"/>
        <v>41.000000000000014</v>
      </c>
      <c r="W59" s="14"/>
      <c r="X59" s="14"/>
      <c r="Y59" s="473"/>
      <c r="Z59" s="474"/>
      <c r="AA59" s="11">
        <f t="shared" si="2"/>
        <v>-324.87804878048883</v>
      </c>
      <c r="AB59" s="156">
        <f t="shared" si="57"/>
        <v>0.89170731707317041</v>
      </c>
      <c r="AC59" s="494"/>
    </row>
    <row r="60" spans="1:29" ht="15.75" customHeight="1">
      <c r="A60" s="490" t="s">
        <v>9</v>
      </c>
      <c r="B60" s="26" t="s">
        <v>547</v>
      </c>
      <c r="C60" s="497"/>
      <c r="D60" s="498"/>
      <c r="E60" s="158"/>
      <c r="F60" s="165"/>
      <c r="G60" s="155"/>
      <c r="H60" s="165"/>
      <c r="I60" s="17">
        <v>10.272727272727273</v>
      </c>
      <c r="J60" s="18">
        <v>2909.090909090909</v>
      </c>
      <c r="K60" s="9">
        <f>J60/I60</f>
        <v>283.18584070796459</v>
      </c>
      <c r="L60" s="17">
        <v>10.272727272727273</v>
      </c>
      <c r="M60" s="10">
        <f>AVERAGE(M49:M59)</f>
        <v>2607.4185090933274</v>
      </c>
      <c r="N60" s="9">
        <f t="shared" si="61"/>
        <v>253.81950088519116</v>
      </c>
      <c r="O60" s="11">
        <f t="shared" si="62"/>
        <v>0</v>
      </c>
      <c r="P60" s="12">
        <f t="shared" si="51"/>
        <v>-29.366339822773426</v>
      </c>
      <c r="Q60" s="156">
        <f t="shared" si="66"/>
        <v>0.8963001125008313</v>
      </c>
      <c r="R60" s="495"/>
      <c r="S60" s="24"/>
      <c r="T60" s="24"/>
      <c r="U60" s="155"/>
      <c r="V60" s="164"/>
      <c r="W60" s="14"/>
      <c r="X60" s="14"/>
      <c r="Y60" s="473"/>
      <c r="Z60" s="474"/>
      <c r="AA60" s="11">
        <f t="shared" si="2"/>
        <v>-301.67239999758158</v>
      </c>
      <c r="AB60" s="156">
        <f t="shared" si="57"/>
        <v>0.8963001125008313</v>
      </c>
      <c r="AC60" s="495"/>
    </row>
    <row r="61" spans="1:29" ht="15.75" customHeight="1">
      <c r="A61" s="461" t="s">
        <v>125</v>
      </c>
      <c r="B61" s="26" t="s">
        <v>15</v>
      </c>
      <c r="C61" s="487" t="s">
        <v>20</v>
      </c>
      <c r="D61" s="487"/>
      <c r="E61" s="26">
        <v>46</v>
      </c>
      <c r="F61" s="27">
        <v>3158</v>
      </c>
      <c r="G61" s="155">
        <f t="shared" ref="G61:G64" si="67">E61*F61</f>
        <v>145268</v>
      </c>
      <c r="H61" s="76" t="s">
        <v>57</v>
      </c>
      <c r="I61" s="163">
        <v>17</v>
      </c>
      <c r="J61" s="18">
        <v>1500</v>
      </c>
      <c r="K61" s="9">
        <f t="shared" ref="K61:K64" si="68">J61/I61</f>
        <v>88.235294117647058</v>
      </c>
      <c r="L61" s="163">
        <v>17</v>
      </c>
      <c r="M61" s="10">
        <f t="shared" ref="M61:M64" si="69">F61/V61*60</f>
        <v>1343.8297872340429</v>
      </c>
      <c r="N61" s="10">
        <f>M61/L61</f>
        <v>79.048811013767235</v>
      </c>
      <c r="O61" s="11">
        <f>L61-I61</f>
        <v>0</v>
      </c>
      <c r="P61" s="12">
        <f>N61-K61</f>
        <v>-9.1864831038798229</v>
      </c>
      <c r="Q61" s="156">
        <f>N61/K61</f>
        <v>0.89588652482269537</v>
      </c>
      <c r="R61" s="470">
        <f>Q65</f>
        <v>0.89479278072062762</v>
      </c>
      <c r="S61" s="24">
        <v>0.29305555555555557</v>
      </c>
      <c r="T61" s="24">
        <v>0.39097222222222222</v>
      </c>
      <c r="U61" s="15"/>
      <c r="V61" s="164">
        <f t="shared" ref="V61:V64" si="70">(T61-S61)*24*60</f>
        <v>140.99999999999997</v>
      </c>
      <c r="W61" s="15"/>
      <c r="X61" s="15"/>
      <c r="Y61" s="456"/>
      <c r="Z61" s="456"/>
      <c r="AA61" s="11">
        <f t="shared" si="2"/>
        <v>-156.1702127659571</v>
      </c>
      <c r="AB61" s="156">
        <f t="shared" si="57"/>
        <v>0.89588652482269526</v>
      </c>
      <c r="AC61" s="470">
        <f>AB65</f>
        <v>0.89479278072062762</v>
      </c>
    </row>
    <row r="62" spans="1:29" ht="15.75" customHeight="1">
      <c r="A62" s="461" t="s">
        <v>10</v>
      </c>
      <c r="B62" s="26" t="s">
        <v>15</v>
      </c>
      <c r="C62" s="487" t="s">
        <v>75</v>
      </c>
      <c r="D62" s="487"/>
      <c r="E62" s="26">
        <v>46</v>
      </c>
      <c r="F62" s="27">
        <v>3980</v>
      </c>
      <c r="G62" s="155">
        <f t="shared" si="67"/>
        <v>183080</v>
      </c>
      <c r="H62" s="76" t="s">
        <v>57</v>
      </c>
      <c r="I62" s="163">
        <v>18</v>
      </c>
      <c r="J62" s="18">
        <v>1500</v>
      </c>
      <c r="K62" s="9">
        <f t="shared" si="68"/>
        <v>83.333333333333329</v>
      </c>
      <c r="L62" s="163">
        <v>18</v>
      </c>
      <c r="M62" s="10">
        <f t="shared" si="69"/>
        <v>1341.5730337078646</v>
      </c>
      <c r="N62" s="10">
        <f t="shared" ref="N62:N64" si="71">M62/L62</f>
        <v>74.531835205992479</v>
      </c>
      <c r="O62" s="11">
        <f t="shared" ref="O62:O64" si="72">L62-I62</f>
        <v>0</v>
      </c>
      <c r="P62" s="12">
        <f t="shared" ref="P62:P64" si="73">N62-K62</f>
        <v>-8.8014981273408495</v>
      </c>
      <c r="Q62" s="156">
        <f t="shared" ref="Q62:Q64" si="74">N62/K62</f>
        <v>0.89438202247190979</v>
      </c>
      <c r="R62" s="470"/>
      <c r="S62" s="24">
        <v>0.39513888888888887</v>
      </c>
      <c r="T62" s="24">
        <v>0.51875000000000004</v>
      </c>
      <c r="U62" s="155">
        <f t="shared" ref="U62:U64" si="75">(S62-T61)*24*60</f>
        <v>5.9999999999999787</v>
      </c>
      <c r="V62" s="164">
        <f t="shared" si="70"/>
        <v>178.00000000000009</v>
      </c>
      <c r="W62" s="14"/>
      <c r="X62" s="14"/>
      <c r="Y62" s="456"/>
      <c r="Z62" s="456"/>
      <c r="AA62" s="11">
        <f t="shared" si="2"/>
        <v>-158.42696629213538</v>
      </c>
      <c r="AB62" s="156">
        <f t="shared" si="57"/>
        <v>0.89438202247190979</v>
      </c>
      <c r="AC62" s="470"/>
    </row>
    <row r="63" spans="1:29" ht="15.75" customHeight="1">
      <c r="A63" s="461" t="s">
        <v>10</v>
      </c>
      <c r="B63" s="26" t="s">
        <v>13</v>
      </c>
      <c r="C63" s="491" t="s">
        <v>65</v>
      </c>
      <c r="D63" s="492"/>
      <c r="E63" s="26">
        <v>55.56</v>
      </c>
      <c r="F63" s="27">
        <v>2105</v>
      </c>
      <c r="G63" s="155">
        <f t="shared" si="67"/>
        <v>116953.8</v>
      </c>
      <c r="H63" s="76" t="s">
        <v>57</v>
      </c>
      <c r="I63" s="163">
        <v>17</v>
      </c>
      <c r="J63" s="18">
        <v>1500</v>
      </c>
      <c r="K63" s="9">
        <f t="shared" si="68"/>
        <v>88.235294117647058</v>
      </c>
      <c r="L63" s="163">
        <v>17</v>
      </c>
      <c r="M63" s="10">
        <f t="shared" si="69"/>
        <v>1343.617021276596</v>
      </c>
      <c r="N63" s="10">
        <f t="shared" si="71"/>
        <v>79.03629536921153</v>
      </c>
      <c r="O63" s="11">
        <f t="shared" si="72"/>
        <v>0</v>
      </c>
      <c r="P63" s="12">
        <f t="shared" si="73"/>
        <v>-9.1989987484355282</v>
      </c>
      <c r="Q63" s="156">
        <f t="shared" si="74"/>
        <v>0.89574468085106407</v>
      </c>
      <c r="R63" s="470"/>
      <c r="S63" s="24">
        <v>0.70833333333333337</v>
      </c>
      <c r="T63" s="24">
        <v>0.77361111111111114</v>
      </c>
      <c r="U63" s="155">
        <f t="shared" si="75"/>
        <v>273</v>
      </c>
      <c r="V63" s="164">
        <f t="shared" si="70"/>
        <v>93.999999999999986</v>
      </c>
      <c r="W63" s="14"/>
      <c r="X63" s="14"/>
      <c r="Y63" s="159"/>
      <c r="Z63" s="160"/>
      <c r="AA63" s="11">
        <f t="shared" si="2"/>
        <v>-156.38297872340399</v>
      </c>
      <c r="AB63" s="156">
        <f t="shared" si="57"/>
        <v>0.89574468085106396</v>
      </c>
      <c r="AC63" s="470"/>
    </row>
    <row r="64" spans="1:29" ht="15.75" customHeight="1">
      <c r="A64" s="461" t="s">
        <v>10</v>
      </c>
      <c r="B64" s="26" t="s">
        <v>13</v>
      </c>
      <c r="C64" s="161" t="s">
        <v>64</v>
      </c>
      <c r="D64" s="162"/>
      <c r="E64" s="26">
        <v>55.32</v>
      </c>
      <c r="F64" s="27">
        <v>1697</v>
      </c>
      <c r="G64" s="155">
        <f t="shared" si="67"/>
        <v>93878.04</v>
      </c>
      <c r="H64" s="76" t="s">
        <v>57</v>
      </c>
      <c r="I64" s="163">
        <v>15</v>
      </c>
      <c r="J64" s="18">
        <v>1500</v>
      </c>
      <c r="K64" s="9">
        <f t="shared" si="68"/>
        <v>100</v>
      </c>
      <c r="L64" s="163">
        <v>15</v>
      </c>
      <c r="M64" s="10">
        <f t="shared" si="69"/>
        <v>1339.7368421052622</v>
      </c>
      <c r="N64" s="10">
        <f t="shared" si="71"/>
        <v>89.315789473684148</v>
      </c>
      <c r="O64" s="11">
        <f t="shared" si="72"/>
        <v>0</v>
      </c>
      <c r="P64" s="12">
        <f t="shared" si="73"/>
        <v>-10.684210526315852</v>
      </c>
      <c r="Q64" s="156">
        <f t="shared" si="74"/>
        <v>0.89315789473684148</v>
      </c>
      <c r="R64" s="470"/>
      <c r="S64" s="24">
        <v>0.77777777777777779</v>
      </c>
      <c r="T64" s="24">
        <v>0.8305555555555556</v>
      </c>
      <c r="U64" s="155">
        <f t="shared" si="75"/>
        <v>5.9999999999999787</v>
      </c>
      <c r="V64" s="164">
        <f t="shared" si="70"/>
        <v>76.000000000000057</v>
      </c>
      <c r="W64" s="14"/>
      <c r="X64" s="14"/>
      <c r="Y64" s="159"/>
      <c r="Z64" s="160"/>
      <c r="AA64" s="11">
        <f t="shared" si="2"/>
        <v>-160.26315789473779</v>
      </c>
      <c r="AB64" s="156">
        <f t="shared" si="57"/>
        <v>0.89315789473684148</v>
      </c>
      <c r="AC64" s="470"/>
    </row>
    <row r="65" spans="1:29">
      <c r="A65" s="496" t="s">
        <v>10</v>
      </c>
      <c r="B65" s="26" t="s">
        <v>547</v>
      </c>
      <c r="C65" s="466"/>
      <c r="D65" s="466"/>
      <c r="E65" s="157"/>
      <c r="F65" s="16"/>
      <c r="G65" s="9"/>
      <c r="H65" s="165"/>
      <c r="I65" s="17">
        <v>16.75</v>
      </c>
      <c r="J65" s="18">
        <v>1500</v>
      </c>
      <c r="K65" s="9">
        <f>J65/I65</f>
        <v>89.552238805970148</v>
      </c>
      <c r="L65" s="17">
        <v>16.75</v>
      </c>
      <c r="M65" s="10">
        <f>AVERAGE(M61:M64)</f>
        <v>1342.1891710809414</v>
      </c>
      <c r="N65" s="9">
        <f>M65/L65</f>
        <v>80.130696780951723</v>
      </c>
      <c r="O65" s="11">
        <f>L65-I65</f>
        <v>0</v>
      </c>
      <c r="P65" s="12">
        <f>N65-K65</f>
        <v>-9.4215420250184252</v>
      </c>
      <c r="Q65" s="156">
        <f>N65/K65</f>
        <v>0.89479278072062762</v>
      </c>
      <c r="R65" s="470"/>
      <c r="S65" s="25"/>
      <c r="T65" s="24"/>
      <c r="U65" s="9"/>
      <c r="V65" s="164"/>
      <c r="W65" s="9"/>
      <c r="X65" s="9"/>
      <c r="Y65" s="456"/>
      <c r="Z65" s="456"/>
      <c r="AA65" s="11">
        <f t="shared" si="2"/>
        <v>-157.81082891905862</v>
      </c>
      <c r="AB65" s="156">
        <f t="shared" si="57"/>
        <v>0.89479278072062762</v>
      </c>
      <c r="AC65" s="470"/>
    </row>
    <row r="66" spans="1:29" ht="15.75" customHeight="1">
      <c r="A66" s="499" t="s">
        <v>163</v>
      </c>
      <c r="B66" s="165" t="s">
        <v>33</v>
      </c>
      <c r="C66" s="487" t="s">
        <v>36</v>
      </c>
      <c r="D66" s="487"/>
      <c r="E66" s="26">
        <v>26.78</v>
      </c>
      <c r="F66" s="27">
        <v>2572</v>
      </c>
      <c r="G66" s="155">
        <f t="shared" ref="G66:G70" si="76">E66*F66</f>
        <v>68878.16</v>
      </c>
      <c r="H66" s="76" t="s">
        <v>57</v>
      </c>
      <c r="I66" s="163">
        <v>10</v>
      </c>
      <c r="J66" s="18">
        <v>3000</v>
      </c>
      <c r="K66" s="9">
        <f t="shared" ref="K66:K70" si="77">J66/I66</f>
        <v>300</v>
      </c>
      <c r="L66" s="17">
        <v>10</v>
      </c>
      <c r="M66" s="10">
        <f t="shared" ref="M66:M70" si="78">F66/V66*60</f>
        <v>2707.3684210526335</v>
      </c>
      <c r="N66" s="9">
        <f>M66/L66</f>
        <v>270.73684210526335</v>
      </c>
      <c r="O66" s="11">
        <f t="shared" ref="O66:O70" si="79">L66-I66</f>
        <v>0</v>
      </c>
      <c r="P66" s="12">
        <f t="shared" ref="P66:P70" si="80">N66-K66</f>
        <v>-29.263157894736651</v>
      </c>
      <c r="Q66" s="156">
        <f>N66/K66</f>
        <v>0.90245614035087784</v>
      </c>
      <c r="R66" s="470">
        <f>Q71</f>
        <v>0.90423183740087398</v>
      </c>
      <c r="S66" s="24">
        <v>0.25069444444444444</v>
      </c>
      <c r="T66" s="24">
        <v>0.29027777777777775</v>
      </c>
      <c r="U66" s="155"/>
      <c r="V66" s="164">
        <f t="shared" ref="V66:V70" si="81">(T66-S66)*24*60</f>
        <v>56.999999999999957</v>
      </c>
      <c r="W66" s="15"/>
      <c r="X66" s="15"/>
      <c r="Y66" s="456"/>
      <c r="Z66" s="456"/>
      <c r="AA66" s="11">
        <f t="shared" si="2"/>
        <v>-292.63157894736651</v>
      </c>
      <c r="AB66" s="156">
        <f t="shared" si="57"/>
        <v>0.90245614035087784</v>
      </c>
      <c r="AC66" s="470">
        <f>AB71</f>
        <v>0.90423183740087387</v>
      </c>
    </row>
    <row r="67" spans="1:29" ht="15.75" customHeight="1">
      <c r="A67" s="499" t="s">
        <v>11</v>
      </c>
      <c r="B67" s="165" t="s">
        <v>33</v>
      </c>
      <c r="C67" s="487" t="s">
        <v>42</v>
      </c>
      <c r="D67" s="487"/>
      <c r="E67" s="26">
        <v>35.369999999999997</v>
      </c>
      <c r="F67" s="27">
        <v>1859</v>
      </c>
      <c r="G67" s="155">
        <f t="shared" si="76"/>
        <v>65752.83</v>
      </c>
      <c r="H67" s="76" t="s">
        <v>57</v>
      </c>
      <c r="I67" s="163">
        <v>10</v>
      </c>
      <c r="J67" s="18">
        <v>3000</v>
      </c>
      <c r="K67" s="9">
        <f t="shared" si="77"/>
        <v>300</v>
      </c>
      <c r="L67" s="17">
        <v>10</v>
      </c>
      <c r="M67" s="10">
        <f t="shared" si="78"/>
        <v>2720.4878048780474</v>
      </c>
      <c r="N67" s="9">
        <f t="shared" ref="N67:N70" si="82">M67/L67</f>
        <v>272.04878048780472</v>
      </c>
      <c r="O67" s="11">
        <f t="shared" si="79"/>
        <v>0</v>
      </c>
      <c r="P67" s="12">
        <f t="shared" si="80"/>
        <v>-27.95121951219528</v>
      </c>
      <c r="Q67" s="156">
        <f t="shared" ref="Q67:Q70" si="83">N67/K67</f>
        <v>0.9068292682926824</v>
      </c>
      <c r="R67" s="470"/>
      <c r="S67" s="24">
        <v>0.29513888888888884</v>
      </c>
      <c r="T67" s="24">
        <v>0.32361111111111107</v>
      </c>
      <c r="U67" s="155">
        <f>(S67-T66)*24*60</f>
        <v>6.9999999999999751</v>
      </c>
      <c r="V67" s="164">
        <f t="shared" si="81"/>
        <v>41.000000000000014</v>
      </c>
      <c r="W67" s="155"/>
      <c r="X67" s="155"/>
      <c r="Y67" s="456"/>
      <c r="Z67" s="456"/>
      <c r="AA67" s="11">
        <f t="shared" si="2"/>
        <v>-279.51219512195257</v>
      </c>
      <c r="AB67" s="156">
        <f t="shared" si="57"/>
        <v>0.90682926829268251</v>
      </c>
      <c r="AC67" s="470"/>
    </row>
    <row r="68" spans="1:29" ht="15.75" customHeight="1">
      <c r="A68" s="499" t="s">
        <v>11</v>
      </c>
      <c r="B68" s="165" t="s">
        <v>33</v>
      </c>
      <c r="C68" s="487" t="s">
        <v>41</v>
      </c>
      <c r="D68" s="487"/>
      <c r="E68" s="26">
        <v>34.35</v>
      </c>
      <c r="F68" s="27">
        <v>1460</v>
      </c>
      <c r="G68" s="155">
        <f t="shared" si="76"/>
        <v>50151</v>
      </c>
      <c r="H68" s="76" t="s">
        <v>57</v>
      </c>
      <c r="I68" s="163">
        <v>10</v>
      </c>
      <c r="J68" s="18">
        <v>3000</v>
      </c>
      <c r="K68" s="9">
        <f t="shared" si="77"/>
        <v>300</v>
      </c>
      <c r="L68" s="17">
        <v>10</v>
      </c>
      <c r="M68" s="10">
        <f t="shared" si="78"/>
        <v>2737.5000000000032</v>
      </c>
      <c r="N68" s="9">
        <f t="shared" si="82"/>
        <v>273.75000000000034</v>
      </c>
      <c r="O68" s="11">
        <f t="shared" si="79"/>
        <v>0</v>
      </c>
      <c r="P68" s="12">
        <f t="shared" si="80"/>
        <v>-26.249999999999659</v>
      </c>
      <c r="Q68" s="156">
        <f t="shared" si="83"/>
        <v>0.91250000000000109</v>
      </c>
      <c r="R68" s="470"/>
      <c r="S68" s="24">
        <v>0.32777777777777772</v>
      </c>
      <c r="T68" s="24">
        <v>0.34999999999999992</v>
      </c>
      <c r="U68" s="155">
        <f t="shared" ref="U68:U70" si="84">(S68-T67)*24*60</f>
        <v>5.9999999999999787</v>
      </c>
      <c r="V68" s="164">
        <f t="shared" si="81"/>
        <v>31.999999999999964</v>
      </c>
      <c r="W68" s="155"/>
      <c r="X68" s="155"/>
      <c r="Y68" s="456"/>
      <c r="Z68" s="456"/>
      <c r="AA68" s="11">
        <f t="shared" si="2"/>
        <v>-262.49999999999682</v>
      </c>
      <c r="AB68" s="156">
        <f t="shared" si="57"/>
        <v>0.91250000000000109</v>
      </c>
      <c r="AC68" s="470"/>
    </row>
    <row r="69" spans="1:29" ht="15.75" customHeight="1">
      <c r="A69" s="499" t="s">
        <v>11</v>
      </c>
      <c r="B69" s="165" t="s">
        <v>15</v>
      </c>
      <c r="C69" s="487" t="s">
        <v>39</v>
      </c>
      <c r="D69" s="487"/>
      <c r="E69" s="26">
        <v>26.97</v>
      </c>
      <c r="F69" s="27">
        <v>3462</v>
      </c>
      <c r="G69" s="155">
        <f t="shared" si="76"/>
        <v>93370.14</v>
      </c>
      <c r="H69" s="76" t="s">
        <v>57</v>
      </c>
      <c r="I69" s="163">
        <v>8</v>
      </c>
      <c r="J69" s="18">
        <v>1440</v>
      </c>
      <c r="K69" s="9">
        <f t="shared" si="77"/>
        <v>180</v>
      </c>
      <c r="L69" s="17">
        <v>8</v>
      </c>
      <c r="M69" s="10">
        <f t="shared" si="78"/>
        <v>1290.1863354037268</v>
      </c>
      <c r="N69" s="9">
        <f t="shared" si="82"/>
        <v>161.27329192546586</v>
      </c>
      <c r="O69" s="11">
        <f t="shared" si="79"/>
        <v>0</v>
      </c>
      <c r="P69" s="12">
        <f t="shared" si="80"/>
        <v>-18.726708074534145</v>
      </c>
      <c r="Q69" s="156">
        <f t="shared" si="83"/>
        <v>0.89596273291925477</v>
      </c>
      <c r="R69" s="470"/>
      <c r="S69" s="24">
        <v>0.35347222222222213</v>
      </c>
      <c r="T69" s="24">
        <v>0.46527777777777768</v>
      </c>
      <c r="U69" s="155">
        <f t="shared" si="84"/>
        <v>4.9999999999999822</v>
      </c>
      <c r="V69" s="164">
        <f t="shared" si="81"/>
        <v>161</v>
      </c>
      <c r="W69" s="155"/>
      <c r="X69" s="155"/>
      <c r="Y69" s="456"/>
      <c r="Z69" s="456"/>
      <c r="AA69" s="11">
        <f t="shared" ref="AA69:AA80" si="85">M69-J69</f>
        <v>-149.81366459627316</v>
      </c>
      <c r="AB69" s="156">
        <f t="shared" si="57"/>
        <v>0.89596273291925477</v>
      </c>
      <c r="AC69" s="470"/>
    </row>
    <row r="70" spans="1:29">
      <c r="A70" s="500" t="s">
        <v>11</v>
      </c>
      <c r="B70" s="165" t="s">
        <v>33</v>
      </c>
      <c r="C70" s="487" t="s">
        <v>511</v>
      </c>
      <c r="D70" s="487"/>
      <c r="E70" s="26">
        <v>34.26</v>
      </c>
      <c r="F70" s="27">
        <v>2023</v>
      </c>
      <c r="G70" s="155">
        <f t="shared" si="76"/>
        <v>69307.98</v>
      </c>
      <c r="H70" s="76" t="s">
        <v>57</v>
      </c>
      <c r="I70" s="163">
        <v>10</v>
      </c>
      <c r="J70" s="18">
        <v>3000</v>
      </c>
      <c r="K70" s="9">
        <f t="shared" si="77"/>
        <v>300</v>
      </c>
      <c r="L70" s="17">
        <v>10</v>
      </c>
      <c r="M70" s="10">
        <f t="shared" si="78"/>
        <v>2697.3333333333335</v>
      </c>
      <c r="N70" s="9">
        <f t="shared" si="82"/>
        <v>269.73333333333335</v>
      </c>
      <c r="O70" s="11">
        <f t="shared" si="79"/>
        <v>0</v>
      </c>
      <c r="P70" s="12">
        <f t="shared" si="80"/>
        <v>-30.266666666666652</v>
      </c>
      <c r="Q70" s="156">
        <f t="shared" si="83"/>
        <v>0.89911111111111119</v>
      </c>
      <c r="R70" s="470"/>
      <c r="S70" s="24">
        <v>0.50486111111111098</v>
      </c>
      <c r="T70" s="24">
        <v>0.53611111111111098</v>
      </c>
      <c r="U70" s="155">
        <f t="shared" si="84"/>
        <v>56.999999999999957</v>
      </c>
      <c r="V70" s="164">
        <f t="shared" si="81"/>
        <v>45</v>
      </c>
      <c r="W70" s="14"/>
      <c r="X70" s="14"/>
      <c r="Y70" s="456"/>
      <c r="Z70" s="456"/>
      <c r="AA70" s="11">
        <f t="shared" si="85"/>
        <v>-302.66666666666652</v>
      </c>
      <c r="AB70" s="156">
        <f t="shared" si="57"/>
        <v>0.89911111111111119</v>
      </c>
      <c r="AC70" s="470"/>
    </row>
    <row r="71" spans="1:29">
      <c r="A71" s="500" t="s">
        <v>11</v>
      </c>
      <c r="B71" s="26" t="s">
        <v>81</v>
      </c>
      <c r="C71" s="466"/>
      <c r="D71" s="466"/>
      <c r="E71" s="157"/>
      <c r="F71" s="16"/>
      <c r="G71" s="9"/>
      <c r="H71" s="165"/>
      <c r="I71" s="17">
        <v>9.6</v>
      </c>
      <c r="J71" s="18">
        <v>2688</v>
      </c>
      <c r="K71" s="9">
        <f>J71/I71</f>
        <v>280</v>
      </c>
      <c r="L71" s="17">
        <v>9.6</v>
      </c>
      <c r="M71" s="10">
        <f>AVERAGE(M66:M70)</f>
        <v>2430.5751789335491</v>
      </c>
      <c r="N71" s="9">
        <f>M71/L71</f>
        <v>253.18491447224471</v>
      </c>
      <c r="O71" s="11">
        <f>L71-I71</f>
        <v>0</v>
      </c>
      <c r="P71" s="12">
        <f>N71-K71</f>
        <v>-26.815085527755286</v>
      </c>
      <c r="Q71" s="156">
        <f>N71/K71</f>
        <v>0.90423183740087398</v>
      </c>
      <c r="R71" s="470"/>
      <c r="S71" s="24"/>
      <c r="T71" s="24"/>
      <c r="U71" s="9"/>
      <c r="V71" s="164"/>
      <c r="W71" s="9"/>
      <c r="X71" s="9"/>
      <c r="Y71" s="456"/>
      <c r="Z71" s="456"/>
      <c r="AA71" s="11">
        <f t="shared" si="85"/>
        <v>-257.42482106645093</v>
      </c>
      <c r="AB71" s="156">
        <f t="shared" si="57"/>
        <v>0.90423183740087387</v>
      </c>
      <c r="AC71" s="470"/>
    </row>
    <row r="72" spans="1:29" ht="15.75" customHeight="1">
      <c r="A72" s="467" t="s">
        <v>247</v>
      </c>
      <c r="B72" s="165" t="s">
        <v>24</v>
      </c>
      <c r="C72" s="487" t="s">
        <v>45</v>
      </c>
      <c r="D72" s="487"/>
      <c r="E72" s="26">
        <v>19.02</v>
      </c>
      <c r="F72" s="165">
        <v>5500</v>
      </c>
      <c r="G72" s="155">
        <f t="shared" ref="G72:G79" si="86">E72*F72</f>
        <v>104610</v>
      </c>
      <c r="H72" s="76">
        <v>2</v>
      </c>
      <c r="I72" s="163">
        <v>15</v>
      </c>
      <c r="J72" s="18">
        <v>2400</v>
      </c>
      <c r="K72" s="9">
        <f t="shared" ref="K72:K74" si="87">J72/I72</f>
        <v>160</v>
      </c>
      <c r="L72" s="17">
        <v>15</v>
      </c>
      <c r="M72" s="10">
        <f>F72/V72*60</f>
        <v>2142.8571428571431</v>
      </c>
      <c r="N72" s="9">
        <f t="shared" ref="N72:N79" si="88">M72/L72</f>
        <v>142.85714285714286</v>
      </c>
      <c r="O72" s="11">
        <f t="shared" ref="O72:O79" si="89">L72-I72</f>
        <v>0</v>
      </c>
      <c r="P72" s="12">
        <f t="shared" ref="P72:P79" si="90">N72-K72</f>
        <v>-17.142857142857139</v>
      </c>
      <c r="Q72" s="156">
        <f>N72/K72</f>
        <v>0.8928571428571429</v>
      </c>
      <c r="R72" s="470">
        <f>Q80</f>
        <v>0.89510394119769143</v>
      </c>
      <c r="S72" s="24">
        <v>0.125</v>
      </c>
      <c r="T72" s="24">
        <v>0.23194444444444445</v>
      </c>
      <c r="U72" s="15"/>
      <c r="V72" s="164">
        <f t="shared" ref="V72:V79" si="91">(T72-S72)*24*60</f>
        <v>154</v>
      </c>
      <c r="W72" s="14"/>
      <c r="X72" s="14"/>
      <c r="Y72" s="456"/>
      <c r="Z72" s="456"/>
      <c r="AA72" s="11">
        <f t="shared" si="85"/>
        <v>-257.14285714285688</v>
      </c>
      <c r="AB72" s="156">
        <f>M72/J72</f>
        <v>0.89285714285714302</v>
      </c>
      <c r="AC72" s="470">
        <f>AB80</f>
        <v>0.89510394119769143</v>
      </c>
    </row>
    <row r="73" spans="1:29" ht="15.75" customHeight="1">
      <c r="A73" s="467" t="s">
        <v>12</v>
      </c>
      <c r="B73" s="165" t="s">
        <v>24</v>
      </c>
      <c r="C73" s="487" t="s">
        <v>56</v>
      </c>
      <c r="D73" s="487"/>
      <c r="E73" s="26">
        <v>20.2</v>
      </c>
      <c r="F73" s="165">
        <v>2586</v>
      </c>
      <c r="G73" s="155">
        <f t="shared" si="86"/>
        <v>52237.2</v>
      </c>
      <c r="H73" s="76" t="s">
        <v>57</v>
      </c>
      <c r="I73" s="163">
        <v>19</v>
      </c>
      <c r="J73" s="18">
        <v>2400</v>
      </c>
      <c r="K73" s="9">
        <f t="shared" si="87"/>
        <v>126.31578947368421</v>
      </c>
      <c r="L73" s="17">
        <v>19</v>
      </c>
      <c r="M73" s="10">
        <f t="shared" ref="M73:M79" si="92">F73/V73*60</f>
        <v>2154.9999999999991</v>
      </c>
      <c r="N73" s="9">
        <f t="shared" si="88"/>
        <v>113.4210526315789</v>
      </c>
      <c r="O73" s="11">
        <f t="shared" si="89"/>
        <v>0</v>
      </c>
      <c r="P73" s="12">
        <f t="shared" si="90"/>
        <v>-12.894736842105303</v>
      </c>
      <c r="Q73" s="156">
        <f t="shared" ref="Q73:Q80" si="93">N73/K73</f>
        <v>0.89791666666666636</v>
      </c>
      <c r="R73" s="470"/>
      <c r="S73" s="24">
        <v>0.23750000000000002</v>
      </c>
      <c r="T73" s="24">
        <v>0.28750000000000003</v>
      </c>
      <c r="U73" s="155">
        <f>(S73-T72)*24*60</f>
        <v>8.0000000000000107</v>
      </c>
      <c r="V73" s="164">
        <f t="shared" si="91"/>
        <v>72.000000000000028</v>
      </c>
      <c r="W73" s="14"/>
      <c r="X73" s="14"/>
      <c r="Y73" s="456"/>
      <c r="Z73" s="456"/>
      <c r="AA73" s="11">
        <f t="shared" si="85"/>
        <v>-245.00000000000091</v>
      </c>
      <c r="AB73" s="156">
        <f t="shared" ref="AB73:AB80" si="94">M73/J73</f>
        <v>0.89791666666666625</v>
      </c>
      <c r="AC73" s="470"/>
    </row>
    <row r="74" spans="1:29" ht="15.75" customHeight="1">
      <c r="A74" s="467" t="s">
        <v>12</v>
      </c>
      <c r="B74" s="165" t="s">
        <v>24</v>
      </c>
      <c r="C74" s="487" t="s">
        <v>83</v>
      </c>
      <c r="D74" s="487"/>
      <c r="E74" s="26">
        <v>32.03</v>
      </c>
      <c r="F74" s="165">
        <v>1961</v>
      </c>
      <c r="G74" s="155">
        <f t="shared" si="86"/>
        <v>62810.83</v>
      </c>
      <c r="H74" s="76" t="s">
        <v>57</v>
      </c>
      <c r="I74" s="163">
        <v>19</v>
      </c>
      <c r="J74" s="18">
        <v>2400</v>
      </c>
      <c r="K74" s="9">
        <f t="shared" si="87"/>
        <v>126.31578947368421</v>
      </c>
      <c r="L74" s="17">
        <v>19</v>
      </c>
      <c r="M74" s="10">
        <f t="shared" si="92"/>
        <v>2139.2727272727288</v>
      </c>
      <c r="N74" s="9">
        <f t="shared" si="88"/>
        <v>112.59330143540679</v>
      </c>
      <c r="O74" s="11">
        <f t="shared" si="89"/>
        <v>0</v>
      </c>
      <c r="P74" s="12">
        <f t="shared" si="90"/>
        <v>-13.722488038277419</v>
      </c>
      <c r="Q74" s="156">
        <f t="shared" si="93"/>
        <v>0.89136363636363714</v>
      </c>
      <c r="R74" s="470"/>
      <c r="S74" s="24">
        <v>0.29305555555555557</v>
      </c>
      <c r="T74" s="24">
        <v>0.33124999999999999</v>
      </c>
      <c r="U74" s="155">
        <f t="shared" ref="U74:U79" si="95">(S74-T73)*24*60</f>
        <v>7.9999999999999716</v>
      </c>
      <c r="V74" s="164">
        <f t="shared" si="91"/>
        <v>54.999999999999964</v>
      </c>
      <c r="W74" s="14"/>
      <c r="X74" s="14"/>
      <c r="Y74" s="456"/>
      <c r="Z74" s="456"/>
      <c r="AA74" s="11">
        <f t="shared" si="85"/>
        <v>-260.72727272727116</v>
      </c>
      <c r="AB74" s="156">
        <f t="shared" si="94"/>
        <v>0.89136363636363702</v>
      </c>
      <c r="AC74" s="470"/>
    </row>
    <row r="75" spans="1:29" ht="15.75" customHeight="1">
      <c r="A75" s="467" t="s">
        <v>12</v>
      </c>
      <c r="B75" s="165" t="s">
        <v>24</v>
      </c>
      <c r="C75" s="487" t="s">
        <v>46</v>
      </c>
      <c r="D75" s="487"/>
      <c r="E75" s="26">
        <v>25</v>
      </c>
      <c r="F75" s="165">
        <v>2700</v>
      </c>
      <c r="G75" s="155">
        <f t="shared" si="86"/>
        <v>67500</v>
      </c>
      <c r="H75" s="76">
        <v>2</v>
      </c>
      <c r="I75" s="163">
        <v>15</v>
      </c>
      <c r="J75" s="18">
        <v>2400</v>
      </c>
      <c r="K75" s="9">
        <f>J75/I75</f>
        <v>160</v>
      </c>
      <c r="L75" s="17">
        <v>15</v>
      </c>
      <c r="M75" s="10">
        <f t="shared" si="92"/>
        <v>2160.0000000000009</v>
      </c>
      <c r="N75" s="9">
        <f t="shared" si="88"/>
        <v>144.00000000000006</v>
      </c>
      <c r="O75" s="11">
        <f t="shared" si="89"/>
        <v>0</v>
      </c>
      <c r="P75" s="12">
        <f t="shared" si="90"/>
        <v>-15.999999999999943</v>
      </c>
      <c r="Q75" s="156">
        <f t="shared" si="93"/>
        <v>0.90000000000000036</v>
      </c>
      <c r="R75" s="470"/>
      <c r="S75" s="24">
        <v>0.33611111111111108</v>
      </c>
      <c r="T75" s="24">
        <v>0.3881944444444444</v>
      </c>
      <c r="U75" s="155">
        <f t="shared" si="95"/>
        <v>6.9999999999999751</v>
      </c>
      <c r="V75" s="164">
        <f t="shared" si="91"/>
        <v>74.999999999999972</v>
      </c>
      <c r="W75" s="14"/>
      <c r="X75" s="14"/>
      <c r="Y75" s="456"/>
      <c r="Z75" s="456"/>
      <c r="AA75" s="11">
        <f t="shared" si="85"/>
        <v>-239.99999999999909</v>
      </c>
      <c r="AB75" s="156">
        <f t="shared" si="94"/>
        <v>0.90000000000000036</v>
      </c>
      <c r="AC75" s="470"/>
    </row>
    <row r="76" spans="1:29" ht="15.75" customHeight="1">
      <c r="A76" s="467" t="s">
        <v>12</v>
      </c>
      <c r="B76" s="165" t="s">
        <v>24</v>
      </c>
      <c r="C76" s="487" t="s">
        <v>510</v>
      </c>
      <c r="D76" s="487"/>
      <c r="E76" s="26">
        <v>27.24</v>
      </c>
      <c r="F76" s="165">
        <v>5500</v>
      </c>
      <c r="G76" s="155">
        <f t="shared" si="86"/>
        <v>149820</v>
      </c>
      <c r="H76" s="76">
        <v>2</v>
      </c>
      <c r="I76" s="163">
        <v>20</v>
      </c>
      <c r="J76" s="18">
        <v>2400</v>
      </c>
      <c r="K76" s="9">
        <f t="shared" ref="K76:K80" si="96">J76/I76</f>
        <v>120</v>
      </c>
      <c r="L76" s="17">
        <v>20</v>
      </c>
      <c r="M76" s="10">
        <f t="shared" si="92"/>
        <v>2142.8571428571431</v>
      </c>
      <c r="N76" s="9">
        <f t="shared" si="88"/>
        <v>107.14285714285715</v>
      </c>
      <c r="O76" s="11">
        <f t="shared" si="89"/>
        <v>0</v>
      </c>
      <c r="P76" s="12">
        <f t="shared" si="90"/>
        <v>-12.857142857142847</v>
      </c>
      <c r="Q76" s="156">
        <f t="shared" si="93"/>
        <v>0.8928571428571429</v>
      </c>
      <c r="R76" s="470"/>
      <c r="S76" s="24">
        <v>0.39236111111111105</v>
      </c>
      <c r="T76" s="24">
        <v>0.4993055555555555</v>
      </c>
      <c r="U76" s="155">
        <f t="shared" si="95"/>
        <v>5.9999999999999787</v>
      </c>
      <c r="V76" s="164">
        <f t="shared" si="91"/>
        <v>154</v>
      </c>
      <c r="W76" s="14"/>
      <c r="X76" s="14"/>
      <c r="Y76" s="456"/>
      <c r="Z76" s="456"/>
      <c r="AA76" s="11">
        <f t="shared" si="85"/>
        <v>-257.14285714285688</v>
      </c>
      <c r="AB76" s="156">
        <f t="shared" si="94"/>
        <v>0.89285714285714302</v>
      </c>
      <c r="AC76" s="470"/>
    </row>
    <row r="77" spans="1:29" ht="15.75" customHeight="1">
      <c r="A77" s="467" t="s">
        <v>12</v>
      </c>
      <c r="B77" s="165" t="s">
        <v>24</v>
      </c>
      <c r="C77" s="487" t="s">
        <v>45</v>
      </c>
      <c r="D77" s="487"/>
      <c r="E77" s="26">
        <v>19.02</v>
      </c>
      <c r="F77" s="165">
        <v>4250</v>
      </c>
      <c r="G77" s="155">
        <f t="shared" si="86"/>
        <v>80835</v>
      </c>
      <c r="H77" s="76" t="s">
        <v>57</v>
      </c>
      <c r="I77" s="163">
        <v>15</v>
      </c>
      <c r="J77" s="18">
        <v>2400</v>
      </c>
      <c r="K77" s="9">
        <f t="shared" si="96"/>
        <v>160</v>
      </c>
      <c r="L77" s="17">
        <v>15</v>
      </c>
      <c r="M77" s="10">
        <f t="shared" si="92"/>
        <v>2142.8571428571418</v>
      </c>
      <c r="N77" s="9">
        <f t="shared" si="88"/>
        <v>142.85714285714278</v>
      </c>
      <c r="O77" s="11">
        <f t="shared" si="89"/>
        <v>0</v>
      </c>
      <c r="P77" s="12">
        <f t="shared" si="90"/>
        <v>-17.142857142857224</v>
      </c>
      <c r="Q77" s="156">
        <f t="shared" si="93"/>
        <v>0.89285714285714235</v>
      </c>
      <c r="R77" s="470"/>
      <c r="S77" s="24">
        <v>0.53888888888888886</v>
      </c>
      <c r="T77" s="24">
        <v>0.62152777777777779</v>
      </c>
      <c r="U77" s="155">
        <f t="shared" si="95"/>
        <v>57.000000000000036</v>
      </c>
      <c r="V77" s="164">
        <f t="shared" si="91"/>
        <v>119.00000000000006</v>
      </c>
      <c r="W77" s="14"/>
      <c r="X77" s="14"/>
      <c r="Y77" s="456"/>
      <c r="Z77" s="456"/>
      <c r="AA77" s="11">
        <f t="shared" si="85"/>
        <v>-257.14285714285825</v>
      </c>
      <c r="AB77" s="156">
        <f t="shared" si="94"/>
        <v>0.89285714285714235</v>
      </c>
      <c r="AC77" s="470"/>
    </row>
    <row r="78" spans="1:29" ht="15.75" customHeight="1">
      <c r="A78" s="467" t="s">
        <v>12</v>
      </c>
      <c r="B78" s="165" t="s">
        <v>24</v>
      </c>
      <c r="C78" s="491" t="s">
        <v>510</v>
      </c>
      <c r="D78" s="492"/>
      <c r="E78" s="26">
        <v>27.24</v>
      </c>
      <c r="F78" s="165">
        <v>1618</v>
      </c>
      <c r="G78" s="155">
        <f t="shared" si="86"/>
        <v>44074.32</v>
      </c>
      <c r="H78" s="76" t="s">
        <v>57</v>
      </c>
      <c r="I78" s="163">
        <v>20</v>
      </c>
      <c r="J78" s="18">
        <v>2400</v>
      </c>
      <c r="K78" s="9">
        <f t="shared" si="96"/>
        <v>120</v>
      </c>
      <c r="L78" s="17">
        <v>20</v>
      </c>
      <c r="M78" s="10">
        <f t="shared" si="92"/>
        <v>2157.3333333333335</v>
      </c>
      <c r="N78" s="9">
        <f t="shared" si="88"/>
        <v>107.86666666666667</v>
      </c>
      <c r="O78" s="11">
        <f t="shared" si="89"/>
        <v>0</v>
      </c>
      <c r="P78" s="12">
        <f t="shared" si="90"/>
        <v>-12.133333333333326</v>
      </c>
      <c r="Q78" s="156">
        <f t="shared" si="93"/>
        <v>0.89888888888888896</v>
      </c>
      <c r="R78" s="470"/>
      <c r="S78" s="24">
        <v>0.62569444444444444</v>
      </c>
      <c r="T78" s="24">
        <v>0.65694444444444444</v>
      </c>
      <c r="U78" s="155">
        <f t="shared" si="95"/>
        <v>5.9999999999999787</v>
      </c>
      <c r="V78" s="164">
        <f t="shared" si="91"/>
        <v>45</v>
      </c>
      <c r="W78" s="14"/>
      <c r="X78" s="14"/>
      <c r="Y78" s="473"/>
      <c r="Z78" s="474"/>
      <c r="AA78" s="11">
        <f t="shared" si="85"/>
        <v>-242.66666666666652</v>
      </c>
      <c r="AB78" s="156">
        <f t="shared" si="94"/>
        <v>0.89888888888888896</v>
      </c>
      <c r="AC78" s="470"/>
    </row>
    <row r="79" spans="1:29" ht="15.75" customHeight="1">
      <c r="A79" s="467" t="s">
        <v>12</v>
      </c>
      <c r="B79" s="165" t="s">
        <v>24</v>
      </c>
      <c r="C79" s="491" t="s">
        <v>46</v>
      </c>
      <c r="D79" s="492"/>
      <c r="E79" s="26">
        <v>25</v>
      </c>
      <c r="F79" s="165">
        <v>1967</v>
      </c>
      <c r="G79" s="155">
        <f t="shared" si="86"/>
        <v>49175</v>
      </c>
      <c r="H79" s="76" t="s">
        <v>57</v>
      </c>
      <c r="I79" s="163">
        <v>15</v>
      </c>
      <c r="J79" s="18">
        <v>2400</v>
      </c>
      <c r="K79" s="9">
        <f t="shared" si="96"/>
        <v>160</v>
      </c>
      <c r="L79" s="17">
        <v>15</v>
      </c>
      <c r="M79" s="10">
        <f t="shared" si="92"/>
        <v>2145.8181818181833</v>
      </c>
      <c r="N79" s="9">
        <f t="shared" si="88"/>
        <v>143.05454545454555</v>
      </c>
      <c r="O79" s="11">
        <f t="shared" si="89"/>
        <v>0</v>
      </c>
      <c r="P79" s="12">
        <f t="shared" si="90"/>
        <v>-16.945454545454453</v>
      </c>
      <c r="Q79" s="156">
        <f t="shared" si="93"/>
        <v>0.89409090909090971</v>
      </c>
      <c r="R79" s="470"/>
      <c r="S79" s="24">
        <v>0.66041666666666665</v>
      </c>
      <c r="T79" s="24">
        <v>0.69861111111111107</v>
      </c>
      <c r="U79" s="155">
        <f t="shared" si="95"/>
        <v>4.9999999999999822</v>
      </c>
      <c r="V79" s="164">
        <f t="shared" si="91"/>
        <v>54.999999999999964</v>
      </c>
      <c r="W79" s="14"/>
      <c r="X79" s="14"/>
      <c r="Y79" s="473"/>
      <c r="Z79" s="474"/>
      <c r="AA79" s="11">
        <f t="shared" si="85"/>
        <v>-254.18181818181665</v>
      </c>
      <c r="AB79" s="156">
        <f t="shared" si="94"/>
        <v>0.89409090909090971</v>
      </c>
      <c r="AC79" s="470"/>
    </row>
    <row r="80" spans="1:29" ht="16.5" customHeight="1">
      <c r="A80" s="501" t="s">
        <v>12</v>
      </c>
      <c r="B80" s="26" t="s">
        <v>81</v>
      </c>
      <c r="C80" s="466"/>
      <c r="D80" s="466"/>
      <c r="E80" s="157"/>
      <c r="F80" s="16"/>
      <c r="G80" s="9"/>
      <c r="H80" s="165"/>
      <c r="I80" s="17">
        <v>17.25</v>
      </c>
      <c r="J80" s="18">
        <v>2400</v>
      </c>
      <c r="K80" s="9">
        <f t="shared" si="96"/>
        <v>139.13043478260869</v>
      </c>
      <c r="L80" s="17">
        <v>17.25</v>
      </c>
      <c r="M80" s="10">
        <f>AVERAGE(M72:M79)</f>
        <v>2148.2494588744594</v>
      </c>
      <c r="N80" s="9">
        <f>M80/L80</f>
        <v>124.53620051446141</v>
      </c>
      <c r="O80" s="11">
        <f>L80-I80</f>
        <v>0</v>
      </c>
      <c r="P80" s="12">
        <f>N80-K80</f>
        <v>-14.594234268147275</v>
      </c>
      <c r="Q80" s="156">
        <f t="shared" si="93"/>
        <v>0.89510394119769143</v>
      </c>
      <c r="R80" s="470"/>
      <c r="S80" s="24"/>
      <c r="T80" s="24"/>
      <c r="U80" s="9"/>
      <c r="V80" s="164"/>
      <c r="W80" s="9"/>
      <c r="X80" s="9"/>
      <c r="Y80" s="456"/>
      <c r="Z80" s="456"/>
      <c r="AA80" s="11">
        <f t="shared" si="85"/>
        <v>-251.75054112554062</v>
      </c>
      <c r="AB80" s="156">
        <f t="shared" si="94"/>
        <v>0.89510394119769143</v>
      </c>
      <c r="AC80" s="470"/>
    </row>
    <row r="81" spans="4:5">
      <c r="D81" s="19"/>
      <c r="E81" s="19"/>
    </row>
  </sheetData>
  <mergeCells count="21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4"/>
    <mergeCell ref="C10:D10"/>
    <mergeCell ref="R10:R14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4"/>
    <mergeCell ref="C11:D11"/>
    <mergeCell ref="Y11:Z11"/>
    <mergeCell ref="C12:D12"/>
    <mergeCell ref="Y12:Z12"/>
    <mergeCell ref="C13:D13"/>
    <mergeCell ref="Y13:Z13"/>
    <mergeCell ref="C14:D14"/>
    <mergeCell ref="Y14:Z14"/>
    <mergeCell ref="A15:A21"/>
    <mergeCell ref="C15:D15"/>
    <mergeCell ref="R15:R21"/>
    <mergeCell ref="Y15:Z15"/>
    <mergeCell ref="AC15:AC21"/>
    <mergeCell ref="C16:D16"/>
    <mergeCell ref="Y16:Z16"/>
    <mergeCell ref="C17:D17"/>
    <mergeCell ref="Y17:Z17"/>
    <mergeCell ref="C18:D18"/>
    <mergeCell ref="AC22:AC30"/>
    <mergeCell ref="C23:D23"/>
    <mergeCell ref="Y23:Z23"/>
    <mergeCell ref="C24:D24"/>
    <mergeCell ref="Y24:Z24"/>
    <mergeCell ref="C25:D25"/>
    <mergeCell ref="Y18:Z18"/>
    <mergeCell ref="C19:D19"/>
    <mergeCell ref="Y19:Z19"/>
    <mergeCell ref="C20:D20"/>
    <mergeCell ref="Y20:Z20"/>
    <mergeCell ref="C21:D21"/>
    <mergeCell ref="Y21:Z21"/>
    <mergeCell ref="Y25:Z25"/>
    <mergeCell ref="C26:D26"/>
    <mergeCell ref="Y26:Z26"/>
    <mergeCell ref="C27:D27"/>
    <mergeCell ref="Y27:Z27"/>
    <mergeCell ref="C28:D28"/>
    <mergeCell ref="Y28:Z28"/>
    <mergeCell ref="A22:A30"/>
    <mergeCell ref="C22:D22"/>
    <mergeCell ref="R22:R30"/>
    <mergeCell ref="Y22:Z22"/>
    <mergeCell ref="C29:D29"/>
    <mergeCell ref="Y29:Z29"/>
    <mergeCell ref="C30:D30"/>
    <mergeCell ref="Y30:Z30"/>
    <mergeCell ref="A31:A40"/>
    <mergeCell ref="C31:D31"/>
    <mergeCell ref="R31:R40"/>
    <mergeCell ref="Y31:Z31"/>
    <mergeCell ref="Y36:Z36"/>
    <mergeCell ref="C37:D37"/>
    <mergeCell ref="AC41:AC48"/>
    <mergeCell ref="C42:D42"/>
    <mergeCell ref="Y42:Z42"/>
    <mergeCell ref="C43:D43"/>
    <mergeCell ref="Y43:Z43"/>
    <mergeCell ref="C44:D44"/>
    <mergeCell ref="Y37:Z37"/>
    <mergeCell ref="C38:D38"/>
    <mergeCell ref="Y38:Z38"/>
    <mergeCell ref="C39:D39"/>
    <mergeCell ref="Y39:Z39"/>
    <mergeCell ref="C40:D40"/>
    <mergeCell ref="Y40:Z40"/>
    <mergeCell ref="AC31:AC40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44:Z44"/>
    <mergeCell ref="C45:D45"/>
    <mergeCell ref="Y45:Z45"/>
    <mergeCell ref="C46:D46"/>
    <mergeCell ref="Y46:Z46"/>
    <mergeCell ref="C47:D47"/>
    <mergeCell ref="Y47:Z47"/>
    <mergeCell ref="A41:A48"/>
    <mergeCell ref="C41:D41"/>
    <mergeCell ref="R41:R48"/>
    <mergeCell ref="Y41:Z41"/>
    <mergeCell ref="C48:D48"/>
    <mergeCell ref="Y48:Z48"/>
    <mergeCell ref="AC49:AC60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60:D60"/>
    <mergeCell ref="Y60:Z60"/>
    <mergeCell ref="A61:A65"/>
    <mergeCell ref="C61:D61"/>
    <mergeCell ref="R61:R65"/>
    <mergeCell ref="Y61:Z61"/>
    <mergeCell ref="Y56:Z56"/>
    <mergeCell ref="C57:D57"/>
    <mergeCell ref="Y57:Z57"/>
    <mergeCell ref="C58:D58"/>
    <mergeCell ref="Y58:Z58"/>
    <mergeCell ref="C59:D59"/>
    <mergeCell ref="Y59:Z59"/>
    <mergeCell ref="A49:A60"/>
    <mergeCell ref="C49:D49"/>
    <mergeCell ref="R49:R60"/>
    <mergeCell ref="Y49:Z49"/>
    <mergeCell ref="Y54:Z54"/>
    <mergeCell ref="C55:D55"/>
    <mergeCell ref="Y55:Z55"/>
    <mergeCell ref="C56:D56"/>
    <mergeCell ref="AC66:AC71"/>
    <mergeCell ref="C67:D67"/>
    <mergeCell ref="Y67:Z67"/>
    <mergeCell ref="C68:D68"/>
    <mergeCell ref="Y68:Z68"/>
    <mergeCell ref="C69:D69"/>
    <mergeCell ref="AC61:AC65"/>
    <mergeCell ref="C62:D62"/>
    <mergeCell ref="Y62:Z62"/>
    <mergeCell ref="C63:D63"/>
    <mergeCell ref="C65:D65"/>
    <mergeCell ref="Y65:Z65"/>
    <mergeCell ref="Y69:Z69"/>
    <mergeCell ref="C70:D70"/>
    <mergeCell ref="Y70:Z70"/>
    <mergeCell ref="C71:D71"/>
    <mergeCell ref="Y71:Z71"/>
    <mergeCell ref="A72:A80"/>
    <mergeCell ref="C72:D72"/>
    <mergeCell ref="R72:R80"/>
    <mergeCell ref="Y72:Z72"/>
    <mergeCell ref="Y77:Z77"/>
    <mergeCell ref="A66:A71"/>
    <mergeCell ref="C66:D66"/>
    <mergeCell ref="R66:R71"/>
    <mergeCell ref="Y66:Z66"/>
    <mergeCell ref="C78:D78"/>
    <mergeCell ref="Y78:Z78"/>
    <mergeCell ref="C79:D79"/>
    <mergeCell ref="Y79:Z79"/>
    <mergeCell ref="C80:D80"/>
    <mergeCell ref="Y80:Z80"/>
    <mergeCell ref="AC72:AC80"/>
    <mergeCell ref="C73:D73"/>
    <mergeCell ref="Y73:Z73"/>
    <mergeCell ref="C74:D74"/>
    <mergeCell ref="Y74:Z74"/>
    <mergeCell ref="C75:D75"/>
    <mergeCell ref="Y75:Z75"/>
    <mergeCell ref="C76:D76"/>
    <mergeCell ref="Y76:Z76"/>
    <mergeCell ref="C77:D77"/>
  </mergeCells>
  <phoneticPr fontId="3" type="noConversion"/>
  <conditionalFormatting sqref="O69:O77 O80 O5:O10 O14:O16 O60:O66 O21:O38 O40:O54">
    <cfRule type="cellIs" dxfId="853" priority="84" operator="greaterThan">
      <formula>0</formula>
    </cfRule>
  </conditionalFormatting>
  <conditionalFormatting sqref="P5:P8 P69:P70 AA69:AA70 P72:P77 P31:P38 P66 P10 P14:P16 P22:P29 P61:P64 P41:P54 AA5:AA66 AA72:AA80">
    <cfRule type="cellIs" dxfId="852" priority="88" operator="lessThan">
      <formula>0</formula>
    </cfRule>
  </conditionalFormatting>
  <conditionalFormatting sqref="AB69:AB70 Q69:Q77 Q80 Q5:Q10 Q14:Q16 Q60:Q66 Q21:Q38 Q40:Q54 AB5:AB66 AB72:AB80">
    <cfRule type="cellIs" dxfId="851" priority="85" operator="greaterThan">
      <formula>1</formula>
    </cfRule>
    <cfRule type="cellIs" dxfId="850" priority="86" operator="lessThan">
      <formula>0.8</formula>
    </cfRule>
  </conditionalFormatting>
  <conditionalFormatting sqref="AC15:AC16 R15:R16 AC69 R69:R77 R21:R27 AC21:AC27 AC30:AC38 R30:R38 R80 AC5:AC10 R5:R10 R40:R54 AC40:AC54 AC60:AC66 R60:R66">
    <cfRule type="cellIs" dxfId="849" priority="90" operator="lessThan">
      <formula>0.8</formula>
    </cfRule>
  </conditionalFormatting>
  <conditionalFormatting sqref="AC49">
    <cfRule type="cellIs" dxfId="848" priority="92" operator="lessThan">
      <formula>0.8</formula>
    </cfRule>
  </conditionalFormatting>
  <conditionalFormatting sqref="AC22:AC27">
    <cfRule type="cellIs" dxfId="847" priority="89" operator="lessThan">
      <formula>0.8</formula>
    </cfRule>
  </conditionalFormatting>
  <conditionalFormatting sqref="AC31">
    <cfRule type="cellIs" dxfId="846" priority="91" operator="lessThan">
      <formula>0.8</formula>
    </cfRule>
  </conditionalFormatting>
  <conditionalFormatting sqref="AC41:AC47">
    <cfRule type="cellIs" dxfId="845" priority="87" operator="lessThan">
      <formula>0.8</formula>
    </cfRule>
  </conditionalFormatting>
  <conditionalFormatting sqref="AA71">
    <cfRule type="cellIs" dxfId="844" priority="83" operator="lessThan">
      <formula>0</formula>
    </cfRule>
  </conditionalFormatting>
  <conditionalFormatting sqref="AB71">
    <cfRule type="cellIs" dxfId="843" priority="81" operator="greaterThan">
      <formula>1</formula>
    </cfRule>
    <cfRule type="cellIs" dxfId="842" priority="82" operator="lessThan">
      <formula>0.8</formula>
    </cfRule>
  </conditionalFormatting>
  <conditionalFormatting sqref="O17:O18">
    <cfRule type="cellIs" dxfId="841" priority="76" operator="greaterThan">
      <formula>0</formula>
    </cfRule>
  </conditionalFormatting>
  <conditionalFormatting sqref="P17:P18">
    <cfRule type="cellIs" dxfId="840" priority="79" operator="lessThan">
      <formula>0</formula>
    </cfRule>
  </conditionalFormatting>
  <conditionalFormatting sqref="Q17:Q18">
    <cfRule type="cellIs" dxfId="839" priority="77" operator="greaterThan">
      <formula>1</formula>
    </cfRule>
    <cfRule type="cellIs" dxfId="838" priority="78" operator="lessThan">
      <formula>0.8</formula>
    </cfRule>
  </conditionalFormatting>
  <conditionalFormatting sqref="R17:R18 AC17:AC18">
    <cfRule type="cellIs" dxfId="837" priority="80" operator="lessThan">
      <formula>0.8</formula>
    </cfRule>
  </conditionalFormatting>
  <conditionalFormatting sqref="O11:O13">
    <cfRule type="cellIs" dxfId="836" priority="72" operator="greaterThan">
      <formula>0</formula>
    </cfRule>
  </conditionalFormatting>
  <conditionalFormatting sqref="P11:P13">
    <cfRule type="cellIs" dxfId="835" priority="75" operator="lessThan">
      <formula>0</formula>
    </cfRule>
  </conditionalFormatting>
  <conditionalFormatting sqref="Q11:Q13">
    <cfRule type="cellIs" dxfId="834" priority="73" operator="greaterThan">
      <formula>1</formula>
    </cfRule>
    <cfRule type="cellIs" dxfId="833" priority="74" operator="lessThan">
      <formula>0.8</formula>
    </cfRule>
  </conditionalFormatting>
  <conditionalFormatting sqref="AC29 R29">
    <cfRule type="cellIs" dxfId="832" priority="71" operator="lessThan">
      <formula>0.8</formula>
    </cfRule>
  </conditionalFormatting>
  <conditionalFormatting sqref="O68">
    <cfRule type="cellIs" dxfId="831" priority="66" operator="greaterThan">
      <formula>0</formula>
    </cfRule>
  </conditionalFormatting>
  <conditionalFormatting sqref="P68 AA68">
    <cfRule type="cellIs" dxfId="830" priority="69" operator="lessThan">
      <formula>0</formula>
    </cfRule>
  </conditionalFormatting>
  <conditionalFormatting sqref="Q68 AB68">
    <cfRule type="cellIs" dxfId="829" priority="67" operator="greaterThan">
      <formula>1</formula>
    </cfRule>
    <cfRule type="cellIs" dxfId="828" priority="68" operator="lessThan">
      <formula>0.8</formula>
    </cfRule>
  </conditionalFormatting>
  <conditionalFormatting sqref="R68 AC68">
    <cfRule type="cellIs" dxfId="827" priority="70" operator="lessThan">
      <formula>0.8</formula>
    </cfRule>
  </conditionalFormatting>
  <conditionalFormatting sqref="O39">
    <cfRule type="cellIs" dxfId="826" priority="61" operator="greaterThan">
      <formula>0</formula>
    </cfRule>
  </conditionalFormatting>
  <conditionalFormatting sqref="P39">
    <cfRule type="cellIs" dxfId="825" priority="64" operator="lessThan">
      <formula>0</formula>
    </cfRule>
  </conditionalFormatting>
  <conditionalFormatting sqref="Q39">
    <cfRule type="cellIs" dxfId="824" priority="62" operator="greaterThan">
      <formula>1</formula>
    </cfRule>
    <cfRule type="cellIs" dxfId="823" priority="63" operator="lessThan">
      <formula>0.8</formula>
    </cfRule>
  </conditionalFormatting>
  <conditionalFormatting sqref="R39 AC39">
    <cfRule type="cellIs" dxfId="822" priority="65" operator="lessThan">
      <formula>0.8</formula>
    </cfRule>
  </conditionalFormatting>
  <conditionalFormatting sqref="O78">
    <cfRule type="cellIs" dxfId="821" priority="56" operator="greaterThan">
      <formula>0</formula>
    </cfRule>
  </conditionalFormatting>
  <conditionalFormatting sqref="P78">
    <cfRule type="cellIs" dxfId="820" priority="59" operator="lessThan">
      <formula>0</formula>
    </cfRule>
  </conditionalFormatting>
  <conditionalFormatting sqref="Q78">
    <cfRule type="cellIs" dxfId="819" priority="57" operator="greaterThan">
      <formula>1</formula>
    </cfRule>
    <cfRule type="cellIs" dxfId="818" priority="58" operator="lessThan">
      <formula>0.8</formula>
    </cfRule>
  </conditionalFormatting>
  <conditionalFormatting sqref="R78">
    <cfRule type="cellIs" dxfId="817" priority="60" operator="lessThan">
      <formula>0.8</formula>
    </cfRule>
  </conditionalFormatting>
  <conditionalFormatting sqref="O19:O20">
    <cfRule type="cellIs" dxfId="816" priority="51" operator="greaterThan">
      <formula>0</formula>
    </cfRule>
  </conditionalFormatting>
  <conditionalFormatting sqref="P19:P20">
    <cfRule type="cellIs" dxfId="815" priority="54" operator="lessThan">
      <formula>0</formula>
    </cfRule>
  </conditionalFormatting>
  <conditionalFormatting sqref="Q19:Q20">
    <cfRule type="cellIs" dxfId="814" priority="52" operator="greaterThan">
      <formula>1</formula>
    </cfRule>
    <cfRule type="cellIs" dxfId="813" priority="53" operator="lessThan">
      <formula>0.8</formula>
    </cfRule>
  </conditionalFormatting>
  <conditionalFormatting sqref="R19:R20 AC19:AC20">
    <cfRule type="cellIs" dxfId="812" priority="55" operator="lessThan">
      <formula>0.8</formula>
    </cfRule>
  </conditionalFormatting>
  <conditionalFormatting sqref="O55">
    <cfRule type="cellIs" dxfId="811" priority="45" operator="greaterThan">
      <formula>0</formula>
    </cfRule>
  </conditionalFormatting>
  <conditionalFormatting sqref="P55">
    <cfRule type="cellIs" dxfId="810" priority="49" operator="lessThan">
      <formula>0</formula>
    </cfRule>
  </conditionalFormatting>
  <conditionalFormatting sqref="Q55">
    <cfRule type="cellIs" dxfId="809" priority="46" operator="greaterThan">
      <formula>1</formula>
    </cfRule>
    <cfRule type="cellIs" dxfId="808" priority="47" operator="lessThan">
      <formula>0.8</formula>
    </cfRule>
  </conditionalFormatting>
  <conditionalFormatting sqref="R55 AC55">
    <cfRule type="cellIs" dxfId="807" priority="50" operator="lessThan">
      <formula>0.8</formula>
    </cfRule>
  </conditionalFormatting>
  <conditionalFormatting sqref="AC55">
    <cfRule type="cellIs" dxfId="806" priority="48" operator="lessThan">
      <formula>0.8</formula>
    </cfRule>
  </conditionalFormatting>
  <conditionalFormatting sqref="O56">
    <cfRule type="cellIs" dxfId="805" priority="39" operator="greaterThan">
      <formula>0</formula>
    </cfRule>
  </conditionalFormatting>
  <conditionalFormatting sqref="P56">
    <cfRule type="cellIs" dxfId="804" priority="43" operator="lessThan">
      <formula>0</formula>
    </cfRule>
  </conditionalFormatting>
  <conditionalFormatting sqref="Q56">
    <cfRule type="cellIs" dxfId="803" priority="40" operator="greaterThan">
      <formula>1</formula>
    </cfRule>
    <cfRule type="cellIs" dxfId="802" priority="41" operator="lessThan">
      <formula>0.8</formula>
    </cfRule>
  </conditionalFormatting>
  <conditionalFormatting sqref="R56 AC56">
    <cfRule type="cellIs" dxfId="801" priority="44" operator="lessThan">
      <formula>0.8</formula>
    </cfRule>
  </conditionalFormatting>
  <conditionalFormatting sqref="AC56">
    <cfRule type="cellIs" dxfId="800" priority="42" operator="lessThan">
      <formula>0.8</formula>
    </cfRule>
  </conditionalFormatting>
  <conditionalFormatting sqref="R28 AC28">
    <cfRule type="cellIs" dxfId="799" priority="38" operator="lessThan">
      <formula>0.8</formula>
    </cfRule>
  </conditionalFormatting>
  <conditionalFormatting sqref="AC28">
    <cfRule type="cellIs" dxfId="798" priority="37" operator="lessThan">
      <formula>0.8</formula>
    </cfRule>
  </conditionalFormatting>
  <conditionalFormatting sqref="O57">
    <cfRule type="cellIs" dxfId="797" priority="31" operator="greaterThan">
      <formula>0</formula>
    </cfRule>
  </conditionalFormatting>
  <conditionalFormatting sqref="P57">
    <cfRule type="cellIs" dxfId="796" priority="35" operator="lessThan">
      <formula>0</formula>
    </cfRule>
  </conditionalFormatting>
  <conditionalFormatting sqref="Q57">
    <cfRule type="cellIs" dxfId="795" priority="32" operator="greaterThan">
      <formula>1</formula>
    </cfRule>
    <cfRule type="cellIs" dxfId="794" priority="33" operator="lessThan">
      <formula>0.8</formula>
    </cfRule>
  </conditionalFormatting>
  <conditionalFormatting sqref="R57 AC57">
    <cfRule type="cellIs" dxfId="793" priority="36" operator="lessThan">
      <formula>0.8</formula>
    </cfRule>
  </conditionalFormatting>
  <conditionalFormatting sqref="AC57">
    <cfRule type="cellIs" dxfId="792" priority="34" operator="lessThan">
      <formula>0.8</formula>
    </cfRule>
  </conditionalFormatting>
  <conditionalFormatting sqref="O58">
    <cfRule type="cellIs" dxfId="791" priority="25" operator="greaterThan">
      <formula>0</formula>
    </cfRule>
  </conditionalFormatting>
  <conditionalFormatting sqref="P58">
    <cfRule type="cellIs" dxfId="790" priority="29" operator="lessThan">
      <formula>0</formula>
    </cfRule>
  </conditionalFormatting>
  <conditionalFormatting sqref="Q58">
    <cfRule type="cellIs" dxfId="789" priority="26" operator="greaterThan">
      <formula>1</formula>
    </cfRule>
    <cfRule type="cellIs" dxfId="788" priority="27" operator="lessThan">
      <formula>0.8</formula>
    </cfRule>
  </conditionalFormatting>
  <conditionalFormatting sqref="R58 AC58">
    <cfRule type="cellIs" dxfId="787" priority="30" operator="lessThan">
      <formula>0.8</formula>
    </cfRule>
  </conditionalFormatting>
  <conditionalFormatting sqref="AC58">
    <cfRule type="cellIs" dxfId="786" priority="28" operator="lessThan">
      <formula>0.8</formula>
    </cfRule>
  </conditionalFormatting>
  <conditionalFormatting sqref="O59">
    <cfRule type="cellIs" dxfId="785" priority="19" operator="greaterThan">
      <formula>0</formula>
    </cfRule>
  </conditionalFormatting>
  <conditionalFormatting sqref="P59">
    <cfRule type="cellIs" dxfId="784" priority="23" operator="lessThan">
      <formula>0</formula>
    </cfRule>
  </conditionalFormatting>
  <conditionalFormatting sqref="Q59">
    <cfRule type="cellIs" dxfId="783" priority="20" operator="greaterThan">
      <formula>1</formula>
    </cfRule>
    <cfRule type="cellIs" dxfId="782" priority="21" operator="lessThan">
      <formula>0.8</formula>
    </cfRule>
  </conditionalFormatting>
  <conditionalFormatting sqref="R59 AC59">
    <cfRule type="cellIs" dxfId="781" priority="24" operator="lessThan">
      <formula>0.8</formula>
    </cfRule>
  </conditionalFormatting>
  <conditionalFormatting sqref="AC59">
    <cfRule type="cellIs" dxfId="780" priority="22" operator="lessThan">
      <formula>0.8</formula>
    </cfRule>
  </conditionalFormatting>
  <conditionalFormatting sqref="O67">
    <cfRule type="cellIs" dxfId="779" priority="14" operator="greaterThan">
      <formula>0</formula>
    </cfRule>
  </conditionalFormatting>
  <conditionalFormatting sqref="P67 AA67">
    <cfRule type="cellIs" dxfId="778" priority="17" operator="lessThan">
      <formula>0</formula>
    </cfRule>
  </conditionalFormatting>
  <conditionalFormatting sqref="Q67 AB67">
    <cfRule type="cellIs" dxfId="777" priority="15" operator="greaterThan">
      <formula>1</formula>
    </cfRule>
    <cfRule type="cellIs" dxfId="776" priority="16" operator="lessThan">
      <formula>0.8</formula>
    </cfRule>
  </conditionalFormatting>
  <conditionalFormatting sqref="R67 AC67">
    <cfRule type="cellIs" dxfId="775" priority="18" operator="lessThan">
      <formula>0.8</formula>
    </cfRule>
  </conditionalFormatting>
  <conditionalFormatting sqref="P9">
    <cfRule type="cellIs" dxfId="774" priority="13" operator="lessThan">
      <formula>0</formula>
    </cfRule>
  </conditionalFormatting>
  <conditionalFormatting sqref="P21">
    <cfRule type="cellIs" dxfId="773" priority="12" operator="lessThan">
      <formula>0</formula>
    </cfRule>
  </conditionalFormatting>
  <conditionalFormatting sqref="P30">
    <cfRule type="cellIs" dxfId="772" priority="11" operator="lessThan">
      <formula>0</formula>
    </cfRule>
  </conditionalFormatting>
  <conditionalFormatting sqref="P40">
    <cfRule type="cellIs" dxfId="771" priority="10" operator="lessThan">
      <formula>0</formula>
    </cfRule>
  </conditionalFormatting>
  <conditionalFormatting sqref="P60">
    <cfRule type="cellIs" dxfId="770" priority="9" operator="lessThan">
      <formula>0</formula>
    </cfRule>
  </conditionalFormatting>
  <conditionalFormatting sqref="P65">
    <cfRule type="cellIs" dxfId="769" priority="8" operator="lessThan">
      <formula>0</formula>
    </cfRule>
  </conditionalFormatting>
  <conditionalFormatting sqref="P71">
    <cfRule type="cellIs" dxfId="768" priority="7" operator="lessThan">
      <formula>0</formula>
    </cfRule>
  </conditionalFormatting>
  <conditionalFormatting sqref="P80">
    <cfRule type="cellIs" dxfId="767" priority="6" operator="lessThan">
      <formula>0</formula>
    </cfRule>
  </conditionalFormatting>
  <conditionalFormatting sqref="O79">
    <cfRule type="cellIs" dxfId="766" priority="1" operator="greaterThan">
      <formula>0</formula>
    </cfRule>
  </conditionalFormatting>
  <conditionalFormatting sqref="P79">
    <cfRule type="cellIs" dxfId="765" priority="4" operator="lessThan">
      <formula>0</formula>
    </cfRule>
  </conditionalFormatting>
  <conditionalFormatting sqref="Q79">
    <cfRule type="cellIs" dxfId="764" priority="2" operator="greaterThan">
      <formula>1</formula>
    </cfRule>
    <cfRule type="cellIs" dxfId="763" priority="3" operator="lessThan">
      <formula>0.8</formula>
    </cfRule>
  </conditionalFormatting>
  <conditionalFormatting sqref="R79">
    <cfRule type="cellIs" dxfId="762" priority="5" operator="lessThan">
      <formula>0.8</formula>
    </cfRule>
  </conditionalFormatting>
  <dataValidations count="1">
    <dataValidation type="list" allowBlank="1" showInputMessage="1" showErrorMessage="1" sqref="Z9 Z70 Y5:Z8 Y9:Y70 Z11:Z66 Y71:Z8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40" t="s">
        <v>509</v>
      </c>
      <c r="C3" s="421" t="str">
        <f>TEXT('0708 4度C'!A2,"yyyy.mm.ddaaaa")</f>
        <v>2025.07.08星期二</v>
      </c>
      <c r="D3" s="421"/>
      <c r="E3" s="140" t="s">
        <v>127</v>
      </c>
      <c r="F3" s="422">
        <f>'0708 4度C'!D1</f>
        <v>194067</v>
      </c>
      <c r="G3" s="422"/>
      <c r="H3" s="140" t="s">
        <v>90</v>
      </c>
      <c r="I3" s="423">
        <f>'0708 4度C'!F1</f>
        <v>6456129.5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128</v>
      </c>
      <c r="D4" s="424"/>
      <c r="E4" s="425" t="s">
        <v>92</v>
      </c>
      <c r="F4" s="425"/>
      <c r="G4" s="425" t="s">
        <v>171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508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140.15149787194341</v>
      </c>
      <c r="F6" s="424">
        <f>AVERAGE(D27:O27,D13:J13)</f>
        <v>146.30742654247007</v>
      </c>
      <c r="G6" s="429">
        <f>AVERAGE(D13:J13)</f>
        <v>146.30742654247007</v>
      </c>
      <c r="H6" s="429"/>
      <c r="I6" s="429">
        <f>AVERAGE(K13:M13)</f>
        <v>125.78766430738119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125.76582764376215</v>
      </c>
      <c r="F7" s="434">
        <f>AVERAGE(D28:O28,D14:J14)</f>
        <v>131.38789642978094</v>
      </c>
      <c r="G7" s="435">
        <f>AVERAGE(D14:J14)</f>
        <v>131.38789642978094</v>
      </c>
      <c r="H7" s="435"/>
      <c r="I7" s="435">
        <f>AVERAGE(K14:M14)</f>
        <v>112.64766714305159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0.89680029234390912</v>
      </c>
      <c r="F8" s="432">
        <f>AVERAGE(D15:J15,D29:O29)</f>
        <v>0.89736244439180479</v>
      </c>
      <c r="G8" s="437">
        <f>AVERAGE(D15:J15)</f>
        <v>0.89736244439180479</v>
      </c>
      <c r="H8" s="437"/>
      <c r="I8" s="437">
        <f>AVERAGE(K15:M15)</f>
        <v>0.89548860423215226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100</v>
      </c>
      <c r="I12" s="42" t="s">
        <v>101</v>
      </c>
      <c r="J12" s="43" t="s">
        <v>507</v>
      </c>
      <c r="K12" s="41" t="s">
        <v>134</v>
      </c>
      <c r="L12" s="42" t="s">
        <v>77</v>
      </c>
      <c r="M12" s="43" t="s">
        <v>186</v>
      </c>
    </row>
    <row r="13" spans="2:17" ht="40.15" customHeight="1">
      <c r="B13" s="447" t="s">
        <v>114</v>
      </c>
      <c r="C13" s="44" t="s">
        <v>506</v>
      </c>
      <c r="D13" s="45">
        <f>SUMIFS('0708 4度C'!$K:$K,'0708 4度C'!$A:$A,"燴飯線",'0708 4度C'!$B:$B,"平均")</f>
        <v>104.34782608695652</v>
      </c>
      <c r="E13" s="46">
        <f>SUMIFS('0708 4度C'!$K:$K,'0708 4度C'!$A:$A,"沙拉線一線",'0708 4度C'!$B:$B,"平均")</f>
        <v>79.787234042553195</v>
      </c>
      <c r="F13" s="47">
        <f>SUMIFS('0708 4度C'!$K:$K,'0708 4度C'!$A:$A,"沙拉線二線",'0708 4度C'!$B:$B,"平均")</f>
        <v>81.124999999999986</v>
      </c>
      <c r="G13" s="47">
        <f>SUMIFS('0708 4度C'!$K:$K,'0708 4度C'!$A:$A,"沙拉線三線",'0708 4度C'!$B:$B,"平均")</f>
        <v>106.15384615384616</v>
      </c>
      <c r="H13" s="47">
        <f>SUMIFS('0708 4度C'!$K:$K,'0708 4度C'!$A:$A,"自動包裝線",'0708 4度C'!$B:$B,"平均")</f>
        <v>283.18584070796459</v>
      </c>
      <c r="I13" s="47">
        <f>SUMIFS('0708 4度C'!$K:$K,'0708 4度C'!$A:$A,"涼麵一線",'0708 4度C'!$B:$B,"平均")</f>
        <v>89.552238805970148</v>
      </c>
      <c r="J13" s="48">
        <f>SUMIFS('0708 4度C'!$K:$K,'0708 4度C'!$A:$A,"三明治四線",'0708 4度C'!$B:$B,"平均")</f>
        <v>280</v>
      </c>
      <c r="K13" s="49">
        <f>SUMIFS('0708 4度C'!$K:$K,'0708 4度C'!$A:$A,"三明治一線",'0708 4度C'!$B:$B,"平均")</f>
        <v>108</v>
      </c>
      <c r="L13" s="50">
        <f>SUMIFS('0708 4度C'!$K:$K,'0708 4度C'!$A:$A,"三明治二線",'0708 4度C'!$B:$B,"平均")</f>
        <v>130.23255813953489</v>
      </c>
      <c r="M13" s="48">
        <f>SUMIFS('0708 4度C'!$K:$K,'0708 4度C'!$A:$A,"自動包裝二線",'0708 4度C'!$B:$B,"平均")</f>
        <v>139.13043478260869</v>
      </c>
    </row>
    <row r="14" spans="2:17" ht="39.6" customHeight="1">
      <c r="B14" s="447"/>
      <c r="C14" s="51" t="s">
        <v>88</v>
      </c>
      <c r="D14" s="52">
        <f>SUMIFS('0708 4度C'!$N:$N,'0708 4度C'!$A:$A,"燴飯線",'0708 4度C'!$B:$B,"平均")</f>
        <v>93.722265933660253</v>
      </c>
      <c r="E14" s="53">
        <f>SUMIFS('0708 4度C'!$N:$N,'0708 4度C'!$A:$A,"沙拉線一線",'0708 4度C'!$B:$B,"平均")</f>
        <v>71.418913311853132</v>
      </c>
      <c r="F14" s="53">
        <f>SUMIFS('0708 4度C'!$N:$N,'0708 4度C'!$A:$A,"沙拉線二線",'0708 4度C'!$B:$B,"平均")</f>
        <v>72.664751529240363</v>
      </c>
      <c r="G14" s="53">
        <f>SUMIFS('0708 4度C'!$N:$N,'0708 4度C'!$A:$A,"沙拉線三線",'0708 4度C'!$B:$B,"平均")</f>
        <v>95.344375880060383</v>
      </c>
      <c r="H14" s="53">
        <f>SUMIFS('0708 4度C'!$N:$N,'0708 4度C'!$A:$A,"自動包裝線",'0708 4度C'!$B:$B,"平均")</f>
        <v>254.35000970526073</v>
      </c>
      <c r="I14" s="53">
        <f>SUMIFS('0708 4度C'!$N:$N,'0708 4度C'!$A:$A,"涼麵一線",'0708 4度C'!$B:$B,"平均")</f>
        <v>80.275008259516923</v>
      </c>
      <c r="J14" s="54">
        <f>SUMIFS('0708 4度C'!$N:$N,'0708 4度C'!$A:$A,"三明治四線",'0708 4度C'!$B:$B,"平均")</f>
        <v>251.93995038887485</v>
      </c>
      <c r="K14" s="55">
        <f>SUMIFS('0708 4度C'!$N:$N,'0708 4度C'!$A:$A,"三明治一線",'0708 4度C'!$B:$B,"平均")</f>
        <v>96.683263684433513</v>
      </c>
      <c r="L14" s="56">
        <f>SUMIFS('0708 4度C'!$N:$N,'0708 4度C'!$A:$A,"三明治二線",'0708 4度C'!$B:$B,"平均")</f>
        <v>116.47194245685584</v>
      </c>
      <c r="M14" s="54">
        <f>SUMIFS('0708 4度C'!$N:$N,'0708 4度C'!$A:$A,"自動包裝二線",'0708 4度C'!$B:$B,"平均")</f>
        <v>124.78779528786544</v>
      </c>
    </row>
    <row r="15" spans="2:17" ht="40.15" customHeight="1">
      <c r="B15" s="447"/>
      <c r="C15" s="57" t="s">
        <v>102</v>
      </c>
      <c r="D15" s="58">
        <f t="shared" ref="D15:M15" si="0">D14/D13</f>
        <v>0.89817171519757744</v>
      </c>
      <c r="E15" s="59">
        <f t="shared" si="0"/>
        <v>0.89511704684189253</v>
      </c>
      <c r="F15" s="59">
        <f t="shared" si="0"/>
        <v>0.89571342408924959</v>
      </c>
      <c r="G15" s="59">
        <f t="shared" si="0"/>
        <v>0.89817165684114852</v>
      </c>
      <c r="H15" s="59">
        <f t="shared" si="0"/>
        <v>0.89817347177170204</v>
      </c>
      <c r="I15" s="59">
        <f t="shared" si="0"/>
        <v>0.89640425889793895</v>
      </c>
      <c r="J15" s="60">
        <f t="shared" si="0"/>
        <v>0.89978553710312448</v>
      </c>
      <c r="K15" s="58">
        <f t="shared" si="0"/>
        <v>0.89521540448549553</v>
      </c>
      <c r="L15" s="59">
        <f t="shared" si="0"/>
        <v>0.89433812957942871</v>
      </c>
      <c r="M15" s="60">
        <f t="shared" si="0"/>
        <v>0.89691227863153289</v>
      </c>
    </row>
    <row r="16" spans="2:17" ht="17.25" customHeight="1">
      <c r="B16" s="430" t="s">
        <v>285</v>
      </c>
      <c r="C16" s="139" t="s">
        <v>103</v>
      </c>
      <c r="D16" s="61">
        <f>VLOOKUP("燴飯線",'0708 4度C'!$A:$T,19,0)</f>
        <v>0.70833333333333337</v>
      </c>
      <c r="E16" s="24">
        <f>VLOOKUP("沙拉線一線",'0708 4度C'!$A:$T,19,0)</f>
        <v>8.8888888888888878E-2</v>
      </c>
      <c r="F16" s="24">
        <f>VLOOKUP("沙拉線二線",'0708 4度C'!$A:$T,19,0)</f>
        <v>0.25</v>
      </c>
      <c r="G16" s="24">
        <f>VLOOKUP("沙拉線三線",'0708 4度C'!$A:$T,19,0)</f>
        <v>0.25</v>
      </c>
      <c r="H16" s="24">
        <f>VLOOKUP("自動包裝線",'0708 4度C'!$A:$T,19,0)</f>
        <v>0.125</v>
      </c>
      <c r="I16" s="24">
        <f>VLOOKUP("涼麵一線",'0708 4度C'!$A:$T,19,0)</f>
        <v>0.29305555555555557</v>
      </c>
      <c r="J16" s="62">
        <f>VLOOKUP("三明治四線",'0708 4度C'!$A:$T,19,0)</f>
        <v>0.25069444444444444</v>
      </c>
      <c r="K16" s="63">
        <f>VLOOKUP("三明治一線",'0708 4度C'!$A:$T,19,0)</f>
        <v>8.3333333333333329E-2</v>
      </c>
      <c r="L16" s="64">
        <f>VLOOKUP("三明治二線",'0708 4度C'!$A:$T,19,0)</f>
        <v>0.125</v>
      </c>
      <c r="M16" s="65">
        <f>VLOOKUP("自動包裝二線",'0708 4度C'!$A:$T,19,0)</f>
        <v>0.125</v>
      </c>
    </row>
    <row r="17" spans="2:13" ht="17.25" customHeight="1">
      <c r="B17" s="431"/>
      <c r="C17" s="139" t="s">
        <v>192</v>
      </c>
      <c r="D17" s="63">
        <f>LOOKUP(2,1/(('0708 4度C'!$A:$A="燴飯線")*('0708 4度C'!$T:$T&lt;&gt;"")),'0708 4度C'!$T:$T)</f>
        <v>0.95138888888888884</v>
      </c>
      <c r="E17" s="24">
        <f>LOOKUP(2,1/(('0708 4度C'!$A:$A="沙拉線一線")*('0708 4度C'!$T:$T&lt;&gt;"")),'0708 4度C'!$T:$T)</f>
        <v>0.7138888888888888</v>
      </c>
      <c r="F17" s="24">
        <f>LOOKUP(2,1/(('0708 4度C'!$A:$A="沙拉線二線")*('0708 4度C'!$T:$T&lt;&gt;"")),'0708 4度C'!$T:$T)</f>
        <v>0.85277777777777786</v>
      </c>
      <c r="G17" s="24">
        <f>LOOKUP(2,1/(('0708 4度C'!$A:$A="沙拉線三線")*('0708 4度C'!$T:$T&lt;&gt;"")),'0708 4度C'!$T:$T)</f>
        <v>0.94305555555555565</v>
      </c>
      <c r="H17" s="24">
        <f>LOOKUP(2,1/(('0708 4度C'!$A:$A="自動包裝線")*('0708 4度C'!$T:$T&lt;&gt;"")),'0708 4度C'!$T:$T)</f>
        <v>0.66597222222222219</v>
      </c>
      <c r="I17" s="24">
        <f>LOOKUP(2,1/(('0708 4度C'!$A:$A="涼麵一線")*('0708 4度C'!$T:$T&lt;&gt;"")),'0708 4度C'!$T:$T)</f>
        <v>0.84375</v>
      </c>
      <c r="J17" s="62">
        <f>LOOKUP(2,1/(('0708 4度C'!$A:$A="三明治四線")*('0708 4度C'!$T:$T&lt;&gt;"")),'0708 4度C'!$T:$T)</f>
        <v>0.5430555555555554</v>
      </c>
      <c r="K17" s="61">
        <f>LOOKUP(2,1/(('0708 4度C'!$A:$A="三明治一線")*('0708 4度C'!$T:$T&lt;&gt;"")),'0708 4度C'!$T:$T)</f>
        <v>0.70138888888888884</v>
      </c>
      <c r="L17" s="24">
        <f>LOOKUP(2,1/(('0708 4度C'!$A:$A="三明治二線")*('0708 4度C'!$T:$T&lt;&gt;"")),'0708 4度C'!$T:$T)</f>
        <v>0.75277777777777777</v>
      </c>
      <c r="M17" s="62">
        <f>LOOKUP(2,1/(('0708 4度C'!$A:$A="自動包裝二線")*('0708 4度C'!$T:$T&lt;&gt;"")),'0708 4度C'!$T:$T)</f>
        <v>0.7618055555555554</v>
      </c>
    </row>
    <row r="18" spans="2:13" ht="17.25" customHeight="1">
      <c r="B18" s="431" t="s">
        <v>138</v>
      </c>
      <c r="C18" s="446"/>
      <c r="D18" s="66">
        <f>SUMIFS('0708 4度C'!$I:$I,'0708 4度C'!$A:$A,"燴飯線",'0708 4度C'!$B:$B,"平均")</f>
        <v>17.25</v>
      </c>
      <c r="E18" s="67">
        <f>SUMIFS('0708 4度C'!$I:$I,'0708 4度C'!$A:$A,"沙拉線一線",'0708 4度C'!$B:$B,"平均")</f>
        <v>18.8</v>
      </c>
      <c r="F18" s="67">
        <f>SUMIFS('0708 4度C'!$I:$I,'0708 4度C'!$A:$A,"沙拉線二線",'0708 4度C'!$B:$B,"平均")</f>
        <v>18.666666666666668</v>
      </c>
      <c r="G18" s="67">
        <f>SUMIFS('0708 4度C'!$I:$I,'0708 4度C'!$A:$A,"沙拉線三線",'0708 4度C'!$B:$B,"平均")</f>
        <v>16.25</v>
      </c>
      <c r="H18" s="67">
        <f>SUMIFS('0708 4度C'!$I:$I,'0708 4度C'!$A:$A,"自動包裝線",'0708 4度C'!$B:$B,"平均")</f>
        <v>10.272727272727273</v>
      </c>
      <c r="I18" s="67">
        <f>SUMIFS('0708 4度C'!$I:$I,'0708 4度C'!$A:$A,"涼麵一線",'0708 4度C'!$B:$B,"平均")</f>
        <v>16.75</v>
      </c>
      <c r="J18" s="68">
        <f>SUMIFS('0708 4度C'!$I:$I,'0708 4度C'!$A:$A,"三明治四線",'0708 4度C'!$B:$B,"平均")</f>
        <v>9.6</v>
      </c>
      <c r="K18" s="66">
        <f>SUMIFS('0708 4度C'!$I:$I,'0708 4度C'!$A:$A,"三明治一線",'0708 4度C'!$B:$B,"平均")</f>
        <v>22.222222222222221</v>
      </c>
      <c r="L18" s="67">
        <f>SUMIFS('0708 4度C'!$I:$I,'0708 4度C'!$A:$A,"三明治二線",'0708 4度C'!$B:$B,"平均")</f>
        <v>18.428571428571427</v>
      </c>
      <c r="M18" s="68">
        <f>SUMIFS('0708 4度C'!$I:$I,'0708 4度C'!$A:$A,"自動包裝二線",'0708 4度C'!$B:$B,"平均")</f>
        <v>17.25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505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200</v>
      </c>
      <c r="F21" s="452" t="s">
        <v>142</v>
      </c>
      <c r="G21" s="453"/>
      <c r="H21" s="73" t="s">
        <v>107</v>
      </c>
      <c r="I21" s="73" t="s">
        <v>108</v>
      </c>
      <c r="J21" s="74" t="s">
        <v>504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G8:H8"/>
    <mergeCell ref="I8:J8"/>
    <mergeCell ref="E5:F5"/>
    <mergeCell ref="G5:H5"/>
    <mergeCell ref="I5:J5"/>
    <mergeCell ref="C6:D6"/>
    <mergeCell ref="E6:F6"/>
    <mergeCell ref="G6:H6"/>
    <mergeCell ref="I6:J6"/>
    <mergeCell ref="K10:M10"/>
    <mergeCell ref="B11:C12"/>
    <mergeCell ref="I7:J7"/>
    <mergeCell ref="B13:B15"/>
    <mergeCell ref="B16:B17"/>
    <mergeCell ref="C7:D7"/>
    <mergeCell ref="E7:F7"/>
    <mergeCell ref="G7:H7"/>
    <mergeCell ref="C8:D8"/>
    <mergeCell ref="E8:F8"/>
    <mergeCell ref="B10:C10"/>
    <mergeCell ref="D10:J10"/>
    <mergeCell ref="B18:C18"/>
    <mergeCell ref="B19:C19"/>
    <mergeCell ref="B20:C20"/>
    <mergeCell ref="B21:C21"/>
    <mergeCell ref="F21:G21"/>
  </mergeCells>
  <phoneticPr fontId="3" type="noConversion"/>
  <conditionalFormatting sqref="D15:M15">
    <cfRule type="cellIs" dxfId="76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2"/>
  <sheetViews>
    <sheetView zoomScale="80" zoomScaleNormal="80" workbookViewId="0">
      <pane ySplit="4" topLeftCell="A5" activePane="bottomLeft" state="frozen"/>
      <selection activeCell="I3" sqref="I3:J3"/>
      <selection pane="bottomLeft" activeCell="C10" sqref="C10:D10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SUM(F5:F81)</f>
        <v>194067</v>
      </c>
      <c r="E1" s="141" t="s">
        <v>206</v>
      </c>
      <c r="F1" s="1">
        <f>SUM(G5:G81)</f>
        <v>6456129.5</v>
      </c>
      <c r="G1" s="1" t="s">
        <v>524</v>
      </c>
      <c r="H1" s="4">
        <f>L9+L15+L61+L66+L22+L72+L41+L49+L31+L81</f>
        <v>165.49018759018756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523</v>
      </c>
      <c r="T1" s="454"/>
      <c r="U1" s="454"/>
      <c r="V1" s="454"/>
      <c r="W1" s="454"/>
      <c r="X1" s="454"/>
      <c r="Y1" s="454" t="s">
        <v>301</v>
      </c>
      <c r="Z1" s="454"/>
      <c r="AA1" s="454" t="s">
        <v>145</v>
      </c>
      <c r="AB1" s="455"/>
      <c r="AC1" s="455"/>
    </row>
    <row r="2" spans="1:29" ht="26.25" customHeight="1">
      <c r="A2" s="22">
        <v>45846</v>
      </c>
      <c r="B2" s="23" t="s">
        <v>74</v>
      </c>
      <c r="C2" s="2" t="s">
        <v>522</v>
      </c>
      <c r="D2" s="6">
        <f>AVERAGE(N9,N15,N61,N66,N22,N72,N31,N41,N49,N81)</f>
        <v>125.76582764376217</v>
      </c>
      <c r="E2" s="7" t="s">
        <v>0</v>
      </c>
      <c r="F2" s="8">
        <f>F1/D1</f>
        <v>33.267528740074304</v>
      </c>
      <c r="G2" s="1" t="s">
        <v>305</v>
      </c>
      <c r="H2" s="152">
        <f>COUNT(H5:H81)</f>
        <v>16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217</v>
      </c>
      <c r="B3" s="456" t="s">
        <v>116</v>
      </c>
      <c r="C3" s="456" t="s">
        <v>521</v>
      </c>
      <c r="D3" s="456"/>
      <c r="E3" s="457" t="s">
        <v>117</v>
      </c>
      <c r="F3" s="456" t="s">
        <v>118</v>
      </c>
      <c r="G3" s="457" t="s">
        <v>222</v>
      </c>
      <c r="H3" s="463" t="s">
        <v>223</v>
      </c>
      <c r="I3" s="464" t="s">
        <v>520</v>
      </c>
      <c r="J3" s="465" t="s">
        <v>149</v>
      </c>
      <c r="K3" s="459" t="s">
        <v>114</v>
      </c>
      <c r="L3" s="464" t="s">
        <v>226</v>
      </c>
      <c r="M3" s="465" t="s">
        <v>149</v>
      </c>
      <c r="N3" s="459" t="s">
        <v>114</v>
      </c>
      <c r="O3" s="464" t="s">
        <v>226</v>
      </c>
      <c r="P3" s="459" t="s">
        <v>114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370</v>
      </c>
      <c r="X3" s="456"/>
      <c r="Y3" s="475" t="s">
        <v>120</v>
      </c>
      <c r="Z3" s="476"/>
      <c r="AA3" s="465" t="s">
        <v>149</v>
      </c>
      <c r="AB3" s="460" t="s">
        <v>519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51" t="s">
        <v>3</v>
      </c>
      <c r="T4" s="151" t="s">
        <v>4</v>
      </c>
      <c r="U4" s="463"/>
      <c r="V4" s="463"/>
      <c r="W4" s="141" t="s">
        <v>151</v>
      </c>
      <c r="X4" s="141" t="s">
        <v>233</v>
      </c>
      <c r="Y4" s="476"/>
      <c r="Z4" s="476"/>
      <c r="AA4" s="465"/>
      <c r="AB4" s="460"/>
      <c r="AC4" s="461"/>
    </row>
    <row r="5" spans="1:29">
      <c r="A5" s="471" t="s">
        <v>234</v>
      </c>
      <c r="B5" s="26" t="s">
        <v>13</v>
      </c>
      <c r="C5" s="472" t="s">
        <v>58</v>
      </c>
      <c r="D5" s="472"/>
      <c r="E5" s="26">
        <v>46.93</v>
      </c>
      <c r="F5" s="151">
        <v>1395</v>
      </c>
      <c r="G5" s="141">
        <f>E5*F5</f>
        <v>65467.35</v>
      </c>
      <c r="H5" s="76" t="s">
        <v>57</v>
      </c>
      <c r="I5" s="149">
        <v>17</v>
      </c>
      <c r="J5" s="18">
        <v>1800</v>
      </c>
      <c r="K5" s="9">
        <f t="shared" ref="K5:K36" si="0">J5/I5</f>
        <v>105.88235294117646</v>
      </c>
      <c r="L5" s="149">
        <v>17</v>
      </c>
      <c r="M5" s="10">
        <f>F5/V5*60</f>
        <v>1609.6153846153854</v>
      </c>
      <c r="N5" s="9">
        <f t="shared" ref="N5:N36" si="1">M5/L5</f>
        <v>94.683257918552087</v>
      </c>
      <c r="O5" s="11">
        <f t="shared" ref="O5:O36" si="2">L5-I5</f>
        <v>0</v>
      </c>
      <c r="P5" s="12">
        <f t="shared" ref="P5:P36" si="3">N5-K5</f>
        <v>-11.199095022624377</v>
      </c>
      <c r="Q5" s="142">
        <f t="shared" ref="Q5:Q36" si="4">N5/K5</f>
        <v>0.89423076923076972</v>
      </c>
      <c r="R5" s="470">
        <f>Q9</f>
        <v>0.89817171519757744</v>
      </c>
      <c r="S5" s="24">
        <v>0.70833333333333337</v>
      </c>
      <c r="T5" s="24">
        <v>0.74444444444444446</v>
      </c>
      <c r="U5" s="141"/>
      <c r="V5" s="150">
        <f>(T5-S5)*24*60</f>
        <v>51.999999999999972</v>
      </c>
      <c r="W5" s="13"/>
      <c r="X5" s="13"/>
      <c r="Y5" s="456"/>
      <c r="Z5" s="456"/>
      <c r="AA5" s="11">
        <f t="shared" ref="AA5:AA36" si="5">M5-J5</f>
        <v>-190.38461538461456</v>
      </c>
      <c r="AB5" s="142">
        <f t="shared" ref="AB5:AB36" si="6">M5/J5</f>
        <v>0.89423076923076972</v>
      </c>
      <c r="AC5" s="470">
        <f>AB9</f>
        <v>0.89817171519757744</v>
      </c>
    </row>
    <row r="6" spans="1:29">
      <c r="A6" s="464" t="s">
        <v>518</v>
      </c>
      <c r="B6" s="26" t="s">
        <v>13</v>
      </c>
      <c r="C6" s="472" t="s">
        <v>60</v>
      </c>
      <c r="D6" s="472"/>
      <c r="E6" s="26">
        <v>50.49</v>
      </c>
      <c r="F6" s="151">
        <v>2344</v>
      </c>
      <c r="G6" s="141">
        <f>E6*F6</f>
        <v>118348.56</v>
      </c>
      <c r="H6" s="76" t="s">
        <v>57</v>
      </c>
      <c r="I6" s="149">
        <v>16</v>
      </c>
      <c r="J6" s="18">
        <v>1800</v>
      </c>
      <c r="K6" s="9">
        <f t="shared" si="0"/>
        <v>112.5</v>
      </c>
      <c r="L6" s="149">
        <v>16</v>
      </c>
      <c r="M6" s="10">
        <f>F6/V6*60</f>
        <v>1616.5517241379307</v>
      </c>
      <c r="N6" s="9">
        <f t="shared" si="1"/>
        <v>101.03448275862067</v>
      </c>
      <c r="O6" s="11">
        <f t="shared" si="2"/>
        <v>0</v>
      </c>
      <c r="P6" s="12">
        <f t="shared" si="3"/>
        <v>-11.465517241379331</v>
      </c>
      <c r="Q6" s="142">
        <f t="shared" si="4"/>
        <v>0.89808429118773925</v>
      </c>
      <c r="R6" s="470"/>
      <c r="S6" s="24">
        <v>0.75</v>
      </c>
      <c r="T6" s="24">
        <v>0.81041666666666667</v>
      </c>
      <c r="U6" s="141">
        <f>(S6-T5)*24*60</f>
        <v>7.9999999999999716</v>
      </c>
      <c r="V6" s="150">
        <f>(T6-S6)*24*60</f>
        <v>87.000000000000014</v>
      </c>
      <c r="W6" s="14"/>
      <c r="X6" s="14"/>
      <c r="Y6" s="456"/>
      <c r="Z6" s="456"/>
      <c r="AA6" s="11">
        <f t="shared" si="5"/>
        <v>-183.44827586206929</v>
      </c>
      <c r="AB6" s="142">
        <f t="shared" si="6"/>
        <v>0.89808429118773925</v>
      </c>
      <c r="AC6" s="470"/>
    </row>
    <row r="7" spans="1:29">
      <c r="A7" s="464" t="s">
        <v>234</v>
      </c>
      <c r="B7" s="26" t="s">
        <v>13</v>
      </c>
      <c r="C7" s="468" t="s">
        <v>448</v>
      </c>
      <c r="D7" s="469"/>
      <c r="E7" s="26">
        <v>48.36</v>
      </c>
      <c r="F7" s="151">
        <v>1700</v>
      </c>
      <c r="G7" s="141">
        <f>E7*F7</f>
        <v>82212</v>
      </c>
      <c r="H7" s="76">
        <v>3</v>
      </c>
      <c r="I7" s="149">
        <v>18</v>
      </c>
      <c r="J7" s="18">
        <v>1800</v>
      </c>
      <c r="K7" s="9">
        <f t="shared" si="0"/>
        <v>100</v>
      </c>
      <c r="L7" s="149">
        <v>18</v>
      </c>
      <c r="M7" s="10">
        <f>F7/V7*60</f>
        <v>1619.0476190476209</v>
      </c>
      <c r="N7" s="9">
        <f t="shared" si="1"/>
        <v>89.947089947090049</v>
      </c>
      <c r="O7" s="11">
        <f t="shared" si="2"/>
        <v>0</v>
      </c>
      <c r="P7" s="12">
        <f t="shared" si="3"/>
        <v>-10.052910052909951</v>
      </c>
      <c r="Q7" s="142">
        <f t="shared" si="4"/>
        <v>0.89947089947090053</v>
      </c>
      <c r="R7" s="470"/>
      <c r="S7" s="24">
        <v>0.81388888888888888</v>
      </c>
      <c r="T7" s="24">
        <v>0.85763888888888884</v>
      </c>
      <c r="U7" s="141">
        <f>(S7-T6)*24*60</f>
        <v>4.9999999999999822</v>
      </c>
      <c r="V7" s="150">
        <f>(T7-S7)*24*60</f>
        <v>62.999999999999936</v>
      </c>
      <c r="W7" s="14"/>
      <c r="X7" s="14"/>
      <c r="Y7" s="473"/>
      <c r="Z7" s="474"/>
      <c r="AA7" s="11">
        <f t="shared" si="5"/>
        <v>-180.95238095237914</v>
      </c>
      <c r="AB7" s="142">
        <f t="shared" si="6"/>
        <v>0.89947089947090042</v>
      </c>
      <c r="AC7" s="470"/>
    </row>
    <row r="8" spans="1:29">
      <c r="A8" s="464" t="s">
        <v>518</v>
      </c>
      <c r="B8" s="26" t="s">
        <v>13</v>
      </c>
      <c r="C8" s="468" t="s">
        <v>448</v>
      </c>
      <c r="D8" s="469"/>
      <c r="E8" s="26">
        <v>48.36</v>
      </c>
      <c r="F8" s="151">
        <v>2000</v>
      </c>
      <c r="G8" s="141">
        <f>E8*F8</f>
        <v>96720</v>
      </c>
      <c r="H8" s="76" t="s">
        <v>57</v>
      </c>
      <c r="I8" s="149">
        <v>18</v>
      </c>
      <c r="J8" s="18">
        <v>1800</v>
      </c>
      <c r="K8" s="9">
        <f t="shared" si="0"/>
        <v>100</v>
      </c>
      <c r="L8" s="149">
        <v>18</v>
      </c>
      <c r="M8" s="10">
        <f>F8/V8*60</f>
        <v>1621.6216216216203</v>
      </c>
      <c r="N8" s="9">
        <f t="shared" si="1"/>
        <v>90.090090090090015</v>
      </c>
      <c r="O8" s="11">
        <f t="shared" si="2"/>
        <v>0</v>
      </c>
      <c r="P8" s="12">
        <f t="shared" si="3"/>
        <v>-9.9099099099099845</v>
      </c>
      <c r="Q8" s="142">
        <f t="shared" si="4"/>
        <v>0.90090090090090014</v>
      </c>
      <c r="R8" s="470"/>
      <c r="S8" s="24">
        <v>0.89999999999999991</v>
      </c>
      <c r="T8" s="24">
        <v>0.95138888888888884</v>
      </c>
      <c r="U8" s="141">
        <f>(S8-T7)*24*60</f>
        <v>60.999999999999943</v>
      </c>
      <c r="V8" s="150">
        <f>(T8-S8)*24*60</f>
        <v>74.000000000000057</v>
      </c>
      <c r="W8" s="15"/>
      <c r="X8" s="15"/>
      <c r="Y8" s="473"/>
      <c r="Z8" s="474"/>
      <c r="AA8" s="11">
        <f t="shared" si="5"/>
        <v>-178.37837837837969</v>
      </c>
      <c r="AB8" s="142">
        <f t="shared" si="6"/>
        <v>0.90090090090090014</v>
      </c>
      <c r="AC8" s="470"/>
    </row>
    <row r="9" spans="1:29">
      <c r="A9" s="464" t="s">
        <v>234</v>
      </c>
      <c r="B9" s="26" t="s">
        <v>81</v>
      </c>
      <c r="C9" s="466"/>
      <c r="D9" s="466"/>
      <c r="E9" s="143"/>
      <c r="F9" s="16"/>
      <c r="G9" s="9"/>
      <c r="H9" s="151"/>
      <c r="I9" s="17">
        <v>17.25</v>
      </c>
      <c r="J9" s="18">
        <v>1800</v>
      </c>
      <c r="K9" s="9">
        <f t="shared" si="0"/>
        <v>104.34782608695652</v>
      </c>
      <c r="L9" s="17">
        <v>17.25</v>
      </c>
      <c r="M9" s="10">
        <f>AVERAGE(M5:M8)</f>
        <v>1616.7090873556394</v>
      </c>
      <c r="N9" s="9">
        <f t="shared" si="1"/>
        <v>93.722265933660253</v>
      </c>
      <c r="O9" s="11">
        <f t="shared" si="2"/>
        <v>0</v>
      </c>
      <c r="P9" s="12">
        <f t="shared" si="3"/>
        <v>-10.625560153296263</v>
      </c>
      <c r="Q9" s="142">
        <f t="shared" si="4"/>
        <v>0.89817171519757744</v>
      </c>
      <c r="R9" s="470"/>
      <c r="S9" s="24"/>
      <c r="T9" s="24"/>
      <c r="U9" s="141"/>
      <c r="V9" s="150"/>
      <c r="W9" s="9"/>
      <c r="X9" s="9"/>
      <c r="Y9" s="456"/>
      <c r="Z9" s="456"/>
      <c r="AA9" s="11">
        <f t="shared" si="5"/>
        <v>-183.29091264436056</v>
      </c>
      <c r="AB9" s="142">
        <f t="shared" si="6"/>
        <v>0.89817171519757744</v>
      </c>
      <c r="AC9" s="470"/>
    </row>
    <row r="10" spans="1:29" ht="15.75" customHeight="1">
      <c r="A10" s="467" t="s">
        <v>237</v>
      </c>
      <c r="B10" s="26" t="s">
        <v>15</v>
      </c>
      <c r="C10" s="468" t="s">
        <v>16</v>
      </c>
      <c r="D10" s="469"/>
      <c r="E10" s="26">
        <v>39.619999999999997</v>
      </c>
      <c r="F10" s="151">
        <v>2700</v>
      </c>
      <c r="G10" s="141">
        <f>E10*F10</f>
        <v>106974</v>
      </c>
      <c r="H10" s="76">
        <v>2</v>
      </c>
      <c r="I10" s="149">
        <v>19</v>
      </c>
      <c r="J10" s="18">
        <v>1500</v>
      </c>
      <c r="K10" s="9">
        <f t="shared" si="0"/>
        <v>78.94736842105263</v>
      </c>
      <c r="L10" s="149">
        <v>19</v>
      </c>
      <c r="M10" s="10">
        <f>F10/V10*60</f>
        <v>1338.8429752066118</v>
      </c>
      <c r="N10" s="9">
        <f t="shared" si="1"/>
        <v>70.46541974771641</v>
      </c>
      <c r="O10" s="11">
        <f t="shared" si="2"/>
        <v>0</v>
      </c>
      <c r="P10" s="12">
        <f t="shared" si="3"/>
        <v>-8.4819486733362197</v>
      </c>
      <c r="Q10" s="142">
        <f t="shared" si="4"/>
        <v>0.89256198347107452</v>
      </c>
      <c r="R10" s="470">
        <f>Q15</f>
        <v>0.89511704684189253</v>
      </c>
      <c r="S10" s="24">
        <v>8.8888888888888878E-2</v>
      </c>
      <c r="T10" s="24">
        <v>0.17291666666666666</v>
      </c>
      <c r="U10" s="141"/>
      <c r="V10" s="150">
        <f>(T10-S10)*24*60</f>
        <v>121</v>
      </c>
      <c r="W10" s="9"/>
      <c r="X10" s="9"/>
      <c r="Y10" s="456"/>
      <c r="Z10" s="456"/>
      <c r="AA10" s="11">
        <f t="shared" si="5"/>
        <v>-161.15702479338825</v>
      </c>
      <c r="AB10" s="142">
        <f t="shared" si="6"/>
        <v>0.89256198347107452</v>
      </c>
      <c r="AC10" s="470">
        <f>AB15</f>
        <v>0.89511704684189253</v>
      </c>
    </row>
    <row r="11" spans="1:29" ht="15.75" customHeight="1">
      <c r="A11" s="467" t="s">
        <v>5</v>
      </c>
      <c r="B11" s="26" t="s">
        <v>15</v>
      </c>
      <c r="C11" s="468" t="s">
        <v>17</v>
      </c>
      <c r="D11" s="469"/>
      <c r="E11" s="26">
        <v>39.799999999999997</v>
      </c>
      <c r="F11" s="151">
        <v>4000</v>
      </c>
      <c r="G11" s="141">
        <f>E11*F11</f>
        <v>159200</v>
      </c>
      <c r="H11" s="76">
        <v>2</v>
      </c>
      <c r="I11" s="149">
        <v>18</v>
      </c>
      <c r="J11" s="18">
        <v>1500</v>
      </c>
      <c r="K11" s="9">
        <f t="shared" si="0"/>
        <v>83.333333333333329</v>
      </c>
      <c r="L11" s="149">
        <v>18</v>
      </c>
      <c r="M11" s="10">
        <f>F11/V11*60</f>
        <v>1340.7821229050282</v>
      </c>
      <c r="N11" s="9">
        <f t="shared" si="1"/>
        <v>74.487895716946014</v>
      </c>
      <c r="O11" s="11">
        <f t="shared" si="2"/>
        <v>0</v>
      </c>
      <c r="P11" s="12">
        <f t="shared" si="3"/>
        <v>-8.845437616387315</v>
      </c>
      <c r="Q11" s="142">
        <f t="shared" si="4"/>
        <v>0.89385474860335223</v>
      </c>
      <c r="R11" s="470"/>
      <c r="S11" s="24">
        <v>0.19652777777777777</v>
      </c>
      <c r="T11" s="24">
        <v>0.3208333333333333</v>
      </c>
      <c r="U11" s="141">
        <f>(S11-T10)*24*60</f>
        <v>34</v>
      </c>
      <c r="V11" s="150">
        <f>(T11-S11)*24*60</f>
        <v>178.99999999999994</v>
      </c>
      <c r="W11" s="14"/>
      <c r="X11" s="14"/>
      <c r="Y11" s="456"/>
      <c r="Z11" s="456"/>
      <c r="AA11" s="11">
        <f t="shared" si="5"/>
        <v>-159.21787709497175</v>
      </c>
      <c r="AB11" s="142">
        <f t="shared" si="6"/>
        <v>0.89385474860335212</v>
      </c>
      <c r="AC11" s="470"/>
    </row>
    <row r="12" spans="1:29" ht="15.75" customHeight="1">
      <c r="A12" s="467" t="s">
        <v>5</v>
      </c>
      <c r="B12" s="26" t="s">
        <v>15</v>
      </c>
      <c r="C12" s="468" t="s">
        <v>517</v>
      </c>
      <c r="D12" s="469"/>
      <c r="E12" s="26">
        <v>37.5</v>
      </c>
      <c r="F12" s="151">
        <v>5500</v>
      </c>
      <c r="G12" s="141">
        <f>E12*F12</f>
        <v>206250</v>
      </c>
      <c r="H12" s="76">
        <v>2</v>
      </c>
      <c r="I12" s="149">
        <v>19</v>
      </c>
      <c r="J12" s="18">
        <v>1500</v>
      </c>
      <c r="K12" s="9">
        <f t="shared" si="0"/>
        <v>78.94736842105263</v>
      </c>
      <c r="L12" s="149">
        <v>19</v>
      </c>
      <c r="M12" s="10">
        <f>F12/V12*60</f>
        <v>1341.4634146341468</v>
      </c>
      <c r="N12" s="9">
        <f t="shared" si="1"/>
        <v>70.603337612323514</v>
      </c>
      <c r="O12" s="11">
        <f t="shared" si="2"/>
        <v>0</v>
      </c>
      <c r="P12" s="12">
        <f t="shared" si="3"/>
        <v>-8.3440308087291157</v>
      </c>
      <c r="Q12" s="142">
        <f t="shared" si="4"/>
        <v>0.89430894308943121</v>
      </c>
      <c r="R12" s="470"/>
      <c r="S12" s="24">
        <v>0.32986111111111105</v>
      </c>
      <c r="T12" s="24">
        <v>0.50069444444444433</v>
      </c>
      <c r="U12" s="141">
        <f>(S12-T11)*24*60</f>
        <v>12.999999999999954</v>
      </c>
      <c r="V12" s="150">
        <f>(T12-S12)*24*60</f>
        <v>245.99999999999991</v>
      </c>
      <c r="W12" s="14"/>
      <c r="X12" s="14"/>
      <c r="Y12" s="456"/>
      <c r="Z12" s="456"/>
      <c r="AA12" s="11">
        <f t="shared" si="5"/>
        <v>-158.53658536585317</v>
      </c>
      <c r="AB12" s="142">
        <f t="shared" si="6"/>
        <v>0.89430894308943121</v>
      </c>
      <c r="AC12" s="470"/>
    </row>
    <row r="13" spans="1:29" ht="15.75" customHeight="1">
      <c r="A13" s="467" t="s">
        <v>5</v>
      </c>
      <c r="B13" s="26" t="s">
        <v>15</v>
      </c>
      <c r="C13" s="468" t="s">
        <v>16</v>
      </c>
      <c r="D13" s="469"/>
      <c r="E13" s="26">
        <v>39.619999999999997</v>
      </c>
      <c r="F13" s="151">
        <v>1934</v>
      </c>
      <c r="G13" s="141">
        <f>E13*F13</f>
        <v>76625.08</v>
      </c>
      <c r="H13" s="76" t="s">
        <v>57</v>
      </c>
      <c r="I13" s="149">
        <v>19</v>
      </c>
      <c r="J13" s="18">
        <v>1500</v>
      </c>
      <c r="K13" s="9">
        <f t="shared" si="0"/>
        <v>78.94736842105263</v>
      </c>
      <c r="L13" s="149">
        <v>19</v>
      </c>
      <c r="M13" s="10">
        <f>F13/V13*60</f>
        <v>1349.3023255813951</v>
      </c>
      <c r="N13" s="9">
        <f t="shared" si="1"/>
        <v>71.015911872705004</v>
      </c>
      <c r="O13" s="11">
        <f t="shared" si="2"/>
        <v>0</v>
      </c>
      <c r="P13" s="12">
        <f t="shared" si="3"/>
        <v>-7.9314565483476258</v>
      </c>
      <c r="Q13" s="142">
        <f t="shared" si="4"/>
        <v>0.89953488372093005</v>
      </c>
      <c r="R13" s="470"/>
      <c r="S13" s="24">
        <v>0.54166666666666652</v>
      </c>
      <c r="T13" s="24">
        <v>0.60138888888888875</v>
      </c>
      <c r="U13" s="141">
        <f>(S13-T12)*24*60</f>
        <v>58.99999999999995</v>
      </c>
      <c r="V13" s="150">
        <f>(T13-S13)*24*60</f>
        <v>86.000000000000014</v>
      </c>
      <c r="W13" s="14"/>
      <c r="X13" s="14"/>
      <c r="Y13" s="456"/>
      <c r="Z13" s="456"/>
      <c r="AA13" s="11">
        <f t="shared" si="5"/>
        <v>-150.69767441860495</v>
      </c>
      <c r="AB13" s="142">
        <f t="shared" si="6"/>
        <v>0.89953488372093005</v>
      </c>
      <c r="AC13" s="470"/>
    </row>
    <row r="14" spans="1:29" ht="15.75" customHeight="1">
      <c r="A14" s="467" t="s">
        <v>5</v>
      </c>
      <c r="B14" s="26" t="s">
        <v>15</v>
      </c>
      <c r="C14" s="468" t="s">
        <v>517</v>
      </c>
      <c r="D14" s="469"/>
      <c r="E14" s="26">
        <v>37.5</v>
      </c>
      <c r="F14" s="151">
        <v>3447</v>
      </c>
      <c r="G14" s="141">
        <f>E14*F14</f>
        <v>129262.5</v>
      </c>
      <c r="H14" s="76" t="s">
        <v>57</v>
      </c>
      <c r="I14" s="149">
        <v>19</v>
      </c>
      <c r="J14" s="18">
        <v>1500</v>
      </c>
      <c r="K14" s="9">
        <f t="shared" si="0"/>
        <v>78.94736842105263</v>
      </c>
      <c r="L14" s="149">
        <v>19</v>
      </c>
      <c r="M14" s="10">
        <f>F14/V14*60</f>
        <v>1342.9870129870121</v>
      </c>
      <c r="N14" s="9">
        <f t="shared" si="1"/>
        <v>70.683526999316427</v>
      </c>
      <c r="O14" s="11">
        <f t="shared" si="2"/>
        <v>0</v>
      </c>
      <c r="P14" s="12">
        <f t="shared" si="3"/>
        <v>-8.2638414217362026</v>
      </c>
      <c r="Q14" s="142">
        <f t="shared" si="4"/>
        <v>0.89532467532467475</v>
      </c>
      <c r="R14" s="470"/>
      <c r="S14" s="24">
        <v>0.60694444444444429</v>
      </c>
      <c r="T14" s="24">
        <v>0.7138888888888888</v>
      </c>
      <c r="U14" s="141">
        <f>(S14-T13)*24*60</f>
        <v>7.9999999999999716</v>
      </c>
      <c r="V14" s="150">
        <f>(T14-S14)*24*60</f>
        <v>154.00000000000009</v>
      </c>
      <c r="W14" s="14"/>
      <c r="X14" s="14"/>
      <c r="Y14" s="473"/>
      <c r="Z14" s="474"/>
      <c r="AA14" s="11">
        <f t="shared" si="5"/>
        <v>-157.01298701298788</v>
      </c>
      <c r="AB14" s="142">
        <f t="shared" si="6"/>
        <v>0.89532467532467475</v>
      </c>
      <c r="AC14" s="470"/>
    </row>
    <row r="15" spans="1:29" ht="16.5" customHeight="1">
      <c r="A15" s="467" t="s">
        <v>5</v>
      </c>
      <c r="B15" s="26" t="s">
        <v>81</v>
      </c>
      <c r="C15" s="466"/>
      <c r="D15" s="466"/>
      <c r="E15" s="143"/>
      <c r="F15" s="18"/>
      <c r="G15" s="10"/>
      <c r="H15" s="151"/>
      <c r="I15" s="17">
        <v>18.8</v>
      </c>
      <c r="J15" s="18">
        <v>1500</v>
      </c>
      <c r="K15" s="9">
        <f t="shared" si="0"/>
        <v>79.787234042553195</v>
      </c>
      <c r="L15" s="17">
        <v>18.8</v>
      </c>
      <c r="M15" s="10">
        <f>AVERAGE(M10:M14)</f>
        <v>1342.6755702628388</v>
      </c>
      <c r="N15" s="9">
        <f t="shared" si="1"/>
        <v>71.418913311853132</v>
      </c>
      <c r="O15" s="11">
        <f t="shared" si="2"/>
        <v>0</v>
      </c>
      <c r="P15" s="12">
        <f t="shared" si="3"/>
        <v>-8.3683207307000629</v>
      </c>
      <c r="Q15" s="142">
        <f t="shared" si="4"/>
        <v>0.89511704684189253</v>
      </c>
      <c r="R15" s="470"/>
      <c r="S15" s="24"/>
      <c r="T15" s="24"/>
      <c r="U15" s="9"/>
      <c r="V15" s="150"/>
      <c r="W15" s="9"/>
      <c r="X15" s="9"/>
      <c r="Y15" s="456"/>
      <c r="Z15" s="456"/>
      <c r="AA15" s="11">
        <f t="shared" si="5"/>
        <v>-157.32442973716115</v>
      </c>
      <c r="AB15" s="142">
        <f t="shared" si="6"/>
        <v>0.89511704684189253</v>
      </c>
      <c r="AC15" s="470"/>
    </row>
    <row r="16" spans="1:29" ht="16.5" customHeight="1">
      <c r="A16" s="480" t="s">
        <v>124</v>
      </c>
      <c r="B16" s="151" t="s">
        <v>18</v>
      </c>
      <c r="C16" s="477" t="s">
        <v>19</v>
      </c>
      <c r="D16" s="477"/>
      <c r="E16" s="26">
        <v>41</v>
      </c>
      <c r="F16" s="151">
        <v>1994</v>
      </c>
      <c r="G16" s="141">
        <f t="shared" ref="G16:G21" si="7">E16*F16</f>
        <v>81754</v>
      </c>
      <c r="H16" s="76" t="s">
        <v>57</v>
      </c>
      <c r="I16" s="149">
        <v>26</v>
      </c>
      <c r="J16" s="18">
        <v>1286</v>
      </c>
      <c r="K16" s="9">
        <f t="shared" si="0"/>
        <v>49.46153846153846</v>
      </c>
      <c r="L16" s="149">
        <v>26</v>
      </c>
      <c r="M16" s="10">
        <f t="shared" ref="M16:M21" si="8">F16/V16*60</f>
        <v>1150.384615384615</v>
      </c>
      <c r="N16" s="9">
        <f t="shared" si="1"/>
        <v>44.245562130177504</v>
      </c>
      <c r="O16" s="11">
        <f t="shared" si="2"/>
        <v>0</v>
      </c>
      <c r="P16" s="12">
        <f t="shared" si="3"/>
        <v>-5.215976331360956</v>
      </c>
      <c r="Q16" s="142">
        <f t="shared" si="4"/>
        <v>0.89454480200980957</v>
      </c>
      <c r="R16" s="470">
        <f>Q22</f>
        <v>0.89571342408924959</v>
      </c>
      <c r="S16" s="24">
        <v>0.25</v>
      </c>
      <c r="T16" s="24">
        <v>0.32222222222222224</v>
      </c>
      <c r="U16" s="141"/>
      <c r="V16" s="150">
        <f t="shared" ref="V16:V21" si="9">(T16-S16)*24*60</f>
        <v>104.00000000000003</v>
      </c>
      <c r="W16" s="15"/>
      <c r="X16" s="15"/>
      <c r="Y16" s="456"/>
      <c r="Z16" s="456"/>
      <c r="AA16" s="11">
        <f t="shared" si="5"/>
        <v>-135.61538461538498</v>
      </c>
      <c r="AB16" s="142">
        <f t="shared" si="6"/>
        <v>0.89454480200980946</v>
      </c>
      <c r="AC16" s="470">
        <f>AB22</f>
        <v>0.89571342408924959</v>
      </c>
    </row>
    <row r="17" spans="1:29" ht="16.5" customHeight="1">
      <c r="A17" s="481" t="s">
        <v>6</v>
      </c>
      <c r="B17" s="151" t="s">
        <v>15</v>
      </c>
      <c r="C17" s="477" t="s">
        <v>68</v>
      </c>
      <c r="D17" s="477"/>
      <c r="E17" s="26">
        <v>39.29</v>
      </c>
      <c r="F17" s="151">
        <v>2411</v>
      </c>
      <c r="G17" s="141">
        <f t="shared" si="7"/>
        <v>94728.19</v>
      </c>
      <c r="H17" s="76" t="s">
        <v>57</v>
      </c>
      <c r="I17" s="149">
        <v>18</v>
      </c>
      <c r="J17" s="18">
        <v>1500</v>
      </c>
      <c r="K17" s="9">
        <f t="shared" si="0"/>
        <v>83.333333333333329</v>
      </c>
      <c r="L17" s="149">
        <v>18</v>
      </c>
      <c r="M17" s="10">
        <f t="shared" si="8"/>
        <v>1339.4444444444443</v>
      </c>
      <c r="N17" s="9">
        <f t="shared" si="1"/>
        <v>74.413580246913568</v>
      </c>
      <c r="O17" s="11">
        <f t="shared" si="2"/>
        <v>0</v>
      </c>
      <c r="P17" s="12">
        <f t="shared" si="3"/>
        <v>-8.9197530864197603</v>
      </c>
      <c r="Q17" s="142">
        <f t="shared" si="4"/>
        <v>0.89296296296296285</v>
      </c>
      <c r="R17" s="470"/>
      <c r="S17" s="24">
        <v>0.32916666666666666</v>
      </c>
      <c r="T17" s="24">
        <v>0.40416666666666667</v>
      </c>
      <c r="U17" s="141">
        <f>(S17-T16)*24*60</f>
        <v>9.9999999999999645</v>
      </c>
      <c r="V17" s="150">
        <f t="shared" si="9"/>
        <v>108.00000000000001</v>
      </c>
      <c r="W17" s="14"/>
      <c r="X17" s="14"/>
      <c r="Y17" s="456"/>
      <c r="Z17" s="456"/>
      <c r="AA17" s="11">
        <f t="shared" si="5"/>
        <v>-160.55555555555566</v>
      </c>
      <c r="AB17" s="142">
        <f t="shared" si="6"/>
        <v>0.89296296296296285</v>
      </c>
      <c r="AC17" s="470"/>
    </row>
    <row r="18" spans="1:29" ht="16.5" customHeight="1">
      <c r="A18" s="481" t="s">
        <v>6</v>
      </c>
      <c r="B18" s="151" t="s">
        <v>15</v>
      </c>
      <c r="C18" s="477" t="s">
        <v>54</v>
      </c>
      <c r="D18" s="477"/>
      <c r="E18" s="26">
        <v>39.29</v>
      </c>
      <c r="F18" s="151">
        <v>3469</v>
      </c>
      <c r="G18" s="141">
        <f t="shared" si="7"/>
        <v>136297.01</v>
      </c>
      <c r="H18" s="76" t="s">
        <v>57</v>
      </c>
      <c r="I18" s="149">
        <v>17</v>
      </c>
      <c r="J18" s="18">
        <v>1500</v>
      </c>
      <c r="K18" s="9">
        <f t="shared" si="0"/>
        <v>88.235294117647058</v>
      </c>
      <c r="L18" s="149">
        <v>17</v>
      </c>
      <c r="M18" s="10">
        <f t="shared" si="8"/>
        <v>1342.8387096774186</v>
      </c>
      <c r="N18" s="9">
        <f t="shared" si="1"/>
        <v>78.990512333965796</v>
      </c>
      <c r="O18" s="11">
        <f t="shared" si="2"/>
        <v>0</v>
      </c>
      <c r="P18" s="12">
        <f t="shared" si="3"/>
        <v>-9.2447817836812618</v>
      </c>
      <c r="Q18" s="142">
        <f t="shared" si="4"/>
        <v>0.89522580645161232</v>
      </c>
      <c r="R18" s="470"/>
      <c r="S18" s="24">
        <v>0.41249999999999998</v>
      </c>
      <c r="T18" s="24">
        <v>0.52013888888888893</v>
      </c>
      <c r="U18" s="141">
        <f>(S18-T17)*24*60</f>
        <v>11.999999999999957</v>
      </c>
      <c r="V18" s="150">
        <f t="shared" si="9"/>
        <v>155.00000000000009</v>
      </c>
      <c r="W18" s="14"/>
      <c r="X18" s="14"/>
      <c r="Y18" s="456"/>
      <c r="Z18" s="456"/>
      <c r="AA18" s="11">
        <f t="shared" si="5"/>
        <v>-157.16129032258141</v>
      </c>
      <c r="AB18" s="142">
        <f t="shared" si="6"/>
        <v>0.89522580645161243</v>
      </c>
      <c r="AC18" s="470"/>
    </row>
    <row r="19" spans="1:29" ht="16.5" customHeight="1">
      <c r="A19" s="481" t="s">
        <v>6</v>
      </c>
      <c r="B19" s="151" t="s">
        <v>15</v>
      </c>
      <c r="C19" s="477" t="s">
        <v>17</v>
      </c>
      <c r="D19" s="477"/>
      <c r="E19" s="26">
        <v>39.799999999999997</v>
      </c>
      <c r="F19" s="151">
        <v>2116</v>
      </c>
      <c r="G19" s="141">
        <f t="shared" si="7"/>
        <v>84216.799999999988</v>
      </c>
      <c r="H19" s="76" t="s">
        <v>57</v>
      </c>
      <c r="I19" s="149">
        <v>18</v>
      </c>
      <c r="J19" s="18">
        <v>1500</v>
      </c>
      <c r="K19" s="9">
        <f t="shared" si="0"/>
        <v>83.333333333333329</v>
      </c>
      <c r="L19" s="149">
        <v>18</v>
      </c>
      <c r="M19" s="10">
        <f t="shared" si="8"/>
        <v>1350.6382978723407</v>
      </c>
      <c r="N19" s="9">
        <f t="shared" si="1"/>
        <v>75.035460992907815</v>
      </c>
      <c r="O19" s="11">
        <f t="shared" si="2"/>
        <v>0</v>
      </c>
      <c r="P19" s="12">
        <f t="shared" si="3"/>
        <v>-8.2978723404255135</v>
      </c>
      <c r="Q19" s="142">
        <f t="shared" si="4"/>
        <v>0.90042553191489383</v>
      </c>
      <c r="R19" s="470"/>
      <c r="S19" s="24">
        <v>0.6020833333333333</v>
      </c>
      <c r="T19" s="24">
        <v>0.66736111111111107</v>
      </c>
      <c r="U19" s="141">
        <f>(S19-T18)*24*60</f>
        <v>117.9999999999999</v>
      </c>
      <c r="V19" s="150">
        <f t="shared" si="9"/>
        <v>93.999999999999986</v>
      </c>
      <c r="W19" s="14"/>
      <c r="X19" s="14"/>
      <c r="Y19" s="456"/>
      <c r="Z19" s="456"/>
      <c r="AA19" s="11">
        <f t="shared" si="5"/>
        <v>-149.36170212765933</v>
      </c>
      <c r="AB19" s="142">
        <f t="shared" si="6"/>
        <v>0.90042553191489383</v>
      </c>
      <c r="AC19" s="470"/>
    </row>
    <row r="20" spans="1:29" ht="16.5" customHeight="1">
      <c r="A20" s="481" t="s">
        <v>6</v>
      </c>
      <c r="B20" s="151" t="s">
        <v>13</v>
      </c>
      <c r="C20" s="477" t="s">
        <v>63</v>
      </c>
      <c r="D20" s="477"/>
      <c r="E20" s="26">
        <v>50.98</v>
      </c>
      <c r="F20" s="151">
        <v>3009</v>
      </c>
      <c r="G20" s="141">
        <f t="shared" si="7"/>
        <v>153398.81999999998</v>
      </c>
      <c r="H20" s="76" t="s">
        <v>57</v>
      </c>
      <c r="I20" s="149">
        <v>17</v>
      </c>
      <c r="J20" s="18">
        <v>1800</v>
      </c>
      <c r="K20" s="9">
        <f t="shared" si="0"/>
        <v>105.88235294117646</v>
      </c>
      <c r="L20" s="149">
        <v>17</v>
      </c>
      <c r="M20" s="10">
        <f t="shared" si="8"/>
        <v>1611.9642857142846</v>
      </c>
      <c r="N20" s="9">
        <f t="shared" si="1"/>
        <v>94.821428571428513</v>
      </c>
      <c r="O20" s="11">
        <f t="shared" si="2"/>
        <v>0</v>
      </c>
      <c r="P20" s="12">
        <f t="shared" si="3"/>
        <v>-11.060924369747951</v>
      </c>
      <c r="Q20" s="142">
        <f t="shared" si="4"/>
        <v>0.89553571428571377</v>
      </c>
      <c r="R20" s="470"/>
      <c r="S20" s="24">
        <v>0.70833333333333337</v>
      </c>
      <c r="T20" s="24">
        <v>0.7861111111111112</v>
      </c>
      <c r="U20" s="141">
        <f>(S20-T19)*24*60</f>
        <v>59.000000000000114</v>
      </c>
      <c r="V20" s="150">
        <f t="shared" si="9"/>
        <v>112.00000000000009</v>
      </c>
      <c r="W20" s="14"/>
      <c r="X20" s="14"/>
      <c r="Y20" s="456"/>
      <c r="Z20" s="456"/>
      <c r="AA20" s="11">
        <f t="shared" si="5"/>
        <v>-188.03571428571536</v>
      </c>
      <c r="AB20" s="142">
        <f t="shared" si="6"/>
        <v>0.89553571428571366</v>
      </c>
      <c r="AC20" s="470"/>
    </row>
    <row r="21" spans="1:29" ht="16.5" customHeight="1">
      <c r="A21" s="481" t="s">
        <v>6</v>
      </c>
      <c r="B21" s="151" t="s">
        <v>13</v>
      </c>
      <c r="C21" s="482" t="s">
        <v>66</v>
      </c>
      <c r="D21" s="483"/>
      <c r="E21" s="26">
        <v>57.73</v>
      </c>
      <c r="F21" s="151">
        <v>1970</v>
      </c>
      <c r="G21" s="141">
        <f t="shared" si="7"/>
        <v>113728.09999999999</v>
      </c>
      <c r="H21" s="76" t="s">
        <v>57</v>
      </c>
      <c r="I21" s="149">
        <v>16</v>
      </c>
      <c r="J21" s="18">
        <v>1500</v>
      </c>
      <c r="K21" s="9">
        <f t="shared" si="0"/>
        <v>93.75</v>
      </c>
      <c r="L21" s="149">
        <v>16</v>
      </c>
      <c r="M21" s="10">
        <f t="shared" si="8"/>
        <v>1343.1818181818182</v>
      </c>
      <c r="N21" s="9">
        <f t="shared" si="1"/>
        <v>83.94886363636364</v>
      </c>
      <c r="O21" s="11">
        <f t="shared" si="2"/>
        <v>0</v>
      </c>
      <c r="P21" s="12">
        <f t="shared" si="3"/>
        <v>-9.8011363636363598</v>
      </c>
      <c r="Q21" s="142">
        <f t="shared" si="4"/>
        <v>0.8954545454545455</v>
      </c>
      <c r="R21" s="470"/>
      <c r="S21" s="24">
        <v>0.79166666666666674</v>
      </c>
      <c r="T21" s="24">
        <v>0.85277777777777786</v>
      </c>
      <c r="U21" s="141">
        <f>(S21-T20)*24*60</f>
        <v>7.9999999999999716</v>
      </c>
      <c r="V21" s="150">
        <f t="shared" si="9"/>
        <v>88</v>
      </c>
      <c r="W21" s="14"/>
      <c r="X21" s="14"/>
      <c r="Y21" s="473"/>
      <c r="Z21" s="474"/>
      <c r="AA21" s="11">
        <f t="shared" si="5"/>
        <v>-156.81818181818176</v>
      </c>
      <c r="AB21" s="142">
        <f t="shared" si="6"/>
        <v>0.8954545454545455</v>
      </c>
      <c r="AC21" s="470"/>
    </row>
    <row r="22" spans="1:29" ht="16.5" customHeight="1">
      <c r="A22" s="481" t="s">
        <v>6</v>
      </c>
      <c r="B22" s="26" t="s">
        <v>81</v>
      </c>
      <c r="C22" s="466"/>
      <c r="D22" s="466"/>
      <c r="E22" s="143"/>
      <c r="F22" s="16"/>
      <c r="G22" s="9"/>
      <c r="H22" s="151"/>
      <c r="I22" s="17">
        <v>18.666666666666668</v>
      </c>
      <c r="J22" s="18">
        <v>1514.3333333333333</v>
      </c>
      <c r="K22" s="9">
        <f t="shared" si="0"/>
        <v>81.124999999999986</v>
      </c>
      <c r="L22" s="17">
        <v>18.666666666666668</v>
      </c>
      <c r="M22" s="10">
        <f>AVERAGE(M16:M21)</f>
        <v>1356.4086952124869</v>
      </c>
      <c r="N22" s="9">
        <f t="shared" si="1"/>
        <v>72.664751529240363</v>
      </c>
      <c r="O22" s="11">
        <f t="shared" si="2"/>
        <v>0</v>
      </c>
      <c r="P22" s="12">
        <f t="shared" si="3"/>
        <v>-8.4602484707596233</v>
      </c>
      <c r="Q22" s="142">
        <f t="shared" si="4"/>
        <v>0.89571342408924959</v>
      </c>
      <c r="R22" s="470"/>
      <c r="S22" s="24"/>
      <c r="T22" s="24"/>
      <c r="U22" s="141"/>
      <c r="V22" s="150"/>
      <c r="W22" s="9"/>
      <c r="X22" s="9"/>
      <c r="Y22" s="456"/>
      <c r="Z22" s="456"/>
      <c r="AA22" s="11">
        <f t="shared" si="5"/>
        <v>-157.92463812084634</v>
      </c>
      <c r="AB22" s="142">
        <f t="shared" si="6"/>
        <v>0.89571342408924959</v>
      </c>
      <c r="AC22" s="470"/>
    </row>
    <row r="23" spans="1:29" ht="15.75" customHeight="1">
      <c r="A23" s="478" t="s">
        <v>516</v>
      </c>
      <c r="B23" s="26" t="s">
        <v>21</v>
      </c>
      <c r="C23" s="477" t="s">
        <v>22</v>
      </c>
      <c r="D23" s="477"/>
      <c r="E23" s="26">
        <v>43.14</v>
      </c>
      <c r="F23" s="151">
        <v>1359</v>
      </c>
      <c r="G23" s="141">
        <f t="shared" ref="G23:G30" si="10">E23*F23</f>
        <v>58627.26</v>
      </c>
      <c r="H23" s="76" t="s">
        <v>57</v>
      </c>
      <c r="I23" s="149">
        <v>17</v>
      </c>
      <c r="J23" s="18">
        <v>1200</v>
      </c>
      <c r="K23" s="9">
        <f t="shared" si="0"/>
        <v>70.588235294117652</v>
      </c>
      <c r="L23" s="149">
        <v>17</v>
      </c>
      <c r="M23" s="10">
        <f t="shared" ref="M23:M30" si="11">F23/V23*60</f>
        <v>1072.8947368421057</v>
      </c>
      <c r="N23" s="9">
        <f t="shared" si="1"/>
        <v>63.111455108359159</v>
      </c>
      <c r="O23" s="11">
        <f t="shared" si="2"/>
        <v>0</v>
      </c>
      <c r="P23" s="12">
        <f t="shared" si="3"/>
        <v>-7.4767801857584928</v>
      </c>
      <c r="Q23" s="142">
        <f t="shared" si="4"/>
        <v>0.89407894736842131</v>
      </c>
      <c r="R23" s="470">
        <f>Q31</f>
        <v>0.89817165684114852</v>
      </c>
      <c r="S23" s="24">
        <v>0.25</v>
      </c>
      <c r="T23" s="24">
        <v>0.30277777777777776</v>
      </c>
      <c r="U23" s="141"/>
      <c r="V23" s="150">
        <f t="shared" ref="V23:V30" si="12">(T23-S23)*24*60</f>
        <v>75.999999999999972</v>
      </c>
      <c r="W23" s="15"/>
      <c r="X23" s="15"/>
      <c r="Y23" s="456"/>
      <c r="Z23" s="456"/>
      <c r="AA23" s="11">
        <f t="shared" si="5"/>
        <v>-127.10526315789434</v>
      </c>
      <c r="AB23" s="142">
        <f t="shared" si="6"/>
        <v>0.89407894736842142</v>
      </c>
      <c r="AC23" s="470">
        <f>AB31</f>
        <v>0.89817165684114852</v>
      </c>
    </row>
    <row r="24" spans="1:29" ht="15.75" customHeight="1">
      <c r="A24" s="479" t="s">
        <v>7</v>
      </c>
      <c r="B24" s="26" t="s">
        <v>13</v>
      </c>
      <c r="C24" s="477" t="s">
        <v>23</v>
      </c>
      <c r="D24" s="477"/>
      <c r="E24" s="26">
        <v>57.73</v>
      </c>
      <c r="F24" s="151">
        <v>3053</v>
      </c>
      <c r="G24" s="141">
        <f t="shared" si="10"/>
        <v>176249.69</v>
      </c>
      <c r="H24" s="76" t="s">
        <v>57</v>
      </c>
      <c r="I24" s="149">
        <v>16</v>
      </c>
      <c r="J24" s="18">
        <v>1800</v>
      </c>
      <c r="K24" s="9">
        <f t="shared" si="0"/>
        <v>112.5</v>
      </c>
      <c r="L24" s="149">
        <v>16</v>
      </c>
      <c r="M24" s="10">
        <f t="shared" si="11"/>
        <v>1606.8421052631579</v>
      </c>
      <c r="N24" s="9">
        <f t="shared" si="1"/>
        <v>100.42763157894737</v>
      </c>
      <c r="O24" s="11">
        <f t="shared" si="2"/>
        <v>0</v>
      </c>
      <c r="P24" s="12">
        <f t="shared" si="3"/>
        <v>-12.07236842105263</v>
      </c>
      <c r="Q24" s="142">
        <f t="shared" si="4"/>
        <v>0.8926900584795322</v>
      </c>
      <c r="R24" s="470"/>
      <c r="S24" s="24">
        <v>0.30694444444444441</v>
      </c>
      <c r="T24" s="24">
        <v>0.38611111111111107</v>
      </c>
      <c r="U24" s="141">
        <f t="shared" ref="U24:U30" si="13">(S24-T23)*24*60</f>
        <v>5.9999999999999787</v>
      </c>
      <c r="V24" s="150">
        <f t="shared" si="12"/>
        <v>114</v>
      </c>
      <c r="W24" s="14"/>
      <c r="X24" s="141"/>
      <c r="Y24" s="456"/>
      <c r="Z24" s="456"/>
      <c r="AA24" s="11">
        <f t="shared" si="5"/>
        <v>-193.15789473684208</v>
      </c>
      <c r="AB24" s="142">
        <f t="shared" si="6"/>
        <v>0.8926900584795322</v>
      </c>
      <c r="AC24" s="470"/>
    </row>
    <row r="25" spans="1:29" ht="15.75" customHeight="1">
      <c r="A25" s="479" t="s">
        <v>7</v>
      </c>
      <c r="B25" s="26" t="s">
        <v>13</v>
      </c>
      <c r="C25" s="477" t="s">
        <v>14</v>
      </c>
      <c r="D25" s="477"/>
      <c r="E25" s="26">
        <v>53.68</v>
      </c>
      <c r="F25" s="151">
        <v>2137</v>
      </c>
      <c r="G25" s="141">
        <f t="shared" si="10"/>
        <v>114714.16</v>
      </c>
      <c r="H25" s="76" t="s">
        <v>57</v>
      </c>
      <c r="I25" s="149">
        <v>17</v>
      </c>
      <c r="J25" s="18">
        <v>1800</v>
      </c>
      <c r="K25" s="9">
        <f t="shared" si="0"/>
        <v>105.88235294117646</v>
      </c>
      <c r="L25" s="149">
        <v>17</v>
      </c>
      <c r="M25" s="10">
        <f t="shared" si="11"/>
        <v>1623.0379746835436</v>
      </c>
      <c r="N25" s="9">
        <f t="shared" si="1"/>
        <v>95.472822040208442</v>
      </c>
      <c r="O25" s="11">
        <f t="shared" si="2"/>
        <v>0</v>
      </c>
      <c r="P25" s="12">
        <f t="shared" si="3"/>
        <v>-10.409530900968022</v>
      </c>
      <c r="Q25" s="142">
        <f t="shared" si="4"/>
        <v>0.90168776371307979</v>
      </c>
      <c r="R25" s="470"/>
      <c r="S25" s="24">
        <v>0.39027777777777772</v>
      </c>
      <c r="T25" s="24">
        <v>0.44513888888888886</v>
      </c>
      <c r="U25" s="141">
        <f t="shared" si="13"/>
        <v>5.9999999999999787</v>
      </c>
      <c r="V25" s="150">
        <f t="shared" si="12"/>
        <v>79.000000000000043</v>
      </c>
      <c r="W25" s="14"/>
      <c r="X25" s="141"/>
      <c r="Y25" s="456"/>
      <c r="Z25" s="456"/>
      <c r="AA25" s="11">
        <f t="shared" si="5"/>
        <v>-176.96202531645645</v>
      </c>
      <c r="AB25" s="142">
        <f t="shared" si="6"/>
        <v>0.90168776371307979</v>
      </c>
      <c r="AC25" s="470"/>
    </row>
    <row r="26" spans="1:29" ht="15.75" customHeight="1">
      <c r="A26" s="479" t="s">
        <v>7</v>
      </c>
      <c r="B26" s="26" t="s">
        <v>13</v>
      </c>
      <c r="C26" s="477" t="s">
        <v>72</v>
      </c>
      <c r="D26" s="477"/>
      <c r="E26" s="26">
        <v>50.67</v>
      </c>
      <c r="F26" s="151">
        <v>1369</v>
      </c>
      <c r="G26" s="141">
        <f t="shared" si="10"/>
        <v>69367.23</v>
      </c>
      <c r="H26" s="76" t="s">
        <v>57</v>
      </c>
      <c r="I26" s="149">
        <v>16</v>
      </c>
      <c r="J26" s="18">
        <v>1800</v>
      </c>
      <c r="K26" s="9">
        <f t="shared" si="0"/>
        <v>112.5</v>
      </c>
      <c r="L26" s="149">
        <v>16</v>
      </c>
      <c r="M26" s="10">
        <f t="shared" si="11"/>
        <v>1610.5882352941182</v>
      </c>
      <c r="N26" s="9">
        <f t="shared" si="1"/>
        <v>100.66176470588239</v>
      </c>
      <c r="O26" s="11">
        <f t="shared" si="2"/>
        <v>0</v>
      </c>
      <c r="P26" s="12">
        <f t="shared" si="3"/>
        <v>-11.838235294117609</v>
      </c>
      <c r="Q26" s="142">
        <f t="shared" si="4"/>
        <v>0.89477124183006573</v>
      </c>
      <c r="R26" s="470"/>
      <c r="S26" s="24">
        <v>0.4506944444444444</v>
      </c>
      <c r="T26" s="24">
        <v>0.48611111111111105</v>
      </c>
      <c r="U26" s="141">
        <f t="shared" si="13"/>
        <v>7.9999999999999716</v>
      </c>
      <c r="V26" s="150">
        <f t="shared" si="12"/>
        <v>50.999999999999979</v>
      </c>
      <c r="W26" s="14"/>
      <c r="X26" s="141"/>
      <c r="Y26" s="456"/>
      <c r="Z26" s="456"/>
      <c r="AA26" s="11">
        <f t="shared" si="5"/>
        <v>-189.41176470588175</v>
      </c>
      <c r="AB26" s="142">
        <f t="shared" si="6"/>
        <v>0.89477124183006573</v>
      </c>
      <c r="AC26" s="470"/>
    </row>
    <row r="27" spans="1:29" ht="15.75" customHeight="1">
      <c r="A27" s="479" t="s">
        <v>7</v>
      </c>
      <c r="B27" s="26" t="s">
        <v>13</v>
      </c>
      <c r="C27" s="477" t="s">
        <v>59</v>
      </c>
      <c r="D27" s="477"/>
      <c r="E27" s="26">
        <v>50.92</v>
      </c>
      <c r="F27" s="151">
        <v>3376</v>
      </c>
      <c r="G27" s="141">
        <f t="shared" si="10"/>
        <v>171905.92000000001</v>
      </c>
      <c r="H27" s="76" t="s">
        <v>57</v>
      </c>
      <c r="I27" s="149">
        <v>16</v>
      </c>
      <c r="J27" s="18">
        <v>1800</v>
      </c>
      <c r="K27" s="9">
        <f t="shared" si="0"/>
        <v>112.5</v>
      </c>
      <c r="L27" s="149">
        <v>16</v>
      </c>
      <c r="M27" s="10">
        <f t="shared" si="11"/>
        <v>1607.6190476190473</v>
      </c>
      <c r="N27" s="9">
        <f t="shared" si="1"/>
        <v>100.47619047619045</v>
      </c>
      <c r="O27" s="11">
        <f t="shared" si="2"/>
        <v>0</v>
      </c>
      <c r="P27" s="12">
        <f t="shared" si="3"/>
        <v>-12.023809523809547</v>
      </c>
      <c r="Q27" s="142">
        <f t="shared" si="4"/>
        <v>0.89312169312169287</v>
      </c>
      <c r="R27" s="470"/>
      <c r="S27" s="24">
        <v>0.70833333333333337</v>
      </c>
      <c r="T27" s="24">
        <v>0.79583333333333339</v>
      </c>
      <c r="U27" s="141">
        <f t="shared" si="13"/>
        <v>320.00000000000011</v>
      </c>
      <c r="V27" s="150">
        <f t="shared" si="12"/>
        <v>126.00000000000003</v>
      </c>
      <c r="W27" s="14"/>
      <c r="X27" s="141"/>
      <c r="Y27" s="456"/>
      <c r="Z27" s="456"/>
      <c r="AA27" s="11">
        <f t="shared" si="5"/>
        <v>-192.38095238095275</v>
      </c>
      <c r="AB27" s="142">
        <f t="shared" si="6"/>
        <v>0.89312169312169287</v>
      </c>
      <c r="AC27" s="470"/>
    </row>
    <row r="28" spans="1:29" ht="15.75" customHeight="1">
      <c r="A28" s="479" t="s">
        <v>7</v>
      </c>
      <c r="B28" s="26" t="s">
        <v>13</v>
      </c>
      <c r="C28" s="477" t="s">
        <v>62</v>
      </c>
      <c r="D28" s="477"/>
      <c r="E28" s="26">
        <v>53.27</v>
      </c>
      <c r="F28" s="151">
        <v>861</v>
      </c>
      <c r="G28" s="141">
        <f t="shared" si="10"/>
        <v>45865.47</v>
      </c>
      <c r="H28" s="76" t="s">
        <v>57</v>
      </c>
      <c r="I28" s="149">
        <v>15</v>
      </c>
      <c r="J28" s="18">
        <v>1800</v>
      </c>
      <c r="K28" s="9">
        <f t="shared" si="0"/>
        <v>120</v>
      </c>
      <c r="L28" s="149">
        <v>15</v>
      </c>
      <c r="M28" s="10">
        <f t="shared" si="11"/>
        <v>1614.374999999998</v>
      </c>
      <c r="N28" s="9">
        <f t="shared" si="1"/>
        <v>107.62499999999986</v>
      </c>
      <c r="O28" s="11">
        <f t="shared" si="2"/>
        <v>0</v>
      </c>
      <c r="P28" s="12">
        <f t="shared" si="3"/>
        <v>-12.375000000000142</v>
      </c>
      <c r="Q28" s="142">
        <f t="shared" si="4"/>
        <v>0.89687499999999887</v>
      </c>
      <c r="R28" s="470"/>
      <c r="S28" s="24">
        <v>0.8</v>
      </c>
      <c r="T28" s="24">
        <v>0.8222222222222223</v>
      </c>
      <c r="U28" s="141">
        <f t="shared" si="13"/>
        <v>5.9999999999999787</v>
      </c>
      <c r="V28" s="150">
        <f t="shared" si="12"/>
        <v>32.000000000000043</v>
      </c>
      <c r="W28" s="14"/>
      <c r="X28" s="15"/>
      <c r="Y28" s="456"/>
      <c r="Z28" s="456"/>
      <c r="AA28" s="11">
        <f t="shared" si="5"/>
        <v>-185.62500000000205</v>
      </c>
      <c r="AB28" s="142">
        <f t="shared" si="6"/>
        <v>0.89687499999999887</v>
      </c>
      <c r="AC28" s="470"/>
    </row>
    <row r="29" spans="1:29" ht="15.75" customHeight="1">
      <c r="A29" s="479" t="s">
        <v>7</v>
      </c>
      <c r="B29" s="26" t="s">
        <v>13</v>
      </c>
      <c r="C29" s="477" t="s">
        <v>61</v>
      </c>
      <c r="D29" s="477"/>
      <c r="E29" s="26">
        <v>49.91</v>
      </c>
      <c r="F29" s="151">
        <v>715</v>
      </c>
      <c r="G29" s="141">
        <f t="shared" si="10"/>
        <v>35685.649999999994</v>
      </c>
      <c r="H29" s="76" t="s">
        <v>57</v>
      </c>
      <c r="I29" s="149">
        <v>15</v>
      </c>
      <c r="J29" s="18">
        <v>1800</v>
      </c>
      <c r="K29" s="9">
        <f t="shared" si="0"/>
        <v>120</v>
      </c>
      <c r="L29" s="149">
        <v>15</v>
      </c>
      <c r="M29" s="10">
        <f t="shared" si="11"/>
        <v>1649.9999999999957</v>
      </c>
      <c r="N29" s="9">
        <f t="shared" si="1"/>
        <v>109.99999999999972</v>
      </c>
      <c r="O29" s="11">
        <f t="shared" si="2"/>
        <v>0</v>
      </c>
      <c r="P29" s="12">
        <f t="shared" si="3"/>
        <v>-10.000000000000284</v>
      </c>
      <c r="Q29" s="142">
        <f t="shared" si="4"/>
        <v>0.9166666666666643</v>
      </c>
      <c r="R29" s="470"/>
      <c r="S29" s="24">
        <v>0.82777777777777783</v>
      </c>
      <c r="T29" s="24">
        <v>0.84583333333333344</v>
      </c>
      <c r="U29" s="141">
        <f t="shared" si="13"/>
        <v>7.9999999999999716</v>
      </c>
      <c r="V29" s="150">
        <f t="shared" si="12"/>
        <v>26.000000000000068</v>
      </c>
      <c r="W29" s="14"/>
      <c r="X29" s="15"/>
      <c r="Y29" s="473"/>
      <c r="Z29" s="474"/>
      <c r="AA29" s="11">
        <f t="shared" si="5"/>
        <v>-150.00000000000432</v>
      </c>
      <c r="AB29" s="142">
        <f t="shared" si="6"/>
        <v>0.9166666666666643</v>
      </c>
      <c r="AC29" s="470"/>
    </row>
    <row r="30" spans="1:29" ht="15.75" customHeight="1">
      <c r="A30" s="479" t="s">
        <v>7</v>
      </c>
      <c r="B30" s="26" t="s">
        <v>13</v>
      </c>
      <c r="C30" s="482" t="s">
        <v>448</v>
      </c>
      <c r="D30" s="483"/>
      <c r="E30" s="26">
        <v>48.36</v>
      </c>
      <c r="F30" s="151">
        <v>2280</v>
      </c>
      <c r="G30" s="141">
        <f t="shared" si="10"/>
        <v>110260.8</v>
      </c>
      <c r="H30" s="76" t="s">
        <v>57</v>
      </c>
      <c r="I30" s="149">
        <v>18</v>
      </c>
      <c r="J30" s="18">
        <v>1800</v>
      </c>
      <c r="K30" s="9">
        <f t="shared" si="0"/>
        <v>100</v>
      </c>
      <c r="L30" s="149">
        <v>18</v>
      </c>
      <c r="M30" s="10">
        <f t="shared" si="11"/>
        <v>1609.4117647058822</v>
      </c>
      <c r="N30" s="9">
        <f t="shared" si="1"/>
        <v>89.411764705882348</v>
      </c>
      <c r="O30" s="11">
        <f t="shared" si="2"/>
        <v>0</v>
      </c>
      <c r="P30" s="12">
        <f t="shared" si="3"/>
        <v>-10.588235294117652</v>
      </c>
      <c r="Q30" s="142">
        <f t="shared" si="4"/>
        <v>0.89411764705882346</v>
      </c>
      <c r="R30" s="470"/>
      <c r="S30" s="24">
        <v>0.88402777777777786</v>
      </c>
      <c r="T30" s="24">
        <v>0.94305555555555565</v>
      </c>
      <c r="U30" s="141">
        <f t="shared" si="13"/>
        <v>54.999999999999964</v>
      </c>
      <c r="V30" s="150">
        <f t="shared" si="12"/>
        <v>85.000000000000014</v>
      </c>
      <c r="W30" s="14"/>
      <c r="X30" s="14"/>
      <c r="Y30" s="473"/>
      <c r="Z30" s="474"/>
      <c r="AA30" s="11">
        <f t="shared" si="5"/>
        <v>-190.58823529411779</v>
      </c>
      <c r="AB30" s="142">
        <f t="shared" si="6"/>
        <v>0.89411764705882346</v>
      </c>
      <c r="AC30" s="470"/>
    </row>
    <row r="31" spans="1:29" ht="15.75" customHeight="1">
      <c r="A31" s="479" t="s">
        <v>7</v>
      </c>
      <c r="B31" s="26" t="s">
        <v>81</v>
      </c>
      <c r="C31" s="466"/>
      <c r="D31" s="466"/>
      <c r="E31" s="143"/>
      <c r="F31" s="151"/>
      <c r="G31" s="141"/>
      <c r="H31" s="151"/>
      <c r="I31" s="17">
        <v>16.25</v>
      </c>
      <c r="J31" s="18">
        <v>1725</v>
      </c>
      <c r="K31" s="9">
        <f t="shared" si="0"/>
        <v>106.15384615384616</v>
      </c>
      <c r="L31" s="17">
        <v>16.25</v>
      </c>
      <c r="M31" s="10">
        <f>AVERAGE(M23:M30)</f>
        <v>1549.3461080509812</v>
      </c>
      <c r="N31" s="9">
        <f t="shared" si="1"/>
        <v>95.344375880060383</v>
      </c>
      <c r="O31" s="11">
        <f t="shared" si="2"/>
        <v>0</v>
      </c>
      <c r="P31" s="12">
        <f t="shared" si="3"/>
        <v>-10.809470273785777</v>
      </c>
      <c r="Q31" s="142">
        <f t="shared" si="4"/>
        <v>0.89817165684114852</v>
      </c>
      <c r="R31" s="470"/>
      <c r="S31" s="24"/>
      <c r="T31" s="24"/>
      <c r="U31" s="9"/>
      <c r="V31" s="150"/>
      <c r="W31" s="9"/>
      <c r="X31" s="9"/>
      <c r="Y31" s="456"/>
      <c r="Z31" s="456"/>
      <c r="AA31" s="11">
        <f t="shared" si="5"/>
        <v>-175.65389194901877</v>
      </c>
      <c r="AB31" s="142">
        <f t="shared" si="6"/>
        <v>0.89817165684114852</v>
      </c>
      <c r="AC31" s="470"/>
    </row>
    <row r="32" spans="1:29" ht="15.75" customHeight="1">
      <c r="A32" s="484" t="s">
        <v>515</v>
      </c>
      <c r="B32" s="26" t="s">
        <v>24</v>
      </c>
      <c r="C32" s="477" t="s">
        <v>25</v>
      </c>
      <c r="D32" s="477"/>
      <c r="E32" s="26">
        <v>20.52</v>
      </c>
      <c r="F32" s="151">
        <v>3000</v>
      </c>
      <c r="G32" s="141">
        <f t="shared" ref="G32:G40" si="14">E32*F32</f>
        <v>61560</v>
      </c>
      <c r="H32" s="76">
        <v>2</v>
      </c>
      <c r="I32" s="149">
        <v>22</v>
      </c>
      <c r="J32" s="18">
        <v>2400</v>
      </c>
      <c r="K32" s="9">
        <f t="shared" si="0"/>
        <v>109.09090909090909</v>
      </c>
      <c r="L32" s="149">
        <v>22</v>
      </c>
      <c r="M32" s="10">
        <f t="shared" ref="M32:M40" si="15">F32/V32*60</f>
        <v>2142.8571428571431</v>
      </c>
      <c r="N32" s="9">
        <f t="shared" si="1"/>
        <v>97.402597402597408</v>
      </c>
      <c r="O32" s="11">
        <f t="shared" si="2"/>
        <v>0</v>
      </c>
      <c r="P32" s="12">
        <f t="shared" si="3"/>
        <v>-11.688311688311686</v>
      </c>
      <c r="Q32" s="142">
        <f t="shared" si="4"/>
        <v>0.8928571428571429</v>
      </c>
      <c r="R32" s="470">
        <f>Q41</f>
        <v>0.89521540448549553</v>
      </c>
      <c r="S32" s="24">
        <v>8.3333333333333329E-2</v>
      </c>
      <c r="T32" s="24">
        <v>0.14166666666666666</v>
      </c>
      <c r="U32" s="141"/>
      <c r="V32" s="150">
        <f t="shared" ref="V32:V40" si="16">(T32-S32)*24*60</f>
        <v>84</v>
      </c>
      <c r="W32" s="14"/>
      <c r="X32" s="14"/>
      <c r="Y32" s="456"/>
      <c r="Z32" s="456"/>
      <c r="AA32" s="11">
        <f t="shared" si="5"/>
        <v>-257.14285714285688</v>
      </c>
      <c r="AB32" s="142">
        <f t="shared" si="6"/>
        <v>0.89285714285714302</v>
      </c>
      <c r="AC32" s="470">
        <f>AB41</f>
        <v>0.89521540448549541</v>
      </c>
    </row>
    <row r="33" spans="1:29" ht="15.75" customHeight="1">
      <c r="A33" s="484" t="s">
        <v>8</v>
      </c>
      <c r="B33" s="26" t="s">
        <v>24</v>
      </c>
      <c r="C33" s="477" t="s">
        <v>26</v>
      </c>
      <c r="D33" s="477"/>
      <c r="E33" s="26">
        <v>26.2</v>
      </c>
      <c r="F33" s="151">
        <v>3300</v>
      </c>
      <c r="G33" s="141">
        <f t="shared" si="14"/>
        <v>86460</v>
      </c>
      <c r="H33" s="76">
        <v>2</v>
      </c>
      <c r="I33" s="149">
        <v>24</v>
      </c>
      <c r="J33" s="18">
        <v>2400</v>
      </c>
      <c r="K33" s="9">
        <f t="shared" si="0"/>
        <v>100</v>
      </c>
      <c r="L33" s="149">
        <v>24</v>
      </c>
      <c r="M33" s="10">
        <f t="shared" si="15"/>
        <v>2152.1739130434776</v>
      </c>
      <c r="N33" s="9">
        <f t="shared" si="1"/>
        <v>89.673913043478237</v>
      </c>
      <c r="O33" s="11">
        <f t="shared" si="2"/>
        <v>0</v>
      </c>
      <c r="P33" s="12">
        <f t="shared" si="3"/>
        <v>-10.326086956521763</v>
      </c>
      <c r="Q33" s="142">
        <f t="shared" si="4"/>
        <v>0.89673913043478237</v>
      </c>
      <c r="R33" s="470"/>
      <c r="S33" s="24">
        <v>0.16180555555555556</v>
      </c>
      <c r="T33" s="24">
        <v>0.22569444444444448</v>
      </c>
      <c r="U33" s="141">
        <f t="shared" ref="U33:U40" si="17">(S33-T32)*24*60</f>
        <v>29.000000000000018</v>
      </c>
      <c r="V33" s="150">
        <f t="shared" si="16"/>
        <v>92.000000000000028</v>
      </c>
      <c r="W33" s="14"/>
      <c r="X33" s="14"/>
      <c r="Y33" s="456"/>
      <c r="Z33" s="456"/>
      <c r="AA33" s="11">
        <f t="shared" si="5"/>
        <v>-247.82608695652243</v>
      </c>
      <c r="AB33" s="142">
        <f t="shared" si="6"/>
        <v>0.89673913043478237</v>
      </c>
      <c r="AC33" s="470"/>
    </row>
    <row r="34" spans="1:29" ht="15.75" customHeight="1">
      <c r="A34" s="484" t="s">
        <v>8</v>
      </c>
      <c r="B34" s="26" t="s">
        <v>24</v>
      </c>
      <c r="C34" s="477" t="s">
        <v>55</v>
      </c>
      <c r="D34" s="477"/>
      <c r="E34" s="26">
        <v>26.2</v>
      </c>
      <c r="F34" s="151">
        <v>2000</v>
      </c>
      <c r="G34" s="141">
        <f t="shared" si="14"/>
        <v>52400</v>
      </c>
      <c r="H34" s="76">
        <v>2</v>
      </c>
      <c r="I34" s="149">
        <v>23</v>
      </c>
      <c r="J34" s="18">
        <v>2400</v>
      </c>
      <c r="K34" s="9">
        <f t="shared" si="0"/>
        <v>104.34782608695652</v>
      </c>
      <c r="L34" s="149">
        <v>23</v>
      </c>
      <c r="M34" s="10">
        <f t="shared" si="15"/>
        <v>2142.8571428571431</v>
      </c>
      <c r="N34" s="9">
        <f t="shared" si="1"/>
        <v>93.167701863354054</v>
      </c>
      <c r="O34" s="11">
        <f t="shared" si="2"/>
        <v>0</v>
      </c>
      <c r="P34" s="12">
        <f t="shared" si="3"/>
        <v>-11.180124223602462</v>
      </c>
      <c r="Q34" s="142">
        <f t="shared" si="4"/>
        <v>0.89285714285714302</v>
      </c>
      <c r="R34" s="470"/>
      <c r="S34" s="24">
        <v>0.2305555555555556</v>
      </c>
      <c r="T34" s="24">
        <v>0.26944444444444449</v>
      </c>
      <c r="U34" s="141">
        <f t="shared" si="17"/>
        <v>7.0000000000000151</v>
      </c>
      <c r="V34" s="150">
        <f t="shared" si="16"/>
        <v>56</v>
      </c>
      <c r="W34" s="14"/>
      <c r="X34" s="14"/>
      <c r="Y34" s="456"/>
      <c r="Z34" s="456"/>
      <c r="AA34" s="11">
        <f t="shared" si="5"/>
        <v>-257.14285714285688</v>
      </c>
      <c r="AB34" s="142">
        <f t="shared" si="6"/>
        <v>0.89285714285714302</v>
      </c>
      <c r="AC34" s="470"/>
    </row>
    <row r="35" spans="1:29" ht="15.75" customHeight="1">
      <c r="A35" s="484" t="s">
        <v>8</v>
      </c>
      <c r="B35" s="26" t="s">
        <v>24</v>
      </c>
      <c r="C35" s="477" t="s">
        <v>27</v>
      </c>
      <c r="D35" s="477"/>
      <c r="E35" s="26">
        <v>20.52</v>
      </c>
      <c r="F35" s="151">
        <v>3732</v>
      </c>
      <c r="G35" s="141">
        <f t="shared" si="14"/>
        <v>76580.639999999999</v>
      </c>
      <c r="H35" s="76" t="s">
        <v>57</v>
      </c>
      <c r="I35" s="149">
        <v>22</v>
      </c>
      <c r="J35" s="18">
        <v>2400</v>
      </c>
      <c r="K35" s="9">
        <f t="shared" si="0"/>
        <v>109.09090909090909</v>
      </c>
      <c r="L35" s="149">
        <v>22</v>
      </c>
      <c r="M35" s="10">
        <f t="shared" si="15"/>
        <v>2153.0769230769224</v>
      </c>
      <c r="N35" s="9">
        <f t="shared" si="1"/>
        <v>97.867132867132838</v>
      </c>
      <c r="O35" s="11">
        <f t="shared" si="2"/>
        <v>0</v>
      </c>
      <c r="P35" s="12">
        <f t="shared" si="3"/>
        <v>-11.223776223776255</v>
      </c>
      <c r="Q35" s="142">
        <f t="shared" si="4"/>
        <v>0.89711538461538431</v>
      </c>
      <c r="R35" s="470"/>
      <c r="S35" s="24">
        <v>0.27361111111111114</v>
      </c>
      <c r="T35" s="24">
        <v>0.34583333333333338</v>
      </c>
      <c r="U35" s="141">
        <f t="shared" si="17"/>
        <v>5.9999999999999787</v>
      </c>
      <c r="V35" s="150">
        <f t="shared" si="16"/>
        <v>104.00000000000003</v>
      </c>
      <c r="W35" s="14"/>
      <c r="X35" s="14"/>
      <c r="Y35" s="456"/>
      <c r="Z35" s="456"/>
      <c r="AA35" s="11">
        <f t="shared" si="5"/>
        <v>-246.92307692307759</v>
      </c>
      <c r="AB35" s="142">
        <f t="shared" si="6"/>
        <v>0.89711538461538431</v>
      </c>
      <c r="AC35" s="470"/>
    </row>
    <row r="36" spans="1:29" ht="15.75" customHeight="1">
      <c r="A36" s="484" t="s">
        <v>8</v>
      </c>
      <c r="B36" s="26" t="s">
        <v>24</v>
      </c>
      <c r="C36" s="477" t="s">
        <v>513</v>
      </c>
      <c r="D36" s="477"/>
      <c r="E36" s="26">
        <v>29.94</v>
      </c>
      <c r="F36" s="151">
        <v>6000</v>
      </c>
      <c r="G36" s="141">
        <f t="shared" si="14"/>
        <v>179640</v>
      </c>
      <c r="H36" s="76">
        <v>2</v>
      </c>
      <c r="I36" s="149">
        <v>20</v>
      </c>
      <c r="J36" s="18">
        <v>2400</v>
      </c>
      <c r="K36" s="9">
        <f t="shared" si="0"/>
        <v>120</v>
      </c>
      <c r="L36" s="149">
        <v>20</v>
      </c>
      <c r="M36" s="10">
        <f t="shared" si="15"/>
        <v>2142.8571428571431</v>
      </c>
      <c r="N36" s="9">
        <f t="shared" si="1"/>
        <v>107.14285714285715</v>
      </c>
      <c r="O36" s="11">
        <f t="shared" si="2"/>
        <v>0</v>
      </c>
      <c r="P36" s="12">
        <f t="shared" si="3"/>
        <v>-12.857142857142847</v>
      </c>
      <c r="Q36" s="142">
        <f t="shared" si="4"/>
        <v>0.8928571428571429</v>
      </c>
      <c r="R36" s="470"/>
      <c r="S36" s="24">
        <v>0.35138888888888892</v>
      </c>
      <c r="T36" s="24">
        <v>0.46805555555555556</v>
      </c>
      <c r="U36" s="141">
        <f t="shared" si="17"/>
        <v>7.9999999999999716</v>
      </c>
      <c r="V36" s="150">
        <f t="shared" si="16"/>
        <v>167.99999999999997</v>
      </c>
      <c r="W36" s="14"/>
      <c r="X36" s="14"/>
      <c r="Y36" s="456"/>
      <c r="Z36" s="456"/>
      <c r="AA36" s="11">
        <f t="shared" si="5"/>
        <v>-257.14285714285688</v>
      </c>
      <c r="AB36" s="142">
        <f t="shared" si="6"/>
        <v>0.89285714285714302</v>
      </c>
      <c r="AC36" s="470"/>
    </row>
    <row r="37" spans="1:29" ht="15.75" customHeight="1">
      <c r="A37" s="484" t="s">
        <v>8</v>
      </c>
      <c r="B37" s="26" t="s">
        <v>24</v>
      </c>
      <c r="C37" s="477" t="s">
        <v>84</v>
      </c>
      <c r="D37" s="477"/>
      <c r="E37" s="26">
        <v>24.25</v>
      </c>
      <c r="F37" s="151">
        <v>3000</v>
      </c>
      <c r="G37" s="141">
        <f t="shared" si="14"/>
        <v>72750</v>
      </c>
      <c r="H37" s="76">
        <v>2</v>
      </c>
      <c r="I37" s="149">
        <v>22</v>
      </c>
      <c r="J37" s="18">
        <v>2400</v>
      </c>
      <c r="K37" s="9">
        <f t="shared" ref="K37:K68" si="18">J37/I37</f>
        <v>109.09090909090909</v>
      </c>
      <c r="L37" s="149">
        <v>22</v>
      </c>
      <c r="M37" s="10">
        <f t="shared" si="15"/>
        <v>2142.8571428571422</v>
      </c>
      <c r="N37" s="9">
        <f t="shared" ref="N37:N68" si="19">M37/L37</f>
        <v>97.40259740259738</v>
      </c>
      <c r="O37" s="11">
        <f t="shared" ref="O37:O68" si="20">L37-I37</f>
        <v>0</v>
      </c>
      <c r="P37" s="12">
        <f t="shared" ref="P37:P68" si="21">N37-K37</f>
        <v>-11.688311688311714</v>
      </c>
      <c r="Q37" s="142">
        <f t="shared" ref="Q37:Q68" si="22">N37/K37</f>
        <v>0.89285714285714257</v>
      </c>
      <c r="R37" s="470"/>
      <c r="S37" s="24">
        <v>0.47291666666666665</v>
      </c>
      <c r="T37" s="24">
        <v>0.53125</v>
      </c>
      <c r="U37" s="141">
        <f t="shared" si="17"/>
        <v>6.9999999999999751</v>
      </c>
      <c r="V37" s="150">
        <f t="shared" si="16"/>
        <v>84.000000000000028</v>
      </c>
      <c r="W37" s="14"/>
      <c r="X37" s="14"/>
      <c r="Y37" s="456"/>
      <c r="Z37" s="456"/>
      <c r="AA37" s="11">
        <f t="shared" ref="AA37:AA68" si="23">M37-J37</f>
        <v>-257.14285714285779</v>
      </c>
      <c r="AB37" s="142">
        <f t="shared" ref="AB37:AB68" si="24">M37/J37</f>
        <v>0.89285714285714257</v>
      </c>
      <c r="AC37" s="470"/>
    </row>
    <row r="38" spans="1:29" ht="15.75" customHeight="1">
      <c r="A38" s="484" t="s">
        <v>8</v>
      </c>
      <c r="B38" s="26" t="s">
        <v>24</v>
      </c>
      <c r="C38" s="477" t="s">
        <v>69</v>
      </c>
      <c r="D38" s="477"/>
      <c r="E38" s="26">
        <v>22.35</v>
      </c>
      <c r="F38" s="151">
        <v>3353</v>
      </c>
      <c r="G38" s="141">
        <f t="shared" si="14"/>
        <v>74939.55</v>
      </c>
      <c r="H38" s="76" t="s">
        <v>57</v>
      </c>
      <c r="I38" s="149">
        <v>20</v>
      </c>
      <c r="J38" s="18">
        <v>2400</v>
      </c>
      <c r="K38" s="9">
        <f t="shared" si="18"/>
        <v>120</v>
      </c>
      <c r="L38" s="149">
        <v>20</v>
      </c>
      <c r="M38" s="10">
        <f t="shared" si="15"/>
        <v>2140.2127659574471</v>
      </c>
      <c r="N38" s="9">
        <f t="shared" si="19"/>
        <v>107.01063829787236</v>
      </c>
      <c r="O38" s="11">
        <f t="shared" si="20"/>
        <v>0</v>
      </c>
      <c r="P38" s="12">
        <f t="shared" si="21"/>
        <v>-12.989361702127638</v>
      </c>
      <c r="Q38" s="142">
        <f t="shared" si="22"/>
        <v>0.89175531914893635</v>
      </c>
      <c r="R38" s="470"/>
      <c r="S38" s="24">
        <v>0.53680555555555554</v>
      </c>
      <c r="T38" s="24">
        <v>0.6020833333333333</v>
      </c>
      <c r="U38" s="141">
        <f t="shared" si="17"/>
        <v>7.9999999999999716</v>
      </c>
      <c r="V38" s="150">
        <f t="shared" si="16"/>
        <v>93.999999999999986</v>
      </c>
      <c r="W38" s="14"/>
      <c r="X38" s="14"/>
      <c r="Y38" s="456"/>
      <c r="Z38" s="456"/>
      <c r="AA38" s="11">
        <f t="shared" si="23"/>
        <v>-259.78723404255288</v>
      </c>
      <c r="AB38" s="142">
        <f t="shared" si="24"/>
        <v>0.89175531914893635</v>
      </c>
      <c r="AC38" s="470"/>
    </row>
    <row r="39" spans="1:29" ht="15.75" customHeight="1">
      <c r="A39" s="484" t="s">
        <v>8</v>
      </c>
      <c r="B39" s="26" t="s">
        <v>24</v>
      </c>
      <c r="C39" s="477" t="s">
        <v>55</v>
      </c>
      <c r="D39" s="477"/>
      <c r="E39" s="26">
        <v>26.2</v>
      </c>
      <c r="F39" s="151">
        <v>2564</v>
      </c>
      <c r="G39" s="141">
        <f t="shared" si="14"/>
        <v>67176.800000000003</v>
      </c>
      <c r="H39" s="76" t="s">
        <v>57</v>
      </c>
      <c r="I39" s="149">
        <v>23</v>
      </c>
      <c r="J39" s="18">
        <v>2400</v>
      </c>
      <c r="K39" s="9">
        <f t="shared" si="18"/>
        <v>104.34782608695652</v>
      </c>
      <c r="L39" s="149">
        <v>23</v>
      </c>
      <c r="M39" s="10">
        <f t="shared" si="15"/>
        <v>2166.7605633802796</v>
      </c>
      <c r="N39" s="9">
        <f t="shared" si="19"/>
        <v>94.206981016533888</v>
      </c>
      <c r="O39" s="11">
        <f t="shared" si="20"/>
        <v>0</v>
      </c>
      <c r="P39" s="12">
        <f t="shared" si="21"/>
        <v>-10.140845070422628</v>
      </c>
      <c r="Q39" s="142">
        <f t="shared" si="22"/>
        <v>0.90281690140844983</v>
      </c>
      <c r="R39" s="470"/>
      <c r="S39" s="24">
        <v>0.60624999999999996</v>
      </c>
      <c r="T39" s="24">
        <v>0.65555555555555556</v>
      </c>
      <c r="U39" s="141">
        <f t="shared" si="17"/>
        <v>5.9999999999999787</v>
      </c>
      <c r="V39" s="150">
        <f t="shared" si="16"/>
        <v>71.000000000000071</v>
      </c>
      <c r="W39" s="14"/>
      <c r="X39" s="14"/>
      <c r="Y39" s="456"/>
      <c r="Z39" s="456"/>
      <c r="AA39" s="11">
        <f t="shared" si="23"/>
        <v>-233.23943661972044</v>
      </c>
      <c r="AB39" s="142">
        <f t="shared" si="24"/>
        <v>0.90281690140844983</v>
      </c>
      <c r="AC39" s="470"/>
    </row>
    <row r="40" spans="1:29" ht="15.75" customHeight="1">
      <c r="A40" s="484" t="s">
        <v>8</v>
      </c>
      <c r="B40" s="26" t="s">
        <v>24</v>
      </c>
      <c r="C40" s="482" t="s">
        <v>26</v>
      </c>
      <c r="D40" s="483"/>
      <c r="E40" s="26">
        <v>26.2</v>
      </c>
      <c r="F40" s="151">
        <v>2153</v>
      </c>
      <c r="G40" s="141">
        <f t="shared" si="14"/>
        <v>56408.6</v>
      </c>
      <c r="H40" s="76" t="s">
        <v>57</v>
      </c>
      <c r="I40" s="149">
        <v>24</v>
      </c>
      <c r="J40" s="18">
        <v>2400</v>
      </c>
      <c r="K40" s="9">
        <f t="shared" si="18"/>
        <v>100</v>
      </c>
      <c r="L40" s="149">
        <v>24</v>
      </c>
      <c r="M40" s="10">
        <f t="shared" si="15"/>
        <v>2153.0000000000023</v>
      </c>
      <c r="N40" s="9">
        <f t="shared" si="19"/>
        <v>89.708333333333428</v>
      </c>
      <c r="O40" s="11">
        <f t="shared" si="20"/>
        <v>0</v>
      </c>
      <c r="P40" s="12">
        <f t="shared" si="21"/>
        <v>-10.291666666666572</v>
      </c>
      <c r="Q40" s="142">
        <f t="shared" si="22"/>
        <v>0.89708333333333423</v>
      </c>
      <c r="R40" s="470"/>
      <c r="S40" s="24">
        <v>0.65972222222222221</v>
      </c>
      <c r="T40" s="24">
        <v>0.70138888888888884</v>
      </c>
      <c r="U40" s="141">
        <f t="shared" si="17"/>
        <v>5.9999999999999787</v>
      </c>
      <c r="V40" s="150">
        <f t="shared" si="16"/>
        <v>59.999999999999943</v>
      </c>
      <c r="W40" s="14"/>
      <c r="X40" s="14"/>
      <c r="Y40" s="473"/>
      <c r="Z40" s="474"/>
      <c r="AA40" s="11">
        <f t="shared" si="23"/>
        <v>-246.99999999999773</v>
      </c>
      <c r="AB40" s="142">
        <f t="shared" si="24"/>
        <v>0.89708333333333423</v>
      </c>
      <c r="AC40" s="470"/>
    </row>
    <row r="41" spans="1:29" ht="15.75" customHeight="1">
      <c r="A41" s="484" t="s">
        <v>8</v>
      </c>
      <c r="B41" s="26" t="s">
        <v>81</v>
      </c>
      <c r="C41" s="466"/>
      <c r="D41" s="466"/>
      <c r="E41" s="143"/>
      <c r="F41" s="151"/>
      <c r="G41" s="141"/>
      <c r="H41" s="151"/>
      <c r="I41" s="17">
        <v>22.222222222222221</v>
      </c>
      <c r="J41" s="18">
        <v>2400</v>
      </c>
      <c r="K41" s="9">
        <f t="shared" si="18"/>
        <v>108</v>
      </c>
      <c r="L41" s="17">
        <v>22.222222222222221</v>
      </c>
      <c r="M41" s="10">
        <f>AVERAGE(M32:M40)</f>
        <v>2148.5169707651889</v>
      </c>
      <c r="N41" s="9">
        <f t="shared" si="19"/>
        <v>96.683263684433513</v>
      </c>
      <c r="O41" s="11">
        <f t="shared" si="20"/>
        <v>0</v>
      </c>
      <c r="P41" s="12">
        <f t="shared" si="21"/>
        <v>-11.316736315566487</v>
      </c>
      <c r="Q41" s="142">
        <f t="shared" si="22"/>
        <v>0.89521540448549553</v>
      </c>
      <c r="R41" s="470"/>
      <c r="S41" s="24"/>
      <c r="T41" s="24"/>
      <c r="U41" s="141"/>
      <c r="V41" s="150"/>
      <c r="W41" s="141"/>
      <c r="X41" s="141"/>
      <c r="Y41" s="456"/>
      <c r="Z41" s="456"/>
      <c r="AA41" s="11">
        <f t="shared" si="23"/>
        <v>-251.48302923481106</v>
      </c>
      <c r="AB41" s="142">
        <f t="shared" si="24"/>
        <v>0.89521540448549541</v>
      </c>
      <c r="AC41" s="470"/>
    </row>
    <row r="42" spans="1:29" ht="15.75" customHeight="1">
      <c r="A42" s="485" t="s">
        <v>158</v>
      </c>
      <c r="B42" s="26" t="s">
        <v>24</v>
      </c>
      <c r="C42" s="487" t="s">
        <v>29</v>
      </c>
      <c r="D42" s="487"/>
      <c r="E42" s="26">
        <v>26.2</v>
      </c>
      <c r="F42" s="151">
        <v>7468</v>
      </c>
      <c r="G42" s="141">
        <f t="shared" ref="G42:G48" si="25">E42*F42</f>
        <v>195661.6</v>
      </c>
      <c r="H42" s="76" t="s">
        <v>57</v>
      </c>
      <c r="I42" s="149">
        <v>18</v>
      </c>
      <c r="J42" s="18">
        <v>2400</v>
      </c>
      <c r="K42" s="9">
        <f t="shared" si="18"/>
        <v>133.33333333333334</v>
      </c>
      <c r="L42" s="149">
        <v>18</v>
      </c>
      <c r="M42" s="10">
        <f t="shared" ref="M42:M48" si="26">F42/V42*60</f>
        <v>2143.9234449760761</v>
      </c>
      <c r="N42" s="9">
        <f t="shared" si="19"/>
        <v>119.10685805422645</v>
      </c>
      <c r="O42" s="11">
        <f t="shared" si="20"/>
        <v>0</v>
      </c>
      <c r="P42" s="12">
        <f t="shared" si="21"/>
        <v>-14.226475279106893</v>
      </c>
      <c r="Q42" s="142">
        <f t="shared" si="22"/>
        <v>0.89330143540669826</v>
      </c>
      <c r="R42" s="470">
        <f>Q49</f>
        <v>0.89433812957942871</v>
      </c>
      <c r="S42" s="24">
        <v>0.125</v>
      </c>
      <c r="T42" s="24">
        <v>0.27013888888888893</v>
      </c>
      <c r="U42" s="141"/>
      <c r="V42" s="150">
        <f t="shared" ref="V42:V48" si="27">(T42-S42)*24*60</f>
        <v>209.00000000000006</v>
      </c>
      <c r="W42" s="15"/>
      <c r="X42" s="15"/>
      <c r="Y42" s="456"/>
      <c r="Z42" s="456"/>
      <c r="AA42" s="11">
        <f t="shared" si="23"/>
        <v>-256.0765550239239</v>
      </c>
      <c r="AB42" s="142">
        <f t="shared" si="24"/>
        <v>0.89330143540669837</v>
      </c>
      <c r="AC42" s="470">
        <f>AB49</f>
        <v>0.89433812957942871</v>
      </c>
    </row>
    <row r="43" spans="1:29" ht="15.75" customHeight="1">
      <c r="A43" s="485" t="s">
        <v>158</v>
      </c>
      <c r="B43" s="26" t="s">
        <v>24</v>
      </c>
      <c r="C43" s="487" t="s">
        <v>31</v>
      </c>
      <c r="D43" s="487"/>
      <c r="E43" s="26">
        <v>24.45</v>
      </c>
      <c r="F43" s="151">
        <v>2813</v>
      </c>
      <c r="G43" s="141">
        <f t="shared" si="25"/>
        <v>68777.849999999991</v>
      </c>
      <c r="H43" s="76" t="s">
        <v>57</v>
      </c>
      <c r="I43" s="149">
        <v>20</v>
      </c>
      <c r="J43" s="18">
        <v>2400</v>
      </c>
      <c r="K43" s="9">
        <f t="shared" si="18"/>
        <v>120</v>
      </c>
      <c r="L43" s="149">
        <v>20</v>
      </c>
      <c r="M43" s="10">
        <f t="shared" si="26"/>
        <v>2163.8461538461529</v>
      </c>
      <c r="N43" s="9">
        <f t="shared" si="19"/>
        <v>108.19230769230765</v>
      </c>
      <c r="O43" s="11">
        <f t="shared" si="20"/>
        <v>0</v>
      </c>
      <c r="P43" s="12">
        <f t="shared" si="21"/>
        <v>-11.807692307692349</v>
      </c>
      <c r="Q43" s="142">
        <f t="shared" si="22"/>
        <v>0.90160256410256379</v>
      </c>
      <c r="R43" s="470"/>
      <c r="S43" s="24">
        <v>0.27500000000000002</v>
      </c>
      <c r="T43" s="24">
        <v>0.32916666666666672</v>
      </c>
      <c r="U43" s="141">
        <f t="shared" ref="U43:U48" si="28">(S43-T42)*24*60</f>
        <v>6.9999999999999751</v>
      </c>
      <c r="V43" s="150">
        <f t="shared" si="27"/>
        <v>78.000000000000043</v>
      </c>
      <c r="W43" s="141"/>
      <c r="X43" s="141"/>
      <c r="Y43" s="456"/>
      <c r="Z43" s="456"/>
      <c r="AA43" s="11">
        <f t="shared" si="23"/>
        <v>-236.1538461538471</v>
      </c>
      <c r="AB43" s="142">
        <f t="shared" si="24"/>
        <v>0.90160256410256367</v>
      </c>
      <c r="AC43" s="470"/>
    </row>
    <row r="44" spans="1:29">
      <c r="A44" s="486" t="s">
        <v>158</v>
      </c>
      <c r="B44" s="26" t="s">
        <v>24</v>
      </c>
      <c r="C44" s="487" t="s">
        <v>32</v>
      </c>
      <c r="D44" s="487"/>
      <c r="E44" s="26">
        <v>26.2</v>
      </c>
      <c r="F44" s="151">
        <v>3078</v>
      </c>
      <c r="G44" s="141">
        <f t="shared" si="25"/>
        <v>80643.599999999991</v>
      </c>
      <c r="H44" s="76" t="s">
        <v>57</v>
      </c>
      <c r="I44" s="149">
        <v>20</v>
      </c>
      <c r="J44" s="18">
        <v>2400</v>
      </c>
      <c r="K44" s="9">
        <f t="shared" si="18"/>
        <v>120</v>
      </c>
      <c r="L44" s="149">
        <v>20</v>
      </c>
      <c r="M44" s="10">
        <f t="shared" si="26"/>
        <v>2147.4418604651155</v>
      </c>
      <c r="N44" s="9">
        <f t="shared" si="19"/>
        <v>107.37209302325577</v>
      </c>
      <c r="O44" s="11">
        <f t="shared" si="20"/>
        <v>0</v>
      </c>
      <c r="P44" s="12">
        <f t="shared" si="21"/>
        <v>-12.627906976744228</v>
      </c>
      <c r="Q44" s="142">
        <f t="shared" si="22"/>
        <v>0.89476744186046475</v>
      </c>
      <c r="R44" s="470"/>
      <c r="S44" s="24">
        <v>0.33263888888888893</v>
      </c>
      <c r="T44" s="24">
        <v>0.39236111111111116</v>
      </c>
      <c r="U44" s="141">
        <f t="shared" si="28"/>
        <v>4.9999999999999822</v>
      </c>
      <c r="V44" s="150">
        <f t="shared" si="27"/>
        <v>86.000000000000014</v>
      </c>
      <c r="W44" s="141"/>
      <c r="X44" s="141"/>
      <c r="Y44" s="456"/>
      <c r="Z44" s="456"/>
      <c r="AA44" s="11">
        <f t="shared" si="23"/>
        <v>-252.5581395348845</v>
      </c>
      <c r="AB44" s="142">
        <f t="shared" si="24"/>
        <v>0.89476744186046475</v>
      </c>
      <c r="AC44" s="470"/>
    </row>
    <row r="45" spans="1:29">
      <c r="A45" s="486" t="s">
        <v>514</v>
      </c>
      <c r="B45" s="26" t="s">
        <v>24</v>
      </c>
      <c r="C45" s="487" t="s">
        <v>30</v>
      </c>
      <c r="D45" s="487"/>
      <c r="E45" s="26">
        <v>26.39</v>
      </c>
      <c r="F45" s="151">
        <v>6292</v>
      </c>
      <c r="G45" s="141">
        <f t="shared" si="25"/>
        <v>166045.88</v>
      </c>
      <c r="H45" s="76" t="s">
        <v>57</v>
      </c>
      <c r="I45" s="149">
        <v>19</v>
      </c>
      <c r="J45" s="18">
        <v>2400</v>
      </c>
      <c r="K45" s="9">
        <f t="shared" si="18"/>
        <v>126.31578947368421</v>
      </c>
      <c r="L45" s="149">
        <v>19</v>
      </c>
      <c r="M45" s="10">
        <f t="shared" si="26"/>
        <v>2145</v>
      </c>
      <c r="N45" s="9">
        <f t="shared" si="19"/>
        <v>112.89473684210526</v>
      </c>
      <c r="O45" s="11">
        <f t="shared" si="20"/>
        <v>0</v>
      </c>
      <c r="P45" s="12">
        <f t="shared" si="21"/>
        <v>-13.421052631578945</v>
      </c>
      <c r="Q45" s="142">
        <f t="shared" si="22"/>
        <v>0.89375000000000004</v>
      </c>
      <c r="R45" s="470"/>
      <c r="S45" s="24">
        <v>0.3979166666666667</v>
      </c>
      <c r="T45" s="24">
        <v>0.52013888888888893</v>
      </c>
      <c r="U45" s="141">
        <f t="shared" si="28"/>
        <v>7.9999999999999716</v>
      </c>
      <c r="V45" s="150">
        <f t="shared" si="27"/>
        <v>176</v>
      </c>
      <c r="W45" s="14"/>
      <c r="X45" s="14"/>
      <c r="Y45" s="456"/>
      <c r="Z45" s="456"/>
      <c r="AA45" s="11">
        <f t="shared" si="23"/>
        <v>-255</v>
      </c>
      <c r="AB45" s="142">
        <f t="shared" si="24"/>
        <v>0.89375000000000004</v>
      </c>
      <c r="AC45" s="470"/>
    </row>
    <row r="46" spans="1:29">
      <c r="A46" s="486" t="s">
        <v>158</v>
      </c>
      <c r="B46" s="26" t="s">
        <v>24</v>
      </c>
      <c r="C46" s="487" t="s">
        <v>84</v>
      </c>
      <c r="D46" s="487"/>
      <c r="E46" s="26">
        <v>24.25</v>
      </c>
      <c r="F46" s="151">
        <v>3439</v>
      </c>
      <c r="G46" s="141">
        <f t="shared" si="25"/>
        <v>83395.75</v>
      </c>
      <c r="H46" s="76" t="s">
        <v>57</v>
      </c>
      <c r="I46" s="149">
        <v>18</v>
      </c>
      <c r="J46" s="18">
        <v>2400</v>
      </c>
      <c r="K46" s="9">
        <f t="shared" si="18"/>
        <v>133.33333333333334</v>
      </c>
      <c r="L46" s="149">
        <v>18</v>
      </c>
      <c r="M46" s="10">
        <f t="shared" si="26"/>
        <v>2149.3750000000009</v>
      </c>
      <c r="N46" s="9">
        <f t="shared" si="19"/>
        <v>119.40972222222227</v>
      </c>
      <c r="O46" s="11">
        <f t="shared" si="20"/>
        <v>0</v>
      </c>
      <c r="P46" s="12">
        <f t="shared" si="21"/>
        <v>-13.923611111111072</v>
      </c>
      <c r="Q46" s="142">
        <f t="shared" si="22"/>
        <v>0.89557291666666694</v>
      </c>
      <c r="R46" s="470"/>
      <c r="S46" s="24">
        <v>0.55972222222222223</v>
      </c>
      <c r="T46" s="24">
        <v>0.62638888888888888</v>
      </c>
      <c r="U46" s="141">
        <f t="shared" si="28"/>
        <v>56.999999999999957</v>
      </c>
      <c r="V46" s="150">
        <f t="shared" si="27"/>
        <v>95.999999999999972</v>
      </c>
      <c r="W46" s="14"/>
      <c r="X46" s="14"/>
      <c r="Y46" s="456"/>
      <c r="Z46" s="456"/>
      <c r="AA46" s="11">
        <f t="shared" si="23"/>
        <v>-250.62499999999909</v>
      </c>
      <c r="AB46" s="142">
        <f t="shared" si="24"/>
        <v>0.89557291666666705</v>
      </c>
      <c r="AC46" s="470"/>
    </row>
    <row r="47" spans="1:29">
      <c r="A47" s="486" t="s">
        <v>158</v>
      </c>
      <c r="B47" s="26" t="s">
        <v>24</v>
      </c>
      <c r="C47" s="487" t="s">
        <v>513</v>
      </c>
      <c r="D47" s="487"/>
      <c r="E47" s="26">
        <v>29.94</v>
      </c>
      <c r="F47" s="151">
        <v>3635</v>
      </c>
      <c r="G47" s="141">
        <f t="shared" si="25"/>
        <v>108831.90000000001</v>
      </c>
      <c r="H47" s="76" t="s">
        <v>57</v>
      </c>
      <c r="I47" s="149">
        <v>16</v>
      </c>
      <c r="J47" s="18">
        <v>2400</v>
      </c>
      <c r="K47" s="9">
        <f t="shared" si="18"/>
        <v>150</v>
      </c>
      <c r="L47" s="149">
        <v>16</v>
      </c>
      <c r="M47" s="10">
        <f t="shared" si="26"/>
        <v>2138.2352941176482</v>
      </c>
      <c r="N47" s="9">
        <f t="shared" si="19"/>
        <v>133.63970588235301</v>
      </c>
      <c r="O47" s="11">
        <f t="shared" si="20"/>
        <v>0</v>
      </c>
      <c r="P47" s="12">
        <f t="shared" si="21"/>
        <v>-16.360294117646987</v>
      </c>
      <c r="Q47" s="142">
        <f t="shared" si="22"/>
        <v>0.89093137254902011</v>
      </c>
      <c r="R47" s="470"/>
      <c r="S47" s="24">
        <v>0.62986111111111109</v>
      </c>
      <c r="T47" s="24">
        <v>0.7006944444444444</v>
      </c>
      <c r="U47" s="141">
        <f t="shared" si="28"/>
        <v>4.9999999999999822</v>
      </c>
      <c r="V47" s="150">
        <f t="shared" si="27"/>
        <v>101.99999999999996</v>
      </c>
      <c r="W47" s="14"/>
      <c r="X47" s="14"/>
      <c r="Y47" s="456"/>
      <c r="Z47" s="456"/>
      <c r="AA47" s="11">
        <f t="shared" si="23"/>
        <v>-261.76470588235179</v>
      </c>
      <c r="AB47" s="142">
        <f t="shared" si="24"/>
        <v>0.89093137254902011</v>
      </c>
      <c r="AC47" s="470"/>
    </row>
    <row r="48" spans="1:29">
      <c r="A48" s="486" t="s">
        <v>158</v>
      </c>
      <c r="B48" s="26" t="s">
        <v>24</v>
      </c>
      <c r="C48" s="487" t="s">
        <v>25</v>
      </c>
      <c r="D48" s="487"/>
      <c r="E48" s="26">
        <v>20.52</v>
      </c>
      <c r="F48" s="151">
        <v>2422</v>
      </c>
      <c r="G48" s="141">
        <f t="shared" si="25"/>
        <v>49699.44</v>
      </c>
      <c r="H48" s="76" t="s">
        <v>57</v>
      </c>
      <c r="I48" s="149">
        <v>18</v>
      </c>
      <c r="J48" s="18">
        <v>2400</v>
      </c>
      <c r="K48" s="9">
        <f t="shared" si="18"/>
        <v>133.33333333333334</v>
      </c>
      <c r="L48" s="149">
        <v>18</v>
      </c>
      <c r="M48" s="10">
        <f t="shared" si="26"/>
        <v>2137.058823529409</v>
      </c>
      <c r="N48" s="9">
        <f t="shared" si="19"/>
        <v>118.72549019607828</v>
      </c>
      <c r="O48" s="11">
        <f t="shared" si="20"/>
        <v>0</v>
      </c>
      <c r="P48" s="12">
        <f t="shared" si="21"/>
        <v>-14.60784313725506</v>
      </c>
      <c r="Q48" s="142">
        <f t="shared" si="22"/>
        <v>0.89044117647058707</v>
      </c>
      <c r="R48" s="470"/>
      <c r="S48" s="24">
        <v>0.70555555555555549</v>
      </c>
      <c r="T48" s="24">
        <v>0.75277777777777777</v>
      </c>
      <c r="U48" s="141">
        <f t="shared" si="28"/>
        <v>6.9999999999999751</v>
      </c>
      <c r="V48" s="150">
        <f t="shared" si="27"/>
        <v>68.000000000000085</v>
      </c>
      <c r="W48" s="14"/>
      <c r="X48" s="14"/>
      <c r="Y48" s="473"/>
      <c r="Z48" s="474"/>
      <c r="AA48" s="11">
        <f t="shared" si="23"/>
        <v>-262.94117647059102</v>
      </c>
      <c r="AB48" s="142">
        <f t="shared" si="24"/>
        <v>0.89044117647058707</v>
      </c>
      <c r="AC48" s="470"/>
    </row>
    <row r="49" spans="1:29">
      <c r="A49" s="486" t="s">
        <v>158</v>
      </c>
      <c r="B49" s="16" t="s">
        <v>81</v>
      </c>
      <c r="C49" s="466"/>
      <c r="D49" s="466"/>
      <c r="E49" s="143"/>
      <c r="F49" s="16"/>
      <c r="G49" s="9"/>
      <c r="H49" s="151"/>
      <c r="I49" s="17">
        <v>18.428571428571427</v>
      </c>
      <c r="J49" s="18">
        <v>2400</v>
      </c>
      <c r="K49" s="9">
        <f t="shared" si="18"/>
        <v>130.23255813953489</v>
      </c>
      <c r="L49" s="17">
        <v>18.428571428571427</v>
      </c>
      <c r="M49" s="10">
        <f>AVERAGE(M42:M48)</f>
        <v>2146.4115109906288</v>
      </c>
      <c r="N49" s="9">
        <f t="shared" si="19"/>
        <v>116.47194245685584</v>
      </c>
      <c r="O49" s="11">
        <f t="shared" si="20"/>
        <v>0</v>
      </c>
      <c r="P49" s="12">
        <f t="shared" si="21"/>
        <v>-13.760615682679045</v>
      </c>
      <c r="Q49" s="142">
        <f t="shared" si="22"/>
        <v>0.89433812957942871</v>
      </c>
      <c r="R49" s="470"/>
      <c r="S49" s="24"/>
      <c r="T49" s="24"/>
      <c r="U49" s="9"/>
      <c r="V49" s="150"/>
      <c r="W49" s="9"/>
      <c r="X49" s="9"/>
      <c r="Y49" s="456"/>
      <c r="Z49" s="456"/>
      <c r="AA49" s="11">
        <f t="shared" si="23"/>
        <v>-253.58848900937119</v>
      </c>
      <c r="AB49" s="142">
        <f t="shared" si="24"/>
        <v>0.89433812957942871</v>
      </c>
      <c r="AC49" s="470"/>
    </row>
    <row r="50" spans="1:29" ht="15.75" customHeight="1">
      <c r="A50" s="488" t="s">
        <v>162</v>
      </c>
      <c r="B50" s="26" t="s">
        <v>33</v>
      </c>
      <c r="C50" s="491" t="s">
        <v>34</v>
      </c>
      <c r="D50" s="492"/>
      <c r="E50" s="26">
        <v>27.17</v>
      </c>
      <c r="F50" s="151">
        <v>2800</v>
      </c>
      <c r="G50" s="141">
        <f t="shared" ref="G50:G60" si="29">E50*F50</f>
        <v>76076</v>
      </c>
      <c r="H50" s="76">
        <v>2</v>
      </c>
      <c r="I50" s="149">
        <v>10</v>
      </c>
      <c r="J50" s="18">
        <v>3000</v>
      </c>
      <c r="K50" s="9">
        <f t="shared" si="18"/>
        <v>300</v>
      </c>
      <c r="L50" s="149">
        <v>10</v>
      </c>
      <c r="M50" s="10">
        <f t="shared" ref="M50:M60" si="30">F50/V50*60</f>
        <v>2709.6774193548376</v>
      </c>
      <c r="N50" s="10">
        <f t="shared" si="19"/>
        <v>270.96774193548379</v>
      </c>
      <c r="O50" s="11">
        <f t="shared" si="20"/>
        <v>0</v>
      </c>
      <c r="P50" s="12">
        <f t="shared" si="21"/>
        <v>-29.032258064516213</v>
      </c>
      <c r="Q50" s="142">
        <f t="shared" si="22"/>
        <v>0.90322580645161266</v>
      </c>
      <c r="R50" s="493">
        <f>Q61</f>
        <v>0.89817347177170204</v>
      </c>
      <c r="S50" s="24">
        <v>0.125</v>
      </c>
      <c r="T50" s="24">
        <v>0.16805555555555557</v>
      </c>
      <c r="U50" s="15"/>
      <c r="V50" s="150">
        <f t="shared" ref="V50:V60" si="31">(T50-S50)*24*60</f>
        <v>62.000000000000021</v>
      </c>
      <c r="W50" s="141"/>
      <c r="X50" s="141"/>
      <c r="Y50" s="473"/>
      <c r="Z50" s="474"/>
      <c r="AA50" s="11">
        <f t="shared" si="23"/>
        <v>-290.32258064516236</v>
      </c>
      <c r="AB50" s="142">
        <f t="shared" si="24"/>
        <v>0.90322580645161255</v>
      </c>
      <c r="AC50" s="493">
        <f>AB61</f>
        <v>0.89817347177170204</v>
      </c>
    </row>
    <row r="51" spans="1:29" ht="15.75" customHeight="1">
      <c r="A51" s="489" t="s">
        <v>9</v>
      </c>
      <c r="B51" s="26" t="s">
        <v>33</v>
      </c>
      <c r="C51" s="491" t="s">
        <v>35</v>
      </c>
      <c r="D51" s="492"/>
      <c r="E51" s="26">
        <v>21.13</v>
      </c>
      <c r="F51" s="151">
        <v>3100</v>
      </c>
      <c r="G51" s="141">
        <f t="shared" si="29"/>
        <v>65503</v>
      </c>
      <c r="H51" s="76">
        <v>2</v>
      </c>
      <c r="I51" s="149">
        <v>10</v>
      </c>
      <c r="J51" s="18">
        <v>3000</v>
      </c>
      <c r="K51" s="9">
        <f t="shared" si="18"/>
        <v>300</v>
      </c>
      <c r="L51" s="149">
        <v>10</v>
      </c>
      <c r="M51" s="10">
        <f t="shared" si="30"/>
        <v>2695.6521739130435</v>
      </c>
      <c r="N51" s="10">
        <f t="shared" si="19"/>
        <v>269.56521739130437</v>
      </c>
      <c r="O51" s="11">
        <f t="shared" si="20"/>
        <v>0</v>
      </c>
      <c r="P51" s="12">
        <f t="shared" si="21"/>
        <v>-30.434782608695627</v>
      </c>
      <c r="Q51" s="142">
        <f t="shared" si="22"/>
        <v>0.89855072463768126</v>
      </c>
      <c r="R51" s="494"/>
      <c r="S51" s="24">
        <v>0.1875</v>
      </c>
      <c r="T51" s="24">
        <v>0.23541666666666666</v>
      </c>
      <c r="U51" s="141">
        <f t="shared" ref="U51:U60" si="32">(S51-T50)*24*60</f>
        <v>27.999999999999979</v>
      </c>
      <c r="V51" s="150">
        <f t="shared" si="31"/>
        <v>69</v>
      </c>
      <c r="W51" s="14"/>
      <c r="X51" s="14"/>
      <c r="Y51" s="473"/>
      <c r="Z51" s="474"/>
      <c r="AA51" s="11">
        <f t="shared" si="23"/>
        <v>-304.3478260869565</v>
      </c>
      <c r="AB51" s="142">
        <f t="shared" si="24"/>
        <v>0.89855072463768115</v>
      </c>
      <c r="AC51" s="494"/>
    </row>
    <row r="52" spans="1:29" ht="15.75" customHeight="1">
      <c r="A52" s="489" t="s">
        <v>9</v>
      </c>
      <c r="B52" s="26" t="s">
        <v>33</v>
      </c>
      <c r="C52" s="491" t="s">
        <v>43</v>
      </c>
      <c r="D52" s="492"/>
      <c r="E52" s="26">
        <v>35.119999999999997</v>
      </c>
      <c r="F52" s="151">
        <v>3000</v>
      </c>
      <c r="G52" s="141">
        <f t="shared" si="29"/>
        <v>105359.99999999999</v>
      </c>
      <c r="H52" s="76">
        <v>2</v>
      </c>
      <c r="I52" s="149">
        <v>10</v>
      </c>
      <c r="J52" s="18">
        <v>3000</v>
      </c>
      <c r="K52" s="9">
        <f t="shared" si="18"/>
        <v>300</v>
      </c>
      <c r="L52" s="149">
        <v>10</v>
      </c>
      <c r="M52" s="10">
        <f t="shared" si="30"/>
        <v>2686.5671641791059</v>
      </c>
      <c r="N52" s="10">
        <f t="shared" si="19"/>
        <v>268.65671641791062</v>
      </c>
      <c r="O52" s="11">
        <f t="shared" si="20"/>
        <v>0</v>
      </c>
      <c r="P52" s="12">
        <f t="shared" si="21"/>
        <v>-31.343283582089384</v>
      </c>
      <c r="Q52" s="142">
        <f t="shared" si="22"/>
        <v>0.89552238805970208</v>
      </c>
      <c r="R52" s="494"/>
      <c r="S52" s="24">
        <v>0.23958333333333334</v>
      </c>
      <c r="T52" s="24">
        <v>0.28611111111111109</v>
      </c>
      <c r="U52" s="141">
        <f t="shared" si="32"/>
        <v>6.0000000000000187</v>
      </c>
      <c r="V52" s="150">
        <f t="shared" si="31"/>
        <v>66.999999999999957</v>
      </c>
      <c r="W52" s="14"/>
      <c r="X52" s="14"/>
      <c r="Y52" s="473"/>
      <c r="Z52" s="474"/>
      <c r="AA52" s="11">
        <f t="shared" si="23"/>
        <v>-313.43283582089407</v>
      </c>
      <c r="AB52" s="142">
        <f t="shared" si="24"/>
        <v>0.89552238805970197</v>
      </c>
      <c r="AC52" s="494"/>
    </row>
    <row r="53" spans="1:29" ht="15.75" customHeight="1">
      <c r="A53" s="489" t="s">
        <v>9</v>
      </c>
      <c r="B53" s="26" t="s">
        <v>33</v>
      </c>
      <c r="C53" s="491" t="s">
        <v>67</v>
      </c>
      <c r="D53" s="492"/>
      <c r="E53" s="26">
        <v>40.18</v>
      </c>
      <c r="F53" s="151">
        <v>2743</v>
      </c>
      <c r="G53" s="141">
        <f t="shared" si="29"/>
        <v>110213.74</v>
      </c>
      <c r="H53" s="76" t="s">
        <v>57</v>
      </c>
      <c r="I53" s="149">
        <v>10</v>
      </c>
      <c r="J53" s="18">
        <v>3000</v>
      </c>
      <c r="K53" s="9">
        <f t="shared" si="18"/>
        <v>300</v>
      </c>
      <c r="L53" s="149">
        <v>10</v>
      </c>
      <c r="M53" s="10">
        <f t="shared" si="30"/>
        <v>2698.0327868852451</v>
      </c>
      <c r="N53" s="10">
        <f t="shared" si="19"/>
        <v>269.80327868852453</v>
      </c>
      <c r="O53" s="11">
        <f t="shared" si="20"/>
        <v>0</v>
      </c>
      <c r="P53" s="12">
        <f t="shared" si="21"/>
        <v>-30.196721311475471</v>
      </c>
      <c r="Q53" s="142">
        <f t="shared" si="22"/>
        <v>0.8993442622950818</v>
      </c>
      <c r="R53" s="494"/>
      <c r="S53" s="24">
        <v>0.29027777777777775</v>
      </c>
      <c r="T53" s="24">
        <v>0.33263888888888887</v>
      </c>
      <c r="U53" s="141">
        <f t="shared" si="32"/>
        <v>5.9999999999999787</v>
      </c>
      <c r="V53" s="150">
        <f t="shared" si="31"/>
        <v>61.000000000000021</v>
      </c>
      <c r="W53" s="14"/>
      <c r="X53" s="14"/>
      <c r="Y53" s="473"/>
      <c r="Z53" s="474"/>
      <c r="AA53" s="11">
        <f t="shared" si="23"/>
        <v>-301.96721311475494</v>
      </c>
      <c r="AB53" s="142">
        <f t="shared" si="24"/>
        <v>0.89934426229508169</v>
      </c>
      <c r="AC53" s="494"/>
    </row>
    <row r="54" spans="1:29" ht="15.75" customHeight="1">
      <c r="A54" s="489" t="s">
        <v>9</v>
      </c>
      <c r="B54" s="26" t="s">
        <v>33</v>
      </c>
      <c r="C54" s="491" t="s">
        <v>73</v>
      </c>
      <c r="D54" s="492"/>
      <c r="E54" s="26">
        <v>28.5</v>
      </c>
      <c r="F54" s="151">
        <v>2045</v>
      </c>
      <c r="G54" s="141">
        <f t="shared" si="29"/>
        <v>58282.5</v>
      </c>
      <c r="H54" s="76" t="s">
        <v>57</v>
      </c>
      <c r="I54" s="149">
        <v>10</v>
      </c>
      <c r="J54" s="18">
        <v>3000</v>
      </c>
      <c r="K54" s="9">
        <f t="shared" si="18"/>
        <v>300</v>
      </c>
      <c r="L54" s="149">
        <v>10</v>
      </c>
      <c r="M54" s="10">
        <f t="shared" si="30"/>
        <v>2726.6666666666665</v>
      </c>
      <c r="N54" s="10">
        <f t="shared" si="19"/>
        <v>272.66666666666663</v>
      </c>
      <c r="O54" s="11">
        <f t="shared" si="20"/>
        <v>0</v>
      </c>
      <c r="P54" s="12">
        <f t="shared" si="21"/>
        <v>-27.333333333333371</v>
      </c>
      <c r="Q54" s="142">
        <f t="shared" si="22"/>
        <v>0.90888888888888875</v>
      </c>
      <c r="R54" s="494"/>
      <c r="S54" s="24">
        <v>0.33819444444444441</v>
      </c>
      <c r="T54" s="24">
        <v>0.36944444444444441</v>
      </c>
      <c r="U54" s="141">
        <f t="shared" si="32"/>
        <v>7.9999999999999716</v>
      </c>
      <c r="V54" s="150">
        <f t="shared" si="31"/>
        <v>45</v>
      </c>
      <c r="W54" s="14"/>
      <c r="X54" s="14"/>
      <c r="Y54" s="473"/>
      <c r="Z54" s="474"/>
      <c r="AA54" s="11">
        <f t="shared" si="23"/>
        <v>-273.33333333333348</v>
      </c>
      <c r="AB54" s="142">
        <f t="shared" si="24"/>
        <v>0.90888888888888886</v>
      </c>
      <c r="AC54" s="494"/>
    </row>
    <row r="55" spans="1:29" ht="15.75" customHeight="1">
      <c r="A55" s="489" t="s">
        <v>9</v>
      </c>
      <c r="B55" s="26" t="s">
        <v>33</v>
      </c>
      <c r="C55" s="491" t="s">
        <v>511</v>
      </c>
      <c r="D55" s="492"/>
      <c r="E55" s="26">
        <v>34.26</v>
      </c>
      <c r="F55" s="151">
        <v>3300</v>
      </c>
      <c r="G55" s="141">
        <f t="shared" si="29"/>
        <v>113058</v>
      </c>
      <c r="H55" s="76">
        <v>2</v>
      </c>
      <c r="I55" s="149">
        <v>10</v>
      </c>
      <c r="J55" s="18">
        <v>3000</v>
      </c>
      <c r="K55" s="9">
        <f t="shared" si="18"/>
        <v>300</v>
      </c>
      <c r="L55" s="149">
        <v>10</v>
      </c>
      <c r="M55" s="10">
        <f t="shared" si="30"/>
        <v>2675.6756756756768</v>
      </c>
      <c r="N55" s="10">
        <f t="shared" si="19"/>
        <v>267.56756756756766</v>
      </c>
      <c r="O55" s="11">
        <f t="shared" si="20"/>
        <v>0</v>
      </c>
      <c r="P55" s="12">
        <f t="shared" si="21"/>
        <v>-32.432432432432336</v>
      </c>
      <c r="Q55" s="142">
        <f t="shared" si="22"/>
        <v>0.89189189189189222</v>
      </c>
      <c r="R55" s="494"/>
      <c r="S55" s="24">
        <v>0.3743055555555555</v>
      </c>
      <c r="T55" s="24">
        <v>0.42569444444444438</v>
      </c>
      <c r="U55" s="141">
        <f t="shared" si="32"/>
        <v>6.9999999999999751</v>
      </c>
      <c r="V55" s="150">
        <f t="shared" si="31"/>
        <v>73.999999999999972</v>
      </c>
      <c r="W55" s="14"/>
      <c r="X55" s="14"/>
      <c r="Y55" s="473"/>
      <c r="Z55" s="474"/>
      <c r="AA55" s="11">
        <f t="shared" si="23"/>
        <v>-324.32432432432324</v>
      </c>
      <c r="AB55" s="142">
        <f t="shared" si="24"/>
        <v>0.89189189189189222</v>
      </c>
      <c r="AC55" s="494"/>
    </row>
    <row r="56" spans="1:29" ht="15.75" customHeight="1">
      <c r="A56" s="489" t="s">
        <v>9</v>
      </c>
      <c r="B56" s="26" t="s">
        <v>33</v>
      </c>
      <c r="C56" s="491" t="s">
        <v>37</v>
      </c>
      <c r="D56" s="492"/>
      <c r="E56" s="26">
        <v>34.36</v>
      </c>
      <c r="F56" s="151">
        <v>2778</v>
      </c>
      <c r="G56" s="141">
        <f t="shared" si="29"/>
        <v>95452.08</v>
      </c>
      <c r="H56" s="76" t="s">
        <v>57</v>
      </c>
      <c r="I56" s="149">
        <v>10</v>
      </c>
      <c r="J56" s="18">
        <v>3000</v>
      </c>
      <c r="K56" s="9">
        <f t="shared" si="18"/>
        <v>300</v>
      </c>
      <c r="L56" s="149">
        <v>10</v>
      </c>
      <c r="M56" s="10">
        <f t="shared" si="30"/>
        <v>2688.3870967741927</v>
      </c>
      <c r="N56" s="10">
        <f t="shared" si="19"/>
        <v>268.83870967741927</v>
      </c>
      <c r="O56" s="11">
        <f t="shared" si="20"/>
        <v>0</v>
      </c>
      <c r="P56" s="12">
        <f t="shared" si="21"/>
        <v>-31.161290322580726</v>
      </c>
      <c r="Q56" s="142">
        <f t="shared" si="22"/>
        <v>0.89612903225806428</v>
      </c>
      <c r="R56" s="494"/>
      <c r="S56" s="24">
        <v>0.42986111111111103</v>
      </c>
      <c r="T56" s="24">
        <v>0.4729166666666666</v>
      </c>
      <c r="U56" s="141">
        <f t="shared" si="32"/>
        <v>5.9999999999999787</v>
      </c>
      <c r="V56" s="150">
        <f t="shared" si="31"/>
        <v>62.000000000000021</v>
      </c>
      <c r="W56" s="14"/>
      <c r="X56" s="14"/>
      <c r="Y56" s="473"/>
      <c r="Z56" s="474"/>
      <c r="AA56" s="11">
        <f t="shared" si="23"/>
        <v>-311.61290322580726</v>
      </c>
      <c r="AB56" s="142">
        <f t="shared" si="24"/>
        <v>0.89612903225806428</v>
      </c>
      <c r="AC56" s="494"/>
    </row>
    <row r="57" spans="1:29" ht="15.75" customHeight="1">
      <c r="A57" s="489" t="s">
        <v>9</v>
      </c>
      <c r="B57" s="26" t="s">
        <v>33</v>
      </c>
      <c r="C57" s="491" t="s">
        <v>40</v>
      </c>
      <c r="D57" s="492"/>
      <c r="E57" s="26">
        <v>35.119999999999997</v>
      </c>
      <c r="F57" s="151">
        <v>1383</v>
      </c>
      <c r="G57" s="141">
        <f t="shared" si="29"/>
        <v>48570.96</v>
      </c>
      <c r="H57" s="76" t="s">
        <v>57</v>
      </c>
      <c r="I57" s="149">
        <v>13</v>
      </c>
      <c r="J57" s="18">
        <v>2000</v>
      </c>
      <c r="K57" s="9">
        <f t="shared" si="18"/>
        <v>153.84615384615384</v>
      </c>
      <c r="L57" s="149">
        <v>13</v>
      </c>
      <c r="M57" s="10">
        <f t="shared" si="30"/>
        <v>1803.9130434782578</v>
      </c>
      <c r="N57" s="10">
        <f t="shared" si="19"/>
        <v>138.76254180601984</v>
      </c>
      <c r="O57" s="11">
        <f t="shared" si="20"/>
        <v>0</v>
      </c>
      <c r="P57" s="12">
        <f t="shared" si="21"/>
        <v>-15.083612040134</v>
      </c>
      <c r="Q57" s="142">
        <f t="shared" si="22"/>
        <v>0.90195652173912899</v>
      </c>
      <c r="R57" s="494"/>
      <c r="S57" s="24">
        <v>0.47638888888888881</v>
      </c>
      <c r="T57" s="24">
        <v>0.5083333333333333</v>
      </c>
      <c r="U57" s="141">
        <f t="shared" si="32"/>
        <v>4.9999999999999822</v>
      </c>
      <c r="V57" s="150">
        <f t="shared" si="31"/>
        <v>46.000000000000078</v>
      </c>
      <c r="W57" s="14"/>
      <c r="X57" s="14"/>
      <c r="Y57" s="473"/>
      <c r="Z57" s="474"/>
      <c r="AA57" s="11">
        <f t="shared" si="23"/>
        <v>-196.0869565217422</v>
      </c>
      <c r="AB57" s="142">
        <f t="shared" si="24"/>
        <v>0.90195652173912888</v>
      </c>
      <c r="AC57" s="494"/>
    </row>
    <row r="58" spans="1:29" ht="15.75" customHeight="1">
      <c r="A58" s="489" t="s">
        <v>9</v>
      </c>
      <c r="B58" s="26" t="s">
        <v>33</v>
      </c>
      <c r="C58" s="491" t="s">
        <v>34</v>
      </c>
      <c r="D58" s="492"/>
      <c r="E58" s="26">
        <v>27.17</v>
      </c>
      <c r="F58" s="151">
        <v>3349</v>
      </c>
      <c r="G58" s="141">
        <f t="shared" si="29"/>
        <v>90992.33</v>
      </c>
      <c r="H58" s="76" t="s">
        <v>57</v>
      </c>
      <c r="I58" s="149">
        <v>10</v>
      </c>
      <c r="J58" s="18">
        <v>3000</v>
      </c>
      <c r="K58" s="9">
        <f t="shared" si="18"/>
        <v>300</v>
      </c>
      <c r="L58" s="149">
        <v>10</v>
      </c>
      <c r="M58" s="10">
        <f t="shared" si="30"/>
        <v>2679.199999999998</v>
      </c>
      <c r="N58" s="10">
        <f t="shared" si="19"/>
        <v>267.91999999999979</v>
      </c>
      <c r="O58" s="11">
        <f t="shared" si="20"/>
        <v>0</v>
      </c>
      <c r="P58" s="12">
        <f t="shared" si="21"/>
        <v>-32.080000000000211</v>
      </c>
      <c r="Q58" s="142">
        <f t="shared" si="22"/>
        <v>0.89306666666666601</v>
      </c>
      <c r="R58" s="494"/>
      <c r="S58" s="24">
        <v>0.54791666666666661</v>
      </c>
      <c r="T58" s="24">
        <v>0.6</v>
      </c>
      <c r="U58" s="141">
        <f t="shared" si="32"/>
        <v>56.999999999999957</v>
      </c>
      <c r="V58" s="150">
        <f t="shared" si="31"/>
        <v>75.000000000000057</v>
      </c>
      <c r="W58" s="14"/>
      <c r="X58" s="14"/>
      <c r="Y58" s="473"/>
      <c r="Z58" s="474"/>
      <c r="AA58" s="11">
        <f t="shared" si="23"/>
        <v>-320.800000000002</v>
      </c>
      <c r="AB58" s="142">
        <f t="shared" si="24"/>
        <v>0.89306666666666601</v>
      </c>
      <c r="AC58" s="494"/>
    </row>
    <row r="59" spans="1:29" ht="15.75" customHeight="1">
      <c r="A59" s="489" t="s">
        <v>9</v>
      </c>
      <c r="B59" s="26" t="s">
        <v>33</v>
      </c>
      <c r="C59" s="491" t="s">
        <v>35</v>
      </c>
      <c r="D59" s="492"/>
      <c r="E59" s="26">
        <v>21.13</v>
      </c>
      <c r="F59" s="151">
        <v>1801</v>
      </c>
      <c r="G59" s="141">
        <f t="shared" si="29"/>
        <v>38055.129999999997</v>
      </c>
      <c r="H59" s="76" t="s">
        <v>57</v>
      </c>
      <c r="I59" s="149">
        <v>10</v>
      </c>
      <c r="J59" s="18">
        <v>3000</v>
      </c>
      <c r="K59" s="9">
        <f t="shared" si="18"/>
        <v>300</v>
      </c>
      <c r="L59" s="149">
        <v>10</v>
      </c>
      <c r="M59" s="10">
        <f t="shared" si="30"/>
        <v>2701.4999999999991</v>
      </c>
      <c r="N59" s="10">
        <f t="shared" si="19"/>
        <v>270.14999999999992</v>
      </c>
      <c r="O59" s="11">
        <f t="shared" si="20"/>
        <v>0</v>
      </c>
      <c r="P59" s="12">
        <f t="shared" si="21"/>
        <v>-29.85000000000008</v>
      </c>
      <c r="Q59" s="142">
        <f t="shared" si="22"/>
        <v>0.90049999999999975</v>
      </c>
      <c r="R59" s="494"/>
      <c r="S59" s="24">
        <v>0.60347222222222219</v>
      </c>
      <c r="T59" s="24">
        <v>0.63124999999999998</v>
      </c>
      <c r="U59" s="141">
        <f t="shared" si="32"/>
        <v>4.9999999999999822</v>
      </c>
      <c r="V59" s="150">
        <f t="shared" si="31"/>
        <v>40.000000000000014</v>
      </c>
      <c r="W59" s="14"/>
      <c r="X59" s="14"/>
      <c r="Y59" s="473"/>
      <c r="Z59" s="474"/>
      <c r="AA59" s="11">
        <f t="shared" si="23"/>
        <v>-298.50000000000091</v>
      </c>
      <c r="AB59" s="142">
        <f t="shared" si="24"/>
        <v>0.90049999999999975</v>
      </c>
      <c r="AC59" s="494"/>
    </row>
    <row r="60" spans="1:29" ht="15.75" customHeight="1">
      <c r="A60" s="489" t="s">
        <v>9</v>
      </c>
      <c r="B60" s="26" t="s">
        <v>33</v>
      </c>
      <c r="C60" s="491" t="s">
        <v>43</v>
      </c>
      <c r="D60" s="492"/>
      <c r="E60" s="26">
        <v>35.119999999999997</v>
      </c>
      <c r="F60" s="151">
        <v>1918</v>
      </c>
      <c r="G60" s="141">
        <f t="shared" si="29"/>
        <v>67360.159999999989</v>
      </c>
      <c r="H60" s="76" t="s">
        <v>57</v>
      </c>
      <c r="I60" s="149">
        <v>10</v>
      </c>
      <c r="J60" s="18">
        <v>3000</v>
      </c>
      <c r="K60" s="9">
        <f t="shared" si="18"/>
        <v>300</v>
      </c>
      <c r="L60" s="149">
        <v>10</v>
      </c>
      <c r="M60" s="10">
        <f t="shared" si="30"/>
        <v>2676.2790697674413</v>
      </c>
      <c r="N60" s="10">
        <f t="shared" si="19"/>
        <v>267.62790697674416</v>
      </c>
      <c r="O60" s="11">
        <f t="shared" si="20"/>
        <v>0</v>
      </c>
      <c r="P60" s="12">
        <f t="shared" si="21"/>
        <v>-32.372093023255843</v>
      </c>
      <c r="Q60" s="142">
        <f t="shared" si="22"/>
        <v>0.89209302325581386</v>
      </c>
      <c r="R60" s="494"/>
      <c r="S60" s="24">
        <v>0.63611111111111107</v>
      </c>
      <c r="T60" s="24">
        <v>0.66597222222222219</v>
      </c>
      <c r="U60" s="141">
        <f t="shared" si="32"/>
        <v>6.9999999999999751</v>
      </c>
      <c r="V60" s="150">
        <f t="shared" si="31"/>
        <v>43.000000000000007</v>
      </c>
      <c r="W60" s="14"/>
      <c r="X60" s="14"/>
      <c r="Y60" s="473"/>
      <c r="Z60" s="474"/>
      <c r="AA60" s="11">
        <f t="shared" si="23"/>
        <v>-323.72093023255866</v>
      </c>
      <c r="AB60" s="142">
        <f t="shared" si="24"/>
        <v>0.89209302325581374</v>
      </c>
      <c r="AC60" s="494"/>
    </row>
    <row r="61" spans="1:29" ht="15.75" customHeight="1">
      <c r="A61" s="490" t="s">
        <v>9</v>
      </c>
      <c r="B61" s="26" t="s">
        <v>81</v>
      </c>
      <c r="C61" s="497"/>
      <c r="D61" s="498"/>
      <c r="E61" s="144"/>
      <c r="F61" s="151"/>
      <c r="G61" s="141"/>
      <c r="H61" s="151"/>
      <c r="I61" s="17">
        <v>10.272727272727273</v>
      </c>
      <c r="J61" s="18">
        <v>2909.090909090909</v>
      </c>
      <c r="K61" s="9">
        <f t="shared" si="18"/>
        <v>283.18584070796459</v>
      </c>
      <c r="L61" s="17">
        <v>10.272727272727273</v>
      </c>
      <c r="M61" s="10">
        <f>AVERAGE(M50:M60)</f>
        <v>2612.8682815176785</v>
      </c>
      <c r="N61" s="9">
        <f t="shared" si="19"/>
        <v>254.35000970526073</v>
      </c>
      <c r="O61" s="11">
        <f t="shared" si="20"/>
        <v>0</v>
      </c>
      <c r="P61" s="12">
        <f t="shared" si="21"/>
        <v>-28.835831002703856</v>
      </c>
      <c r="Q61" s="142">
        <f t="shared" si="22"/>
        <v>0.89817347177170204</v>
      </c>
      <c r="R61" s="495"/>
      <c r="S61" s="24"/>
      <c r="T61" s="24"/>
      <c r="U61" s="141"/>
      <c r="V61" s="150"/>
      <c r="W61" s="14"/>
      <c r="X61" s="14"/>
      <c r="Y61" s="473"/>
      <c r="Z61" s="474"/>
      <c r="AA61" s="11">
        <f t="shared" si="23"/>
        <v>-296.22262757323051</v>
      </c>
      <c r="AB61" s="142">
        <f t="shared" si="24"/>
        <v>0.89817347177170204</v>
      </c>
      <c r="AC61" s="495"/>
    </row>
    <row r="62" spans="1:29" ht="15.75" customHeight="1">
      <c r="A62" s="461" t="s">
        <v>512</v>
      </c>
      <c r="B62" s="26" t="s">
        <v>15</v>
      </c>
      <c r="C62" s="487" t="s">
        <v>20</v>
      </c>
      <c r="D62" s="487"/>
      <c r="E62" s="26">
        <v>46</v>
      </c>
      <c r="F62" s="27">
        <v>3183</v>
      </c>
      <c r="G62" s="141">
        <f>E62*F62</f>
        <v>146418</v>
      </c>
      <c r="H62" s="76" t="s">
        <v>57</v>
      </c>
      <c r="I62" s="149">
        <v>17</v>
      </c>
      <c r="J62" s="18">
        <v>1500</v>
      </c>
      <c r="K62" s="9">
        <f t="shared" si="18"/>
        <v>88.235294117647058</v>
      </c>
      <c r="L62" s="149">
        <v>17</v>
      </c>
      <c r="M62" s="10">
        <f>F62/V62*60</f>
        <v>1344.929577464789</v>
      </c>
      <c r="N62" s="10">
        <f t="shared" si="19"/>
        <v>79.113504556752289</v>
      </c>
      <c r="O62" s="11">
        <f t="shared" si="20"/>
        <v>0</v>
      </c>
      <c r="P62" s="12">
        <f t="shared" si="21"/>
        <v>-9.1217895608947686</v>
      </c>
      <c r="Q62" s="142">
        <f t="shared" si="22"/>
        <v>0.89661971830985931</v>
      </c>
      <c r="R62" s="470">
        <f>Q66</f>
        <v>0.89640425889793895</v>
      </c>
      <c r="S62" s="24">
        <v>0.29305555555555557</v>
      </c>
      <c r="T62" s="24">
        <v>0.39166666666666666</v>
      </c>
      <c r="U62" s="15"/>
      <c r="V62" s="150">
        <f>(T62-S62)*24*60</f>
        <v>141.99999999999997</v>
      </c>
      <c r="W62" s="15"/>
      <c r="X62" s="15"/>
      <c r="Y62" s="456"/>
      <c r="Z62" s="456"/>
      <c r="AA62" s="11">
        <f t="shared" si="23"/>
        <v>-155.07042253521104</v>
      </c>
      <c r="AB62" s="142">
        <f t="shared" si="24"/>
        <v>0.89661971830985931</v>
      </c>
      <c r="AC62" s="470">
        <f>AB66</f>
        <v>0.89640425889793895</v>
      </c>
    </row>
    <row r="63" spans="1:29" ht="15.75" customHeight="1">
      <c r="A63" s="461" t="s">
        <v>10</v>
      </c>
      <c r="B63" s="26" t="s">
        <v>15</v>
      </c>
      <c r="C63" s="487" t="s">
        <v>75</v>
      </c>
      <c r="D63" s="487"/>
      <c r="E63" s="26">
        <v>46</v>
      </c>
      <c r="F63" s="27">
        <v>4001</v>
      </c>
      <c r="G63" s="141">
        <f>E63*F63</f>
        <v>184046</v>
      </c>
      <c r="H63" s="76" t="s">
        <v>57</v>
      </c>
      <c r="I63" s="149">
        <v>18</v>
      </c>
      <c r="J63" s="18">
        <v>1500</v>
      </c>
      <c r="K63" s="9">
        <f t="shared" si="18"/>
        <v>83.333333333333329</v>
      </c>
      <c r="L63" s="149">
        <v>18</v>
      </c>
      <c r="M63" s="10">
        <f>F63/V63*60</f>
        <v>1341.1173184357535</v>
      </c>
      <c r="N63" s="10">
        <f t="shared" si="19"/>
        <v>74.506517690875199</v>
      </c>
      <c r="O63" s="11">
        <f t="shared" si="20"/>
        <v>0</v>
      </c>
      <c r="P63" s="12">
        <f t="shared" si="21"/>
        <v>-8.8268156424581292</v>
      </c>
      <c r="Q63" s="142">
        <f t="shared" si="22"/>
        <v>0.89407821229050244</v>
      </c>
      <c r="R63" s="470"/>
      <c r="S63" s="24">
        <v>0.3972222222222222</v>
      </c>
      <c r="T63" s="24">
        <v>0.52152777777777781</v>
      </c>
      <c r="U63" s="141">
        <f>(S63-T62)*24*60</f>
        <v>7.9999999999999716</v>
      </c>
      <c r="V63" s="150">
        <f>(T63-S63)*24*60</f>
        <v>179.00000000000009</v>
      </c>
      <c r="W63" s="14"/>
      <c r="X63" s="14"/>
      <c r="Y63" s="456"/>
      <c r="Z63" s="456"/>
      <c r="AA63" s="11">
        <f t="shared" si="23"/>
        <v>-158.88268156424647</v>
      </c>
      <c r="AB63" s="142">
        <f t="shared" si="24"/>
        <v>0.89407821229050233</v>
      </c>
      <c r="AC63" s="470"/>
    </row>
    <row r="64" spans="1:29" ht="15.75" customHeight="1">
      <c r="A64" s="461" t="s">
        <v>10</v>
      </c>
      <c r="B64" s="26" t="s">
        <v>13</v>
      </c>
      <c r="C64" s="491" t="s">
        <v>65</v>
      </c>
      <c r="D64" s="492"/>
      <c r="E64" s="26">
        <v>55.56</v>
      </c>
      <c r="F64" s="27">
        <v>2346</v>
      </c>
      <c r="G64" s="141">
        <f>E64*F64</f>
        <v>130343.76000000001</v>
      </c>
      <c r="H64" s="76" t="s">
        <v>57</v>
      </c>
      <c r="I64" s="149">
        <v>17</v>
      </c>
      <c r="J64" s="18">
        <v>1500</v>
      </c>
      <c r="K64" s="9">
        <f t="shared" si="18"/>
        <v>88.235294117647058</v>
      </c>
      <c r="L64" s="149">
        <v>17</v>
      </c>
      <c r="M64" s="10">
        <f>F64/V64*60</f>
        <v>1340.5714285714294</v>
      </c>
      <c r="N64" s="10">
        <f t="shared" si="19"/>
        <v>78.857142857142904</v>
      </c>
      <c r="O64" s="11">
        <f t="shared" si="20"/>
        <v>0</v>
      </c>
      <c r="P64" s="12">
        <f t="shared" si="21"/>
        <v>-9.3781512605041542</v>
      </c>
      <c r="Q64" s="142">
        <f t="shared" si="22"/>
        <v>0.89371428571428624</v>
      </c>
      <c r="R64" s="470"/>
      <c r="S64" s="24">
        <v>0.70833333333333337</v>
      </c>
      <c r="T64" s="24">
        <v>0.78125</v>
      </c>
      <c r="U64" s="141">
        <f>(S64-T63)*24*60</f>
        <v>269</v>
      </c>
      <c r="V64" s="150">
        <f>(T64-S64)*24*60</f>
        <v>104.99999999999994</v>
      </c>
      <c r="W64" s="14"/>
      <c r="X64" s="14"/>
      <c r="Y64" s="145"/>
      <c r="Z64" s="146"/>
      <c r="AA64" s="11">
        <f t="shared" si="23"/>
        <v>-159.42857142857065</v>
      </c>
      <c r="AB64" s="142">
        <f t="shared" si="24"/>
        <v>0.89371428571428624</v>
      </c>
      <c r="AC64" s="470"/>
    </row>
    <row r="65" spans="1:29" ht="15.75" customHeight="1">
      <c r="A65" s="461" t="s">
        <v>10</v>
      </c>
      <c r="B65" s="26" t="s">
        <v>13</v>
      </c>
      <c r="C65" s="147" t="s">
        <v>64</v>
      </c>
      <c r="D65" s="148"/>
      <c r="E65" s="26">
        <v>55.32</v>
      </c>
      <c r="F65" s="27">
        <v>1870</v>
      </c>
      <c r="G65" s="141">
        <f>E65*F65</f>
        <v>103448.4</v>
      </c>
      <c r="H65" s="76" t="s">
        <v>57</v>
      </c>
      <c r="I65" s="149">
        <v>15</v>
      </c>
      <c r="J65" s="18">
        <v>1500</v>
      </c>
      <c r="K65" s="9">
        <f t="shared" si="18"/>
        <v>100</v>
      </c>
      <c r="L65" s="149">
        <v>15</v>
      </c>
      <c r="M65" s="10">
        <f>F65/V65*60</f>
        <v>1351.8072289156621</v>
      </c>
      <c r="N65" s="10">
        <f t="shared" si="19"/>
        <v>90.120481927710813</v>
      </c>
      <c r="O65" s="11">
        <f t="shared" si="20"/>
        <v>0</v>
      </c>
      <c r="P65" s="12">
        <f t="shared" si="21"/>
        <v>-9.8795180722891871</v>
      </c>
      <c r="Q65" s="142">
        <f t="shared" si="22"/>
        <v>0.90120481927710816</v>
      </c>
      <c r="R65" s="470"/>
      <c r="S65" s="24">
        <v>0.78611111111111109</v>
      </c>
      <c r="T65" s="24">
        <v>0.84375</v>
      </c>
      <c r="U65" s="141">
        <f>(S65-T64)*24*60</f>
        <v>6.9999999999999751</v>
      </c>
      <c r="V65" s="150">
        <f>(T65-S65)*24*60</f>
        <v>83.000000000000028</v>
      </c>
      <c r="W65" s="14"/>
      <c r="X65" s="14"/>
      <c r="Y65" s="145"/>
      <c r="Z65" s="146"/>
      <c r="AA65" s="11">
        <f t="shared" si="23"/>
        <v>-148.19277108433789</v>
      </c>
      <c r="AB65" s="142">
        <f t="shared" si="24"/>
        <v>0.90120481927710805</v>
      </c>
      <c r="AC65" s="470"/>
    </row>
    <row r="66" spans="1:29">
      <c r="A66" s="496" t="s">
        <v>10</v>
      </c>
      <c r="B66" s="26" t="s">
        <v>81</v>
      </c>
      <c r="C66" s="466"/>
      <c r="D66" s="466"/>
      <c r="E66" s="143"/>
      <c r="F66" s="16"/>
      <c r="G66" s="9"/>
      <c r="H66" s="151"/>
      <c r="I66" s="17">
        <v>16.75</v>
      </c>
      <c r="J66" s="18">
        <v>1500</v>
      </c>
      <c r="K66" s="9">
        <f t="shared" si="18"/>
        <v>89.552238805970148</v>
      </c>
      <c r="L66" s="17">
        <v>16.75</v>
      </c>
      <c r="M66" s="10">
        <f>AVERAGE(M62:M65)</f>
        <v>1344.6063883469085</v>
      </c>
      <c r="N66" s="9">
        <f t="shared" si="19"/>
        <v>80.275008259516923</v>
      </c>
      <c r="O66" s="11">
        <f t="shared" si="20"/>
        <v>0</v>
      </c>
      <c r="P66" s="12">
        <f t="shared" si="21"/>
        <v>-9.2772305464532252</v>
      </c>
      <c r="Q66" s="142">
        <f t="shared" si="22"/>
        <v>0.89640425889793895</v>
      </c>
      <c r="R66" s="470"/>
      <c r="S66" s="25"/>
      <c r="T66" s="24"/>
      <c r="U66" s="9"/>
      <c r="V66" s="150"/>
      <c r="W66" s="9"/>
      <c r="X66" s="9"/>
      <c r="Y66" s="456"/>
      <c r="Z66" s="456"/>
      <c r="AA66" s="11">
        <f t="shared" si="23"/>
        <v>-155.39361165309151</v>
      </c>
      <c r="AB66" s="142">
        <f t="shared" si="24"/>
        <v>0.89640425889793895</v>
      </c>
      <c r="AC66" s="470"/>
    </row>
    <row r="67" spans="1:29" ht="15.75" customHeight="1">
      <c r="A67" s="499" t="s">
        <v>328</v>
      </c>
      <c r="B67" s="151" t="s">
        <v>33</v>
      </c>
      <c r="C67" s="487" t="s">
        <v>36</v>
      </c>
      <c r="D67" s="487"/>
      <c r="E67" s="26">
        <v>26.78</v>
      </c>
      <c r="F67" s="27">
        <v>2553</v>
      </c>
      <c r="G67" s="141">
        <f>E67*F67</f>
        <v>68369.34</v>
      </c>
      <c r="H67" s="76" t="s">
        <v>57</v>
      </c>
      <c r="I67" s="149">
        <v>10</v>
      </c>
      <c r="J67" s="18">
        <v>3000</v>
      </c>
      <c r="K67" s="9">
        <f t="shared" si="18"/>
        <v>300</v>
      </c>
      <c r="L67" s="17">
        <v>10</v>
      </c>
      <c r="M67" s="10">
        <f>F67/V67*60</f>
        <v>2687.3684210526339</v>
      </c>
      <c r="N67" s="9">
        <f t="shared" si="19"/>
        <v>268.73684210526341</v>
      </c>
      <c r="O67" s="11">
        <f t="shared" si="20"/>
        <v>0</v>
      </c>
      <c r="P67" s="12">
        <f t="shared" si="21"/>
        <v>-31.263157894736594</v>
      </c>
      <c r="Q67" s="142">
        <f t="shared" si="22"/>
        <v>0.89578947368421136</v>
      </c>
      <c r="R67" s="470">
        <f>Q72</f>
        <v>0.89978553710312448</v>
      </c>
      <c r="S67" s="24">
        <v>0.25069444444444444</v>
      </c>
      <c r="T67" s="24">
        <v>0.29027777777777775</v>
      </c>
      <c r="U67" s="141"/>
      <c r="V67" s="150">
        <f>(T67-S67)*24*60</f>
        <v>56.999999999999957</v>
      </c>
      <c r="W67" s="15"/>
      <c r="X67" s="15"/>
      <c r="Y67" s="456"/>
      <c r="Z67" s="456"/>
      <c r="AA67" s="11">
        <f t="shared" si="23"/>
        <v>-312.63157894736605</v>
      </c>
      <c r="AB67" s="142">
        <f t="shared" si="24"/>
        <v>0.89578947368421136</v>
      </c>
      <c r="AC67" s="470">
        <f>AB72</f>
        <v>0.89978553710312448</v>
      </c>
    </row>
    <row r="68" spans="1:29" ht="15.75" customHeight="1">
      <c r="A68" s="499" t="s">
        <v>11</v>
      </c>
      <c r="B68" s="151" t="s">
        <v>33</v>
      </c>
      <c r="C68" s="487" t="s">
        <v>42</v>
      </c>
      <c r="D68" s="487"/>
      <c r="E68" s="26">
        <v>35.369999999999997</v>
      </c>
      <c r="F68" s="27">
        <v>1783</v>
      </c>
      <c r="G68" s="141">
        <f>E68*F68</f>
        <v>63064.709999999992</v>
      </c>
      <c r="H68" s="76" t="s">
        <v>57</v>
      </c>
      <c r="I68" s="149">
        <v>10</v>
      </c>
      <c r="J68" s="18">
        <v>3000</v>
      </c>
      <c r="K68" s="9">
        <f t="shared" si="18"/>
        <v>300</v>
      </c>
      <c r="L68" s="17">
        <v>10</v>
      </c>
      <c r="M68" s="10">
        <f>F68/V68*60</f>
        <v>2674.4999999999991</v>
      </c>
      <c r="N68" s="9">
        <f t="shared" si="19"/>
        <v>267.44999999999993</v>
      </c>
      <c r="O68" s="11">
        <f t="shared" si="20"/>
        <v>0</v>
      </c>
      <c r="P68" s="12">
        <f t="shared" si="21"/>
        <v>-32.550000000000068</v>
      </c>
      <c r="Q68" s="142">
        <f t="shared" si="22"/>
        <v>0.89149999999999974</v>
      </c>
      <c r="R68" s="470"/>
      <c r="S68" s="24">
        <v>0.29374999999999996</v>
      </c>
      <c r="T68" s="24">
        <v>0.32152777777777775</v>
      </c>
      <c r="U68" s="141">
        <f>(S68-T67)*24*60</f>
        <v>4.9999999999999822</v>
      </c>
      <c r="V68" s="150">
        <f>(T68-S68)*24*60</f>
        <v>40.000000000000014</v>
      </c>
      <c r="W68" s="141"/>
      <c r="X68" s="141"/>
      <c r="Y68" s="456"/>
      <c r="Z68" s="456"/>
      <c r="AA68" s="11">
        <f t="shared" si="23"/>
        <v>-325.50000000000091</v>
      </c>
      <c r="AB68" s="142">
        <f t="shared" si="24"/>
        <v>0.89149999999999974</v>
      </c>
      <c r="AC68" s="470"/>
    </row>
    <row r="69" spans="1:29" ht="15.75" customHeight="1">
      <c r="A69" s="499" t="s">
        <v>11</v>
      </c>
      <c r="B69" s="151" t="s">
        <v>33</v>
      </c>
      <c r="C69" s="487" t="s">
        <v>41</v>
      </c>
      <c r="D69" s="487"/>
      <c r="E69" s="26">
        <v>34.35</v>
      </c>
      <c r="F69" s="27">
        <v>1510</v>
      </c>
      <c r="G69" s="141">
        <f>E69*F69</f>
        <v>51868.5</v>
      </c>
      <c r="H69" s="76" t="s">
        <v>57</v>
      </c>
      <c r="I69" s="149">
        <v>10</v>
      </c>
      <c r="J69" s="18">
        <v>3000</v>
      </c>
      <c r="K69" s="9">
        <f t="shared" ref="K69:K81" si="33">J69/I69</f>
        <v>300</v>
      </c>
      <c r="L69" s="17">
        <v>10</v>
      </c>
      <c r="M69" s="10">
        <f>F69/V69*60</f>
        <v>2745.4545454545419</v>
      </c>
      <c r="N69" s="9">
        <f t="shared" ref="N69:N81" si="34">M69/L69</f>
        <v>274.54545454545416</v>
      </c>
      <c r="O69" s="11">
        <f t="shared" ref="O69:O81" si="35">L69-I69</f>
        <v>0</v>
      </c>
      <c r="P69" s="12">
        <f t="shared" ref="P69:P81" si="36">N69-K69</f>
        <v>-25.454545454545837</v>
      </c>
      <c r="Q69" s="142">
        <f t="shared" ref="Q69:Q81" si="37">N69/K69</f>
        <v>0.91515151515151383</v>
      </c>
      <c r="R69" s="470"/>
      <c r="S69" s="24">
        <v>0.3256944444444444</v>
      </c>
      <c r="T69" s="24">
        <v>0.34861111111111109</v>
      </c>
      <c r="U69" s="141">
        <f>(S69-T68)*24*60</f>
        <v>5.9999999999999787</v>
      </c>
      <c r="V69" s="150">
        <f>(T69-S69)*24*60</f>
        <v>33.000000000000043</v>
      </c>
      <c r="W69" s="141"/>
      <c r="X69" s="141"/>
      <c r="Y69" s="456"/>
      <c r="Z69" s="456"/>
      <c r="AA69" s="11">
        <f t="shared" ref="AA69:AA81" si="38">M69-J69</f>
        <v>-254.54545454545814</v>
      </c>
      <c r="AB69" s="142">
        <f t="shared" ref="AB69:AB81" si="39">M69/J69</f>
        <v>0.91515151515151394</v>
      </c>
      <c r="AC69" s="470"/>
    </row>
    <row r="70" spans="1:29" ht="15.75" customHeight="1">
      <c r="A70" s="499" t="s">
        <v>11</v>
      </c>
      <c r="B70" s="151" t="s">
        <v>15</v>
      </c>
      <c r="C70" s="487" t="s">
        <v>39</v>
      </c>
      <c r="D70" s="487"/>
      <c r="E70" s="26">
        <v>26.97</v>
      </c>
      <c r="F70" s="27">
        <v>3490</v>
      </c>
      <c r="G70" s="141">
        <f>E70*F70</f>
        <v>94125.3</v>
      </c>
      <c r="H70" s="76" t="s">
        <v>57</v>
      </c>
      <c r="I70" s="149">
        <v>8</v>
      </c>
      <c r="J70" s="18">
        <v>1440</v>
      </c>
      <c r="K70" s="9">
        <f t="shared" si="33"/>
        <v>180</v>
      </c>
      <c r="L70" s="17">
        <v>8</v>
      </c>
      <c r="M70" s="10">
        <f>F70/V70*60</f>
        <v>1284.6625766871168</v>
      </c>
      <c r="N70" s="9">
        <f t="shared" si="34"/>
        <v>160.5828220858896</v>
      </c>
      <c r="O70" s="11">
        <f t="shared" si="35"/>
        <v>0</v>
      </c>
      <c r="P70" s="12">
        <f t="shared" si="36"/>
        <v>-19.417177914110397</v>
      </c>
      <c r="Q70" s="142">
        <f t="shared" si="37"/>
        <v>0.89212678936605339</v>
      </c>
      <c r="R70" s="470"/>
      <c r="S70" s="24">
        <v>0.35277777777777775</v>
      </c>
      <c r="T70" s="24">
        <v>0.46597222222222218</v>
      </c>
      <c r="U70" s="141">
        <f>(S70-T69)*24*60</f>
        <v>5.9999999999999787</v>
      </c>
      <c r="V70" s="150">
        <f>(T70-S70)*24*60</f>
        <v>162.99999999999997</v>
      </c>
      <c r="W70" s="141"/>
      <c r="X70" s="141"/>
      <c r="Y70" s="456"/>
      <c r="Z70" s="456"/>
      <c r="AA70" s="11">
        <f t="shared" si="38"/>
        <v>-155.33742331288317</v>
      </c>
      <c r="AB70" s="142">
        <f t="shared" si="39"/>
        <v>0.89212678936605339</v>
      </c>
      <c r="AC70" s="470"/>
    </row>
    <row r="71" spans="1:29">
      <c r="A71" s="500" t="s">
        <v>11</v>
      </c>
      <c r="B71" s="151" t="s">
        <v>33</v>
      </c>
      <c r="C71" s="487" t="s">
        <v>511</v>
      </c>
      <c r="D71" s="487"/>
      <c r="E71" s="26">
        <v>34.26</v>
      </c>
      <c r="F71" s="27">
        <v>2386</v>
      </c>
      <c r="G71" s="141">
        <f>E71*F71</f>
        <v>81744.36</v>
      </c>
      <c r="H71" s="76" t="s">
        <v>57</v>
      </c>
      <c r="I71" s="149">
        <v>10</v>
      </c>
      <c r="J71" s="18">
        <v>3000</v>
      </c>
      <c r="K71" s="9">
        <f t="shared" si="33"/>
        <v>300</v>
      </c>
      <c r="L71" s="17">
        <v>10</v>
      </c>
      <c r="M71" s="10">
        <f>F71/V71*60</f>
        <v>2701.1320754716994</v>
      </c>
      <c r="N71" s="9">
        <f t="shared" si="34"/>
        <v>270.11320754716996</v>
      </c>
      <c r="O71" s="11">
        <f t="shared" si="35"/>
        <v>0</v>
      </c>
      <c r="P71" s="12">
        <f t="shared" si="36"/>
        <v>-29.886792452830036</v>
      </c>
      <c r="Q71" s="142">
        <f t="shared" si="37"/>
        <v>0.90037735849056655</v>
      </c>
      <c r="R71" s="470"/>
      <c r="S71" s="24">
        <v>0.50624999999999987</v>
      </c>
      <c r="T71" s="24">
        <v>0.5430555555555554</v>
      </c>
      <c r="U71" s="141">
        <f>(S71-T70)*24*60</f>
        <v>57.999999999999872</v>
      </c>
      <c r="V71" s="150">
        <f>(T71-S71)*24*60</f>
        <v>52.999999999999972</v>
      </c>
      <c r="W71" s="14"/>
      <c r="X71" s="14"/>
      <c r="Y71" s="456"/>
      <c r="Z71" s="456"/>
      <c r="AA71" s="11">
        <f t="shared" si="38"/>
        <v>-298.86792452830059</v>
      </c>
      <c r="AB71" s="142">
        <f t="shared" si="39"/>
        <v>0.90037735849056644</v>
      </c>
      <c r="AC71" s="470"/>
    </row>
    <row r="72" spans="1:29">
      <c r="A72" s="500" t="s">
        <v>11</v>
      </c>
      <c r="B72" s="26" t="s">
        <v>81</v>
      </c>
      <c r="C72" s="466"/>
      <c r="D72" s="466"/>
      <c r="E72" s="143"/>
      <c r="F72" s="16"/>
      <c r="G72" s="9"/>
      <c r="H72" s="151"/>
      <c r="I72" s="17">
        <v>9.6</v>
      </c>
      <c r="J72" s="18">
        <v>2688</v>
      </c>
      <c r="K72" s="9">
        <f t="shared" si="33"/>
        <v>280</v>
      </c>
      <c r="L72" s="17">
        <v>9.6</v>
      </c>
      <c r="M72" s="10">
        <f>AVERAGE(M67:M71)</f>
        <v>2418.6235237331985</v>
      </c>
      <c r="N72" s="9">
        <f t="shared" si="34"/>
        <v>251.93995038887485</v>
      </c>
      <c r="O72" s="11">
        <f t="shared" si="35"/>
        <v>0</v>
      </c>
      <c r="P72" s="12">
        <f t="shared" si="36"/>
        <v>-28.060049611125152</v>
      </c>
      <c r="Q72" s="142">
        <f t="shared" si="37"/>
        <v>0.89978553710312448</v>
      </c>
      <c r="R72" s="470"/>
      <c r="S72" s="24"/>
      <c r="T72" s="24"/>
      <c r="U72" s="9"/>
      <c r="V72" s="150"/>
      <c r="W72" s="9"/>
      <c r="X72" s="9"/>
      <c r="Y72" s="456"/>
      <c r="Z72" s="456"/>
      <c r="AA72" s="11">
        <f t="shared" si="38"/>
        <v>-269.37647626680155</v>
      </c>
      <c r="AB72" s="142">
        <f t="shared" si="39"/>
        <v>0.89978553710312448</v>
      </c>
      <c r="AC72" s="470"/>
    </row>
    <row r="73" spans="1:29" ht="15.75" customHeight="1">
      <c r="A73" s="467" t="s">
        <v>164</v>
      </c>
      <c r="B73" s="151" t="s">
        <v>24</v>
      </c>
      <c r="C73" s="487" t="s">
        <v>45</v>
      </c>
      <c r="D73" s="487"/>
      <c r="E73" s="26">
        <v>19.02</v>
      </c>
      <c r="F73" s="151">
        <v>5500</v>
      </c>
      <c r="G73" s="141">
        <f t="shared" ref="G73:G80" si="40">E73*F73</f>
        <v>104610</v>
      </c>
      <c r="H73" s="76">
        <v>2</v>
      </c>
      <c r="I73" s="149">
        <v>15</v>
      </c>
      <c r="J73" s="18">
        <v>2400</v>
      </c>
      <c r="K73" s="9">
        <f t="shared" si="33"/>
        <v>160</v>
      </c>
      <c r="L73" s="17">
        <v>15</v>
      </c>
      <c r="M73" s="10">
        <f t="shared" ref="M73:M80" si="41">F73/V73*60</f>
        <v>2142.8571428571431</v>
      </c>
      <c r="N73" s="9">
        <f t="shared" si="34"/>
        <v>142.85714285714286</v>
      </c>
      <c r="O73" s="11">
        <f t="shared" si="35"/>
        <v>0</v>
      </c>
      <c r="P73" s="12">
        <f t="shared" si="36"/>
        <v>-17.142857142857139</v>
      </c>
      <c r="Q73" s="142">
        <f t="shared" si="37"/>
        <v>0.8928571428571429</v>
      </c>
      <c r="R73" s="470">
        <f>Q81</f>
        <v>0.89691227863153289</v>
      </c>
      <c r="S73" s="24">
        <v>0.125</v>
      </c>
      <c r="T73" s="24">
        <v>0.23194444444444445</v>
      </c>
      <c r="U73" s="15"/>
      <c r="V73" s="150">
        <f t="shared" ref="V73:V80" si="42">(T73-S73)*24*60</f>
        <v>154</v>
      </c>
      <c r="W73" s="14"/>
      <c r="X73" s="14"/>
      <c r="Y73" s="456"/>
      <c r="Z73" s="456"/>
      <c r="AA73" s="11">
        <f t="shared" si="38"/>
        <v>-257.14285714285688</v>
      </c>
      <c r="AB73" s="142">
        <f t="shared" si="39"/>
        <v>0.89285714285714302</v>
      </c>
      <c r="AC73" s="470">
        <f>AB81</f>
        <v>0.89691227863153278</v>
      </c>
    </row>
    <row r="74" spans="1:29" ht="15.75" customHeight="1">
      <c r="A74" s="467" t="s">
        <v>12</v>
      </c>
      <c r="B74" s="151" t="s">
        <v>24</v>
      </c>
      <c r="C74" s="487" t="s">
        <v>56</v>
      </c>
      <c r="D74" s="487"/>
      <c r="E74" s="26">
        <v>20.2</v>
      </c>
      <c r="F74" s="151">
        <v>2684</v>
      </c>
      <c r="G74" s="141">
        <f t="shared" si="40"/>
        <v>54216.799999999996</v>
      </c>
      <c r="H74" s="76" t="s">
        <v>57</v>
      </c>
      <c r="I74" s="149">
        <v>19</v>
      </c>
      <c r="J74" s="18">
        <v>2400</v>
      </c>
      <c r="K74" s="9">
        <f t="shared" si="33"/>
        <v>126.31578947368421</v>
      </c>
      <c r="L74" s="17">
        <v>19</v>
      </c>
      <c r="M74" s="10">
        <f t="shared" si="41"/>
        <v>2147.2000000000012</v>
      </c>
      <c r="N74" s="9">
        <f t="shared" si="34"/>
        <v>113.01052631578953</v>
      </c>
      <c r="O74" s="11">
        <f t="shared" si="35"/>
        <v>0</v>
      </c>
      <c r="P74" s="12">
        <f t="shared" si="36"/>
        <v>-13.305263157894672</v>
      </c>
      <c r="Q74" s="142">
        <f t="shared" si="37"/>
        <v>0.89466666666666717</v>
      </c>
      <c r="R74" s="470"/>
      <c r="S74" s="24">
        <v>0.23541666666666666</v>
      </c>
      <c r="T74" s="24">
        <v>0.28749999999999998</v>
      </c>
      <c r="U74" s="141">
        <f t="shared" ref="U74:U80" si="43">(S74-T73)*24*60</f>
        <v>4.9999999999999822</v>
      </c>
      <c r="V74" s="150">
        <f t="shared" si="42"/>
        <v>74.999999999999972</v>
      </c>
      <c r="W74" s="14"/>
      <c r="X74" s="14"/>
      <c r="Y74" s="456"/>
      <c r="Z74" s="456"/>
      <c r="AA74" s="11">
        <f t="shared" si="38"/>
        <v>-252.79999999999882</v>
      </c>
      <c r="AB74" s="142">
        <f t="shared" si="39"/>
        <v>0.89466666666666717</v>
      </c>
      <c r="AC74" s="470"/>
    </row>
    <row r="75" spans="1:29" ht="15.75" customHeight="1">
      <c r="A75" s="467" t="s">
        <v>12</v>
      </c>
      <c r="B75" s="151" t="s">
        <v>24</v>
      </c>
      <c r="C75" s="487" t="s">
        <v>83</v>
      </c>
      <c r="D75" s="487"/>
      <c r="E75" s="26">
        <v>32.03</v>
      </c>
      <c r="F75" s="151">
        <v>2021</v>
      </c>
      <c r="G75" s="141">
        <f t="shared" si="40"/>
        <v>64732.630000000005</v>
      </c>
      <c r="H75" s="76" t="s">
        <v>57</v>
      </c>
      <c r="I75" s="149">
        <v>19</v>
      </c>
      <c r="J75" s="18">
        <v>2400</v>
      </c>
      <c r="K75" s="9">
        <f t="shared" si="33"/>
        <v>126.31578947368421</v>
      </c>
      <c r="L75" s="17">
        <v>19</v>
      </c>
      <c r="M75" s="10">
        <f t="shared" si="41"/>
        <v>2165.3571428571445</v>
      </c>
      <c r="N75" s="9">
        <f t="shared" si="34"/>
        <v>113.96616541353391</v>
      </c>
      <c r="O75" s="11">
        <f t="shared" si="35"/>
        <v>0</v>
      </c>
      <c r="P75" s="12">
        <f t="shared" si="36"/>
        <v>-12.34962406015029</v>
      </c>
      <c r="Q75" s="142">
        <f t="shared" si="37"/>
        <v>0.90223214285714348</v>
      </c>
      <c r="R75" s="470"/>
      <c r="S75" s="24">
        <v>0.29236111111111107</v>
      </c>
      <c r="T75" s="24">
        <v>0.33124999999999993</v>
      </c>
      <c r="U75" s="141">
        <f t="shared" si="43"/>
        <v>6.9999999999999751</v>
      </c>
      <c r="V75" s="150">
        <f t="shared" si="42"/>
        <v>55.999999999999957</v>
      </c>
      <c r="W75" s="14"/>
      <c r="X75" s="14"/>
      <c r="Y75" s="456"/>
      <c r="Z75" s="456"/>
      <c r="AA75" s="11">
        <f t="shared" si="38"/>
        <v>-234.64285714285552</v>
      </c>
      <c r="AB75" s="142">
        <f t="shared" si="39"/>
        <v>0.90223214285714348</v>
      </c>
      <c r="AC75" s="470"/>
    </row>
    <row r="76" spans="1:29" ht="15.75" customHeight="1">
      <c r="A76" s="467" t="s">
        <v>12</v>
      </c>
      <c r="B76" s="151" t="s">
        <v>24</v>
      </c>
      <c r="C76" s="487" t="s">
        <v>46</v>
      </c>
      <c r="D76" s="487"/>
      <c r="E76" s="26">
        <v>25</v>
      </c>
      <c r="F76" s="151">
        <v>2700</v>
      </c>
      <c r="G76" s="141">
        <f t="shared" si="40"/>
        <v>67500</v>
      </c>
      <c r="H76" s="76">
        <v>2</v>
      </c>
      <c r="I76" s="149">
        <v>15</v>
      </c>
      <c r="J76" s="18">
        <v>2400</v>
      </c>
      <c r="K76" s="9">
        <f t="shared" si="33"/>
        <v>160</v>
      </c>
      <c r="L76" s="17">
        <v>15</v>
      </c>
      <c r="M76" s="10">
        <f t="shared" si="41"/>
        <v>2160.0000000000009</v>
      </c>
      <c r="N76" s="9">
        <f t="shared" si="34"/>
        <v>144.00000000000006</v>
      </c>
      <c r="O76" s="11">
        <f t="shared" si="35"/>
        <v>0</v>
      </c>
      <c r="P76" s="12">
        <f t="shared" si="36"/>
        <v>-15.999999999999943</v>
      </c>
      <c r="Q76" s="142">
        <f t="shared" si="37"/>
        <v>0.90000000000000036</v>
      </c>
      <c r="R76" s="470"/>
      <c r="S76" s="24">
        <v>0.33611111111111103</v>
      </c>
      <c r="T76" s="24">
        <v>0.38819444444444434</v>
      </c>
      <c r="U76" s="141">
        <f t="shared" si="43"/>
        <v>6.9999999999999751</v>
      </c>
      <c r="V76" s="150">
        <f t="shared" si="42"/>
        <v>74.999999999999972</v>
      </c>
      <c r="W76" s="14"/>
      <c r="X76" s="14"/>
      <c r="Y76" s="456"/>
      <c r="Z76" s="456"/>
      <c r="AA76" s="11">
        <f t="shared" si="38"/>
        <v>-239.99999999999909</v>
      </c>
      <c r="AB76" s="142">
        <f t="shared" si="39"/>
        <v>0.90000000000000036</v>
      </c>
      <c r="AC76" s="470"/>
    </row>
    <row r="77" spans="1:29" ht="15.75" customHeight="1">
      <c r="A77" s="467" t="s">
        <v>12</v>
      </c>
      <c r="B77" s="151" t="s">
        <v>24</v>
      </c>
      <c r="C77" s="487" t="s">
        <v>510</v>
      </c>
      <c r="D77" s="487"/>
      <c r="E77" s="26">
        <v>27.24</v>
      </c>
      <c r="F77" s="151">
        <v>5500</v>
      </c>
      <c r="G77" s="141">
        <f t="shared" si="40"/>
        <v>149820</v>
      </c>
      <c r="H77" s="76">
        <v>2</v>
      </c>
      <c r="I77" s="149">
        <v>20</v>
      </c>
      <c r="J77" s="18">
        <v>2400</v>
      </c>
      <c r="K77" s="9">
        <f t="shared" si="33"/>
        <v>120</v>
      </c>
      <c r="L77" s="17">
        <v>20</v>
      </c>
      <c r="M77" s="10">
        <f t="shared" si="41"/>
        <v>2142.8571428571431</v>
      </c>
      <c r="N77" s="9">
        <f t="shared" si="34"/>
        <v>107.14285714285715</v>
      </c>
      <c r="O77" s="11">
        <f t="shared" si="35"/>
        <v>0</v>
      </c>
      <c r="P77" s="12">
        <f t="shared" si="36"/>
        <v>-12.857142857142847</v>
      </c>
      <c r="Q77" s="142">
        <f t="shared" si="37"/>
        <v>0.8928571428571429</v>
      </c>
      <c r="R77" s="470"/>
      <c r="S77" s="24">
        <v>0.39166666666666655</v>
      </c>
      <c r="T77" s="24">
        <v>0.49861111111111101</v>
      </c>
      <c r="U77" s="141">
        <f t="shared" si="43"/>
        <v>4.9999999999999822</v>
      </c>
      <c r="V77" s="150">
        <f t="shared" si="42"/>
        <v>154</v>
      </c>
      <c r="W77" s="14"/>
      <c r="X77" s="14"/>
      <c r="Y77" s="456"/>
      <c r="Z77" s="456"/>
      <c r="AA77" s="11">
        <f t="shared" si="38"/>
        <v>-257.14285714285688</v>
      </c>
      <c r="AB77" s="142">
        <f t="shared" si="39"/>
        <v>0.89285714285714302</v>
      </c>
      <c r="AC77" s="470"/>
    </row>
    <row r="78" spans="1:29" ht="15.75" customHeight="1">
      <c r="A78" s="467" t="s">
        <v>12</v>
      </c>
      <c r="B78" s="151" t="s">
        <v>24</v>
      </c>
      <c r="C78" s="487" t="s">
        <v>45</v>
      </c>
      <c r="D78" s="487"/>
      <c r="E78" s="26">
        <v>19.02</v>
      </c>
      <c r="F78" s="151">
        <v>4718</v>
      </c>
      <c r="G78" s="141">
        <f t="shared" si="40"/>
        <v>89736.36</v>
      </c>
      <c r="H78" s="76" t="s">
        <v>57</v>
      </c>
      <c r="I78" s="149">
        <v>15</v>
      </c>
      <c r="J78" s="18">
        <v>2400</v>
      </c>
      <c r="K78" s="9">
        <f t="shared" si="33"/>
        <v>160</v>
      </c>
      <c r="L78" s="17">
        <v>15</v>
      </c>
      <c r="M78" s="10">
        <f t="shared" si="41"/>
        <v>2144.5454545454545</v>
      </c>
      <c r="N78" s="9">
        <f t="shared" si="34"/>
        <v>142.96969696969697</v>
      </c>
      <c r="O78" s="11">
        <f t="shared" si="35"/>
        <v>0</v>
      </c>
      <c r="P78" s="12">
        <f t="shared" si="36"/>
        <v>-17.030303030303031</v>
      </c>
      <c r="Q78" s="142">
        <f t="shared" si="37"/>
        <v>0.89356060606060606</v>
      </c>
      <c r="R78" s="470"/>
      <c r="S78" s="24">
        <v>0.54027777777777763</v>
      </c>
      <c r="T78" s="24">
        <v>0.63194444444444431</v>
      </c>
      <c r="U78" s="141">
        <f t="shared" si="43"/>
        <v>59.999999999999943</v>
      </c>
      <c r="V78" s="150">
        <f t="shared" si="42"/>
        <v>132</v>
      </c>
      <c r="W78" s="14"/>
      <c r="X78" s="14"/>
      <c r="Y78" s="456"/>
      <c r="Z78" s="456"/>
      <c r="AA78" s="11">
        <f t="shared" si="38"/>
        <v>-255.4545454545455</v>
      </c>
      <c r="AB78" s="142">
        <f t="shared" si="39"/>
        <v>0.89356060606060606</v>
      </c>
      <c r="AC78" s="470"/>
    </row>
    <row r="79" spans="1:29" ht="15.75" customHeight="1">
      <c r="A79" s="467" t="s">
        <v>12</v>
      </c>
      <c r="B79" s="151" t="s">
        <v>24</v>
      </c>
      <c r="C79" s="491" t="s">
        <v>510</v>
      </c>
      <c r="D79" s="492"/>
      <c r="E79" s="26">
        <v>27.24</v>
      </c>
      <c r="F79" s="151">
        <v>3976</v>
      </c>
      <c r="G79" s="141">
        <f t="shared" si="40"/>
        <v>108306.23999999999</v>
      </c>
      <c r="H79" s="76" t="s">
        <v>57</v>
      </c>
      <c r="I79" s="149">
        <v>20</v>
      </c>
      <c r="J79" s="18">
        <v>2400</v>
      </c>
      <c r="K79" s="9">
        <f t="shared" si="33"/>
        <v>120</v>
      </c>
      <c r="L79" s="17">
        <v>20</v>
      </c>
      <c r="M79" s="10">
        <f t="shared" si="41"/>
        <v>2149.1891891891873</v>
      </c>
      <c r="N79" s="9">
        <f t="shared" si="34"/>
        <v>107.45945945945937</v>
      </c>
      <c r="O79" s="11">
        <f t="shared" si="35"/>
        <v>0</v>
      </c>
      <c r="P79" s="12">
        <f t="shared" si="36"/>
        <v>-12.540540540540633</v>
      </c>
      <c r="Q79" s="142">
        <f t="shared" si="37"/>
        <v>0.89549549549549468</v>
      </c>
      <c r="R79" s="470"/>
      <c r="S79" s="24">
        <v>0.6368055555555554</v>
      </c>
      <c r="T79" s="24">
        <v>0.7138888888888888</v>
      </c>
      <c r="U79" s="141">
        <f t="shared" si="43"/>
        <v>6.9999999999999751</v>
      </c>
      <c r="V79" s="150">
        <f t="shared" si="42"/>
        <v>111.00000000000009</v>
      </c>
      <c r="W79" s="14"/>
      <c r="X79" s="14"/>
      <c r="Y79" s="473"/>
      <c r="Z79" s="474"/>
      <c r="AA79" s="11">
        <f t="shared" si="38"/>
        <v>-250.81081081081265</v>
      </c>
      <c r="AB79" s="142">
        <f t="shared" si="39"/>
        <v>0.89549549549549468</v>
      </c>
      <c r="AC79" s="470"/>
    </row>
    <row r="80" spans="1:29" ht="15.75" customHeight="1">
      <c r="A80" s="467" t="s">
        <v>12</v>
      </c>
      <c r="B80" s="151" t="s">
        <v>24</v>
      </c>
      <c r="C80" s="491" t="s">
        <v>46</v>
      </c>
      <c r="D80" s="492"/>
      <c r="E80" s="26">
        <v>25</v>
      </c>
      <c r="F80" s="151">
        <v>2241</v>
      </c>
      <c r="G80" s="141">
        <f t="shared" si="40"/>
        <v>56025</v>
      </c>
      <c r="H80" s="76" t="s">
        <v>57</v>
      </c>
      <c r="I80" s="149">
        <v>15</v>
      </c>
      <c r="J80" s="18">
        <v>2400</v>
      </c>
      <c r="K80" s="9">
        <f t="shared" si="33"/>
        <v>160</v>
      </c>
      <c r="L80" s="17">
        <v>15</v>
      </c>
      <c r="M80" s="10">
        <f t="shared" si="41"/>
        <v>2168.7096774193569</v>
      </c>
      <c r="N80" s="9">
        <f t="shared" si="34"/>
        <v>144.58064516129045</v>
      </c>
      <c r="O80" s="11">
        <f t="shared" si="35"/>
        <v>0</v>
      </c>
      <c r="P80" s="12">
        <f t="shared" si="36"/>
        <v>-15.419354838709552</v>
      </c>
      <c r="Q80" s="142">
        <f t="shared" si="37"/>
        <v>0.90362903225806535</v>
      </c>
      <c r="R80" s="470"/>
      <c r="S80" s="24">
        <v>0.71874999999999989</v>
      </c>
      <c r="T80" s="24">
        <v>0.7618055555555554</v>
      </c>
      <c r="U80" s="141">
        <f t="shared" si="43"/>
        <v>6.9999999999999751</v>
      </c>
      <c r="V80" s="150">
        <f t="shared" si="42"/>
        <v>61.999999999999943</v>
      </c>
      <c r="W80" s="14"/>
      <c r="X80" s="14"/>
      <c r="Y80" s="473"/>
      <c r="Z80" s="474"/>
      <c r="AA80" s="11">
        <f t="shared" si="38"/>
        <v>-231.29032258064308</v>
      </c>
      <c r="AB80" s="142">
        <f t="shared" si="39"/>
        <v>0.90362903225806535</v>
      </c>
      <c r="AC80" s="470"/>
    </row>
    <row r="81" spans="1:29" ht="16.5" customHeight="1">
      <c r="A81" s="501" t="s">
        <v>12</v>
      </c>
      <c r="B81" s="26" t="s">
        <v>81</v>
      </c>
      <c r="C81" s="466"/>
      <c r="D81" s="466"/>
      <c r="E81" s="143"/>
      <c r="F81" s="16"/>
      <c r="G81" s="9"/>
      <c r="H81" s="151"/>
      <c r="I81" s="17">
        <v>17.25</v>
      </c>
      <c r="J81" s="18">
        <v>2400</v>
      </c>
      <c r="K81" s="9">
        <f t="shared" si="33"/>
        <v>139.13043478260869</v>
      </c>
      <c r="L81" s="17">
        <v>17.25</v>
      </c>
      <c r="M81" s="10">
        <f>AVERAGE(M73:M80)</f>
        <v>2152.5894687156788</v>
      </c>
      <c r="N81" s="9">
        <f t="shared" si="34"/>
        <v>124.78779528786544</v>
      </c>
      <c r="O81" s="11">
        <f t="shared" si="35"/>
        <v>0</v>
      </c>
      <c r="P81" s="12">
        <f t="shared" si="36"/>
        <v>-14.342639494743253</v>
      </c>
      <c r="Q81" s="142">
        <f t="shared" si="37"/>
        <v>0.89691227863153289</v>
      </c>
      <c r="R81" s="470"/>
      <c r="S81" s="24"/>
      <c r="T81" s="24"/>
      <c r="U81" s="9"/>
      <c r="V81" s="150"/>
      <c r="W81" s="9"/>
      <c r="X81" s="9"/>
      <c r="Y81" s="456"/>
      <c r="Z81" s="456"/>
      <c r="AA81" s="11">
        <f t="shared" si="38"/>
        <v>-247.41053128432122</v>
      </c>
      <c r="AB81" s="142">
        <f t="shared" si="39"/>
        <v>0.89691227863153278</v>
      </c>
      <c r="AC81" s="470"/>
    </row>
    <row r="82" spans="1:29">
      <c r="D82" s="19"/>
      <c r="E82" s="19"/>
    </row>
  </sheetData>
  <mergeCells count="212">
    <mergeCell ref="G3:G4"/>
    <mergeCell ref="AA3:AA4"/>
    <mergeCell ref="AB3:AB4"/>
    <mergeCell ref="N3:N4"/>
    <mergeCell ref="O3:O4"/>
    <mergeCell ref="P3:P4"/>
    <mergeCell ref="Q3:Q4"/>
    <mergeCell ref="R3:R4"/>
    <mergeCell ref="S3:T3"/>
    <mergeCell ref="I3:I4"/>
    <mergeCell ref="J3:J4"/>
    <mergeCell ref="K3:K4"/>
    <mergeCell ref="I1:K2"/>
    <mergeCell ref="L1:N2"/>
    <mergeCell ref="O1:R2"/>
    <mergeCell ref="S1:X2"/>
    <mergeCell ref="Y1:Z2"/>
    <mergeCell ref="AA1:AC2"/>
    <mergeCell ref="L3:L4"/>
    <mergeCell ref="M3:M4"/>
    <mergeCell ref="A10:A15"/>
    <mergeCell ref="C10:D10"/>
    <mergeCell ref="R10:R15"/>
    <mergeCell ref="Y10:Z10"/>
    <mergeCell ref="Y12:Z12"/>
    <mergeCell ref="C13:D13"/>
    <mergeCell ref="Y13:Z13"/>
    <mergeCell ref="C14:D14"/>
    <mergeCell ref="Y14:Z14"/>
    <mergeCell ref="C15:D15"/>
    <mergeCell ref="Y15:Z15"/>
    <mergeCell ref="A3:A4"/>
    <mergeCell ref="B3:B4"/>
    <mergeCell ref="C3:D4"/>
    <mergeCell ref="E3:E4"/>
    <mergeCell ref="F3:F4"/>
    <mergeCell ref="AC16:AC22"/>
    <mergeCell ref="C8:D8"/>
    <mergeCell ref="Y8:Z8"/>
    <mergeCell ref="AC3:AC4"/>
    <mergeCell ref="A5:A9"/>
    <mergeCell ref="C5:D5"/>
    <mergeCell ref="R5:R9"/>
    <mergeCell ref="Y5:Z5"/>
    <mergeCell ref="AC5:AC9"/>
    <mergeCell ref="C6:D6"/>
    <mergeCell ref="Y6:Z6"/>
    <mergeCell ref="C9:D9"/>
    <mergeCell ref="Y9:Z9"/>
    <mergeCell ref="C7:D7"/>
    <mergeCell ref="Y7:Z7"/>
    <mergeCell ref="U3:U4"/>
    <mergeCell ref="V3:V4"/>
    <mergeCell ref="W3:X3"/>
    <mergeCell ref="Y3:Z4"/>
    <mergeCell ref="H3:H4"/>
    <mergeCell ref="AC10:AC15"/>
    <mergeCell ref="C11:D11"/>
    <mergeCell ref="Y11:Z11"/>
    <mergeCell ref="C12:D12"/>
    <mergeCell ref="C20:D20"/>
    <mergeCell ref="Y20:Z20"/>
    <mergeCell ref="C22:D22"/>
    <mergeCell ref="Y22:Z22"/>
    <mergeCell ref="C21:D21"/>
    <mergeCell ref="A23:A31"/>
    <mergeCell ref="C23:D23"/>
    <mergeCell ref="R23:R31"/>
    <mergeCell ref="Y23:Z23"/>
    <mergeCell ref="Y28:Z28"/>
    <mergeCell ref="C29:D29"/>
    <mergeCell ref="Y29:Z29"/>
    <mergeCell ref="Y30:Z30"/>
    <mergeCell ref="A16:A22"/>
    <mergeCell ref="C16:D16"/>
    <mergeCell ref="R16:R22"/>
    <mergeCell ref="Y16:Z16"/>
    <mergeCell ref="Y21:Z21"/>
    <mergeCell ref="C17:D17"/>
    <mergeCell ref="Y17:Z17"/>
    <mergeCell ref="C18:D18"/>
    <mergeCell ref="Y18:Z18"/>
    <mergeCell ref="C19:D19"/>
    <mergeCell ref="Y19:Z19"/>
    <mergeCell ref="AC23:AC31"/>
    <mergeCell ref="C24:D24"/>
    <mergeCell ref="Y24:Z24"/>
    <mergeCell ref="C25:D25"/>
    <mergeCell ref="Y25:Z25"/>
    <mergeCell ref="C26:D26"/>
    <mergeCell ref="Y26:Z26"/>
    <mergeCell ref="C27:D27"/>
    <mergeCell ref="Y27:Z27"/>
    <mergeCell ref="C31:D31"/>
    <mergeCell ref="Y31:Z31"/>
    <mergeCell ref="C30:D30"/>
    <mergeCell ref="C28:D28"/>
    <mergeCell ref="A32:A41"/>
    <mergeCell ref="C32:D32"/>
    <mergeCell ref="R32:R41"/>
    <mergeCell ref="Y32:Z32"/>
    <mergeCell ref="Y37:Z37"/>
    <mergeCell ref="C38:D38"/>
    <mergeCell ref="Y38:Z38"/>
    <mergeCell ref="AC32:AC41"/>
    <mergeCell ref="C33:D33"/>
    <mergeCell ref="Y33:Z33"/>
    <mergeCell ref="C34:D34"/>
    <mergeCell ref="Y34:Z34"/>
    <mergeCell ref="C35:D35"/>
    <mergeCell ref="Y35:Z35"/>
    <mergeCell ref="C36:D36"/>
    <mergeCell ref="Y36:Z36"/>
    <mergeCell ref="C37:D37"/>
    <mergeCell ref="C41:D41"/>
    <mergeCell ref="Y41:Z41"/>
    <mergeCell ref="C39:D39"/>
    <mergeCell ref="Y39:Z39"/>
    <mergeCell ref="C40:D40"/>
    <mergeCell ref="Y40:Z40"/>
    <mergeCell ref="Y42:Z42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Y49:Z49"/>
    <mergeCell ref="A50:A61"/>
    <mergeCell ref="C50:D50"/>
    <mergeCell ref="R50:R61"/>
    <mergeCell ref="Y50:Z50"/>
    <mergeCell ref="Y55:Z55"/>
    <mergeCell ref="C56:D56"/>
    <mergeCell ref="Y56:Z56"/>
    <mergeCell ref="A42:A49"/>
    <mergeCell ref="Y52:Z52"/>
    <mergeCell ref="C53:D53"/>
    <mergeCell ref="Y53:Z53"/>
    <mergeCell ref="C54:D54"/>
    <mergeCell ref="Y54:Z54"/>
    <mergeCell ref="C55:D55"/>
    <mergeCell ref="C60:D60"/>
    <mergeCell ref="Y60:Z60"/>
    <mergeCell ref="C57:D57"/>
    <mergeCell ref="Y57:Z57"/>
    <mergeCell ref="C58:D58"/>
    <mergeCell ref="Y58:Z58"/>
    <mergeCell ref="C59:D59"/>
    <mergeCell ref="Y59:Z59"/>
    <mergeCell ref="C42:D42"/>
    <mergeCell ref="R42:R49"/>
    <mergeCell ref="AC62:AC66"/>
    <mergeCell ref="C63:D63"/>
    <mergeCell ref="Y63:Z63"/>
    <mergeCell ref="C64:D64"/>
    <mergeCell ref="Y70:Z70"/>
    <mergeCell ref="C71:D71"/>
    <mergeCell ref="Y71:Z71"/>
    <mergeCell ref="C61:D61"/>
    <mergeCell ref="Y61:Z61"/>
    <mergeCell ref="AC50:AC61"/>
    <mergeCell ref="C51:D51"/>
    <mergeCell ref="Y51:Z51"/>
    <mergeCell ref="C52:D52"/>
    <mergeCell ref="C66:D66"/>
    <mergeCell ref="Y66:Z66"/>
    <mergeCell ref="Y73:Z73"/>
    <mergeCell ref="Y78:Z78"/>
    <mergeCell ref="Y80:Z80"/>
    <mergeCell ref="C81:D81"/>
    <mergeCell ref="Y81:Z81"/>
    <mergeCell ref="AC67:AC72"/>
    <mergeCell ref="C68:D68"/>
    <mergeCell ref="Y68:Z68"/>
    <mergeCell ref="C69:D69"/>
    <mergeCell ref="Y69:Z69"/>
    <mergeCell ref="C70:D70"/>
    <mergeCell ref="C72:D72"/>
    <mergeCell ref="Y72:Z72"/>
    <mergeCell ref="A62:A66"/>
    <mergeCell ref="C62:D62"/>
    <mergeCell ref="R62:R66"/>
    <mergeCell ref="Y62:Z62"/>
    <mergeCell ref="A67:A72"/>
    <mergeCell ref="C67:D67"/>
    <mergeCell ref="R67:R72"/>
    <mergeCell ref="Y67:Z67"/>
    <mergeCell ref="AC73:AC81"/>
    <mergeCell ref="C74:D74"/>
    <mergeCell ref="Y74:Z74"/>
    <mergeCell ref="C75:D75"/>
    <mergeCell ref="Y75:Z75"/>
    <mergeCell ref="C76:D76"/>
    <mergeCell ref="Y76:Z76"/>
    <mergeCell ref="C79:D79"/>
    <mergeCell ref="Y79:Z79"/>
    <mergeCell ref="C80:D80"/>
    <mergeCell ref="C77:D77"/>
    <mergeCell ref="Y77:Z77"/>
    <mergeCell ref="C78:D78"/>
    <mergeCell ref="A73:A81"/>
    <mergeCell ref="C73:D73"/>
    <mergeCell ref="R73:R81"/>
  </mergeCells>
  <phoneticPr fontId="3" type="noConversion"/>
  <conditionalFormatting sqref="O70:O78 O81 O5:O10 O15:O17 O61:O67 O22:O39 O41:O55">
    <cfRule type="cellIs" dxfId="760" priority="84" operator="greaterThan">
      <formula>0</formula>
    </cfRule>
  </conditionalFormatting>
  <conditionalFormatting sqref="P5:P8 P70:P71 AA70:AA71 P73:P78 P32:P39 P67 P10 P15:P17 P23:P30 P62:P65 P42:P55 AA5:AA67 AA73:AA81">
    <cfRule type="cellIs" dxfId="759" priority="88" operator="lessThan">
      <formula>0</formula>
    </cfRule>
  </conditionalFormatting>
  <conditionalFormatting sqref="AB70:AB71 Q70:Q78 Q81 Q5:Q10 Q15:Q17 Q61:Q67 Q22:Q39 Q41:Q55 AB5:AB67 AB73:AB81">
    <cfRule type="cellIs" dxfId="758" priority="85" operator="greaterThan">
      <formula>1</formula>
    </cfRule>
    <cfRule type="cellIs" dxfId="757" priority="86" operator="lessThan">
      <formula>0.8</formula>
    </cfRule>
  </conditionalFormatting>
  <conditionalFormatting sqref="AC16:AC17 R16:R17 AC70 R70:R78 R22:R28 AC22:AC28 AC31:AC39 R31:R39 R81 AC5:AC10 R5:R10 R41:R55 AC41:AC55 AC61:AC67 R61:R67">
    <cfRule type="cellIs" dxfId="756" priority="90" operator="lessThan">
      <formula>0.8</formula>
    </cfRule>
  </conditionalFormatting>
  <conditionalFormatting sqref="AC50">
    <cfRule type="cellIs" dxfId="755" priority="92" operator="lessThan">
      <formula>0.8</formula>
    </cfRule>
  </conditionalFormatting>
  <conditionalFormatting sqref="AC23:AC28">
    <cfRule type="cellIs" dxfId="754" priority="89" operator="lessThan">
      <formula>0.8</formula>
    </cfRule>
  </conditionalFormatting>
  <conditionalFormatting sqref="AC32">
    <cfRule type="cellIs" dxfId="753" priority="91" operator="lessThan">
      <formula>0.8</formula>
    </cfRule>
  </conditionalFormatting>
  <conditionalFormatting sqref="AC42:AC48">
    <cfRule type="cellIs" dxfId="752" priority="87" operator="lessThan">
      <formula>0.8</formula>
    </cfRule>
  </conditionalFormatting>
  <conditionalFormatting sqref="AA72">
    <cfRule type="cellIs" dxfId="751" priority="83" operator="lessThan">
      <formula>0</formula>
    </cfRule>
  </conditionalFormatting>
  <conditionalFormatting sqref="AB72">
    <cfRule type="cellIs" dxfId="750" priority="81" operator="greaterThan">
      <formula>1</formula>
    </cfRule>
    <cfRule type="cellIs" dxfId="749" priority="82" operator="lessThan">
      <formula>0.8</formula>
    </cfRule>
  </conditionalFormatting>
  <conditionalFormatting sqref="O18:O19">
    <cfRule type="cellIs" dxfId="748" priority="76" operator="greaterThan">
      <formula>0</formula>
    </cfRule>
  </conditionalFormatting>
  <conditionalFormatting sqref="P18:P19">
    <cfRule type="cellIs" dxfId="747" priority="79" operator="lessThan">
      <formula>0</formula>
    </cfRule>
  </conditionalFormatting>
  <conditionalFormatting sqref="Q18:Q19">
    <cfRule type="cellIs" dxfId="746" priority="77" operator="greaterThan">
      <formula>1</formula>
    </cfRule>
    <cfRule type="cellIs" dxfId="745" priority="78" operator="lessThan">
      <formula>0.8</formula>
    </cfRule>
  </conditionalFormatting>
  <conditionalFormatting sqref="R18:R19 AC18:AC19">
    <cfRule type="cellIs" dxfId="744" priority="80" operator="lessThan">
      <formula>0.8</formula>
    </cfRule>
  </conditionalFormatting>
  <conditionalFormatting sqref="O11:O14">
    <cfRule type="cellIs" dxfId="743" priority="72" operator="greaterThan">
      <formula>0</formula>
    </cfRule>
  </conditionalFormatting>
  <conditionalFormatting sqref="P11:P14">
    <cfRule type="cellIs" dxfId="742" priority="75" operator="lessThan">
      <formula>0</formula>
    </cfRule>
  </conditionalFormatting>
  <conditionalFormatting sqref="Q11:Q14">
    <cfRule type="cellIs" dxfId="741" priority="73" operator="greaterThan">
      <formula>1</formula>
    </cfRule>
    <cfRule type="cellIs" dxfId="740" priority="74" operator="lessThan">
      <formula>0.8</formula>
    </cfRule>
  </conditionalFormatting>
  <conditionalFormatting sqref="AC30 R30">
    <cfRule type="cellIs" dxfId="739" priority="71" operator="lessThan">
      <formula>0.8</formula>
    </cfRule>
  </conditionalFormatting>
  <conditionalFormatting sqref="O69">
    <cfRule type="cellIs" dxfId="738" priority="66" operator="greaterThan">
      <formula>0</formula>
    </cfRule>
  </conditionalFormatting>
  <conditionalFormatting sqref="P69 AA69">
    <cfRule type="cellIs" dxfId="737" priority="69" operator="lessThan">
      <formula>0</formula>
    </cfRule>
  </conditionalFormatting>
  <conditionalFormatting sqref="Q69 AB69">
    <cfRule type="cellIs" dxfId="736" priority="67" operator="greaterThan">
      <formula>1</formula>
    </cfRule>
    <cfRule type="cellIs" dxfId="735" priority="68" operator="lessThan">
      <formula>0.8</formula>
    </cfRule>
  </conditionalFormatting>
  <conditionalFormatting sqref="R69 AC69">
    <cfRule type="cellIs" dxfId="734" priority="70" operator="lessThan">
      <formula>0.8</formula>
    </cfRule>
  </conditionalFormatting>
  <conditionalFormatting sqref="O40">
    <cfRule type="cellIs" dxfId="733" priority="61" operator="greaterThan">
      <formula>0</formula>
    </cfRule>
  </conditionalFormatting>
  <conditionalFormatting sqref="P40">
    <cfRule type="cellIs" dxfId="732" priority="64" operator="lessThan">
      <formula>0</formula>
    </cfRule>
  </conditionalFormatting>
  <conditionalFormatting sqref="Q40">
    <cfRule type="cellIs" dxfId="731" priority="62" operator="greaterThan">
      <formula>1</formula>
    </cfRule>
    <cfRule type="cellIs" dxfId="730" priority="63" operator="lessThan">
      <formula>0.8</formula>
    </cfRule>
  </conditionalFormatting>
  <conditionalFormatting sqref="R40 AC40">
    <cfRule type="cellIs" dxfId="729" priority="65" operator="lessThan">
      <formula>0.8</formula>
    </cfRule>
  </conditionalFormatting>
  <conditionalFormatting sqref="O79">
    <cfRule type="cellIs" dxfId="728" priority="56" operator="greaterThan">
      <formula>0</formula>
    </cfRule>
  </conditionalFormatting>
  <conditionalFormatting sqref="P79">
    <cfRule type="cellIs" dxfId="727" priority="59" operator="lessThan">
      <formula>0</formula>
    </cfRule>
  </conditionalFormatting>
  <conditionalFormatting sqref="Q79">
    <cfRule type="cellIs" dxfId="726" priority="57" operator="greaterThan">
      <formula>1</formula>
    </cfRule>
    <cfRule type="cellIs" dxfId="725" priority="58" operator="lessThan">
      <formula>0.8</formula>
    </cfRule>
  </conditionalFormatting>
  <conditionalFormatting sqref="R79">
    <cfRule type="cellIs" dxfId="724" priority="60" operator="lessThan">
      <formula>0.8</formula>
    </cfRule>
  </conditionalFormatting>
  <conditionalFormatting sqref="O20:O21">
    <cfRule type="cellIs" dxfId="723" priority="51" operator="greaterThan">
      <formula>0</formula>
    </cfRule>
  </conditionalFormatting>
  <conditionalFormatting sqref="P20:P21">
    <cfRule type="cellIs" dxfId="722" priority="54" operator="lessThan">
      <formula>0</formula>
    </cfRule>
  </conditionalFormatting>
  <conditionalFormatting sqref="Q20:Q21">
    <cfRule type="cellIs" dxfId="721" priority="52" operator="greaterThan">
      <formula>1</formula>
    </cfRule>
    <cfRule type="cellIs" dxfId="720" priority="53" operator="lessThan">
      <formula>0.8</formula>
    </cfRule>
  </conditionalFormatting>
  <conditionalFormatting sqref="R20:R21 AC20:AC21">
    <cfRule type="cellIs" dxfId="719" priority="55" operator="lessThan">
      <formula>0.8</formula>
    </cfRule>
  </conditionalFormatting>
  <conditionalFormatting sqref="O56">
    <cfRule type="cellIs" dxfId="718" priority="45" operator="greaterThan">
      <formula>0</formula>
    </cfRule>
  </conditionalFormatting>
  <conditionalFormatting sqref="P56">
    <cfRule type="cellIs" dxfId="717" priority="49" operator="lessThan">
      <formula>0</formula>
    </cfRule>
  </conditionalFormatting>
  <conditionalFormatting sqref="Q56">
    <cfRule type="cellIs" dxfId="716" priority="46" operator="greaterThan">
      <formula>1</formula>
    </cfRule>
    <cfRule type="cellIs" dxfId="715" priority="47" operator="lessThan">
      <formula>0.8</formula>
    </cfRule>
  </conditionalFormatting>
  <conditionalFormatting sqref="R56 AC56">
    <cfRule type="cellIs" dxfId="714" priority="50" operator="lessThan">
      <formula>0.8</formula>
    </cfRule>
  </conditionalFormatting>
  <conditionalFormatting sqref="AC56">
    <cfRule type="cellIs" dxfId="713" priority="48" operator="lessThan">
      <formula>0.8</formula>
    </cfRule>
  </conditionalFormatting>
  <conditionalFormatting sqref="O57">
    <cfRule type="cellIs" dxfId="712" priority="39" operator="greaterThan">
      <formula>0</formula>
    </cfRule>
  </conditionalFormatting>
  <conditionalFormatting sqref="P57">
    <cfRule type="cellIs" dxfId="711" priority="43" operator="lessThan">
      <formula>0</formula>
    </cfRule>
  </conditionalFormatting>
  <conditionalFormatting sqref="Q57">
    <cfRule type="cellIs" dxfId="710" priority="40" operator="greaterThan">
      <formula>1</formula>
    </cfRule>
    <cfRule type="cellIs" dxfId="709" priority="41" operator="lessThan">
      <formula>0.8</formula>
    </cfRule>
  </conditionalFormatting>
  <conditionalFormatting sqref="R57 AC57">
    <cfRule type="cellIs" dxfId="708" priority="44" operator="lessThan">
      <formula>0.8</formula>
    </cfRule>
  </conditionalFormatting>
  <conditionalFormatting sqref="AC57">
    <cfRule type="cellIs" dxfId="707" priority="42" operator="lessThan">
      <formula>0.8</formula>
    </cfRule>
  </conditionalFormatting>
  <conditionalFormatting sqref="R29 AC29">
    <cfRule type="cellIs" dxfId="706" priority="38" operator="lessThan">
      <formula>0.8</formula>
    </cfRule>
  </conditionalFormatting>
  <conditionalFormatting sqref="AC29">
    <cfRule type="cellIs" dxfId="705" priority="37" operator="lessThan">
      <formula>0.8</formula>
    </cfRule>
  </conditionalFormatting>
  <conditionalFormatting sqref="O58">
    <cfRule type="cellIs" dxfId="704" priority="31" operator="greaterThan">
      <formula>0</formula>
    </cfRule>
  </conditionalFormatting>
  <conditionalFormatting sqref="P58">
    <cfRule type="cellIs" dxfId="703" priority="35" operator="lessThan">
      <formula>0</formula>
    </cfRule>
  </conditionalFormatting>
  <conditionalFormatting sqref="Q58">
    <cfRule type="cellIs" dxfId="702" priority="32" operator="greaterThan">
      <formula>1</formula>
    </cfRule>
    <cfRule type="cellIs" dxfId="701" priority="33" operator="lessThan">
      <formula>0.8</formula>
    </cfRule>
  </conditionalFormatting>
  <conditionalFormatting sqref="R58 AC58">
    <cfRule type="cellIs" dxfId="700" priority="36" operator="lessThan">
      <formula>0.8</formula>
    </cfRule>
  </conditionalFormatting>
  <conditionalFormatting sqref="AC58">
    <cfRule type="cellIs" dxfId="699" priority="34" operator="lessThan">
      <formula>0.8</formula>
    </cfRule>
  </conditionalFormatting>
  <conditionalFormatting sqref="O59">
    <cfRule type="cellIs" dxfId="698" priority="25" operator="greaterThan">
      <formula>0</formula>
    </cfRule>
  </conditionalFormatting>
  <conditionalFormatting sqref="P59">
    <cfRule type="cellIs" dxfId="697" priority="29" operator="lessThan">
      <formula>0</formula>
    </cfRule>
  </conditionalFormatting>
  <conditionalFormatting sqref="Q59">
    <cfRule type="cellIs" dxfId="696" priority="26" operator="greaterThan">
      <formula>1</formula>
    </cfRule>
    <cfRule type="cellIs" dxfId="695" priority="27" operator="lessThan">
      <formula>0.8</formula>
    </cfRule>
  </conditionalFormatting>
  <conditionalFormatting sqref="R59 AC59">
    <cfRule type="cellIs" dxfId="694" priority="30" operator="lessThan">
      <formula>0.8</formula>
    </cfRule>
  </conditionalFormatting>
  <conditionalFormatting sqref="AC59">
    <cfRule type="cellIs" dxfId="693" priority="28" operator="lessThan">
      <formula>0.8</formula>
    </cfRule>
  </conditionalFormatting>
  <conditionalFormatting sqref="O60">
    <cfRule type="cellIs" dxfId="692" priority="19" operator="greaterThan">
      <formula>0</formula>
    </cfRule>
  </conditionalFormatting>
  <conditionalFormatting sqref="P60">
    <cfRule type="cellIs" dxfId="691" priority="23" operator="lessThan">
      <formula>0</formula>
    </cfRule>
  </conditionalFormatting>
  <conditionalFormatting sqref="Q60">
    <cfRule type="cellIs" dxfId="690" priority="20" operator="greaterThan">
      <formula>1</formula>
    </cfRule>
    <cfRule type="cellIs" dxfId="689" priority="21" operator="lessThan">
      <formula>0.8</formula>
    </cfRule>
  </conditionalFormatting>
  <conditionalFormatting sqref="R60 AC60">
    <cfRule type="cellIs" dxfId="688" priority="24" operator="lessThan">
      <formula>0.8</formula>
    </cfRule>
  </conditionalFormatting>
  <conditionalFormatting sqref="AC60">
    <cfRule type="cellIs" dxfId="687" priority="22" operator="lessThan">
      <formula>0.8</formula>
    </cfRule>
  </conditionalFormatting>
  <conditionalFormatting sqref="O68">
    <cfRule type="cellIs" dxfId="686" priority="14" operator="greaterThan">
      <formula>0</formula>
    </cfRule>
  </conditionalFormatting>
  <conditionalFormatting sqref="P68 AA68">
    <cfRule type="cellIs" dxfId="685" priority="17" operator="lessThan">
      <formula>0</formula>
    </cfRule>
  </conditionalFormatting>
  <conditionalFormatting sqref="Q68 AB68">
    <cfRule type="cellIs" dxfId="684" priority="15" operator="greaterThan">
      <formula>1</formula>
    </cfRule>
    <cfRule type="cellIs" dxfId="683" priority="16" operator="lessThan">
      <formula>0.8</formula>
    </cfRule>
  </conditionalFormatting>
  <conditionalFormatting sqref="R68 AC68">
    <cfRule type="cellIs" dxfId="682" priority="18" operator="lessThan">
      <formula>0.8</formula>
    </cfRule>
  </conditionalFormatting>
  <conditionalFormatting sqref="P9">
    <cfRule type="cellIs" dxfId="681" priority="13" operator="lessThan">
      <formula>0</formula>
    </cfRule>
  </conditionalFormatting>
  <conditionalFormatting sqref="P22">
    <cfRule type="cellIs" dxfId="680" priority="12" operator="lessThan">
      <formula>0</formula>
    </cfRule>
  </conditionalFormatting>
  <conditionalFormatting sqref="P31">
    <cfRule type="cellIs" dxfId="679" priority="11" operator="lessThan">
      <formula>0</formula>
    </cfRule>
  </conditionalFormatting>
  <conditionalFormatting sqref="P41">
    <cfRule type="cellIs" dxfId="678" priority="10" operator="lessThan">
      <formula>0</formula>
    </cfRule>
  </conditionalFormatting>
  <conditionalFormatting sqref="P61">
    <cfRule type="cellIs" dxfId="677" priority="9" operator="lessThan">
      <formula>0</formula>
    </cfRule>
  </conditionalFormatting>
  <conditionalFormatting sqref="P66">
    <cfRule type="cellIs" dxfId="676" priority="8" operator="lessThan">
      <formula>0</formula>
    </cfRule>
  </conditionalFormatting>
  <conditionalFormatting sqref="P72">
    <cfRule type="cellIs" dxfId="675" priority="7" operator="lessThan">
      <formula>0</formula>
    </cfRule>
  </conditionalFormatting>
  <conditionalFormatting sqref="P81">
    <cfRule type="cellIs" dxfId="674" priority="6" operator="lessThan">
      <formula>0</formula>
    </cfRule>
  </conditionalFormatting>
  <conditionalFormatting sqref="O80">
    <cfRule type="cellIs" dxfId="673" priority="1" operator="greaterThan">
      <formula>0</formula>
    </cfRule>
  </conditionalFormatting>
  <conditionalFormatting sqref="P80">
    <cfRule type="cellIs" dxfId="672" priority="4" operator="lessThan">
      <formula>0</formula>
    </cfRule>
  </conditionalFormatting>
  <conditionalFormatting sqref="Q80">
    <cfRule type="cellIs" dxfId="671" priority="2" operator="greaterThan">
      <formula>1</formula>
    </cfRule>
    <cfRule type="cellIs" dxfId="670" priority="3" operator="lessThan">
      <formula>0.8</formula>
    </cfRule>
  </conditionalFormatting>
  <conditionalFormatting sqref="R80">
    <cfRule type="cellIs" dxfId="669" priority="5" operator="lessThan">
      <formula>0.8</formula>
    </cfRule>
  </conditionalFormatting>
  <dataValidations count="1">
    <dataValidation type="list" allowBlank="1" showInputMessage="1" showErrorMessage="1" sqref="Z9 Z71 Y5:Z8 Y9:Y71 Z11:Z67 Y72:Z8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1" sqref="B1:J2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29" t="s">
        <v>166</v>
      </c>
      <c r="C3" s="421" t="str">
        <f>TEXT('0707 4度C'!A2,"yyyy.mm.ddaaaa")</f>
        <v>2025.07.07星期一</v>
      </c>
      <c r="D3" s="421"/>
      <c r="E3" s="129" t="s">
        <v>329</v>
      </c>
      <c r="F3" s="422">
        <f>'0707 4度C'!D1</f>
        <v>171490</v>
      </c>
      <c r="G3" s="422"/>
      <c r="H3" s="129" t="s">
        <v>449</v>
      </c>
      <c r="I3" s="423">
        <f>'0707 4度C'!F1</f>
        <v>5638636.4299999997</v>
      </c>
      <c r="J3" s="423"/>
      <c r="K3" s="31"/>
      <c r="L3" s="32"/>
      <c r="M3" s="33"/>
      <c r="N3" s="33"/>
    </row>
    <row r="4" spans="2:17" ht="28.5" customHeight="1">
      <c r="B4" s="424" t="s">
        <v>266</v>
      </c>
      <c r="C4" s="424" t="s">
        <v>267</v>
      </c>
      <c r="D4" s="424"/>
      <c r="E4" s="425" t="s">
        <v>268</v>
      </c>
      <c r="F4" s="425"/>
      <c r="G4" s="425" t="s">
        <v>269</v>
      </c>
      <c r="H4" s="425"/>
      <c r="I4" s="425" t="s">
        <v>270</v>
      </c>
      <c r="J4" s="425"/>
      <c r="L4" s="33"/>
      <c r="M4" s="33"/>
      <c r="N4" s="33"/>
    </row>
    <row r="5" spans="2:17" ht="28.5" customHeight="1">
      <c r="B5" s="424"/>
      <c r="C5" s="424" t="s">
        <v>249</v>
      </c>
      <c r="D5" s="424"/>
      <c r="E5" s="424" t="s">
        <v>130</v>
      </c>
      <c r="F5" s="424"/>
      <c r="G5" s="426" t="s">
        <v>175</v>
      </c>
      <c r="H5" s="426"/>
      <c r="I5" s="427" t="s">
        <v>389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132.15570209520209</v>
      </c>
      <c r="F6" s="424">
        <f>AVERAGE(D27:O27,D13:J13)</f>
        <v>134.73258401775044</v>
      </c>
      <c r="G6" s="429">
        <f>AVERAGE(D13:J13)</f>
        <v>134.73258401775044</v>
      </c>
      <c r="H6" s="429"/>
      <c r="I6" s="429">
        <f>AVERAGE(K13:M13)</f>
        <v>126.14297760925587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118.5464374081791</v>
      </c>
      <c r="F7" s="434">
        <f>AVERAGE(D28:O28,D14:J14)</f>
        <v>120.99373713933487</v>
      </c>
      <c r="G7" s="435">
        <f>AVERAGE(D14:J14)</f>
        <v>120.99373713933487</v>
      </c>
      <c r="H7" s="435"/>
      <c r="I7" s="435">
        <f>AVERAGE(K14:M14)</f>
        <v>112.83607136881564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0.89620918281458495</v>
      </c>
      <c r="F8" s="432">
        <f>AVERAGE(D15:J15,D29:O29)</f>
        <v>0.89696971750491361</v>
      </c>
      <c r="G8" s="437">
        <f>AVERAGE(D15:J15)</f>
        <v>0.89696971750491361</v>
      </c>
      <c r="H8" s="437"/>
      <c r="I8" s="437">
        <f>AVERAGE(K15:M15)</f>
        <v>0.8944346018704854</v>
      </c>
      <c r="J8" s="437"/>
      <c r="K8" s="34" t="s">
        <v>250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332</v>
      </c>
      <c r="C10" s="439"/>
      <c r="D10" s="440" t="s">
        <v>450</v>
      </c>
      <c r="E10" s="441"/>
      <c r="F10" s="441"/>
      <c r="G10" s="441"/>
      <c r="H10" s="441"/>
      <c r="I10" s="441"/>
      <c r="J10" s="442"/>
      <c r="K10" s="443" t="s">
        <v>451</v>
      </c>
      <c r="L10" s="444"/>
      <c r="M10" s="445"/>
      <c r="P10" s="37"/>
      <c r="Q10" s="37"/>
    </row>
    <row r="11" spans="2:17" ht="17.25" customHeight="1">
      <c r="B11" s="431" t="s">
        <v>452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181</v>
      </c>
      <c r="E12" s="42" t="s">
        <v>335</v>
      </c>
      <c r="F12" s="42" t="s">
        <v>453</v>
      </c>
      <c r="G12" s="42" t="s">
        <v>278</v>
      </c>
      <c r="H12" s="42" t="s">
        <v>454</v>
      </c>
      <c r="I12" s="42" t="s">
        <v>455</v>
      </c>
      <c r="J12" s="43" t="s">
        <v>133</v>
      </c>
      <c r="K12" s="41" t="s">
        <v>456</v>
      </c>
      <c r="L12" s="42" t="s">
        <v>457</v>
      </c>
      <c r="M12" s="43" t="s">
        <v>135</v>
      </c>
    </row>
    <row r="13" spans="2:17" ht="40.15" customHeight="1">
      <c r="B13" s="447" t="s">
        <v>458</v>
      </c>
      <c r="C13" s="44" t="s">
        <v>459</v>
      </c>
      <c r="D13" s="45">
        <f>SUMIFS('0707 4度C'!$K:$K,'0707 4度C'!$A:$A,"燴飯線",'0707 4度C'!$B:$B,"平均")</f>
        <v>104.34782608695652</v>
      </c>
      <c r="E13" s="46">
        <f>SUMIFS('0707 4度C'!$K:$K,'0707 4度C'!$A:$A,"沙拉線一線",'0707 4度C'!$B:$B,"平均")</f>
        <v>82.417582417582423</v>
      </c>
      <c r="F13" s="47">
        <f>SUMIFS('0707 4度C'!$K:$K,'0707 4度C'!$A:$A,"沙拉線二線",'0707 4度C'!$B:$B,"平均")</f>
        <v>90.697674418604649</v>
      </c>
      <c r="G13" s="47">
        <f>SUMIFS('0707 4度C'!$K:$K,'0707 4度C'!$A:$A,"沙拉線三線",'0707 4度C'!$B:$B,"平均")</f>
        <v>107.14285714285714</v>
      </c>
      <c r="H13" s="47">
        <f>SUMIFS('0707 4度C'!$K:$K,'0707 4度C'!$A:$A,"自動包裝線",'0707 4度C'!$B:$B,"平均")</f>
        <v>281.55339805825241</v>
      </c>
      <c r="I13" s="47">
        <f>SUMIFS('0707 4度C'!$K:$K,'0707 4度C'!$A:$A,"涼麵一線",'0707 4度C'!$B:$B,"平均")</f>
        <v>93.75</v>
      </c>
      <c r="J13" s="48">
        <f>SUMIFS('0707 4度C'!$K:$K,'0707 4度C'!$A:$A,"三明治四線",'0707 4度C'!$B:$B,"平均")</f>
        <v>183.21874999999997</v>
      </c>
      <c r="K13" s="49">
        <f>SUMIFS('0707 4度C'!$K:$K,'0707 4度C'!$A:$A,"三明治一線",'0707 4度C'!$B:$B,"平均")</f>
        <v>104.34782608695652</v>
      </c>
      <c r="L13" s="50">
        <f>SUMIFS('0707 4度C'!$K:$K,'0707 4度C'!$A:$A,"三明治二線",'0707 4度C'!$B:$B,"平均")</f>
        <v>131.50684931506851</v>
      </c>
      <c r="M13" s="48">
        <f>SUMIFS('0707 4度C'!$K:$K,'0707 4度C'!$A:$A,"自動包裝二線",'0707 4度C'!$B:$B,"平均")</f>
        <v>142.57425742574259</v>
      </c>
    </row>
    <row r="14" spans="2:17" ht="39.6" customHeight="1">
      <c r="B14" s="447"/>
      <c r="C14" s="51" t="s">
        <v>284</v>
      </c>
      <c r="D14" s="52">
        <f>SUMIFS('0707 4度C'!$N:$N,'0707 4度C'!$A:$A,"燴飯線",'0707 4度C'!$B:$B,"平均")</f>
        <v>93.459272346693496</v>
      </c>
      <c r="E14" s="53">
        <f>SUMIFS('0707 4度C'!$N:$N,'0707 4度C'!$A:$A,"沙拉線一線",'0707 4度C'!$B:$B,"平均")</f>
        <v>73.746505703205756</v>
      </c>
      <c r="F14" s="53">
        <f>SUMIFS('0707 4度C'!$N:$N,'0707 4度C'!$A:$A,"沙拉線二線",'0707 4度C'!$B:$B,"平均")</f>
        <v>81.193353781492419</v>
      </c>
      <c r="G14" s="53">
        <f>SUMIFS('0707 4度C'!$N:$N,'0707 4度C'!$A:$A,"沙拉線三線",'0707 4度C'!$B:$B,"平均")</f>
        <v>96.105670589100924</v>
      </c>
      <c r="H14" s="53">
        <f>SUMIFS('0707 4度C'!$N:$N,'0707 4度C'!$A:$A,"自動包裝線",'0707 4度C'!$B:$B,"平均")</f>
        <v>253.6012770513656</v>
      </c>
      <c r="I14" s="53">
        <f>SUMIFS('0707 4度C'!$N:$N,'0707 4度C'!$A:$A,"涼麵一線",'0707 4度C'!$B:$B,"平均")</f>
        <v>83.939393939393938</v>
      </c>
      <c r="J14" s="54">
        <f>SUMIFS('0707 4度C'!$N:$N,'0707 4度C'!$A:$A,"三明治四線",'0707 4度C'!$B:$B,"平均")</f>
        <v>164.91068656409186</v>
      </c>
      <c r="K14" s="55">
        <f>SUMIFS('0707 4度C'!$N:$N,'0707 4度C'!$A:$A,"三明治一線",'0707 4度C'!$B:$B,"平均")</f>
        <v>93.271130819972583</v>
      </c>
      <c r="L14" s="56">
        <f>SUMIFS('0707 4度C'!$N:$N,'0707 4度C'!$A:$A,"三明治二線",'0707 4度C'!$B:$B,"平均")</f>
        <v>117.55451008409916</v>
      </c>
      <c r="M14" s="54">
        <f>SUMIFS('0707 4度C'!$N:$N,'0707 4度C'!$A:$A,"自動包裝二線",'0707 4度C'!$B:$B,"平均")</f>
        <v>127.6825732023752</v>
      </c>
    </row>
    <row r="15" spans="2:17" ht="40.15" customHeight="1">
      <c r="B15" s="447"/>
      <c r="C15" s="57" t="s">
        <v>189</v>
      </c>
      <c r="D15" s="58">
        <f>D14/D13</f>
        <v>0.89565135998914602</v>
      </c>
      <c r="E15" s="59">
        <f t="shared" ref="E15:M15" si="0">E14/E13</f>
        <v>0.89479093586556313</v>
      </c>
      <c r="F15" s="59">
        <f t="shared" si="0"/>
        <v>0.89520877246260877</v>
      </c>
      <c r="G15" s="59">
        <f t="shared" si="0"/>
        <v>0.89698625883160865</v>
      </c>
      <c r="H15" s="59">
        <f>H14/H13</f>
        <v>0.90072177711347101</v>
      </c>
      <c r="I15" s="59">
        <f>I14/I13</f>
        <v>0.89535353535353535</v>
      </c>
      <c r="J15" s="60">
        <f>J14/J13</f>
        <v>0.90007538291846156</v>
      </c>
      <c r="K15" s="58">
        <f>K14/K13</f>
        <v>0.89384833702473732</v>
      </c>
      <c r="L15" s="59">
        <f>L14/L13</f>
        <v>0.89390408709783731</v>
      </c>
      <c r="M15" s="60">
        <f t="shared" si="0"/>
        <v>0.89555138148888147</v>
      </c>
    </row>
    <row r="16" spans="2:17" ht="17.25" customHeight="1">
      <c r="B16" s="430" t="s">
        <v>136</v>
      </c>
      <c r="C16" s="130" t="s">
        <v>191</v>
      </c>
      <c r="D16" s="61">
        <f>VLOOKUP("燴飯線",'0707 4度C'!$A:$T,19,0)</f>
        <v>0.70833333333333337</v>
      </c>
      <c r="E16" s="24">
        <f>VLOOKUP("沙拉線一線",'0707 4度C'!$A:$T,19,0)</f>
        <v>0.12986111111111112</v>
      </c>
      <c r="F16" s="24">
        <f>VLOOKUP("沙拉線二線",'0707 4度C'!$A:$T,19,0)</f>
        <v>0.16666666666666666</v>
      </c>
      <c r="G16" s="24">
        <f>VLOOKUP("沙拉線三線",'0707 4度C'!$A:$T,19,0)</f>
        <v>0.25</v>
      </c>
      <c r="H16" s="24">
        <f>VLOOKUP("自動包裝線",'0707 4度C'!$A:$T,19,0)</f>
        <v>0.16666666666666666</v>
      </c>
      <c r="I16" s="24">
        <f>VLOOKUP("涼麵一線",'0707 4度C'!$A:$T,19,0)</f>
        <v>0.70833333333333337</v>
      </c>
      <c r="J16" s="62">
        <f>VLOOKUP("三明治四線",'0707 4度C'!$A:$T,19,0)</f>
        <v>0.20833333333333334</v>
      </c>
      <c r="K16" s="63">
        <f>VLOOKUP("三明治一線",'0707 4度C'!$A:$T,19,0)</f>
        <v>0.16666666666666666</v>
      </c>
      <c r="L16" s="64">
        <f>VLOOKUP("三明治二線",'0707 4度C'!$A:$T,19,0)</f>
        <v>0.125</v>
      </c>
      <c r="M16" s="65">
        <f>VLOOKUP("自動包裝二線",'0707 4度C'!$A:$T,19,0)</f>
        <v>0.125</v>
      </c>
    </row>
    <row r="17" spans="2:13" ht="17.25" customHeight="1">
      <c r="B17" s="431"/>
      <c r="C17" s="130" t="s">
        <v>460</v>
      </c>
      <c r="D17" s="63">
        <f>LOOKUP(2,1/(('0707 4度C'!$A:$A="燴飯線")*('0707 4度C'!$T:$T&lt;&gt;"")),'0707 4度C'!$T:$T)</f>
        <v>0.98055555555555551</v>
      </c>
      <c r="E17" s="24">
        <f>LOOKUP(2,1/(('0707 4度C'!$A:$A="沙拉線一線")*('0707 4度C'!$T:$T&lt;&gt;"")),'0707 4度C'!$T:$T)</f>
        <v>0.6875</v>
      </c>
      <c r="F17" s="24">
        <f>LOOKUP(2,1/(('0707 4度C'!$A:$A="沙拉線二線")*('0707 4度C'!$T:$T&lt;&gt;"")),'0707 4度C'!$T:$T)</f>
        <v>0.84861111111111109</v>
      </c>
      <c r="G17" s="24">
        <f>LOOKUP(2,1/(('0707 4度C'!$A:$A="沙拉線三線")*('0707 4度C'!$T:$T&lt;&gt;"")),'0707 4度C'!$T:$T)</f>
        <v>0.83680555555555569</v>
      </c>
      <c r="H17" s="24">
        <f>LOOKUP(2,1/(('0707 4度C'!$A:$A="自動包裝線")*('0707 4度C'!$T:$T&lt;&gt;"")),'0707 4度C'!$T:$T)</f>
        <v>0.66249999999999998</v>
      </c>
      <c r="I17" s="24">
        <f>LOOKUP(2,1/(('0707 4度C'!$A:$A="涼麵一線")*('0707 4度C'!$T:$T&lt;&gt;"")),'0707 4度C'!$T:$T)</f>
        <v>0.83680555555555558</v>
      </c>
      <c r="J17" s="62">
        <f>LOOKUP(2,1/(('0707 4度C'!$A:$A="三明治四線")*('0707 4度C'!$T:$T&lt;&gt;"")),'0707 4度C'!$T:$T)</f>
        <v>0.51666666666666661</v>
      </c>
      <c r="K17" s="61">
        <f>LOOKUP(2,1/(('0707 4度C'!$A:$A="三明治一線")*('0707 4度C'!$T:$T&lt;&gt;"")),'0707 4度C'!$T:$T)</f>
        <v>0.7451388888888888</v>
      </c>
      <c r="L17" s="24">
        <f>LOOKUP(2,1/(('0707 4度C'!$A:$A="三明治二線")*('0707 4度C'!$T:$T&lt;&gt;"")),'0707 4度C'!$T:$T)</f>
        <v>0.7715277777777777</v>
      </c>
      <c r="M17" s="62">
        <f>LOOKUP(2,1/(('0707 4度C'!$A:$A="自動包裝二線")*('0707 4度C'!$T:$T&lt;&gt;"")),'0707 4度C'!$T:$T)</f>
        <v>0.62777777777777766</v>
      </c>
    </row>
    <row r="18" spans="2:13" ht="17.25" customHeight="1">
      <c r="B18" s="431" t="s">
        <v>461</v>
      </c>
      <c r="C18" s="446"/>
      <c r="D18" s="66">
        <f>SUMIFS('0707 4度C'!$I:$I,'0707 4度C'!$A:$A,"燴飯線",'0707 4度C'!$B:$B,"平均")</f>
        <v>17.25</v>
      </c>
      <c r="E18" s="67">
        <f>SUMIFS('0707 4度C'!$I:$I,'0707 4度C'!$A:$A,"沙拉線一線",'0707 4度C'!$B:$B,"平均")</f>
        <v>18.2</v>
      </c>
      <c r="F18" s="67">
        <f>SUMIFS('0707 4度C'!$I:$I,'0707 4度C'!$A:$A,"沙拉線二線",'0707 4度C'!$B:$B,"平均")</f>
        <v>17.2</v>
      </c>
      <c r="G18" s="67">
        <f>SUMIFS('0707 4度C'!$I:$I,'0707 4度C'!$A:$A,"沙拉線三線",'0707 4度C'!$B:$B,"平均")</f>
        <v>16</v>
      </c>
      <c r="H18" s="67">
        <f>SUMIFS('0707 4度C'!$I:$I,'0707 4度C'!$A:$A,"自動包裝線",'0707 4度C'!$B:$B,"平均")</f>
        <v>10.3</v>
      </c>
      <c r="I18" s="67">
        <f>SUMIFS('0707 4度C'!$I:$I,'0707 4度C'!$A:$A,"涼麵一線",'0707 4度C'!$B:$B,"平均")</f>
        <v>16</v>
      </c>
      <c r="J18" s="68">
        <f>SUMIFS('0707 4度C'!$I:$I,'0707 4度C'!$A:$A,"三明治四線",'0707 4度C'!$B:$B,"平均")</f>
        <v>12.8</v>
      </c>
      <c r="K18" s="66">
        <f>SUMIFS('0707 4度C'!$I:$I,'0707 4度C'!$A:$A,"三明治一線",'0707 4度C'!$B:$B,"平均")</f>
        <v>23</v>
      </c>
      <c r="L18" s="67">
        <f>SUMIFS('0707 4度C'!$I:$I,'0707 4度C'!$A:$A,"三明治二線",'0707 4度C'!$B:$B,"平均")</f>
        <v>18.25</v>
      </c>
      <c r="M18" s="68">
        <f>SUMIFS('0707 4度C'!$I:$I,'0707 4度C'!$A:$A,"自動包裝二線",'0707 4度C'!$B:$B,"平均")</f>
        <v>16.833333333333332</v>
      </c>
    </row>
    <row r="19" spans="2:13" ht="17.25" customHeight="1">
      <c r="B19" s="448" t="s">
        <v>286</v>
      </c>
      <c r="C19" s="449"/>
      <c r="D19" s="69" t="s">
        <v>50</v>
      </c>
      <c r="E19" s="70" t="s">
        <v>51</v>
      </c>
      <c r="F19" s="70" t="s">
        <v>397</v>
      </c>
      <c r="G19" s="70" t="s">
        <v>397</v>
      </c>
      <c r="H19" s="70" t="s">
        <v>52</v>
      </c>
      <c r="I19" s="70" t="s">
        <v>50</v>
      </c>
      <c r="J19" s="71" t="s">
        <v>52</v>
      </c>
      <c r="K19" s="69" t="s">
        <v>195</v>
      </c>
      <c r="L19" s="70" t="s">
        <v>195</v>
      </c>
      <c r="M19" s="71" t="s">
        <v>195</v>
      </c>
    </row>
    <row r="20" spans="2:13" ht="17.25" customHeight="1">
      <c r="B20" s="448" t="s">
        <v>259</v>
      </c>
      <c r="C20" s="449"/>
      <c r="D20" s="69"/>
      <c r="E20" s="70"/>
      <c r="F20" s="70" t="s">
        <v>462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463</v>
      </c>
      <c r="C21" s="451"/>
      <c r="D21" s="72"/>
      <c r="E21" s="73" t="s">
        <v>464</v>
      </c>
      <c r="F21" s="452" t="s">
        <v>201</v>
      </c>
      <c r="G21" s="453"/>
      <c r="H21" s="73" t="s">
        <v>202</v>
      </c>
      <c r="I21" s="73" t="s">
        <v>291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66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5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465</v>
      </c>
      <c r="B1" s="1"/>
      <c r="C1" s="2" t="s">
        <v>466</v>
      </c>
      <c r="D1" s="3">
        <f>SUM(F5:F74)</f>
        <v>171490</v>
      </c>
      <c r="E1" s="132" t="s">
        <v>467</v>
      </c>
      <c r="F1" s="1">
        <f>SUM(G5:G74)</f>
        <v>5638636.4299999997</v>
      </c>
      <c r="G1" s="1" t="s">
        <v>468</v>
      </c>
      <c r="H1" s="4">
        <f>L9+L15+L58+L61+L21+L67+L38+L47+L29+L74</f>
        <v>165.83333333333334</v>
      </c>
      <c r="I1" s="454" t="s">
        <v>469</v>
      </c>
      <c r="J1" s="454"/>
      <c r="K1" s="454"/>
      <c r="L1" s="454" t="s">
        <v>470</v>
      </c>
      <c r="M1" s="454"/>
      <c r="N1" s="454"/>
      <c r="O1" s="454" t="s">
        <v>471</v>
      </c>
      <c r="P1" s="454"/>
      <c r="Q1" s="454"/>
      <c r="R1" s="454"/>
      <c r="S1" s="454" t="s">
        <v>472</v>
      </c>
      <c r="T1" s="454"/>
      <c r="U1" s="454"/>
      <c r="V1" s="454"/>
      <c r="W1" s="454"/>
      <c r="X1" s="454"/>
      <c r="Y1" s="454" t="s">
        <v>473</v>
      </c>
      <c r="Z1" s="454"/>
      <c r="AA1" s="454" t="s">
        <v>474</v>
      </c>
      <c r="AB1" s="455"/>
      <c r="AC1" s="455"/>
    </row>
    <row r="2" spans="1:29" ht="26.25" customHeight="1">
      <c r="A2" s="22">
        <v>45845</v>
      </c>
      <c r="B2" s="23" t="s">
        <v>447</v>
      </c>
      <c r="C2" s="2" t="s">
        <v>475</v>
      </c>
      <c r="D2" s="6">
        <f>AVERAGE(N9,N15,N58,N61,N21,N67,N29,N38,N47,N74)</f>
        <v>118.54643740817907</v>
      </c>
      <c r="E2" s="7" t="s">
        <v>0</v>
      </c>
      <c r="F2" s="8">
        <f>F1/D1</f>
        <v>32.880263747157265</v>
      </c>
      <c r="G2" s="1" t="s">
        <v>476</v>
      </c>
      <c r="H2" s="131">
        <f>COUNT(H5:H74)</f>
        <v>13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477</v>
      </c>
      <c r="B3" s="456" t="s">
        <v>478</v>
      </c>
      <c r="C3" s="456" t="s">
        <v>479</v>
      </c>
      <c r="D3" s="456"/>
      <c r="E3" s="457" t="s">
        <v>480</v>
      </c>
      <c r="F3" s="456" t="s">
        <v>481</v>
      </c>
      <c r="G3" s="457" t="s">
        <v>482</v>
      </c>
      <c r="H3" s="463" t="s">
        <v>483</v>
      </c>
      <c r="I3" s="464" t="s">
        <v>484</v>
      </c>
      <c r="J3" s="465" t="s">
        <v>485</v>
      </c>
      <c r="K3" s="459" t="s">
        <v>475</v>
      </c>
      <c r="L3" s="464" t="s">
        <v>484</v>
      </c>
      <c r="M3" s="465" t="s">
        <v>485</v>
      </c>
      <c r="N3" s="459" t="s">
        <v>475</v>
      </c>
      <c r="O3" s="464" t="s">
        <v>484</v>
      </c>
      <c r="P3" s="459" t="s">
        <v>475</v>
      </c>
      <c r="Q3" s="460" t="s">
        <v>486</v>
      </c>
      <c r="R3" s="461" t="s">
        <v>487</v>
      </c>
      <c r="S3" s="462" t="s">
        <v>1</v>
      </c>
      <c r="T3" s="462"/>
      <c r="U3" s="463" t="s">
        <v>2</v>
      </c>
      <c r="V3" s="463" t="s">
        <v>488</v>
      </c>
      <c r="W3" s="456" t="s">
        <v>489</v>
      </c>
      <c r="X3" s="456"/>
      <c r="Y3" s="475" t="s">
        <v>490</v>
      </c>
      <c r="Z3" s="476"/>
      <c r="AA3" s="465" t="s">
        <v>485</v>
      </c>
      <c r="AB3" s="460" t="s">
        <v>486</v>
      </c>
      <c r="AC3" s="461" t="s">
        <v>487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33" t="s">
        <v>3</v>
      </c>
      <c r="T4" s="133" t="s">
        <v>4</v>
      </c>
      <c r="U4" s="463"/>
      <c r="V4" s="463"/>
      <c r="W4" s="132" t="s">
        <v>491</v>
      </c>
      <c r="X4" s="132" t="s">
        <v>492</v>
      </c>
      <c r="Y4" s="476"/>
      <c r="Z4" s="476"/>
      <c r="AA4" s="465"/>
      <c r="AB4" s="460"/>
      <c r="AC4" s="461"/>
    </row>
    <row r="5" spans="1:29">
      <c r="A5" s="471" t="s">
        <v>493</v>
      </c>
      <c r="B5" s="26" t="s">
        <v>13</v>
      </c>
      <c r="C5" s="472" t="s">
        <v>58</v>
      </c>
      <c r="D5" s="472"/>
      <c r="E5" s="26">
        <v>46.93</v>
      </c>
      <c r="F5" s="133">
        <v>1256</v>
      </c>
      <c r="G5" s="132">
        <f>E5*F5</f>
        <v>58944.08</v>
      </c>
      <c r="H5" s="76" t="s">
        <v>57</v>
      </c>
      <c r="I5" s="135">
        <v>17</v>
      </c>
      <c r="J5" s="18">
        <v>1800</v>
      </c>
      <c r="K5" s="9">
        <f>J5/I5</f>
        <v>105.88235294117646</v>
      </c>
      <c r="L5" s="135">
        <v>17</v>
      </c>
      <c r="M5" s="10">
        <f>F5/V5*60</f>
        <v>1603.4042553191491</v>
      </c>
      <c r="N5" s="9">
        <f>M5/L5</f>
        <v>94.31789737171465</v>
      </c>
      <c r="O5" s="11">
        <f t="shared" ref="O5:O8" si="0">L5-I5</f>
        <v>0</v>
      </c>
      <c r="P5" s="12">
        <f t="shared" ref="P5:P7" si="1">N5-K5</f>
        <v>-11.564455569461813</v>
      </c>
      <c r="Q5" s="136">
        <f>N5/K5</f>
        <v>0.89078014184397181</v>
      </c>
      <c r="R5" s="470">
        <f>Q9</f>
        <v>0.89565135998914602</v>
      </c>
      <c r="S5" s="24">
        <v>0.70833333333333337</v>
      </c>
      <c r="T5" s="24">
        <v>0.74097222222222225</v>
      </c>
      <c r="U5" s="132"/>
      <c r="V5" s="134">
        <f>(T5-S5)*24*60</f>
        <v>46.999999999999993</v>
      </c>
      <c r="W5" s="13"/>
      <c r="X5" s="13"/>
      <c r="Y5" s="456"/>
      <c r="Z5" s="456"/>
      <c r="AA5" s="11">
        <f t="shared" ref="AA5:AA68" si="2">M5-J5</f>
        <v>-196.59574468085088</v>
      </c>
      <c r="AB5" s="136">
        <f t="shared" ref="AB5:AB8" si="3">M5/J5</f>
        <v>0.8907801418439717</v>
      </c>
      <c r="AC5" s="470">
        <f>AB9</f>
        <v>0.89565135998914591</v>
      </c>
    </row>
    <row r="6" spans="1:29">
      <c r="A6" s="464" t="s">
        <v>493</v>
      </c>
      <c r="B6" s="26" t="s">
        <v>13</v>
      </c>
      <c r="C6" s="472" t="s">
        <v>60</v>
      </c>
      <c r="D6" s="472"/>
      <c r="E6" s="26">
        <v>50.49</v>
      </c>
      <c r="F6" s="133">
        <v>2167</v>
      </c>
      <c r="G6" s="132">
        <f t="shared" ref="G6:G8" si="4">E6*F6</f>
        <v>109411.83</v>
      </c>
      <c r="H6" s="76" t="s">
        <v>57</v>
      </c>
      <c r="I6" s="135">
        <v>16</v>
      </c>
      <c r="J6" s="18">
        <v>1800</v>
      </c>
      <c r="K6" s="9">
        <f t="shared" ref="K6:K8" si="5">J6/I6</f>
        <v>112.5</v>
      </c>
      <c r="L6" s="135">
        <v>16</v>
      </c>
      <c r="M6" s="10">
        <f>F6/V6*60</f>
        <v>1625.2499999999995</v>
      </c>
      <c r="N6" s="9">
        <f t="shared" ref="N6:N7" si="6">M6/L6</f>
        <v>101.57812499999997</v>
      </c>
      <c r="O6" s="11">
        <f t="shared" si="0"/>
        <v>0</v>
      </c>
      <c r="P6" s="12">
        <f t="shared" si="1"/>
        <v>-10.921875000000028</v>
      </c>
      <c r="Q6" s="136">
        <f t="shared" ref="Q6:Q8" si="7">N6/K6</f>
        <v>0.90291666666666637</v>
      </c>
      <c r="R6" s="470"/>
      <c r="S6" s="24">
        <v>0.74513888888888891</v>
      </c>
      <c r="T6" s="24">
        <v>0.80069444444444449</v>
      </c>
      <c r="U6" s="132">
        <f>(S6-T5)*24*60</f>
        <v>5.9999999999999787</v>
      </c>
      <c r="V6" s="134">
        <f>(T6-S6)*24*60</f>
        <v>80.000000000000028</v>
      </c>
      <c r="W6" s="14"/>
      <c r="X6" s="14"/>
      <c r="Y6" s="456"/>
      <c r="Z6" s="456"/>
      <c r="AA6" s="11">
        <f t="shared" si="2"/>
        <v>-174.75000000000045</v>
      </c>
      <c r="AB6" s="136">
        <f t="shared" si="3"/>
        <v>0.90291666666666637</v>
      </c>
      <c r="AC6" s="470"/>
    </row>
    <row r="7" spans="1:29">
      <c r="A7" s="464" t="s">
        <v>493</v>
      </c>
      <c r="B7" s="26" t="s">
        <v>13</v>
      </c>
      <c r="C7" s="468" t="s">
        <v>448</v>
      </c>
      <c r="D7" s="469"/>
      <c r="E7" s="26">
        <v>48.36</v>
      </c>
      <c r="F7" s="133">
        <v>1800</v>
      </c>
      <c r="G7" s="132">
        <f t="shared" si="4"/>
        <v>87048</v>
      </c>
      <c r="H7" s="76">
        <v>2</v>
      </c>
      <c r="I7" s="135">
        <v>18</v>
      </c>
      <c r="J7" s="18">
        <v>1800</v>
      </c>
      <c r="K7" s="9">
        <f t="shared" si="5"/>
        <v>100</v>
      </c>
      <c r="L7" s="135">
        <v>18</v>
      </c>
      <c r="M7" s="10">
        <f t="shared" ref="M7" si="8">F7/V7*60</f>
        <v>1611.9402985074646</v>
      </c>
      <c r="N7" s="9">
        <f t="shared" si="6"/>
        <v>89.552238805970262</v>
      </c>
      <c r="O7" s="11">
        <f t="shared" si="0"/>
        <v>0</v>
      </c>
      <c r="P7" s="12">
        <f t="shared" si="1"/>
        <v>-10.447761194029738</v>
      </c>
      <c r="Q7" s="136">
        <f t="shared" si="7"/>
        <v>0.89552238805970263</v>
      </c>
      <c r="R7" s="470"/>
      <c r="S7" s="24">
        <v>0.80555555555555558</v>
      </c>
      <c r="T7" s="24">
        <v>0.8520833333333333</v>
      </c>
      <c r="U7" s="132">
        <f t="shared" ref="U7:U8" si="9">(S7-T6)*24*60</f>
        <v>6.9999999999999751</v>
      </c>
      <c r="V7" s="134">
        <f t="shared" ref="V7:V8" si="10">(T7-S7)*24*60</f>
        <v>66.999999999999915</v>
      </c>
      <c r="W7" s="14"/>
      <c r="X7" s="14"/>
      <c r="Y7" s="473"/>
      <c r="Z7" s="474"/>
      <c r="AA7" s="11">
        <f t="shared" si="2"/>
        <v>-188.0597014925354</v>
      </c>
      <c r="AB7" s="136">
        <f t="shared" si="3"/>
        <v>0.89552238805970252</v>
      </c>
      <c r="AC7" s="470"/>
    </row>
    <row r="8" spans="1:29">
      <c r="A8" s="464" t="s">
        <v>493</v>
      </c>
      <c r="B8" s="26" t="s">
        <v>13</v>
      </c>
      <c r="C8" s="468" t="s">
        <v>448</v>
      </c>
      <c r="D8" s="469"/>
      <c r="E8" s="26">
        <v>48.36</v>
      </c>
      <c r="F8" s="133">
        <v>3377</v>
      </c>
      <c r="G8" s="132">
        <f t="shared" si="4"/>
        <v>163311.72</v>
      </c>
      <c r="H8" s="76" t="s">
        <v>57</v>
      </c>
      <c r="I8" s="135">
        <v>18</v>
      </c>
      <c r="J8" s="18">
        <v>1800</v>
      </c>
      <c r="K8" s="9">
        <f t="shared" si="5"/>
        <v>100</v>
      </c>
      <c r="L8" s="135">
        <v>18</v>
      </c>
      <c r="M8" s="10">
        <f>F8/V8*60</f>
        <v>1608.0952380952378</v>
      </c>
      <c r="N8" s="9">
        <f>M8/L8</f>
        <v>89.338624338624328</v>
      </c>
      <c r="O8" s="11">
        <f t="shared" si="0"/>
        <v>0</v>
      </c>
      <c r="P8" s="12">
        <f>N8-K8</f>
        <v>-10.661375661375672</v>
      </c>
      <c r="Q8" s="136">
        <f t="shared" si="7"/>
        <v>0.89338624338624328</v>
      </c>
      <c r="R8" s="470"/>
      <c r="S8" s="24">
        <v>0.89305555555555549</v>
      </c>
      <c r="T8" s="24">
        <v>0.98055555555555551</v>
      </c>
      <c r="U8" s="132">
        <f t="shared" si="9"/>
        <v>58.99999999999995</v>
      </c>
      <c r="V8" s="134">
        <f t="shared" si="10"/>
        <v>126.00000000000003</v>
      </c>
      <c r="W8" s="15"/>
      <c r="X8" s="15"/>
      <c r="Y8" s="473"/>
      <c r="Z8" s="474"/>
      <c r="AA8" s="11">
        <f t="shared" si="2"/>
        <v>-191.90476190476215</v>
      </c>
      <c r="AB8" s="136">
        <f t="shared" si="3"/>
        <v>0.89338624338624328</v>
      </c>
      <c r="AC8" s="470"/>
    </row>
    <row r="9" spans="1:29">
      <c r="A9" s="464" t="s">
        <v>493</v>
      </c>
      <c r="B9" s="26" t="s">
        <v>494</v>
      </c>
      <c r="C9" s="466"/>
      <c r="D9" s="466"/>
      <c r="E9" s="137"/>
      <c r="F9" s="16"/>
      <c r="G9" s="9"/>
      <c r="H9" s="133"/>
      <c r="I9" s="17">
        <v>17.25</v>
      </c>
      <c r="J9" s="18">
        <v>1800</v>
      </c>
      <c r="K9" s="9">
        <f>J9/I9</f>
        <v>104.34782608695652</v>
      </c>
      <c r="L9" s="17">
        <v>17.25</v>
      </c>
      <c r="M9" s="10">
        <f>AVERAGE(M5:M8)</f>
        <v>1612.1724479804627</v>
      </c>
      <c r="N9" s="9">
        <f>M9/L9</f>
        <v>93.459272346693496</v>
      </c>
      <c r="O9" s="11">
        <f>L9-I9</f>
        <v>0</v>
      </c>
      <c r="P9" s="12">
        <f>N9-K9</f>
        <v>-10.888553740263021</v>
      </c>
      <c r="Q9" s="136">
        <f>N9/K9</f>
        <v>0.89565135998914602</v>
      </c>
      <c r="R9" s="470"/>
      <c r="S9" s="24"/>
      <c r="T9" s="24"/>
      <c r="U9" s="132"/>
      <c r="V9" s="134"/>
      <c r="W9" s="9"/>
      <c r="X9" s="9"/>
      <c r="Y9" s="456"/>
      <c r="Z9" s="456"/>
      <c r="AA9" s="11">
        <f t="shared" si="2"/>
        <v>-187.82755201953728</v>
      </c>
      <c r="AB9" s="136">
        <f>M9/J9</f>
        <v>0.89565135998914591</v>
      </c>
      <c r="AC9" s="470"/>
    </row>
    <row r="10" spans="1:29" ht="15.75" customHeight="1">
      <c r="A10" s="467" t="s">
        <v>495</v>
      </c>
      <c r="B10" s="26" t="s">
        <v>15</v>
      </c>
      <c r="C10" s="468" t="s">
        <v>16</v>
      </c>
      <c r="D10" s="469"/>
      <c r="E10" s="26">
        <v>39.619999999999997</v>
      </c>
      <c r="F10" s="133">
        <v>2700</v>
      </c>
      <c r="G10" s="132">
        <f t="shared" ref="G10:G14" si="11">E10*F10</f>
        <v>106974</v>
      </c>
      <c r="H10" s="76">
        <v>2</v>
      </c>
      <c r="I10" s="135">
        <v>19</v>
      </c>
      <c r="J10" s="18">
        <v>1500</v>
      </c>
      <c r="K10" s="9">
        <f t="shared" ref="K10:K14" si="12">J10/I10</f>
        <v>78.94736842105263</v>
      </c>
      <c r="L10" s="135">
        <v>19</v>
      </c>
      <c r="M10" s="10">
        <f t="shared" ref="M10:M14" si="13">F10/V10*60</f>
        <v>1338.8429752066118</v>
      </c>
      <c r="N10" s="9">
        <f t="shared" ref="N10:N14" si="14">M10/L10</f>
        <v>70.46541974771641</v>
      </c>
      <c r="O10" s="11">
        <f t="shared" ref="O10:O14" si="15">L10-I10</f>
        <v>0</v>
      </c>
      <c r="P10" s="12">
        <f>N10-K10</f>
        <v>-8.4819486733362197</v>
      </c>
      <c r="Q10" s="136">
        <f>N10/K10</f>
        <v>0.89256198347107452</v>
      </c>
      <c r="R10" s="470">
        <f>Q15</f>
        <v>0.89479093586556313</v>
      </c>
      <c r="S10" s="24">
        <v>0.12986111111111112</v>
      </c>
      <c r="T10" s="24">
        <v>0.21388888888888891</v>
      </c>
      <c r="U10" s="132"/>
      <c r="V10" s="134">
        <f t="shared" ref="V10:V14" si="16">(T10-S10)*24*60</f>
        <v>121</v>
      </c>
      <c r="W10" s="9"/>
      <c r="X10" s="9"/>
      <c r="Y10" s="456"/>
      <c r="Z10" s="456"/>
      <c r="AA10" s="11">
        <f t="shared" si="2"/>
        <v>-161.15702479338825</v>
      </c>
      <c r="AB10" s="136">
        <f>M10/J10</f>
        <v>0.89256198347107452</v>
      </c>
      <c r="AC10" s="470">
        <f>AB15</f>
        <v>0.89479093586556302</v>
      </c>
    </row>
    <row r="11" spans="1:29" ht="15.75" customHeight="1">
      <c r="A11" s="467" t="s">
        <v>5</v>
      </c>
      <c r="B11" s="26" t="s">
        <v>15</v>
      </c>
      <c r="C11" s="468" t="s">
        <v>17</v>
      </c>
      <c r="D11" s="469"/>
      <c r="E11" s="26">
        <v>39.799999999999997</v>
      </c>
      <c r="F11" s="133">
        <v>4000</v>
      </c>
      <c r="G11" s="132">
        <f t="shared" si="11"/>
        <v>159200</v>
      </c>
      <c r="H11" s="76">
        <v>2</v>
      </c>
      <c r="I11" s="135">
        <v>18</v>
      </c>
      <c r="J11" s="18">
        <v>1500</v>
      </c>
      <c r="K11" s="9">
        <f t="shared" si="12"/>
        <v>83.333333333333329</v>
      </c>
      <c r="L11" s="135">
        <v>18</v>
      </c>
      <c r="M11" s="10">
        <f t="shared" si="13"/>
        <v>1340.7821229050276</v>
      </c>
      <c r="N11" s="9">
        <f t="shared" si="14"/>
        <v>74.487895716945971</v>
      </c>
      <c r="O11" s="11">
        <f t="shared" si="15"/>
        <v>0</v>
      </c>
      <c r="P11" s="12">
        <f t="shared" ref="P11:P14" si="17">N11-K11</f>
        <v>-8.8454376163873576</v>
      </c>
      <c r="Q11" s="136">
        <f t="shared" ref="Q11:Q14" si="18">N11/K11</f>
        <v>0.89385474860335168</v>
      </c>
      <c r="R11" s="470"/>
      <c r="S11" s="24">
        <v>0.23680555555555557</v>
      </c>
      <c r="T11" s="24">
        <v>0.36111111111111116</v>
      </c>
      <c r="U11" s="132">
        <f>(S11-T10)*24*60</f>
        <v>33</v>
      </c>
      <c r="V11" s="134">
        <f t="shared" si="16"/>
        <v>179.00000000000006</v>
      </c>
      <c r="W11" s="14"/>
      <c r="X11" s="14"/>
      <c r="Y11" s="456"/>
      <c r="Z11" s="456"/>
      <c r="AA11" s="11">
        <f t="shared" si="2"/>
        <v>-159.21787709497244</v>
      </c>
      <c r="AB11" s="136">
        <f t="shared" ref="AB11:AB29" si="19">M11/J11</f>
        <v>0.89385474860335168</v>
      </c>
      <c r="AC11" s="470"/>
    </row>
    <row r="12" spans="1:29" ht="15.75" customHeight="1">
      <c r="A12" s="467" t="s">
        <v>5</v>
      </c>
      <c r="B12" s="26" t="s">
        <v>15</v>
      </c>
      <c r="C12" s="468" t="s">
        <v>54</v>
      </c>
      <c r="D12" s="469"/>
      <c r="E12" s="26">
        <v>39.29</v>
      </c>
      <c r="F12" s="133">
        <v>3957</v>
      </c>
      <c r="G12" s="132">
        <f t="shared" si="11"/>
        <v>155470.53</v>
      </c>
      <c r="H12" s="76" t="s">
        <v>57</v>
      </c>
      <c r="I12" s="135">
        <v>17</v>
      </c>
      <c r="J12" s="18">
        <v>1500</v>
      </c>
      <c r="K12" s="9">
        <f t="shared" si="12"/>
        <v>88.235294117647058</v>
      </c>
      <c r="L12" s="135">
        <v>17</v>
      </c>
      <c r="M12" s="10">
        <f t="shared" si="13"/>
        <v>1341.3559322033898</v>
      </c>
      <c r="N12" s="9">
        <f t="shared" si="14"/>
        <v>78.903290129611165</v>
      </c>
      <c r="O12" s="11">
        <f t="shared" si="15"/>
        <v>0</v>
      </c>
      <c r="P12" s="12">
        <f t="shared" si="17"/>
        <v>-9.3320039880358934</v>
      </c>
      <c r="Q12" s="136">
        <f t="shared" si="18"/>
        <v>0.89423728813559322</v>
      </c>
      <c r="R12" s="470"/>
      <c r="S12" s="24">
        <v>0.37013888888888891</v>
      </c>
      <c r="T12" s="24">
        <v>0.49305555555555558</v>
      </c>
      <c r="U12" s="132">
        <f t="shared" ref="U12:U14" si="20">(S12-T11)*24*60</f>
        <v>12.999999999999954</v>
      </c>
      <c r="V12" s="134">
        <f t="shared" si="16"/>
        <v>177</v>
      </c>
      <c r="W12" s="14"/>
      <c r="X12" s="14"/>
      <c r="Y12" s="456"/>
      <c r="Z12" s="456"/>
      <c r="AA12" s="11">
        <f t="shared" si="2"/>
        <v>-158.64406779661022</v>
      </c>
      <c r="AB12" s="136">
        <f t="shared" si="19"/>
        <v>0.89423728813559322</v>
      </c>
      <c r="AC12" s="470"/>
    </row>
    <row r="13" spans="1:29" ht="15.75" customHeight="1">
      <c r="A13" s="467" t="s">
        <v>5</v>
      </c>
      <c r="B13" s="26" t="s">
        <v>15</v>
      </c>
      <c r="C13" s="468" t="s">
        <v>17</v>
      </c>
      <c r="D13" s="469"/>
      <c r="E13" s="26">
        <v>39.799999999999997</v>
      </c>
      <c r="F13" s="133">
        <v>2734</v>
      </c>
      <c r="G13" s="132">
        <f t="shared" si="11"/>
        <v>108813.2</v>
      </c>
      <c r="H13" s="76" t="s">
        <v>57</v>
      </c>
      <c r="I13" s="135">
        <v>18</v>
      </c>
      <c r="J13" s="18">
        <v>1500</v>
      </c>
      <c r="K13" s="9">
        <f t="shared" si="12"/>
        <v>83.333333333333329</v>
      </c>
      <c r="L13" s="135">
        <v>18</v>
      </c>
      <c r="M13" s="10">
        <f t="shared" si="13"/>
        <v>1344.5901639344258</v>
      </c>
      <c r="N13" s="9">
        <f t="shared" si="14"/>
        <v>74.699453551912541</v>
      </c>
      <c r="O13" s="11">
        <f t="shared" si="15"/>
        <v>0</v>
      </c>
      <c r="P13" s="12">
        <f t="shared" si="17"/>
        <v>-8.6338797814207879</v>
      </c>
      <c r="Q13" s="136">
        <f t="shared" si="18"/>
        <v>0.89639344262295051</v>
      </c>
      <c r="R13" s="470"/>
      <c r="S13" s="24">
        <v>0.53194444444444444</v>
      </c>
      <c r="T13" s="24">
        <v>0.6166666666666667</v>
      </c>
      <c r="U13" s="132">
        <f t="shared" si="20"/>
        <v>55.999999999999957</v>
      </c>
      <c r="V13" s="134">
        <f t="shared" si="16"/>
        <v>122.00000000000004</v>
      </c>
      <c r="W13" s="14"/>
      <c r="X13" s="14"/>
      <c r="Y13" s="456"/>
      <c r="Z13" s="456"/>
      <c r="AA13" s="11">
        <f t="shared" si="2"/>
        <v>-155.40983606557415</v>
      </c>
      <c r="AB13" s="136">
        <f t="shared" si="19"/>
        <v>0.89639344262295051</v>
      </c>
      <c r="AC13" s="470"/>
    </row>
    <row r="14" spans="1:29" ht="15.75" customHeight="1">
      <c r="A14" s="467" t="s">
        <v>5</v>
      </c>
      <c r="B14" s="26" t="s">
        <v>15</v>
      </c>
      <c r="C14" s="468" t="s">
        <v>16</v>
      </c>
      <c r="D14" s="469"/>
      <c r="E14" s="26">
        <v>39.619999999999997</v>
      </c>
      <c r="F14" s="133">
        <v>2175</v>
      </c>
      <c r="G14" s="132">
        <f t="shared" si="11"/>
        <v>86173.5</v>
      </c>
      <c r="H14" s="76" t="s">
        <v>57</v>
      </c>
      <c r="I14" s="135">
        <v>19</v>
      </c>
      <c r="J14" s="18">
        <v>1500</v>
      </c>
      <c r="K14" s="9">
        <f t="shared" si="12"/>
        <v>78.94736842105263</v>
      </c>
      <c r="L14" s="135">
        <v>19</v>
      </c>
      <c r="M14" s="10">
        <f t="shared" si="13"/>
        <v>1345.3608247422683</v>
      </c>
      <c r="N14" s="9">
        <f t="shared" si="14"/>
        <v>70.808464460119382</v>
      </c>
      <c r="O14" s="11">
        <f t="shared" si="15"/>
        <v>0</v>
      </c>
      <c r="P14" s="12">
        <f t="shared" si="17"/>
        <v>-8.1389039609332485</v>
      </c>
      <c r="Q14" s="136">
        <f t="shared" si="18"/>
        <v>0.89690721649484551</v>
      </c>
      <c r="R14" s="470"/>
      <c r="S14" s="24">
        <v>0.62013888888888891</v>
      </c>
      <c r="T14" s="24">
        <v>0.6875</v>
      </c>
      <c r="U14" s="132">
        <f t="shared" si="20"/>
        <v>4.9999999999999822</v>
      </c>
      <c r="V14" s="134">
        <f t="shared" si="16"/>
        <v>96.999999999999972</v>
      </c>
      <c r="W14" s="14"/>
      <c r="X14" s="14"/>
      <c r="Y14" s="473"/>
      <c r="Z14" s="474"/>
      <c r="AA14" s="11">
        <f t="shared" si="2"/>
        <v>-154.63917525773172</v>
      </c>
      <c r="AB14" s="136">
        <f t="shared" si="19"/>
        <v>0.89690721649484551</v>
      </c>
      <c r="AC14" s="470"/>
    </row>
    <row r="15" spans="1:29" ht="16.5" customHeight="1">
      <c r="A15" s="467" t="s">
        <v>5</v>
      </c>
      <c r="B15" s="26" t="s">
        <v>494</v>
      </c>
      <c r="C15" s="466"/>
      <c r="D15" s="466"/>
      <c r="E15" s="137"/>
      <c r="F15" s="18"/>
      <c r="G15" s="10"/>
      <c r="H15" s="133"/>
      <c r="I15" s="17">
        <v>18.2</v>
      </c>
      <c r="J15" s="18">
        <v>1500</v>
      </c>
      <c r="K15" s="9">
        <f>J15/I15</f>
        <v>82.417582417582423</v>
      </c>
      <c r="L15" s="17">
        <v>18.2</v>
      </c>
      <c r="M15" s="10">
        <f>AVERAGE(M10:M14)</f>
        <v>1342.1864037983446</v>
      </c>
      <c r="N15" s="9">
        <f>M15/L15</f>
        <v>73.746505703205756</v>
      </c>
      <c r="O15" s="11">
        <f>L15-I15</f>
        <v>0</v>
      </c>
      <c r="P15" s="12">
        <f>N15-K15</f>
        <v>-8.6710767143766674</v>
      </c>
      <c r="Q15" s="136">
        <f>N15/K15</f>
        <v>0.89479093586556313</v>
      </c>
      <c r="R15" s="470"/>
      <c r="S15" s="24"/>
      <c r="T15" s="24"/>
      <c r="U15" s="9"/>
      <c r="V15" s="134"/>
      <c r="W15" s="9"/>
      <c r="X15" s="9"/>
      <c r="Y15" s="456"/>
      <c r="Z15" s="456"/>
      <c r="AA15" s="11">
        <f t="shared" si="2"/>
        <v>-157.8135962016554</v>
      </c>
      <c r="AB15" s="136">
        <f t="shared" si="19"/>
        <v>0.89479093586556302</v>
      </c>
      <c r="AC15" s="470"/>
    </row>
    <row r="16" spans="1:29" ht="16.5" customHeight="1">
      <c r="A16" s="480" t="s">
        <v>496</v>
      </c>
      <c r="B16" s="133" t="s">
        <v>15</v>
      </c>
      <c r="C16" s="477" t="s">
        <v>20</v>
      </c>
      <c r="D16" s="477"/>
      <c r="E16" s="26">
        <v>46</v>
      </c>
      <c r="F16" s="133">
        <v>3407</v>
      </c>
      <c r="G16" s="132">
        <f t="shared" ref="G16:G20" si="21">E16*F16</f>
        <v>156722</v>
      </c>
      <c r="H16" s="76" t="s">
        <v>57</v>
      </c>
      <c r="I16" s="135">
        <v>17</v>
      </c>
      <c r="J16" s="18">
        <v>1500</v>
      </c>
      <c r="K16" s="9">
        <f>J16/I16</f>
        <v>88.235294117647058</v>
      </c>
      <c r="L16" s="135">
        <v>17</v>
      </c>
      <c r="M16" s="10">
        <f>F16/V16*60</f>
        <v>1344.8684210526317</v>
      </c>
      <c r="N16" s="9">
        <f t="shared" ref="N16:N28" si="22">M16/L16</f>
        <v>79.109907120743046</v>
      </c>
      <c r="O16" s="11">
        <f t="shared" ref="O16" si="23">L16-I16</f>
        <v>0</v>
      </c>
      <c r="P16" s="12">
        <f t="shared" ref="P16" si="24">N16-K16</f>
        <v>-9.1253869969040124</v>
      </c>
      <c r="Q16" s="136">
        <f>N16/K16</f>
        <v>0.89657894736842114</v>
      </c>
      <c r="R16" s="470">
        <f>Q21</f>
        <v>0.89520877246260877</v>
      </c>
      <c r="S16" s="24">
        <v>0.16666666666666666</v>
      </c>
      <c r="T16" s="24">
        <v>0.2722222222222222</v>
      </c>
      <c r="U16" s="132"/>
      <c r="V16" s="134">
        <f>(T16-S16)*24*60</f>
        <v>152</v>
      </c>
      <c r="W16" s="15"/>
      <c r="X16" s="15"/>
      <c r="Y16" s="456"/>
      <c r="Z16" s="456"/>
      <c r="AA16" s="11">
        <f t="shared" si="2"/>
        <v>-155.13157894736833</v>
      </c>
      <c r="AB16" s="136">
        <f t="shared" si="19"/>
        <v>0.89657894736842114</v>
      </c>
      <c r="AC16" s="470">
        <f>AB21</f>
        <v>0.89520877246260866</v>
      </c>
    </row>
    <row r="17" spans="1:29" ht="16.5" customHeight="1">
      <c r="A17" s="481" t="s">
        <v>6</v>
      </c>
      <c r="B17" s="133" t="s">
        <v>15</v>
      </c>
      <c r="C17" s="477" t="s">
        <v>75</v>
      </c>
      <c r="D17" s="477"/>
      <c r="E17" s="26">
        <v>46</v>
      </c>
      <c r="F17" s="133">
        <v>4395</v>
      </c>
      <c r="G17" s="132">
        <f t="shared" si="21"/>
        <v>202170</v>
      </c>
      <c r="H17" s="76" t="s">
        <v>57</v>
      </c>
      <c r="I17" s="135">
        <v>18</v>
      </c>
      <c r="J17" s="18">
        <v>1500</v>
      </c>
      <c r="K17" s="9">
        <f>J17/I17</f>
        <v>83.333333333333329</v>
      </c>
      <c r="L17" s="135">
        <v>18</v>
      </c>
      <c r="M17" s="10">
        <f>F17/V17*60</f>
        <v>1338.5786802030461</v>
      </c>
      <c r="N17" s="9">
        <f t="shared" si="22"/>
        <v>74.365482233502561</v>
      </c>
      <c r="O17" s="11">
        <f>L17-I17</f>
        <v>0</v>
      </c>
      <c r="P17" s="12">
        <f>N17-K17</f>
        <v>-8.9678510998307672</v>
      </c>
      <c r="Q17" s="136">
        <f>N17/K17</f>
        <v>0.89238578680203073</v>
      </c>
      <c r="R17" s="470"/>
      <c r="S17" s="24">
        <v>0.29027777777777775</v>
      </c>
      <c r="T17" s="24">
        <v>0.42708333333333326</v>
      </c>
      <c r="U17" s="132">
        <f>(S17-T16)*24*60</f>
        <v>25.999999999999986</v>
      </c>
      <c r="V17" s="134">
        <f>(T17-S17)*24*60</f>
        <v>196.99999999999994</v>
      </c>
      <c r="W17" s="14"/>
      <c r="X17" s="14"/>
      <c r="Y17" s="456"/>
      <c r="Z17" s="456"/>
      <c r="AA17" s="11">
        <f t="shared" si="2"/>
        <v>-161.42131979695387</v>
      </c>
      <c r="AB17" s="136">
        <f t="shared" si="19"/>
        <v>0.89238578680203073</v>
      </c>
      <c r="AC17" s="470"/>
    </row>
    <row r="18" spans="1:29" ht="16.5" customHeight="1">
      <c r="A18" s="481" t="s">
        <v>6</v>
      </c>
      <c r="B18" s="133" t="s">
        <v>15</v>
      </c>
      <c r="C18" s="477" t="s">
        <v>68</v>
      </c>
      <c r="D18" s="477"/>
      <c r="E18" s="26">
        <v>39.29</v>
      </c>
      <c r="F18" s="133">
        <v>2643</v>
      </c>
      <c r="G18" s="132">
        <f t="shared" si="21"/>
        <v>103843.47</v>
      </c>
      <c r="H18" s="76" t="s">
        <v>57</v>
      </c>
      <c r="I18" s="135">
        <v>18</v>
      </c>
      <c r="J18" s="18">
        <v>1500</v>
      </c>
      <c r="K18" s="9">
        <f t="shared" ref="K18:K20" si="25">J18/I18</f>
        <v>83.333333333333329</v>
      </c>
      <c r="L18" s="135">
        <v>18</v>
      </c>
      <c r="M18" s="10">
        <f t="shared" ref="M18:M20" si="26">F18/V18*60</f>
        <v>1343.8983050847451</v>
      </c>
      <c r="N18" s="9">
        <f t="shared" si="22"/>
        <v>74.661016949152497</v>
      </c>
      <c r="O18" s="11">
        <f t="shared" ref="O18:O20" si="27">L18-I18</f>
        <v>0</v>
      </c>
      <c r="P18" s="12">
        <f t="shared" ref="P18:P20" si="28">N18-K18</f>
        <v>-8.6723163841808315</v>
      </c>
      <c r="Q18" s="136">
        <f t="shared" ref="Q18:Q28" si="29">N18/K18</f>
        <v>0.89593220338983004</v>
      </c>
      <c r="R18" s="470"/>
      <c r="S18" s="24">
        <v>0.43611111111111101</v>
      </c>
      <c r="T18" s="24">
        <v>0.51805555555555549</v>
      </c>
      <c r="U18" s="132">
        <f t="shared" ref="U18:U20" si="30">(S18-T17)*24*60</f>
        <v>12.999999999999954</v>
      </c>
      <c r="V18" s="134">
        <f t="shared" ref="V18:V20" si="31">(T18-S18)*24*60</f>
        <v>118.00000000000006</v>
      </c>
      <c r="W18" s="14"/>
      <c r="X18" s="14"/>
      <c r="Y18" s="456"/>
      <c r="Z18" s="456"/>
      <c r="AA18" s="11">
        <f t="shared" si="2"/>
        <v>-156.10169491525494</v>
      </c>
      <c r="AB18" s="136">
        <f t="shared" si="19"/>
        <v>0.89593220338983004</v>
      </c>
      <c r="AC18" s="470"/>
    </row>
    <row r="19" spans="1:29" ht="16.5" customHeight="1">
      <c r="A19" s="481" t="s">
        <v>6</v>
      </c>
      <c r="B19" s="133" t="s">
        <v>13</v>
      </c>
      <c r="C19" s="477" t="s">
        <v>63</v>
      </c>
      <c r="D19" s="477"/>
      <c r="E19" s="26">
        <v>50.98</v>
      </c>
      <c r="F19" s="133">
        <v>2836</v>
      </c>
      <c r="G19" s="132">
        <f t="shared" si="21"/>
        <v>144579.28</v>
      </c>
      <c r="H19" s="76" t="s">
        <v>57</v>
      </c>
      <c r="I19" s="135">
        <v>17</v>
      </c>
      <c r="J19" s="18">
        <v>1800</v>
      </c>
      <c r="K19" s="9">
        <f t="shared" si="25"/>
        <v>105.88235294117646</v>
      </c>
      <c r="L19" s="135">
        <v>17</v>
      </c>
      <c r="M19" s="10">
        <f t="shared" si="26"/>
        <v>1605.2830188679254</v>
      </c>
      <c r="N19" s="9">
        <f t="shared" si="22"/>
        <v>94.428412874583842</v>
      </c>
      <c r="O19" s="11">
        <f t="shared" si="27"/>
        <v>0</v>
      </c>
      <c r="P19" s="12">
        <f t="shared" si="28"/>
        <v>-11.453940066592622</v>
      </c>
      <c r="Q19" s="136">
        <f t="shared" si="29"/>
        <v>0.89182389937106965</v>
      </c>
      <c r="R19" s="470"/>
      <c r="S19" s="24">
        <v>0.70833333333333337</v>
      </c>
      <c r="T19" s="24">
        <v>0.78194444444444444</v>
      </c>
      <c r="U19" s="132">
        <f t="shared" si="30"/>
        <v>274.00000000000017</v>
      </c>
      <c r="V19" s="134">
        <f t="shared" si="31"/>
        <v>105.99999999999994</v>
      </c>
      <c r="W19" s="14"/>
      <c r="X19" s="14"/>
      <c r="Y19" s="456"/>
      <c r="Z19" s="456"/>
      <c r="AA19" s="11">
        <f t="shared" si="2"/>
        <v>-194.71698113207458</v>
      </c>
      <c r="AB19" s="136">
        <f t="shared" si="19"/>
        <v>0.89182389937106965</v>
      </c>
      <c r="AC19" s="470"/>
    </row>
    <row r="20" spans="1:29" ht="16.5" customHeight="1">
      <c r="A20" s="481" t="s">
        <v>6</v>
      </c>
      <c r="B20" s="133" t="s">
        <v>13</v>
      </c>
      <c r="C20" s="477" t="s">
        <v>66</v>
      </c>
      <c r="D20" s="477"/>
      <c r="E20" s="26">
        <v>57.73</v>
      </c>
      <c r="F20" s="133">
        <v>1980</v>
      </c>
      <c r="G20" s="132">
        <f t="shared" si="21"/>
        <v>114305.4</v>
      </c>
      <c r="H20" s="76" t="s">
        <v>57</v>
      </c>
      <c r="I20" s="135">
        <v>16</v>
      </c>
      <c r="J20" s="18">
        <v>1500</v>
      </c>
      <c r="K20" s="9">
        <f t="shared" si="25"/>
        <v>93.75</v>
      </c>
      <c r="L20" s="135">
        <v>16</v>
      </c>
      <c r="M20" s="10">
        <f t="shared" si="26"/>
        <v>1350</v>
      </c>
      <c r="N20" s="9">
        <f t="shared" si="22"/>
        <v>84.375</v>
      </c>
      <c r="O20" s="11">
        <f t="shared" si="27"/>
        <v>0</v>
      </c>
      <c r="P20" s="12">
        <f t="shared" si="28"/>
        <v>-9.375</v>
      </c>
      <c r="Q20" s="136">
        <f t="shared" si="29"/>
        <v>0.9</v>
      </c>
      <c r="R20" s="470"/>
      <c r="S20" s="24">
        <v>0.78749999999999998</v>
      </c>
      <c r="T20" s="24">
        <v>0.84861111111111109</v>
      </c>
      <c r="U20" s="132">
        <f t="shared" si="30"/>
        <v>7.9999999999999716</v>
      </c>
      <c r="V20" s="134">
        <f t="shared" si="31"/>
        <v>88</v>
      </c>
      <c r="W20" s="14"/>
      <c r="X20" s="14"/>
      <c r="Y20" s="456"/>
      <c r="Z20" s="456"/>
      <c r="AA20" s="11">
        <f t="shared" si="2"/>
        <v>-150</v>
      </c>
      <c r="AB20" s="136">
        <f t="shared" si="19"/>
        <v>0.9</v>
      </c>
      <c r="AC20" s="470"/>
    </row>
    <row r="21" spans="1:29" ht="16.5" customHeight="1">
      <c r="A21" s="481" t="s">
        <v>6</v>
      </c>
      <c r="B21" s="26" t="s">
        <v>494</v>
      </c>
      <c r="C21" s="466"/>
      <c r="D21" s="466"/>
      <c r="E21" s="137"/>
      <c r="F21" s="16"/>
      <c r="G21" s="9"/>
      <c r="H21" s="133"/>
      <c r="I21" s="17">
        <v>17.2</v>
      </c>
      <c r="J21" s="18">
        <v>1560</v>
      </c>
      <c r="K21" s="9">
        <f>J21/I21</f>
        <v>90.697674418604649</v>
      </c>
      <c r="L21" s="17">
        <v>17.2</v>
      </c>
      <c r="M21" s="10">
        <f>AVERAGE(M16:M20)</f>
        <v>1396.5256850416695</v>
      </c>
      <c r="N21" s="9">
        <f t="shared" si="22"/>
        <v>81.193353781492419</v>
      </c>
      <c r="O21" s="11">
        <f>L21-I21</f>
        <v>0</v>
      </c>
      <c r="P21" s="12">
        <f>N21-K21</f>
        <v>-9.5043206371122295</v>
      </c>
      <c r="Q21" s="136">
        <f t="shared" si="29"/>
        <v>0.89520877246260877</v>
      </c>
      <c r="R21" s="470"/>
      <c r="S21" s="24"/>
      <c r="T21" s="24"/>
      <c r="U21" s="132"/>
      <c r="V21" s="134"/>
      <c r="W21" s="9"/>
      <c r="X21" s="9"/>
      <c r="Y21" s="456"/>
      <c r="Z21" s="456"/>
      <c r="AA21" s="11">
        <f t="shared" si="2"/>
        <v>-163.47431495833052</v>
      </c>
      <c r="AB21" s="136">
        <f t="shared" si="19"/>
        <v>0.89520877246260866</v>
      </c>
      <c r="AC21" s="470"/>
    </row>
    <row r="22" spans="1:29" ht="15.75" customHeight="1">
      <c r="A22" s="478" t="s">
        <v>497</v>
      </c>
      <c r="B22" s="26" t="s">
        <v>21</v>
      </c>
      <c r="C22" s="477" t="s">
        <v>22</v>
      </c>
      <c r="D22" s="477"/>
      <c r="E22" s="26">
        <v>43.14</v>
      </c>
      <c r="F22" s="133">
        <v>1520</v>
      </c>
      <c r="G22" s="132">
        <f t="shared" ref="G22:G28" si="32">E22*F22</f>
        <v>65572.800000000003</v>
      </c>
      <c r="H22" s="76" t="s">
        <v>57</v>
      </c>
      <c r="I22" s="135">
        <v>17</v>
      </c>
      <c r="J22" s="18">
        <v>1200</v>
      </c>
      <c r="K22" s="9">
        <f t="shared" ref="K22:K29" si="33">J22/I22</f>
        <v>70.588235294117652</v>
      </c>
      <c r="L22" s="135">
        <v>17</v>
      </c>
      <c r="M22" s="10">
        <f t="shared" ref="M22:M28" si="34">F22/V22*60</f>
        <v>1072.9411764705881</v>
      </c>
      <c r="N22" s="9">
        <f t="shared" si="22"/>
        <v>63.114186851211059</v>
      </c>
      <c r="O22" s="11">
        <f t="shared" ref="O22:O28" si="35">L22-I22</f>
        <v>0</v>
      </c>
      <c r="P22" s="12">
        <f t="shared" ref="P22:P28" si="36">N22-K22</f>
        <v>-7.474048442906593</v>
      </c>
      <c r="Q22" s="136">
        <f t="shared" si="29"/>
        <v>0.89411764705882324</v>
      </c>
      <c r="R22" s="470">
        <f>Q29</f>
        <v>0.89698625883160865</v>
      </c>
      <c r="S22" s="24">
        <v>0.25</v>
      </c>
      <c r="T22" s="24">
        <v>0.30902777777777779</v>
      </c>
      <c r="U22" s="132"/>
      <c r="V22" s="134">
        <f>(T22-S22)*24*60</f>
        <v>85.000000000000014</v>
      </c>
      <c r="W22" s="15"/>
      <c r="X22" s="15"/>
      <c r="Y22" s="456"/>
      <c r="Z22" s="456"/>
      <c r="AA22" s="11">
        <f t="shared" si="2"/>
        <v>-127.05882352941194</v>
      </c>
      <c r="AB22" s="136">
        <f t="shared" si="19"/>
        <v>0.89411764705882335</v>
      </c>
      <c r="AC22" s="470">
        <f>AB29</f>
        <v>0.89698625883160865</v>
      </c>
    </row>
    <row r="23" spans="1:29" ht="15.75" customHeight="1">
      <c r="A23" s="479" t="s">
        <v>7</v>
      </c>
      <c r="B23" s="26" t="s">
        <v>13</v>
      </c>
      <c r="C23" s="477" t="s">
        <v>23</v>
      </c>
      <c r="D23" s="477"/>
      <c r="E23" s="26">
        <v>57.73</v>
      </c>
      <c r="F23" s="133">
        <v>2880</v>
      </c>
      <c r="G23" s="132">
        <f t="shared" si="32"/>
        <v>166262.39999999999</v>
      </c>
      <c r="H23" s="76" t="s">
        <v>57</v>
      </c>
      <c r="I23" s="135">
        <v>16</v>
      </c>
      <c r="J23" s="18">
        <v>1800</v>
      </c>
      <c r="K23" s="9">
        <f t="shared" si="33"/>
        <v>112.5</v>
      </c>
      <c r="L23" s="135">
        <v>16</v>
      </c>
      <c r="M23" s="10">
        <f t="shared" si="34"/>
        <v>1614.9532710280371</v>
      </c>
      <c r="N23" s="9">
        <f t="shared" si="22"/>
        <v>100.93457943925232</v>
      </c>
      <c r="O23" s="11">
        <f t="shared" si="35"/>
        <v>0</v>
      </c>
      <c r="P23" s="12">
        <f t="shared" si="36"/>
        <v>-11.565420560747683</v>
      </c>
      <c r="Q23" s="136">
        <f t="shared" si="29"/>
        <v>0.89719626168224287</v>
      </c>
      <c r="R23" s="470"/>
      <c r="S23" s="24">
        <v>0.31319444444444444</v>
      </c>
      <c r="T23" s="24">
        <v>0.38750000000000001</v>
      </c>
      <c r="U23" s="132">
        <f>(S23-T22)*24*60</f>
        <v>5.9999999999999787</v>
      </c>
      <c r="V23" s="134">
        <f t="shared" ref="V23:V28" si="37">(T23-S23)*24*60</f>
        <v>107.00000000000001</v>
      </c>
      <c r="W23" s="14"/>
      <c r="X23" s="132"/>
      <c r="Y23" s="456"/>
      <c r="Z23" s="456"/>
      <c r="AA23" s="11">
        <f t="shared" si="2"/>
        <v>-185.04672897196292</v>
      </c>
      <c r="AB23" s="136">
        <f t="shared" si="19"/>
        <v>0.89719626168224287</v>
      </c>
      <c r="AC23" s="470"/>
    </row>
    <row r="24" spans="1:29" ht="15.75" customHeight="1">
      <c r="A24" s="479" t="s">
        <v>7</v>
      </c>
      <c r="B24" s="26" t="s">
        <v>13</v>
      </c>
      <c r="C24" s="477" t="s">
        <v>14</v>
      </c>
      <c r="D24" s="477"/>
      <c r="E24" s="26">
        <v>53.68</v>
      </c>
      <c r="F24" s="133">
        <v>2198</v>
      </c>
      <c r="G24" s="132">
        <f t="shared" si="32"/>
        <v>117988.64</v>
      </c>
      <c r="H24" s="76" t="s">
        <v>57</v>
      </c>
      <c r="I24" s="135">
        <v>17</v>
      </c>
      <c r="J24" s="18">
        <v>1800</v>
      </c>
      <c r="K24" s="9">
        <f t="shared" si="33"/>
        <v>105.88235294117646</v>
      </c>
      <c r="L24" s="135">
        <v>17</v>
      </c>
      <c r="M24" s="10">
        <f t="shared" si="34"/>
        <v>1608.2926829268285</v>
      </c>
      <c r="N24" s="9">
        <f t="shared" si="22"/>
        <v>94.605451936872271</v>
      </c>
      <c r="O24" s="11">
        <f t="shared" si="35"/>
        <v>0</v>
      </c>
      <c r="P24" s="12">
        <f t="shared" si="36"/>
        <v>-11.276901004304193</v>
      </c>
      <c r="Q24" s="136">
        <f t="shared" si="29"/>
        <v>0.89349593495934931</v>
      </c>
      <c r="R24" s="470"/>
      <c r="S24" s="24">
        <v>0.39097222222222222</v>
      </c>
      <c r="T24" s="24">
        <v>0.44791666666666669</v>
      </c>
      <c r="U24" s="132">
        <f t="shared" ref="U24:U28" si="38">(S24-T23)*24*60</f>
        <v>4.9999999999999822</v>
      </c>
      <c r="V24" s="134">
        <f t="shared" si="37"/>
        <v>82.000000000000028</v>
      </c>
      <c r="W24" s="14"/>
      <c r="X24" s="132"/>
      <c r="Y24" s="456"/>
      <c r="Z24" s="456"/>
      <c r="AA24" s="11">
        <f t="shared" si="2"/>
        <v>-191.70731707317145</v>
      </c>
      <c r="AB24" s="136">
        <f t="shared" si="19"/>
        <v>0.8934959349593492</v>
      </c>
      <c r="AC24" s="470"/>
    </row>
    <row r="25" spans="1:29" ht="15.75" customHeight="1">
      <c r="A25" s="479" t="s">
        <v>7</v>
      </c>
      <c r="B25" s="26" t="s">
        <v>13</v>
      </c>
      <c r="C25" s="477" t="s">
        <v>72</v>
      </c>
      <c r="D25" s="477"/>
      <c r="E25" s="26">
        <v>50.67</v>
      </c>
      <c r="F25" s="133">
        <v>1480</v>
      </c>
      <c r="G25" s="132">
        <f t="shared" si="32"/>
        <v>74991.600000000006</v>
      </c>
      <c r="H25" s="76" t="s">
        <v>57</v>
      </c>
      <c r="I25" s="135">
        <v>16</v>
      </c>
      <c r="J25" s="18">
        <v>1800</v>
      </c>
      <c r="K25" s="9">
        <f t="shared" si="33"/>
        <v>112.5</v>
      </c>
      <c r="L25" s="135">
        <v>16</v>
      </c>
      <c r="M25" s="10">
        <f t="shared" si="34"/>
        <v>1614.5454545454556</v>
      </c>
      <c r="N25" s="9">
        <f t="shared" si="22"/>
        <v>100.90909090909098</v>
      </c>
      <c r="O25" s="11">
        <f t="shared" si="35"/>
        <v>0</v>
      </c>
      <c r="P25" s="12">
        <f t="shared" si="36"/>
        <v>-11.590909090909022</v>
      </c>
      <c r="Q25" s="136">
        <f t="shared" si="29"/>
        <v>0.89696969696969753</v>
      </c>
      <c r="R25" s="470"/>
      <c r="S25" s="24">
        <v>0.4513888888888889</v>
      </c>
      <c r="T25" s="24">
        <v>0.48958333333333331</v>
      </c>
      <c r="U25" s="132">
        <f t="shared" si="38"/>
        <v>4.9999999999999822</v>
      </c>
      <c r="V25" s="134">
        <f t="shared" si="37"/>
        <v>54.999999999999964</v>
      </c>
      <c r="W25" s="14"/>
      <c r="X25" s="132"/>
      <c r="Y25" s="456"/>
      <c r="Z25" s="456"/>
      <c r="AA25" s="11">
        <f t="shared" si="2"/>
        <v>-185.45454545454436</v>
      </c>
      <c r="AB25" s="136">
        <f t="shared" si="19"/>
        <v>0.89696969696969753</v>
      </c>
      <c r="AC25" s="470"/>
    </row>
    <row r="26" spans="1:29" ht="15.75" customHeight="1">
      <c r="A26" s="479" t="s">
        <v>7</v>
      </c>
      <c r="B26" s="26" t="s">
        <v>13</v>
      </c>
      <c r="C26" s="477" t="s">
        <v>59</v>
      </c>
      <c r="D26" s="477"/>
      <c r="E26" s="26">
        <v>50.92</v>
      </c>
      <c r="F26" s="133">
        <v>3183</v>
      </c>
      <c r="G26" s="132">
        <f t="shared" si="32"/>
        <v>162078.36000000002</v>
      </c>
      <c r="H26" s="76" t="s">
        <v>57</v>
      </c>
      <c r="I26" s="135">
        <v>16</v>
      </c>
      <c r="J26" s="18">
        <v>1800</v>
      </c>
      <c r="K26" s="9">
        <f t="shared" si="33"/>
        <v>112.5</v>
      </c>
      <c r="L26" s="135">
        <v>16</v>
      </c>
      <c r="M26" s="10">
        <f t="shared" si="34"/>
        <v>1604.8739495798311</v>
      </c>
      <c r="N26" s="9">
        <f t="shared" si="22"/>
        <v>100.30462184873944</v>
      </c>
      <c r="O26" s="11">
        <f t="shared" si="35"/>
        <v>0</v>
      </c>
      <c r="P26" s="12">
        <f t="shared" si="36"/>
        <v>-12.195378151260556</v>
      </c>
      <c r="Q26" s="136">
        <f t="shared" si="29"/>
        <v>0.89159663865546168</v>
      </c>
      <c r="R26" s="470"/>
      <c r="S26" s="24">
        <v>0.70833333333333337</v>
      </c>
      <c r="T26" s="24">
        <v>0.7909722222222223</v>
      </c>
      <c r="U26" s="132">
        <f t="shared" si="38"/>
        <v>315.00000000000011</v>
      </c>
      <c r="V26" s="134">
        <f t="shared" si="37"/>
        <v>119.00000000000006</v>
      </c>
      <c r="W26" s="14"/>
      <c r="X26" s="132"/>
      <c r="Y26" s="456"/>
      <c r="Z26" s="456"/>
      <c r="AA26" s="11">
        <f t="shared" si="2"/>
        <v>-195.12605042016889</v>
      </c>
      <c r="AB26" s="136">
        <f t="shared" si="19"/>
        <v>0.89159663865546168</v>
      </c>
      <c r="AC26" s="470"/>
    </row>
    <row r="27" spans="1:29" ht="15.75" customHeight="1">
      <c r="A27" s="479" t="s">
        <v>7</v>
      </c>
      <c r="B27" s="26" t="s">
        <v>13</v>
      </c>
      <c r="C27" s="477" t="s">
        <v>62</v>
      </c>
      <c r="D27" s="477"/>
      <c r="E27" s="26">
        <v>53.27</v>
      </c>
      <c r="F27" s="133">
        <v>682</v>
      </c>
      <c r="G27" s="132">
        <f t="shared" si="32"/>
        <v>36330.14</v>
      </c>
      <c r="H27" s="76" t="s">
        <v>57</v>
      </c>
      <c r="I27" s="135">
        <v>15</v>
      </c>
      <c r="J27" s="18">
        <v>1800</v>
      </c>
      <c r="K27" s="9">
        <f t="shared" si="33"/>
        <v>120</v>
      </c>
      <c r="L27" s="135">
        <v>15</v>
      </c>
      <c r="M27" s="10">
        <f t="shared" si="34"/>
        <v>1636.7999999999954</v>
      </c>
      <c r="N27" s="9">
        <f t="shared" si="22"/>
        <v>109.11999999999969</v>
      </c>
      <c r="O27" s="11">
        <f t="shared" si="35"/>
        <v>0</v>
      </c>
      <c r="P27" s="12">
        <f t="shared" si="36"/>
        <v>-10.880000000000308</v>
      </c>
      <c r="Q27" s="136">
        <f t="shared" si="29"/>
        <v>0.90933333333333077</v>
      </c>
      <c r="R27" s="470"/>
      <c r="S27" s="24">
        <v>0.79652777777777783</v>
      </c>
      <c r="T27" s="24">
        <v>0.81388888888888899</v>
      </c>
      <c r="U27" s="132">
        <f t="shared" si="38"/>
        <v>7.9999999999999716</v>
      </c>
      <c r="V27" s="134">
        <f t="shared" si="37"/>
        <v>25.000000000000071</v>
      </c>
      <c r="W27" s="14"/>
      <c r="X27" s="15"/>
      <c r="Y27" s="456"/>
      <c r="Z27" s="456"/>
      <c r="AA27" s="11">
        <f t="shared" si="2"/>
        <v>-163.20000000000459</v>
      </c>
      <c r="AB27" s="136">
        <f t="shared" si="19"/>
        <v>0.90933333333333077</v>
      </c>
      <c r="AC27" s="470"/>
    </row>
    <row r="28" spans="1:29" ht="15.75" customHeight="1">
      <c r="A28" s="479" t="s">
        <v>7</v>
      </c>
      <c r="B28" s="26" t="s">
        <v>13</v>
      </c>
      <c r="C28" s="477" t="s">
        <v>61</v>
      </c>
      <c r="D28" s="477"/>
      <c r="E28" s="26">
        <v>49.91</v>
      </c>
      <c r="F28" s="133">
        <v>752</v>
      </c>
      <c r="G28" s="132">
        <f t="shared" si="32"/>
        <v>37532.32</v>
      </c>
      <c r="H28" s="76" t="s">
        <v>57</v>
      </c>
      <c r="I28" s="135">
        <v>15</v>
      </c>
      <c r="J28" s="18">
        <v>1800</v>
      </c>
      <c r="K28" s="9">
        <f t="shared" si="33"/>
        <v>120</v>
      </c>
      <c r="L28" s="135">
        <v>15</v>
      </c>
      <c r="M28" s="10">
        <f t="shared" si="34"/>
        <v>1611.4285714285681</v>
      </c>
      <c r="N28" s="9">
        <f t="shared" si="22"/>
        <v>107.4285714285712</v>
      </c>
      <c r="O28" s="11">
        <f t="shared" si="35"/>
        <v>0</v>
      </c>
      <c r="P28" s="12">
        <f t="shared" si="36"/>
        <v>-12.571428571428797</v>
      </c>
      <c r="Q28" s="136">
        <f t="shared" si="29"/>
        <v>0.89523809523809339</v>
      </c>
      <c r="R28" s="470"/>
      <c r="S28" s="24">
        <v>0.8173611111111112</v>
      </c>
      <c r="T28" s="24">
        <v>0.83680555555555569</v>
      </c>
      <c r="U28" s="132">
        <f t="shared" si="38"/>
        <v>4.9999999999999822</v>
      </c>
      <c r="V28" s="134">
        <f t="shared" si="37"/>
        <v>28.00000000000006</v>
      </c>
      <c r="W28" s="14"/>
      <c r="X28" s="15"/>
      <c r="Y28" s="473"/>
      <c r="Z28" s="474"/>
      <c r="AA28" s="11">
        <f t="shared" si="2"/>
        <v>-188.57142857143185</v>
      </c>
      <c r="AB28" s="136">
        <f t="shared" si="19"/>
        <v>0.89523809523809339</v>
      </c>
      <c r="AC28" s="470"/>
    </row>
    <row r="29" spans="1:29" ht="15.75" customHeight="1">
      <c r="A29" s="479" t="s">
        <v>7</v>
      </c>
      <c r="B29" s="26" t="s">
        <v>494</v>
      </c>
      <c r="C29" s="466"/>
      <c r="D29" s="466"/>
      <c r="E29" s="137"/>
      <c r="F29" s="133"/>
      <c r="G29" s="132"/>
      <c r="H29" s="133"/>
      <c r="I29" s="17">
        <v>16</v>
      </c>
      <c r="J29" s="18">
        <v>1714.2857142857142</v>
      </c>
      <c r="K29" s="9">
        <f t="shared" si="33"/>
        <v>107.14285714285714</v>
      </c>
      <c r="L29" s="17">
        <v>16</v>
      </c>
      <c r="M29" s="10">
        <f>AVERAGE(M22:M28)</f>
        <v>1537.6907294256148</v>
      </c>
      <c r="N29" s="9">
        <f>M29/L29</f>
        <v>96.105670589100924</v>
      </c>
      <c r="O29" s="11">
        <f>L29-I29</f>
        <v>0</v>
      </c>
      <c r="P29" s="12">
        <f>N29-K29</f>
        <v>-11.037186553756214</v>
      </c>
      <c r="Q29" s="136">
        <f>N29/K29</f>
        <v>0.89698625883160865</v>
      </c>
      <c r="R29" s="470"/>
      <c r="S29" s="24"/>
      <c r="T29" s="24"/>
      <c r="U29" s="9"/>
      <c r="V29" s="134"/>
      <c r="W29" s="9"/>
      <c r="X29" s="9"/>
      <c r="Y29" s="456"/>
      <c r="Z29" s="456"/>
      <c r="AA29" s="11">
        <f t="shared" si="2"/>
        <v>-176.59498486009943</v>
      </c>
      <c r="AB29" s="136">
        <f t="shared" si="19"/>
        <v>0.89698625883160865</v>
      </c>
      <c r="AC29" s="470"/>
    </row>
    <row r="30" spans="1:29" ht="15.75" customHeight="1">
      <c r="A30" s="484" t="s">
        <v>498</v>
      </c>
      <c r="B30" s="26" t="s">
        <v>24</v>
      </c>
      <c r="C30" s="477" t="s">
        <v>25</v>
      </c>
      <c r="D30" s="477"/>
      <c r="E30" s="26">
        <v>20.52</v>
      </c>
      <c r="F30" s="133">
        <v>5851</v>
      </c>
      <c r="G30" s="132">
        <f t="shared" ref="G30:G37" si="39">E30*F30</f>
        <v>120062.52</v>
      </c>
      <c r="H30" s="76" t="s">
        <v>57</v>
      </c>
      <c r="I30" s="135">
        <v>22</v>
      </c>
      <c r="J30" s="18">
        <v>2400</v>
      </c>
      <c r="K30" s="9">
        <f>J30/I30</f>
        <v>109.09090909090909</v>
      </c>
      <c r="L30" s="135">
        <v>22</v>
      </c>
      <c r="M30" s="10">
        <f t="shared" ref="M30:M37" si="40">F30/V30*60</f>
        <v>2140.6097560975613</v>
      </c>
      <c r="N30" s="9">
        <f t="shared" ref="N30:N37" si="41">M30/L30</f>
        <v>97.300443458980055</v>
      </c>
      <c r="O30" s="11">
        <f t="shared" ref="O30:O37" si="42">L30-I30</f>
        <v>0</v>
      </c>
      <c r="P30" s="12">
        <f t="shared" ref="P30:P37" si="43">N30-K30</f>
        <v>-11.790465631929038</v>
      </c>
      <c r="Q30" s="136">
        <f t="shared" ref="Q30:Q37" si="44">N30/K30</f>
        <v>0.89192073170731712</v>
      </c>
      <c r="R30" s="470">
        <f>Q38</f>
        <v>0.89384833702473732</v>
      </c>
      <c r="S30" s="24">
        <v>0.16666666666666666</v>
      </c>
      <c r="T30" s="24">
        <v>0.28055555555555556</v>
      </c>
      <c r="U30" s="132"/>
      <c r="V30" s="134">
        <f t="shared" ref="V30:V37" si="45">(T30-S30)*24*60</f>
        <v>164</v>
      </c>
      <c r="W30" s="14"/>
      <c r="X30" s="14"/>
      <c r="Y30" s="456"/>
      <c r="Z30" s="456"/>
      <c r="AA30" s="11">
        <f t="shared" si="2"/>
        <v>-259.39024390243867</v>
      </c>
      <c r="AB30" s="136">
        <f>M30/J30</f>
        <v>0.89192073170731723</v>
      </c>
      <c r="AC30" s="470">
        <f>AB38</f>
        <v>0.89384833702473732</v>
      </c>
    </row>
    <row r="31" spans="1:29" ht="15.75" customHeight="1">
      <c r="A31" s="484" t="s">
        <v>8</v>
      </c>
      <c r="B31" s="26" t="s">
        <v>24</v>
      </c>
      <c r="C31" s="477" t="s">
        <v>26</v>
      </c>
      <c r="D31" s="477"/>
      <c r="E31" s="26">
        <v>26.2</v>
      </c>
      <c r="F31" s="133">
        <v>3300</v>
      </c>
      <c r="G31" s="132">
        <f t="shared" si="39"/>
        <v>86460</v>
      </c>
      <c r="H31" s="76">
        <v>2</v>
      </c>
      <c r="I31" s="135">
        <v>24</v>
      </c>
      <c r="J31" s="18">
        <v>2400</v>
      </c>
      <c r="K31" s="9">
        <f t="shared" ref="K31:K38" si="46">J31/I31</f>
        <v>100</v>
      </c>
      <c r="L31" s="135">
        <v>24</v>
      </c>
      <c r="M31" s="10">
        <f t="shared" si="40"/>
        <v>2152.1739130434785</v>
      </c>
      <c r="N31" s="9">
        <f t="shared" si="41"/>
        <v>89.673913043478265</v>
      </c>
      <c r="O31" s="11">
        <f t="shared" si="42"/>
        <v>0</v>
      </c>
      <c r="P31" s="12">
        <f t="shared" si="43"/>
        <v>-10.326086956521735</v>
      </c>
      <c r="Q31" s="136">
        <f t="shared" si="44"/>
        <v>0.89673913043478271</v>
      </c>
      <c r="R31" s="470"/>
      <c r="S31" s="24">
        <v>0.29930555555555555</v>
      </c>
      <c r="T31" s="24">
        <v>0.36319444444444443</v>
      </c>
      <c r="U31" s="132">
        <f>(S31-T30)*24*60</f>
        <v>26.999999999999986</v>
      </c>
      <c r="V31" s="134">
        <f t="shared" si="45"/>
        <v>92</v>
      </c>
      <c r="W31" s="14"/>
      <c r="X31" s="14"/>
      <c r="Y31" s="456"/>
      <c r="Z31" s="456"/>
      <c r="AA31" s="11">
        <f t="shared" si="2"/>
        <v>-247.82608695652152</v>
      </c>
      <c r="AB31" s="136">
        <f t="shared" ref="AB31:AB37" si="47">M31/J31</f>
        <v>0.89673913043478271</v>
      </c>
      <c r="AC31" s="470"/>
    </row>
    <row r="32" spans="1:29" ht="15.75" customHeight="1">
      <c r="A32" s="484" t="s">
        <v>8</v>
      </c>
      <c r="B32" s="26" t="s">
        <v>24</v>
      </c>
      <c r="C32" s="477" t="s">
        <v>55</v>
      </c>
      <c r="D32" s="477"/>
      <c r="E32" s="26">
        <v>26.2</v>
      </c>
      <c r="F32" s="133">
        <v>2000</v>
      </c>
      <c r="G32" s="132">
        <f t="shared" si="39"/>
        <v>52400</v>
      </c>
      <c r="H32" s="76">
        <v>2</v>
      </c>
      <c r="I32" s="135">
        <v>23</v>
      </c>
      <c r="J32" s="18">
        <v>2400</v>
      </c>
      <c r="K32" s="9">
        <f t="shared" si="46"/>
        <v>104.34782608695652</v>
      </c>
      <c r="L32" s="135">
        <v>23</v>
      </c>
      <c r="M32" s="10">
        <f t="shared" si="40"/>
        <v>2142.8571428571413</v>
      </c>
      <c r="N32" s="9">
        <f t="shared" si="41"/>
        <v>93.167701863353969</v>
      </c>
      <c r="O32" s="11">
        <f t="shared" si="42"/>
        <v>0</v>
      </c>
      <c r="P32" s="12">
        <f t="shared" si="43"/>
        <v>-11.180124223602547</v>
      </c>
      <c r="Q32" s="136">
        <f t="shared" si="44"/>
        <v>0.89285714285714224</v>
      </c>
      <c r="R32" s="470"/>
      <c r="S32" s="24">
        <v>0.36666666666666664</v>
      </c>
      <c r="T32" s="24">
        <v>0.40555555555555556</v>
      </c>
      <c r="U32" s="132">
        <f t="shared" ref="U32:U37" si="48">(S32-T31)*24*60</f>
        <v>4.9999999999999822</v>
      </c>
      <c r="V32" s="134">
        <f t="shared" si="45"/>
        <v>56.000000000000043</v>
      </c>
      <c r="W32" s="14"/>
      <c r="X32" s="14"/>
      <c r="Y32" s="456"/>
      <c r="Z32" s="456"/>
      <c r="AA32" s="11">
        <f t="shared" si="2"/>
        <v>-257.1428571428587</v>
      </c>
      <c r="AB32" s="136">
        <f t="shared" si="47"/>
        <v>0.89285714285714224</v>
      </c>
      <c r="AC32" s="470"/>
    </row>
    <row r="33" spans="1:29" ht="15.75" customHeight="1">
      <c r="A33" s="484" t="s">
        <v>8</v>
      </c>
      <c r="B33" s="26" t="s">
        <v>24</v>
      </c>
      <c r="C33" s="477" t="s">
        <v>27</v>
      </c>
      <c r="D33" s="477"/>
      <c r="E33" s="26">
        <v>20.52</v>
      </c>
      <c r="F33" s="133">
        <v>2500</v>
      </c>
      <c r="G33" s="132">
        <f t="shared" si="39"/>
        <v>51300</v>
      </c>
      <c r="H33" s="76">
        <v>2</v>
      </c>
      <c r="I33" s="135">
        <v>22</v>
      </c>
      <c r="J33" s="18">
        <v>2400</v>
      </c>
      <c r="K33" s="9">
        <f t="shared" si="46"/>
        <v>109.09090909090909</v>
      </c>
      <c r="L33" s="135">
        <v>22</v>
      </c>
      <c r="M33" s="10">
        <f t="shared" si="40"/>
        <v>2142.8571428571431</v>
      </c>
      <c r="N33" s="9">
        <f t="shared" si="41"/>
        <v>97.402597402597408</v>
      </c>
      <c r="O33" s="11">
        <f t="shared" si="42"/>
        <v>0</v>
      </c>
      <c r="P33" s="12">
        <f t="shared" si="43"/>
        <v>-11.688311688311686</v>
      </c>
      <c r="Q33" s="136">
        <f t="shared" si="44"/>
        <v>0.8928571428571429</v>
      </c>
      <c r="R33" s="470"/>
      <c r="S33" s="24">
        <v>0.41111111111111109</v>
      </c>
      <c r="T33" s="24">
        <v>0.4597222222222222</v>
      </c>
      <c r="U33" s="132">
        <f t="shared" si="48"/>
        <v>7.9999999999999716</v>
      </c>
      <c r="V33" s="134">
        <f t="shared" si="45"/>
        <v>69.999999999999986</v>
      </c>
      <c r="W33" s="14"/>
      <c r="X33" s="14"/>
      <c r="Y33" s="456"/>
      <c r="Z33" s="456"/>
      <c r="AA33" s="11">
        <f t="shared" si="2"/>
        <v>-257.14285714285688</v>
      </c>
      <c r="AB33" s="136">
        <f t="shared" si="47"/>
        <v>0.89285714285714302</v>
      </c>
      <c r="AC33" s="470"/>
    </row>
    <row r="34" spans="1:29" ht="15.75" customHeight="1">
      <c r="A34" s="484" t="s">
        <v>8</v>
      </c>
      <c r="B34" s="26" t="s">
        <v>24</v>
      </c>
      <c r="C34" s="477" t="s">
        <v>31</v>
      </c>
      <c r="D34" s="477"/>
      <c r="E34" s="26">
        <v>24.45</v>
      </c>
      <c r="F34" s="133">
        <v>2909</v>
      </c>
      <c r="G34" s="132">
        <f t="shared" si="39"/>
        <v>71125.05</v>
      </c>
      <c r="H34" s="76" t="s">
        <v>57</v>
      </c>
      <c r="I34" s="135">
        <v>24</v>
      </c>
      <c r="J34" s="18">
        <v>2400</v>
      </c>
      <c r="K34" s="9">
        <f t="shared" si="46"/>
        <v>100</v>
      </c>
      <c r="L34" s="135">
        <v>24</v>
      </c>
      <c r="M34" s="10">
        <f t="shared" si="40"/>
        <v>2154.8148148148157</v>
      </c>
      <c r="N34" s="9">
        <f t="shared" si="41"/>
        <v>89.783950617283992</v>
      </c>
      <c r="O34" s="11">
        <f t="shared" si="42"/>
        <v>0</v>
      </c>
      <c r="P34" s="12">
        <f t="shared" si="43"/>
        <v>-10.216049382716008</v>
      </c>
      <c r="Q34" s="136">
        <f t="shared" si="44"/>
        <v>0.89783950617283992</v>
      </c>
      <c r="R34" s="470"/>
      <c r="S34" s="24">
        <v>0.46319444444444441</v>
      </c>
      <c r="T34" s="24">
        <v>0.51944444444444438</v>
      </c>
      <c r="U34" s="132">
        <f t="shared" si="48"/>
        <v>4.9999999999999822</v>
      </c>
      <c r="V34" s="134">
        <f t="shared" si="45"/>
        <v>80.999999999999957</v>
      </c>
      <c r="W34" s="14"/>
      <c r="X34" s="14"/>
      <c r="Y34" s="456"/>
      <c r="Z34" s="456"/>
      <c r="AA34" s="11">
        <f t="shared" si="2"/>
        <v>-245.18518518518431</v>
      </c>
      <c r="AB34" s="136">
        <f t="shared" si="47"/>
        <v>0.89783950617283992</v>
      </c>
      <c r="AC34" s="470"/>
    </row>
    <row r="35" spans="1:29" ht="15.75" customHeight="1">
      <c r="A35" s="484" t="s">
        <v>8</v>
      </c>
      <c r="B35" s="26" t="s">
        <v>24</v>
      </c>
      <c r="C35" s="477" t="s">
        <v>55</v>
      </c>
      <c r="D35" s="477"/>
      <c r="E35" s="26">
        <v>26.2</v>
      </c>
      <c r="F35" s="133">
        <v>2976</v>
      </c>
      <c r="G35" s="132">
        <f t="shared" si="39"/>
        <v>77971.199999999997</v>
      </c>
      <c r="H35" s="76" t="s">
        <v>57</v>
      </c>
      <c r="I35" s="135">
        <v>23</v>
      </c>
      <c r="J35" s="18">
        <v>2400</v>
      </c>
      <c r="K35" s="9">
        <f t="shared" si="46"/>
        <v>104.34782608695652</v>
      </c>
      <c r="L35" s="135">
        <v>23</v>
      </c>
      <c r="M35" s="10">
        <f t="shared" si="40"/>
        <v>2151.325301204819</v>
      </c>
      <c r="N35" s="9">
        <f t="shared" si="41"/>
        <v>93.535882661079086</v>
      </c>
      <c r="O35" s="11">
        <f t="shared" si="42"/>
        <v>0</v>
      </c>
      <c r="P35" s="12">
        <f t="shared" si="43"/>
        <v>-10.811943425877431</v>
      </c>
      <c r="Q35" s="136">
        <f t="shared" si="44"/>
        <v>0.89638554216867461</v>
      </c>
      <c r="R35" s="470"/>
      <c r="S35" s="24">
        <v>0.55972222222222212</v>
      </c>
      <c r="T35" s="24">
        <v>0.61736111111111103</v>
      </c>
      <c r="U35" s="132">
        <f t="shared" si="48"/>
        <v>57.999999999999957</v>
      </c>
      <c r="V35" s="134">
        <f t="shared" si="45"/>
        <v>83.000000000000028</v>
      </c>
      <c r="W35" s="14"/>
      <c r="X35" s="14"/>
      <c r="Y35" s="456"/>
      <c r="Z35" s="456"/>
      <c r="AA35" s="11">
        <f t="shared" si="2"/>
        <v>-248.67469879518103</v>
      </c>
      <c r="AB35" s="136">
        <f t="shared" si="47"/>
        <v>0.89638554216867461</v>
      </c>
      <c r="AC35" s="470"/>
    </row>
    <row r="36" spans="1:29" ht="15.75" customHeight="1">
      <c r="A36" s="484" t="s">
        <v>8</v>
      </c>
      <c r="B36" s="26" t="s">
        <v>24</v>
      </c>
      <c r="C36" s="477" t="s">
        <v>26</v>
      </c>
      <c r="D36" s="477"/>
      <c r="E36" s="26">
        <v>26.2</v>
      </c>
      <c r="F36" s="133">
        <v>2670</v>
      </c>
      <c r="G36" s="132">
        <f t="shared" si="39"/>
        <v>69954</v>
      </c>
      <c r="H36" s="76" t="s">
        <v>57</v>
      </c>
      <c r="I36" s="135">
        <v>24</v>
      </c>
      <c r="J36" s="18">
        <v>2400</v>
      </c>
      <c r="K36" s="9">
        <f t="shared" si="46"/>
        <v>100</v>
      </c>
      <c r="L36" s="135">
        <v>24</v>
      </c>
      <c r="M36" s="10">
        <f t="shared" si="40"/>
        <v>2135.9999999999982</v>
      </c>
      <c r="N36" s="9">
        <f t="shared" si="41"/>
        <v>88.999999999999929</v>
      </c>
      <c r="O36" s="11">
        <f t="shared" si="42"/>
        <v>0</v>
      </c>
      <c r="P36" s="12">
        <f t="shared" si="43"/>
        <v>-11.000000000000071</v>
      </c>
      <c r="Q36" s="136">
        <f t="shared" si="44"/>
        <v>0.88999999999999924</v>
      </c>
      <c r="R36" s="470"/>
      <c r="S36" s="24">
        <v>0.62152777777777768</v>
      </c>
      <c r="T36" s="24">
        <v>0.67361111111111105</v>
      </c>
      <c r="U36" s="132">
        <f t="shared" si="48"/>
        <v>5.9999999999999787</v>
      </c>
      <c r="V36" s="134">
        <f t="shared" si="45"/>
        <v>75.000000000000057</v>
      </c>
      <c r="W36" s="14"/>
      <c r="X36" s="14"/>
      <c r="Y36" s="456"/>
      <c r="Z36" s="456"/>
      <c r="AA36" s="11">
        <f t="shared" si="2"/>
        <v>-264.00000000000182</v>
      </c>
      <c r="AB36" s="136">
        <f t="shared" si="47"/>
        <v>0.88999999999999924</v>
      </c>
      <c r="AC36" s="470"/>
    </row>
    <row r="37" spans="1:29" ht="15.75" customHeight="1">
      <c r="A37" s="484" t="s">
        <v>8</v>
      </c>
      <c r="B37" s="26" t="s">
        <v>24</v>
      </c>
      <c r="C37" s="477" t="s">
        <v>27</v>
      </c>
      <c r="D37" s="477"/>
      <c r="E37" s="26">
        <v>20.52</v>
      </c>
      <c r="F37" s="133">
        <v>3426</v>
      </c>
      <c r="G37" s="132">
        <f t="shared" si="39"/>
        <v>70301.52</v>
      </c>
      <c r="H37" s="76" t="s">
        <v>57</v>
      </c>
      <c r="I37" s="135">
        <v>22</v>
      </c>
      <c r="J37" s="18">
        <v>2400</v>
      </c>
      <c r="K37" s="9">
        <f t="shared" si="46"/>
        <v>109.09090909090909</v>
      </c>
      <c r="L37" s="135">
        <v>22</v>
      </c>
      <c r="M37" s="10">
        <f t="shared" si="40"/>
        <v>2141.2500000000005</v>
      </c>
      <c r="N37" s="9">
        <f t="shared" si="41"/>
        <v>97.329545454545482</v>
      </c>
      <c r="O37" s="11">
        <f t="shared" si="42"/>
        <v>0</v>
      </c>
      <c r="P37" s="12">
        <f t="shared" si="43"/>
        <v>-11.761363636363612</v>
      </c>
      <c r="Q37" s="136">
        <f t="shared" si="44"/>
        <v>0.89218750000000024</v>
      </c>
      <c r="R37" s="470"/>
      <c r="S37" s="24">
        <v>0.67847222222222214</v>
      </c>
      <c r="T37" s="24">
        <v>0.7451388888888888</v>
      </c>
      <c r="U37" s="132">
        <f t="shared" si="48"/>
        <v>6.9999999999999751</v>
      </c>
      <c r="V37" s="134">
        <f t="shared" si="45"/>
        <v>95.999999999999972</v>
      </c>
      <c r="W37" s="14"/>
      <c r="X37" s="14"/>
      <c r="Y37" s="456"/>
      <c r="Z37" s="456"/>
      <c r="AA37" s="11">
        <f t="shared" si="2"/>
        <v>-258.74999999999955</v>
      </c>
      <c r="AB37" s="136">
        <f t="shared" si="47"/>
        <v>0.89218750000000024</v>
      </c>
      <c r="AC37" s="470"/>
    </row>
    <row r="38" spans="1:29" ht="15.75" customHeight="1">
      <c r="A38" s="484" t="s">
        <v>8</v>
      </c>
      <c r="B38" s="26" t="s">
        <v>494</v>
      </c>
      <c r="C38" s="466"/>
      <c r="D38" s="466"/>
      <c r="E38" s="137"/>
      <c r="F38" s="133"/>
      <c r="G38" s="132"/>
      <c r="H38" s="133"/>
      <c r="I38" s="17">
        <v>23</v>
      </c>
      <c r="J38" s="18">
        <v>2400</v>
      </c>
      <c r="K38" s="9">
        <f t="shared" si="46"/>
        <v>104.34782608695652</v>
      </c>
      <c r="L38" s="17">
        <v>23</v>
      </c>
      <c r="M38" s="10">
        <f>AVERAGE(M30:M37)</f>
        <v>2145.2360088593696</v>
      </c>
      <c r="N38" s="9">
        <f>M38/L38</f>
        <v>93.271130819972583</v>
      </c>
      <c r="O38" s="11">
        <f>L38-I38</f>
        <v>0</v>
      </c>
      <c r="P38" s="12">
        <f>N38-K38</f>
        <v>-11.076695266983933</v>
      </c>
      <c r="Q38" s="136">
        <f>N38/K38</f>
        <v>0.89384833702473732</v>
      </c>
      <c r="R38" s="470"/>
      <c r="S38" s="24"/>
      <c r="T38" s="24"/>
      <c r="U38" s="132"/>
      <c r="V38" s="134"/>
      <c r="W38" s="132"/>
      <c r="X38" s="132"/>
      <c r="Y38" s="456"/>
      <c r="Z38" s="456"/>
      <c r="AA38" s="11">
        <f t="shared" si="2"/>
        <v>-254.76399114063042</v>
      </c>
      <c r="AB38" s="136">
        <f>M38/J38</f>
        <v>0.89384833702473732</v>
      </c>
      <c r="AC38" s="470"/>
    </row>
    <row r="39" spans="1:29" ht="15.75" customHeight="1">
      <c r="A39" s="485" t="s">
        <v>499</v>
      </c>
      <c r="B39" s="26" t="s">
        <v>24</v>
      </c>
      <c r="C39" s="487" t="s">
        <v>32</v>
      </c>
      <c r="D39" s="487"/>
      <c r="E39" s="26">
        <v>26.2</v>
      </c>
      <c r="F39" s="133">
        <v>3254</v>
      </c>
      <c r="G39" s="132">
        <f t="shared" ref="G39:G46" si="49">E39*F39</f>
        <v>85254.8</v>
      </c>
      <c r="H39" s="76" t="s">
        <v>57</v>
      </c>
      <c r="I39" s="135">
        <v>20</v>
      </c>
      <c r="J39" s="18">
        <v>2400</v>
      </c>
      <c r="K39" s="9">
        <f>J39/I39</f>
        <v>120</v>
      </c>
      <c r="L39" s="135">
        <v>20</v>
      </c>
      <c r="M39" s="10">
        <f>F39/V39*60</f>
        <v>2145.4945054945056</v>
      </c>
      <c r="N39" s="9">
        <f>M39/L39</f>
        <v>107.27472527472528</v>
      </c>
      <c r="O39" s="11">
        <f t="shared" ref="O39:O46" si="50">L39-I39</f>
        <v>0</v>
      </c>
      <c r="P39" s="12">
        <f t="shared" ref="P39:P58" si="51">N39-K39</f>
        <v>-12.725274725274716</v>
      </c>
      <c r="Q39" s="136">
        <f t="shared" ref="Q39:Q51" si="52">N39/K39</f>
        <v>0.893956043956044</v>
      </c>
      <c r="R39" s="470">
        <f>Q47</f>
        <v>0.89390408709783731</v>
      </c>
      <c r="S39" s="24">
        <v>0.125</v>
      </c>
      <c r="T39" s="24">
        <v>0.18819444444444444</v>
      </c>
      <c r="U39" s="132"/>
      <c r="V39" s="134">
        <f t="shared" ref="V39:V46" si="53">(T39-S39)*24*60</f>
        <v>91</v>
      </c>
      <c r="W39" s="15"/>
      <c r="X39" s="15"/>
      <c r="Y39" s="456"/>
      <c r="Z39" s="456"/>
      <c r="AA39" s="11">
        <f t="shared" si="2"/>
        <v>-254.50549450549443</v>
      </c>
      <c r="AB39" s="136">
        <f>M39/J39</f>
        <v>0.893956043956044</v>
      </c>
      <c r="AC39" s="470">
        <f>AB47</f>
        <v>0.89390408709783742</v>
      </c>
    </row>
    <row r="40" spans="1:29" ht="15.75" customHeight="1">
      <c r="A40" s="485" t="s">
        <v>499</v>
      </c>
      <c r="B40" s="26" t="s">
        <v>24</v>
      </c>
      <c r="C40" s="487" t="s">
        <v>30</v>
      </c>
      <c r="D40" s="487"/>
      <c r="E40" s="26">
        <v>26.39</v>
      </c>
      <c r="F40" s="133">
        <v>3600</v>
      </c>
      <c r="G40" s="132">
        <f t="shared" si="49"/>
        <v>95004</v>
      </c>
      <c r="H40" s="76">
        <v>2</v>
      </c>
      <c r="I40" s="135">
        <v>19</v>
      </c>
      <c r="J40" s="18">
        <v>2400</v>
      </c>
      <c r="K40" s="9">
        <f t="shared" ref="K40:K57" si="54">J40/I40</f>
        <v>126.31578947368421</v>
      </c>
      <c r="L40" s="135">
        <v>19</v>
      </c>
      <c r="M40" s="10">
        <f t="shared" ref="M40:M46" si="55">F40/V40*60</f>
        <v>2160</v>
      </c>
      <c r="N40" s="9">
        <f t="shared" ref="N40:N46" si="56">M40/L40</f>
        <v>113.68421052631579</v>
      </c>
      <c r="O40" s="11">
        <f t="shared" si="50"/>
        <v>0</v>
      </c>
      <c r="P40" s="12">
        <f t="shared" si="51"/>
        <v>-12.631578947368411</v>
      </c>
      <c r="Q40" s="136">
        <f t="shared" si="52"/>
        <v>0.90000000000000013</v>
      </c>
      <c r="R40" s="470"/>
      <c r="S40" s="24">
        <v>0.20694444444444446</v>
      </c>
      <c r="T40" s="24">
        <v>0.27638888888888891</v>
      </c>
      <c r="U40" s="132">
        <f>(S40-T39)*24*60</f>
        <v>27.000000000000025</v>
      </c>
      <c r="V40" s="134">
        <f t="shared" si="53"/>
        <v>100</v>
      </c>
      <c r="W40" s="132"/>
      <c r="X40" s="132"/>
      <c r="Y40" s="456"/>
      <c r="Z40" s="456"/>
      <c r="AA40" s="11">
        <f t="shared" si="2"/>
        <v>-240</v>
      </c>
      <c r="AB40" s="136">
        <f t="shared" ref="AB40:AB67" si="57">M40/J40</f>
        <v>0.9</v>
      </c>
      <c r="AC40" s="470"/>
    </row>
    <row r="41" spans="1:29">
      <c r="A41" s="486" t="s">
        <v>499</v>
      </c>
      <c r="B41" s="26" t="s">
        <v>24</v>
      </c>
      <c r="C41" s="487" t="s">
        <v>29</v>
      </c>
      <c r="D41" s="487"/>
      <c r="E41" s="26">
        <v>26.2</v>
      </c>
      <c r="F41" s="133">
        <v>4100</v>
      </c>
      <c r="G41" s="132">
        <f t="shared" si="49"/>
        <v>107420</v>
      </c>
      <c r="H41" s="76">
        <v>2</v>
      </c>
      <c r="I41" s="135">
        <v>18</v>
      </c>
      <c r="J41" s="18">
        <v>2400</v>
      </c>
      <c r="K41" s="9">
        <f t="shared" si="54"/>
        <v>133.33333333333334</v>
      </c>
      <c r="L41" s="135">
        <v>18</v>
      </c>
      <c r="M41" s="10">
        <f t="shared" si="55"/>
        <v>2139.130434782609</v>
      </c>
      <c r="N41" s="9">
        <f t="shared" si="56"/>
        <v>118.84057971014494</v>
      </c>
      <c r="O41" s="11">
        <f t="shared" si="50"/>
        <v>0</v>
      </c>
      <c r="P41" s="12">
        <f t="shared" si="51"/>
        <v>-14.492753623188406</v>
      </c>
      <c r="Q41" s="136">
        <f t="shared" si="52"/>
        <v>0.89130434782608692</v>
      </c>
      <c r="R41" s="470"/>
      <c r="S41" s="24">
        <v>0.28194444444444444</v>
      </c>
      <c r="T41" s="24">
        <v>0.36180555555555555</v>
      </c>
      <c r="U41" s="132">
        <f t="shared" ref="U41:U46" si="58">(S41-T40)*24*60</f>
        <v>7.9999999999999716</v>
      </c>
      <c r="V41" s="134">
        <f t="shared" si="53"/>
        <v>114.99999999999999</v>
      </c>
      <c r="W41" s="132"/>
      <c r="X41" s="132"/>
      <c r="Y41" s="456"/>
      <c r="Z41" s="456"/>
      <c r="AA41" s="11">
        <f t="shared" si="2"/>
        <v>-260.86956521739103</v>
      </c>
      <c r="AB41" s="136">
        <f t="shared" si="57"/>
        <v>0.89130434782608703</v>
      </c>
      <c r="AC41" s="470"/>
    </row>
    <row r="42" spans="1:29">
      <c r="A42" s="486" t="s">
        <v>499</v>
      </c>
      <c r="B42" s="26" t="s">
        <v>24</v>
      </c>
      <c r="C42" s="487" t="s">
        <v>69</v>
      </c>
      <c r="D42" s="487"/>
      <c r="E42" s="26">
        <v>22.35</v>
      </c>
      <c r="F42" s="133">
        <v>3904</v>
      </c>
      <c r="G42" s="132">
        <f t="shared" si="49"/>
        <v>87254.400000000009</v>
      </c>
      <c r="H42" s="76" t="s">
        <v>57</v>
      </c>
      <c r="I42" s="135">
        <v>16</v>
      </c>
      <c r="J42" s="18">
        <v>2400</v>
      </c>
      <c r="K42" s="9">
        <f t="shared" si="54"/>
        <v>150</v>
      </c>
      <c r="L42" s="135">
        <v>16</v>
      </c>
      <c r="M42" s="10">
        <f t="shared" si="55"/>
        <v>2148.9908256880735</v>
      </c>
      <c r="N42" s="9">
        <f t="shared" si="56"/>
        <v>134.3119266055046</v>
      </c>
      <c r="O42" s="11">
        <f t="shared" si="50"/>
        <v>0</v>
      </c>
      <c r="P42" s="12">
        <f t="shared" si="51"/>
        <v>-15.688073394495405</v>
      </c>
      <c r="Q42" s="136">
        <f t="shared" si="52"/>
        <v>0.8954128440366973</v>
      </c>
      <c r="R42" s="470"/>
      <c r="S42" s="24">
        <v>0.36666666666666664</v>
      </c>
      <c r="T42" s="24">
        <v>0.44236111111111109</v>
      </c>
      <c r="U42" s="132">
        <f t="shared" si="58"/>
        <v>6.9999999999999751</v>
      </c>
      <c r="V42" s="134">
        <f t="shared" si="53"/>
        <v>109.00000000000001</v>
      </c>
      <c r="W42" s="14"/>
      <c r="X42" s="14"/>
      <c r="Y42" s="456"/>
      <c r="Z42" s="456"/>
      <c r="AA42" s="11">
        <f t="shared" si="2"/>
        <v>-251.00917431192647</v>
      </c>
      <c r="AB42" s="136">
        <f t="shared" si="57"/>
        <v>0.8954128440366973</v>
      </c>
      <c r="AC42" s="470"/>
    </row>
    <row r="43" spans="1:29">
      <c r="A43" s="486" t="s">
        <v>499</v>
      </c>
      <c r="B43" s="26" t="s">
        <v>24</v>
      </c>
      <c r="C43" s="487" t="s">
        <v>84</v>
      </c>
      <c r="D43" s="487"/>
      <c r="E43" s="26">
        <v>24.25</v>
      </c>
      <c r="F43" s="133">
        <v>3000</v>
      </c>
      <c r="G43" s="132">
        <f t="shared" si="49"/>
        <v>72750</v>
      </c>
      <c r="H43" s="76">
        <v>2</v>
      </c>
      <c r="I43" s="135">
        <v>18</v>
      </c>
      <c r="J43" s="18">
        <v>2400</v>
      </c>
      <c r="K43" s="9">
        <f t="shared" si="54"/>
        <v>133.33333333333334</v>
      </c>
      <c r="L43" s="135">
        <v>18</v>
      </c>
      <c r="M43" s="10">
        <f t="shared" si="55"/>
        <v>2142.8571428571422</v>
      </c>
      <c r="N43" s="9">
        <f t="shared" si="56"/>
        <v>119.04761904761901</v>
      </c>
      <c r="O43" s="11">
        <f t="shared" si="50"/>
        <v>0</v>
      </c>
      <c r="P43" s="12">
        <f t="shared" si="51"/>
        <v>-14.285714285714334</v>
      </c>
      <c r="Q43" s="136">
        <f t="shared" si="52"/>
        <v>0.89285714285714246</v>
      </c>
      <c r="R43" s="470"/>
      <c r="S43" s="24">
        <v>0.44722222222222219</v>
      </c>
      <c r="T43" s="24">
        <v>0.50555555555555554</v>
      </c>
      <c r="U43" s="132">
        <f t="shared" si="58"/>
        <v>6.9999999999999751</v>
      </c>
      <c r="V43" s="134">
        <f t="shared" si="53"/>
        <v>84.000000000000028</v>
      </c>
      <c r="W43" s="14"/>
      <c r="X43" s="14"/>
      <c r="Y43" s="456"/>
      <c r="Z43" s="456"/>
      <c r="AA43" s="11">
        <f t="shared" si="2"/>
        <v>-257.14285714285779</v>
      </c>
      <c r="AB43" s="136">
        <f t="shared" si="57"/>
        <v>0.89285714285714257</v>
      </c>
      <c r="AC43" s="470"/>
    </row>
    <row r="44" spans="1:29">
      <c r="A44" s="486" t="s">
        <v>499</v>
      </c>
      <c r="B44" s="26" t="s">
        <v>24</v>
      </c>
      <c r="C44" s="487" t="s">
        <v>84</v>
      </c>
      <c r="D44" s="487"/>
      <c r="E44" s="26">
        <v>24.25</v>
      </c>
      <c r="F44" s="133">
        <v>4247</v>
      </c>
      <c r="G44" s="132">
        <f t="shared" si="49"/>
        <v>102989.75</v>
      </c>
      <c r="H44" s="76" t="s">
        <v>57</v>
      </c>
      <c r="I44" s="135">
        <v>18</v>
      </c>
      <c r="J44" s="18">
        <v>2400</v>
      </c>
      <c r="K44" s="9">
        <f t="shared" si="54"/>
        <v>133.33333333333334</v>
      </c>
      <c r="L44" s="135">
        <v>18</v>
      </c>
      <c r="M44" s="10">
        <f t="shared" si="55"/>
        <v>2141.344537815125</v>
      </c>
      <c r="N44" s="9">
        <f t="shared" si="56"/>
        <v>118.96358543417361</v>
      </c>
      <c r="O44" s="11">
        <f t="shared" si="50"/>
        <v>0</v>
      </c>
      <c r="P44" s="12">
        <f t="shared" si="51"/>
        <v>-14.369747899159734</v>
      </c>
      <c r="Q44" s="136">
        <f t="shared" si="52"/>
        <v>0.89222689075630202</v>
      </c>
      <c r="R44" s="470"/>
      <c r="S44" s="24">
        <v>0.54513888888888884</v>
      </c>
      <c r="T44" s="24">
        <v>0.62777777777777777</v>
      </c>
      <c r="U44" s="132">
        <f t="shared" si="58"/>
        <v>56.999999999999957</v>
      </c>
      <c r="V44" s="134">
        <f t="shared" si="53"/>
        <v>119.00000000000006</v>
      </c>
      <c r="W44" s="14"/>
      <c r="X44" s="14"/>
      <c r="Y44" s="456"/>
      <c r="Z44" s="456"/>
      <c r="AA44" s="11">
        <f t="shared" si="2"/>
        <v>-258.65546218487498</v>
      </c>
      <c r="AB44" s="136">
        <f t="shared" si="57"/>
        <v>0.89222689075630213</v>
      </c>
      <c r="AC44" s="470"/>
    </row>
    <row r="45" spans="1:29">
      <c r="A45" s="486" t="s">
        <v>499</v>
      </c>
      <c r="B45" s="26" t="s">
        <v>24</v>
      </c>
      <c r="C45" s="487" t="s">
        <v>29</v>
      </c>
      <c r="D45" s="487"/>
      <c r="E45" s="26">
        <v>26.2</v>
      </c>
      <c r="F45" s="133">
        <v>3709</v>
      </c>
      <c r="G45" s="132">
        <f t="shared" si="49"/>
        <v>97175.8</v>
      </c>
      <c r="H45" s="76" t="s">
        <v>57</v>
      </c>
      <c r="I45" s="135">
        <v>18</v>
      </c>
      <c r="J45" s="18">
        <v>2400</v>
      </c>
      <c r="K45" s="9">
        <f t="shared" si="54"/>
        <v>133.33333333333334</v>
      </c>
      <c r="L45" s="135">
        <v>18</v>
      </c>
      <c r="M45" s="10">
        <f t="shared" si="55"/>
        <v>2139.8076923076937</v>
      </c>
      <c r="N45" s="9">
        <f t="shared" si="56"/>
        <v>118.87820512820521</v>
      </c>
      <c r="O45" s="11">
        <f t="shared" si="50"/>
        <v>0</v>
      </c>
      <c r="P45" s="12">
        <f t="shared" si="51"/>
        <v>-14.455128205128133</v>
      </c>
      <c r="Q45" s="136">
        <f t="shared" si="52"/>
        <v>0.89158653846153901</v>
      </c>
      <c r="R45" s="470"/>
      <c r="S45" s="24">
        <v>0.63263888888888886</v>
      </c>
      <c r="T45" s="24">
        <v>0.70486111111111105</v>
      </c>
      <c r="U45" s="132">
        <f t="shared" si="58"/>
        <v>6.9999999999999751</v>
      </c>
      <c r="V45" s="134">
        <f t="shared" si="53"/>
        <v>103.99999999999994</v>
      </c>
      <c r="W45" s="14"/>
      <c r="X45" s="14"/>
      <c r="Y45" s="473"/>
      <c r="Z45" s="474"/>
      <c r="AA45" s="11">
        <f t="shared" si="2"/>
        <v>-260.19230769230626</v>
      </c>
      <c r="AB45" s="136">
        <f t="shared" si="57"/>
        <v>0.89158653846153901</v>
      </c>
      <c r="AC45" s="470"/>
    </row>
    <row r="46" spans="1:29">
      <c r="A46" s="486" t="s">
        <v>499</v>
      </c>
      <c r="B46" s="26" t="s">
        <v>24</v>
      </c>
      <c r="C46" s="487" t="s">
        <v>30</v>
      </c>
      <c r="D46" s="487"/>
      <c r="E46" s="26">
        <v>26.39</v>
      </c>
      <c r="F46" s="133">
        <v>3218</v>
      </c>
      <c r="G46" s="132">
        <f t="shared" si="49"/>
        <v>84923.02</v>
      </c>
      <c r="H46" s="76" t="s">
        <v>57</v>
      </c>
      <c r="I46" s="135">
        <v>19</v>
      </c>
      <c r="J46" s="18">
        <v>2400</v>
      </c>
      <c r="K46" s="9">
        <f t="shared" si="54"/>
        <v>126.31578947368421</v>
      </c>
      <c r="L46" s="135">
        <v>19</v>
      </c>
      <c r="M46" s="10">
        <f t="shared" si="55"/>
        <v>2145.333333333333</v>
      </c>
      <c r="N46" s="9">
        <f t="shared" si="56"/>
        <v>112.91228070175437</v>
      </c>
      <c r="O46" s="11">
        <f t="shared" si="50"/>
        <v>0</v>
      </c>
      <c r="P46" s="12">
        <f t="shared" si="51"/>
        <v>-13.403508771929836</v>
      </c>
      <c r="Q46" s="136">
        <f t="shared" si="52"/>
        <v>0.89388888888888884</v>
      </c>
      <c r="R46" s="470"/>
      <c r="S46" s="24">
        <v>0.7090277777777777</v>
      </c>
      <c r="T46" s="24">
        <v>0.7715277777777777</v>
      </c>
      <c r="U46" s="132">
        <f t="shared" si="58"/>
        <v>5.9999999999999787</v>
      </c>
      <c r="V46" s="134">
        <f t="shared" si="53"/>
        <v>90</v>
      </c>
      <c r="W46" s="14"/>
      <c r="X46" s="14"/>
      <c r="Y46" s="473"/>
      <c r="Z46" s="474"/>
      <c r="AA46" s="11">
        <f t="shared" si="2"/>
        <v>-254.66666666666697</v>
      </c>
      <c r="AB46" s="136">
        <f t="shared" si="57"/>
        <v>0.89388888888888873</v>
      </c>
      <c r="AC46" s="470"/>
    </row>
    <row r="47" spans="1:29">
      <c r="A47" s="486" t="s">
        <v>499</v>
      </c>
      <c r="B47" s="16" t="s">
        <v>494</v>
      </c>
      <c r="C47" s="466"/>
      <c r="D47" s="466"/>
      <c r="E47" s="137"/>
      <c r="F47" s="16"/>
      <c r="G47" s="9"/>
      <c r="H47" s="133"/>
      <c r="I47" s="17">
        <v>18.25</v>
      </c>
      <c r="J47" s="18">
        <v>2400</v>
      </c>
      <c r="K47" s="9">
        <f t="shared" si="54"/>
        <v>131.50684931506851</v>
      </c>
      <c r="L47" s="17">
        <v>18.25</v>
      </c>
      <c r="M47" s="10">
        <f>AVERAGE(M39:M46)</f>
        <v>2145.3698090348098</v>
      </c>
      <c r="N47" s="9">
        <f>M47/L47</f>
        <v>117.55451008409916</v>
      </c>
      <c r="O47" s="11">
        <f>L47-I47</f>
        <v>0</v>
      </c>
      <c r="P47" s="12">
        <f t="shared" si="51"/>
        <v>-13.952339230969343</v>
      </c>
      <c r="Q47" s="136">
        <f t="shared" si="52"/>
        <v>0.89390408709783731</v>
      </c>
      <c r="R47" s="470"/>
      <c r="S47" s="24"/>
      <c r="T47" s="24"/>
      <c r="U47" s="9"/>
      <c r="V47" s="134"/>
      <c r="W47" s="9"/>
      <c r="X47" s="9"/>
      <c r="Y47" s="456"/>
      <c r="Z47" s="456"/>
      <c r="AA47" s="11">
        <f t="shared" si="2"/>
        <v>-254.6301909651902</v>
      </c>
      <c r="AB47" s="136">
        <f t="shared" si="57"/>
        <v>0.89390408709783742</v>
      </c>
      <c r="AC47" s="470"/>
    </row>
    <row r="48" spans="1:29" ht="15.75" customHeight="1">
      <c r="A48" s="488" t="s">
        <v>500</v>
      </c>
      <c r="B48" s="26" t="s">
        <v>33</v>
      </c>
      <c r="C48" s="491" t="s">
        <v>34</v>
      </c>
      <c r="D48" s="492"/>
      <c r="E48" s="26">
        <v>27.17</v>
      </c>
      <c r="F48" s="133">
        <v>2800</v>
      </c>
      <c r="G48" s="132">
        <f t="shared" ref="G48:G57" si="59">E48*F48</f>
        <v>76076</v>
      </c>
      <c r="H48" s="76">
        <v>2</v>
      </c>
      <c r="I48" s="135">
        <v>10</v>
      </c>
      <c r="J48" s="18">
        <v>3000</v>
      </c>
      <c r="K48" s="9">
        <f t="shared" si="54"/>
        <v>300</v>
      </c>
      <c r="L48" s="135">
        <v>10</v>
      </c>
      <c r="M48" s="10">
        <f t="shared" ref="M48:M49" si="60">F48/V48*60</f>
        <v>2709.6774193548376</v>
      </c>
      <c r="N48" s="10">
        <f t="shared" ref="N48:N58" si="61">M48/L48</f>
        <v>270.96774193548379</v>
      </c>
      <c r="O48" s="11">
        <f t="shared" ref="O48:O58" si="62">L48-I48</f>
        <v>0</v>
      </c>
      <c r="P48" s="12">
        <f t="shared" si="51"/>
        <v>-29.032258064516213</v>
      </c>
      <c r="Q48" s="136">
        <f t="shared" si="52"/>
        <v>0.90322580645161266</v>
      </c>
      <c r="R48" s="493">
        <f>Q58</f>
        <v>0.90072177711347101</v>
      </c>
      <c r="S48" s="24">
        <v>0.16666666666666666</v>
      </c>
      <c r="T48" s="24">
        <v>0.20972222222222223</v>
      </c>
      <c r="U48" s="15"/>
      <c r="V48" s="134">
        <f t="shared" ref="V48:V57" si="63">(T48-S48)*24*60</f>
        <v>62.000000000000021</v>
      </c>
      <c r="W48" s="132"/>
      <c r="X48" s="132"/>
      <c r="Y48" s="473"/>
      <c r="Z48" s="474"/>
      <c r="AA48" s="11">
        <f t="shared" si="2"/>
        <v>-290.32258064516236</v>
      </c>
      <c r="AB48" s="136">
        <f t="shared" si="57"/>
        <v>0.90322580645161255</v>
      </c>
      <c r="AC48" s="493">
        <f>AB58</f>
        <v>0.90072177711347101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133">
        <v>3100</v>
      </c>
      <c r="G49" s="132">
        <f t="shared" si="59"/>
        <v>65503</v>
      </c>
      <c r="H49" s="76">
        <v>2</v>
      </c>
      <c r="I49" s="135">
        <v>10</v>
      </c>
      <c r="J49" s="18">
        <v>3000</v>
      </c>
      <c r="K49" s="9">
        <f t="shared" si="54"/>
        <v>300</v>
      </c>
      <c r="L49" s="135">
        <v>10</v>
      </c>
      <c r="M49" s="10">
        <f t="shared" si="60"/>
        <v>2695.6521739130426</v>
      </c>
      <c r="N49" s="10">
        <f t="shared" si="61"/>
        <v>269.56521739130426</v>
      </c>
      <c r="O49" s="11">
        <f t="shared" si="62"/>
        <v>0</v>
      </c>
      <c r="P49" s="12">
        <f t="shared" si="51"/>
        <v>-30.434782608695741</v>
      </c>
      <c r="Q49" s="136">
        <f t="shared" si="52"/>
        <v>0.89855072463768082</v>
      </c>
      <c r="R49" s="494"/>
      <c r="S49" s="24">
        <v>0.22777777777777777</v>
      </c>
      <c r="T49" s="24">
        <v>0.27569444444444446</v>
      </c>
      <c r="U49" s="132">
        <f>(S49-T48)*24*60</f>
        <v>25.999999999999986</v>
      </c>
      <c r="V49" s="134">
        <f t="shared" si="63"/>
        <v>69.000000000000028</v>
      </c>
      <c r="W49" s="14"/>
      <c r="X49" s="14"/>
      <c r="Y49" s="473"/>
      <c r="Z49" s="474"/>
      <c r="AA49" s="11">
        <f t="shared" si="2"/>
        <v>-304.34782608695741</v>
      </c>
      <c r="AB49" s="136">
        <f t="shared" si="57"/>
        <v>0.89855072463768082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133">
        <v>3000</v>
      </c>
      <c r="G50" s="132">
        <f t="shared" si="59"/>
        <v>105359.99999999999</v>
      </c>
      <c r="H50" s="76">
        <v>2</v>
      </c>
      <c r="I50" s="135">
        <v>10</v>
      </c>
      <c r="J50" s="18">
        <v>3000</v>
      </c>
      <c r="K50" s="9">
        <f t="shared" si="54"/>
        <v>300</v>
      </c>
      <c r="L50" s="135">
        <v>10</v>
      </c>
      <c r="M50" s="10">
        <f>F50/V50*60</f>
        <v>2686.5671641791046</v>
      </c>
      <c r="N50" s="10">
        <f t="shared" si="61"/>
        <v>268.65671641791045</v>
      </c>
      <c r="O50" s="11">
        <f t="shared" si="62"/>
        <v>0</v>
      </c>
      <c r="P50" s="12">
        <f t="shared" si="51"/>
        <v>-31.343283582089555</v>
      </c>
      <c r="Q50" s="136">
        <f t="shared" si="52"/>
        <v>0.89552238805970152</v>
      </c>
      <c r="R50" s="494"/>
      <c r="S50" s="24">
        <v>0.28125</v>
      </c>
      <c r="T50" s="24">
        <v>0.32777777777777778</v>
      </c>
      <c r="U50" s="132">
        <f t="shared" ref="U50:U57" si="64">(S50-T49)*24*60</f>
        <v>7.9999999999999716</v>
      </c>
      <c r="V50" s="134">
        <f t="shared" si="63"/>
        <v>67</v>
      </c>
      <c r="W50" s="14"/>
      <c r="X50" s="14"/>
      <c r="Y50" s="473"/>
      <c r="Z50" s="474"/>
      <c r="AA50" s="11">
        <f t="shared" si="2"/>
        <v>-313.43283582089543</v>
      </c>
      <c r="AB50" s="136">
        <f t="shared" si="57"/>
        <v>0.89552238805970152</v>
      </c>
      <c r="AC50" s="494"/>
    </row>
    <row r="51" spans="1:29" ht="15.75" customHeight="1">
      <c r="A51" s="489" t="s">
        <v>9</v>
      </c>
      <c r="B51" s="26" t="s">
        <v>33</v>
      </c>
      <c r="C51" s="491" t="s">
        <v>67</v>
      </c>
      <c r="D51" s="492"/>
      <c r="E51" s="26">
        <v>40.18</v>
      </c>
      <c r="F51" s="133">
        <v>3037</v>
      </c>
      <c r="G51" s="132">
        <f t="shared" si="59"/>
        <v>122026.66</v>
      </c>
      <c r="H51" s="76" t="s">
        <v>57</v>
      </c>
      <c r="I51" s="135">
        <v>10</v>
      </c>
      <c r="J51" s="18">
        <v>3000</v>
      </c>
      <c r="K51" s="9">
        <f t="shared" si="54"/>
        <v>300</v>
      </c>
      <c r="L51" s="135">
        <v>10</v>
      </c>
      <c r="M51" s="10">
        <f t="shared" ref="M51:M57" si="65">F51/V51*60</f>
        <v>2679.7058823529414</v>
      </c>
      <c r="N51" s="10">
        <f t="shared" si="61"/>
        <v>267.97058823529414</v>
      </c>
      <c r="O51" s="11">
        <f t="shared" si="62"/>
        <v>0</v>
      </c>
      <c r="P51" s="12">
        <f t="shared" si="51"/>
        <v>-32.029411764705856</v>
      </c>
      <c r="Q51" s="136">
        <f t="shared" si="52"/>
        <v>0.89323529411764713</v>
      </c>
      <c r="R51" s="494"/>
      <c r="S51" s="24">
        <v>0.33333333333333331</v>
      </c>
      <c r="T51" s="24">
        <v>0.38055555555555554</v>
      </c>
      <c r="U51" s="132">
        <f t="shared" si="64"/>
        <v>7.9999999999999716</v>
      </c>
      <c r="V51" s="134">
        <f t="shared" si="63"/>
        <v>68</v>
      </c>
      <c r="W51" s="14"/>
      <c r="X51" s="14"/>
      <c r="Y51" s="473"/>
      <c r="Z51" s="474"/>
      <c r="AA51" s="11">
        <f t="shared" si="2"/>
        <v>-320.29411764705856</v>
      </c>
      <c r="AB51" s="136">
        <f t="shared" si="57"/>
        <v>0.89323529411764713</v>
      </c>
      <c r="AC51" s="494"/>
    </row>
    <row r="52" spans="1:29" ht="15.75" customHeight="1">
      <c r="A52" s="489" t="s">
        <v>9</v>
      </c>
      <c r="B52" s="26" t="s">
        <v>33</v>
      </c>
      <c r="C52" s="491" t="s">
        <v>42</v>
      </c>
      <c r="D52" s="492"/>
      <c r="E52" s="26">
        <v>35.369999999999997</v>
      </c>
      <c r="F52" s="133">
        <v>1793</v>
      </c>
      <c r="G52" s="132">
        <f t="shared" si="59"/>
        <v>63418.409999999996</v>
      </c>
      <c r="H52" s="76" t="s">
        <v>57</v>
      </c>
      <c r="I52" s="135">
        <v>10</v>
      </c>
      <c r="J52" s="18">
        <v>3000</v>
      </c>
      <c r="K52" s="9">
        <f t="shared" si="54"/>
        <v>300</v>
      </c>
      <c r="L52" s="135">
        <v>10</v>
      </c>
      <c r="M52" s="10">
        <f t="shared" si="65"/>
        <v>2689.4999999999991</v>
      </c>
      <c r="N52" s="10">
        <f t="shared" si="61"/>
        <v>268.94999999999993</v>
      </c>
      <c r="O52" s="11">
        <f t="shared" si="62"/>
        <v>0</v>
      </c>
      <c r="P52" s="12">
        <f t="shared" si="51"/>
        <v>-31.050000000000068</v>
      </c>
      <c r="Q52" s="136">
        <f>N52/K52</f>
        <v>0.89649999999999974</v>
      </c>
      <c r="R52" s="494"/>
      <c r="S52" s="24">
        <v>0.38472222222222219</v>
      </c>
      <c r="T52" s="24">
        <v>0.41249999999999998</v>
      </c>
      <c r="U52" s="132">
        <f t="shared" si="64"/>
        <v>5.9999999999999787</v>
      </c>
      <c r="V52" s="134">
        <f t="shared" si="63"/>
        <v>40.000000000000014</v>
      </c>
      <c r="W52" s="14"/>
      <c r="X52" s="14"/>
      <c r="Y52" s="473"/>
      <c r="Z52" s="474"/>
      <c r="AA52" s="11">
        <f t="shared" si="2"/>
        <v>-310.50000000000091</v>
      </c>
      <c r="AB52" s="136">
        <f t="shared" si="57"/>
        <v>0.89649999999999974</v>
      </c>
      <c r="AC52" s="494"/>
    </row>
    <row r="53" spans="1:29" ht="15.75" customHeight="1">
      <c r="A53" s="489" t="s">
        <v>9</v>
      </c>
      <c r="B53" s="26" t="s">
        <v>33</v>
      </c>
      <c r="C53" s="491" t="s">
        <v>37</v>
      </c>
      <c r="D53" s="492"/>
      <c r="E53" s="26">
        <v>34.36</v>
      </c>
      <c r="F53" s="133">
        <v>2780</v>
      </c>
      <c r="G53" s="132">
        <f t="shared" si="59"/>
        <v>95520.8</v>
      </c>
      <c r="H53" s="76" t="s">
        <v>57</v>
      </c>
      <c r="I53" s="135">
        <v>10</v>
      </c>
      <c r="J53" s="18">
        <v>3000</v>
      </c>
      <c r="K53" s="9">
        <f t="shared" si="54"/>
        <v>300</v>
      </c>
      <c r="L53" s="135">
        <v>10</v>
      </c>
      <c r="M53" s="10">
        <f t="shared" si="65"/>
        <v>2690.3225806451601</v>
      </c>
      <c r="N53" s="10">
        <f t="shared" si="61"/>
        <v>269.03225806451599</v>
      </c>
      <c r="O53" s="11">
        <f t="shared" si="62"/>
        <v>0</v>
      </c>
      <c r="P53" s="12">
        <f t="shared" si="51"/>
        <v>-30.967741935484014</v>
      </c>
      <c r="Q53" s="136">
        <f t="shared" ref="Q53:Q58" si="66">N53/K53</f>
        <v>0.89677419354838661</v>
      </c>
      <c r="R53" s="494"/>
      <c r="S53" s="24">
        <v>0.41597222222222219</v>
      </c>
      <c r="T53" s="24">
        <v>0.45902777777777776</v>
      </c>
      <c r="U53" s="132">
        <f t="shared" si="64"/>
        <v>4.9999999999999822</v>
      </c>
      <c r="V53" s="134">
        <f t="shared" si="63"/>
        <v>62.000000000000021</v>
      </c>
      <c r="W53" s="14"/>
      <c r="X53" s="14"/>
      <c r="Y53" s="473"/>
      <c r="Z53" s="474"/>
      <c r="AA53" s="11">
        <f t="shared" si="2"/>
        <v>-309.67741935483991</v>
      </c>
      <c r="AB53" s="136">
        <f t="shared" si="57"/>
        <v>0.89677419354838672</v>
      </c>
      <c r="AC53" s="494"/>
    </row>
    <row r="54" spans="1:29" ht="15.75" customHeight="1">
      <c r="A54" s="489" t="s">
        <v>9</v>
      </c>
      <c r="B54" s="26" t="s">
        <v>33</v>
      </c>
      <c r="C54" s="491" t="s">
        <v>40</v>
      </c>
      <c r="D54" s="492"/>
      <c r="E54" s="26">
        <v>35.119999999999997</v>
      </c>
      <c r="F54" s="133">
        <v>1328</v>
      </c>
      <c r="G54" s="132">
        <f t="shared" si="59"/>
        <v>46639.359999999993</v>
      </c>
      <c r="H54" s="76" t="s">
        <v>57</v>
      </c>
      <c r="I54" s="135">
        <v>13</v>
      </c>
      <c r="J54" s="18">
        <v>2000</v>
      </c>
      <c r="K54" s="9">
        <f t="shared" si="54"/>
        <v>153.84615384615384</v>
      </c>
      <c r="L54" s="135">
        <v>13</v>
      </c>
      <c r="M54" s="10">
        <f t="shared" si="65"/>
        <v>1810.909090909091</v>
      </c>
      <c r="N54" s="10">
        <f t="shared" si="61"/>
        <v>139.30069930069931</v>
      </c>
      <c r="O54" s="11">
        <f t="shared" si="62"/>
        <v>0</v>
      </c>
      <c r="P54" s="12">
        <f t="shared" si="51"/>
        <v>-14.545454545454533</v>
      </c>
      <c r="Q54" s="136">
        <f t="shared" si="66"/>
        <v>0.90545454545454551</v>
      </c>
      <c r="R54" s="494"/>
      <c r="S54" s="24">
        <v>0.46458333333333329</v>
      </c>
      <c r="T54" s="24">
        <v>0.49513888888888885</v>
      </c>
      <c r="U54" s="132">
        <f t="shared" si="64"/>
        <v>7.9999999999999716</v>
      </c>
      <c r="V54" s="134">
        <f t="shared" si="63"/>
        <v>44</v>
      </c>
      <c r="W54" s="14"/>
      <c r="X54" s="14"/>
      <c r="Y54" s="473"/>
      <c r="Z54" s="474"/>
      <c r="AA54" s="11">
        <f t="shared" si="2"/>
        <v>-189.09090909090901</v>
      </c>
      <c r="AB54" s="136">
        <f t="shared" si="57"/>
        <v>0.90545454545454551</v>
      </c>
      <c r="AC54" s="494"/>
    </row>
    <row r="55" spans="1:29" ht="15.75" customHeight="1">
      <c r="A55" s="489" t="s">
        <v>9</v>
      </c>
      <c r="B55" s="26" t="s">
        <v>33</v>
      </c>
      <c r="C55" s="491" t="s">
        <v>34</v>
      </c>
      <c r="D55" s="492"/>
      <c r="E55" s="26">
        <v>27.17</v>
      </c>
      <c r="F55" s="133">
        <v>3816</v>
      </c>
      <c r="G55" s="132">
        <f t="shared" si="59"/>
        <v>103680.72</v>
      </c>
      <c r="H55" s="76" t="s">
        <v>57</v>
      </c>
      <c r="I55" s="135">
        <v>10</v>
      </c>
      <c r="J55" s="18">
        <v>3000</v>
      </c>
      <c r="K55" s="9">
        <f t="shared" si="54"/>
        <v>300</v>
      </c>
      <c r="L55" s="135">
        <v>10</v>
      </c>
      <c r="M55" s="10">
        <f t="shared" si="65"/>
        <v>2693.6470588235288</v>
      </c>
      <c r="N55" s="10">
        <f t="shared" si="61"/>
        <v>269.36470588235289</v>
      </c>
      <c r="O55" s="11">
        <f t="shared" si="62"/>
        <v>0</v>
      </c>
      <c r="P55" s="12">
        <f t="shared" si="51"/>
        <v>-30.635294117647106</v>
      </c>
      <c r="Q55" s="136">
        <f t="shared" si="66"/>
        <v>0.89788235294117635</v>
      </c>
      <c r="R55" s="494"/>
      <c r="S55" s="24">
        <v>0.53611111111111109</v>
      </c>
      <c r="T55" s="24">
        <v>0.59513888888888888</v>
      </c>
      <c r="U55" s="132">
        <f t="shared" si="64"/>
        <v>59.000000000000028</v>
      </c>
      <c r="V55" s="134">
        <f t="shared" si="63"/>
        <v>85.000000000000014</v>
      </c>
      <c r="W55" s="14"/>
      <c r="X55" s="14"/>
      <c r="Y55" s="473"/>
      <c r="Z55" s="474"/>
      <c r="AA55" s="11">
        <f t="shared" si="2"/>
        <v>-306.35294117647118</v>
      </c>
      <c r="AB55" s="136">
        <f t="shared" si="57"/>
        <v>0.89788235294117624</v>
      </c>
      <c r="AC55" s="494"/>
    </row>
    <row r="56" spans="1:29" ht="15.75" customHeight="1">
      <c r="A56" s="489" t="s">
        <v>9</v>
      </c>
      <c r="B56" s="26" t="s">
        <v>33</v>
      </c>
      <c r="C56" s="491" t="s">
        <v>35</v>
      </c>
      <c r="D56" s="492"/>
      <c r="E56" s="26">
        <v>21.13</v>
      </c>
      <c r="F56" s="133">
        <v>1913</v>
      </c>
      <c r="G56" s="132">
        <f t="shared" si="59"/>
        <v>40421.689999999995</v>
      </c>
      <c r="H56" s="76" t="s">
        <v>57</v>
      </c>
      <c r="I56" s="135">
        <v>10</v>
      </c>
      <c r="J56" s="18">
        <v>3000</v>
      </c>
      <c r="K56" s="9">
        <f t="shared" si="54"/>
        <v>300</v>
      </c>
      <c r="L56" s="135">
        <v>10</v>
      </c>
      <c r="M56" s="10">
        <f t="shared" si="65"/>
        <v>2732.8571428571418</v>
      </c>
      <c r="N56" s="10">
        <f t="shared" si="61"/>
        <v>273.28571428571416</v>
      </c>
      <c r="O56" s="11">
        <f t="shared" si="62"/>
        <v>0</v>
      </c>
      <c r="P56" s="12">
        <f t="shared" si="51"/>
        <v>-26.714285714285836</v>
      </c>
      <c r="Q56" s="136">
        <f t="shared" si="66"/>
        <v>0.91095238095238051</v>
      </c>
      <c r="R56" s="494"/>
      <c r="S56" s="24">
        <v>0.59930555555555554</v>
      </c>
      <c r="T56" s="24">
        <v>0.62847222222222221</v>
      </c>
      <c r="U56" s="132">
        <f t="shared" si="64"/>
        <v>5.9999999999999787</v>
      </c>
      <c r="V56" s="134">
        <f t="shared" si="63"/>
        <v>42.000000000000014</v>
      </c>
      <c r="W56" s="14"/>
      <c r="X56" s="14"/>
      <c r="Y56" s="473"/>
      <c r="Z56" s="474"/>
      <c r="AA56" s="11">
        <f t="shared" si="2"/>
        <v>-267.14285714285825</v>
      </c>
      <c r="AB56" s="136">
        <f t="shared" si="57"/>
        <v>0.91095238095238062</v>
      </c>
      <c r="AC56" s="494"/>
    </row>
    <row r="57" spans="1:29" ht="15.75" customHeight="1">
      <c r="A57" s="489" t="s">
        <v>9</v>
      </c>
      <c r="B57" s="26" t="s">
        <v>33</v>
      </c>
      <c r="C57" s="491" t="s">
        <v>43</v>
      </c>
      <c r="D57" s="492"/>
      <c r="E57" s="26">
        <v>35.119999999999997</v>
      </c>
      <c r="F57" s="133">
        <v>1958</v>
      </c>
      <c r="G57" s="132">
        <f t="shared" si="59"/>
        <v>68764.959999999992</v>
      </c>
      <c r="H57" s="76" t="s">
        <v>57</v>
      </c>
      <c r="I57" s="135">
        <v>10</v>
      </c>
      <c r="J57" s="18">
        <v>3000</v>
      </c>
      <c r="K57" s="9">
        <f t="shared" si="54"/>
        <v>300</v>
      </c>
      <c r="L57" s="135">
        <v>10</v>
      </c>
      <c r="M57" s="10">
        <f t="shared" si="65"/>
        <v>2732.0930232558135</v>
      </c>
      <c r="N57" s="10">
        <f t="shared" si="61"/>
        <v>273.20930232558135</v>
      </c>
      <c r="O57" s="11">
        <f t="shared" si="62"/>
        <v>0</v>
      </c>
      <c r="P57" s="12">
        <f t="shared" si="51"/>
        <v>-26.790697674418652</v>
      </c>
      <c r="Q57" s="136">
        <f t="shared" si="66"/>
        <v>0.9106976744186045</v>
      </c>
      <c r="R57" s="494"/>
      <c r="S57" s="24">
        <v>0.63263888888888886</v>
      </c>
      <c r="T57" s="24">
        <v>0.66249999999999998</v>
      </c>
      <c r="U57" s="132">
        <f t="shared" si="64"/>
        <v>5.9999999999999787</v>
      </c>
      <c r="V57" s="134">
        <f t="shared" si="63"/>
        <v>43.000000000000007</v>
      </c>
      <c r="W57" s="14"/>
      <c r="X57" s="14"/>
      <c r="Y57" s="473"/>
      <c r="Z57" s="474"/>
      <c r="AA57" s="11">
        <f t="shared" si="2"/>
        <v>-267.90697674418652</v>
      </c>
      <c r="AB57" s="136">
        <f t="shared" si="57"/>
        <v>0.9106976744186045</v>
      </c>
      <c r="AC57" s="494"/>
    </row>
    <row r="58" spans="1:29" ht="15.75" customHeight="1">
      <c r="A58" s="490" t="s">
        <v>9</v>
      </c>
      <c r="B58" s="26" t="s">
        <v>494</v>
      </c>
      <c r="C58" s="497"/>
      <c r="D58" s="498"/>
      <c r="E58" s="138"/>
      <c r="F58" s="133"/>
      <c r="G58" s="132"/>
      <c r="H58" s="133"/>
      <c r="I58" s="17">
        <v>10.3</v>
      </c>
      <c r="J58" s="18">
        <v>2900</v>
      </c>
      <c r="K58" s="9">
        <f>J58/I58</f>
        <v>281.55339805825241</v>
      </c>
      <c r="L58" s="17">
        <v>10.3</v>
      </c>
      <c r="M58" s="10">
        <f>AVERAGE(M48:M57)</f>
        <v>2612.0931536290659</v>
      </c>
      <c r="N58" s="9">
        <f t="shared" si="61"/>
        <v>253.6012770513656</v>
      </c>
      <c r="O58" s="11">
        <f t="shared" si="62"/>
        <v>0</v>
      </c>
      <c r="P58" s="12">
        <f t="shared" si="51"/>
        <v>-27.952121006886813</v>
      </c>
      <c r="Q58" s="136">
        <f t="shared" si="66"/>
        <v>0.90072177711347101</v>
      </c>
      <c r="R58" s="495"/>
      <c r="S58" s="24"/>
      <c r="T58" s="24"/>
      <c r="U58" s="132"/>
      <c r="V58" s="134"/>
      <c r="W58" s="14"/>
      <c r="X58" s="14"/>
      <c r="Y58" s="473"/>
      <c r="Z58" s="474"/>
      <c r="AA58" s="11">
        <f t="shared" si="2"/>
        <v>-287.90684637093409</v>
      </c>
      <c r="AB58" s="136">
        <f t="shared" si="57"/>
        <v>0.90072177711347101</v>
      </c>
      <c r="AC58" s="495"/>
    </row>
    <row r="59" spans="1:29" ht="15.75" customHeight="1">
      <c r="A59" s="461" t="s">
        <v>501</v>
      </c>
      <c r="B59" s="26" t="s">
        <v>13</v>
      </c>
      <c r="C59" s="487" t="s">
        <v>65</v>
      </c>
      <c r="D59" s="487"/>
      <c r="E59" s="26">
        <v>55.56</v>
      </c>
      <c r="F59" s="27">
        <v>2221</v>
      </c>
      <c r="G59" s="132">
        <f t="shared" ref="G59:G60" si="67">E59*F59</f>
        <v>123398.76000000001</v>
      </c>
      <c r="H59" s="76" t="s">
        <v>57</v>
      </c>
      <c r="I59" s="135">
        <v>17</v>
      </c>
      <c r="J59" s="18">
        <v>1500</v>
      </c>
      <c r="K59" s="9">
        <f t="shared" ref="K59:K60" si="68">J59/I59</f>
        <v>88.235294117647058</v>
      </c>
      <c r="L59" s="135">
        <v>17</v>
      </c>
      <c r="M59" s="10">
        <f t="shared" ref="M59:M60" si="69">F59/V59*60</f>
        <v>1346.0606060606065</v>
      </c>
      <c r="N59" s="10">
        <f>M59/L59</f>
        <v>79.180035650623907</v>
      </c>
      <c r="O59" s="11">
        <f>L59-I59</f>
        <v>0</v>
      </c>
      <c r="P59" s="12">
        <f>N59-K59</f>
        <v>-9.0552584670231511</v>
      </c>
      <c r="Q59" s="136">
        <f>N59/K59</f>
        <v>0.8973737373737376</v>
      </c>
      <c r="R59" s="470">
        <f>Q61</f>
        <v>0.89535353535353535</v>
      </c>
      <c r="S59" s="24">
        <v>0.70833333333333337</v>
      </c>
      <c r="T59" s="24">
        <v>0.77708333333333335</v>
      </c>
      <c r="U59" s="15"/>
      <c r="V59" s="134">
        <f t="shared" ref="V59:V60" si="70">(T59-S59)*24*60</f>
        <v>98.999999999999972</v>
      </c>
      <c r="W59" s="15"/>
      <c r="X59" s="15"/>
      <c r="Y59" s="456"/>
      <c r="Z59" s="456"/>
      <c r="AA59" s="11">
        <f t="shared" si="2"/>
        <v>-153.93939393939354</v>
      </c>
      <c r="AB59" s="136">
        <f t="shared" si="57"/>
        <v>0.8973737373737376</v>
      </c>
      <c r="AC59" s="470">
        <f>AB61</f>
        <v>0.89535353535353535</v>
      </c>
    </row>
    <row r="60" spans="1:29" ht="15.75" customHeight="1">
      <c r="A60" s="461" t="s">
        <v>10</v>
      </c>
      <c r="B60" s="26" t="s">
        <v>13</v>
      </c>
      <c r="C60" s="487" t="s">
        <v>64</v>
      </c>
      <c r="D60" s="487"/>
      <c r="E60" s="26">
        <v>55.32</v>
      </c>
      <c r="F60" s="27">
        <v>1742</v>
      </c>
      <c r="G60" s="132">
        <f t="shared" si="67"/>
        <v>96367.44</v>
      </c>
      <c r="H60" s="76" t="s">
        <v>57</v>
      </c>
      <c r="I60" s="135">
        <v>15</v>
      </c>
      <c r="J60" s="18">
        <v>1500</v>
      </c>
      <c r="K60" s="9">
        <f t="shared" si="68"/>
        <v>100</v>
      </c>
      <c r="L60" s="135">
        <v>15</v>
      </c>
      <c r="M60" s="10">
        <f t="shared" si="69"/>
        <v>1339.9999999999993</v>
      </c>
      <c r="N60" s="10">
        <f t="shared" ref="N60" si="71">M60/L60</f>
        <v>89.333333333333286</v>
      </c>
      <c r="O60" s="11">
        <f t="shared" ref="O60" si="72">L60-I60</f>
        <v>0</v>
      </c>
      <c r="P60" s="12">
        <f t="shared" ref="P60" si="73">N60-K60</f>
        <v>-10.666666666666714</v>
      </c>
      <c r="Q60" s="136">
        <f t="shared" ref="Q60" si="74">N60/K60</f>
        <v>0.89333333333333287</v>
      </c>
      <c r="R60" s="470"/>
      <c r="S60" s="24">
        <v>0.78263888888888888</v>
      </c>
      <c r="T60" s="24">
        <v>0.83680555555555558</v>
      </c>
      <c r="U60" s="132">
        <f t="shared" ref="U60" si="75">(S60-T59)*24*60</f>
        <v>7.9999999999999716</v>
      </c>
      <c r="V60" s="134">
        <f t="shared" si="70"/>
        <v>78.000000000000043</v>
      </c>
      <c r="W60" s="14"/>
      <c r="X60" s="14"/>
      <c r="Y60" s="456"/>
      <c r="Z60" s="456"/>
      <c r="AA60" s="11">
        <f t="shared" si="2"/>
        <v>-160.00000000000068</v>
      </c>
      <c r="AB60" s="136">
        <f t="shared" si="57"/>
        <v>0.89333333333333287</v>
      </c>
      <c r="AC60" s="470"/>
    </row>
    <row r="61" spans="1:29">
      <c r="A61" s="496" t="s">
        <v>10</v>
      </c>
      <c r="B61" s="26" t="s">
        <v>494</v>
      </c>
      <c r="C61" s="466"/>
      <c r="D61" s="466"/>
      <c r="E61" s="137"/>
      <c r="F61" s="16"/>
      <c r="G61" s="9"/>
      <c r="H61" s="133"/>
      <c r="I61" s="17">
        <v>16</v>
      </c>
      <c r="J61" s="18">
        <v>1500</v>
      </c>
      <c r="K61" s="9">
        <f>J61/I61</f>
        <v>93.75</v>
      </c>
      <c r="L61" s="17">
        <v>16</v>
      </c>
      <c r="M61" s="10">
        <f>AVERAGE(M59:M60)</f>
        <v>1343.030303030303</v>
      </c>
      <c r="N61" s="9">
        <f>M61/L61</f>
        <v>83.939393939393938</v>
      </c>
      <c r="O61" s="11">
        <f>L61-I61</f>
        <v>0</v>
      </c>
      <c r="P61" s="12">
        <f>N61-K61</f>
        <v>-9.8106060606060623</v>
      </c>
      <c r="Q61" s="136">
        <f>N61/K61</f>
        <v>0.89535353535353535</v>
      </c>
      <c r="R61" s="470"/>
      <c r="S61" s="25"/>
      <c r="T61" s="24"/>
      <c r="U61" s="9"/>
      <c r="V61" s="134"/>
      <c r="W61" s="9"/>
      <c r="X61" s="9"/>
      <c r="Y61" s="456"/>
      <c r="Z61" s="456"/>
      <c r="AA61" s="11">
        <f t="shared" si="2"/>
        <v>-156.969696969697</v>
      </c>
      <c r="AB61" s="136">
        <f t="shared" si="57"/>
        <v>0.89535353535353535</v>
      </c>
      <c r="AC61" s="470"/>
    </row>
    <row r="62" spans="1:29" ht="15.75" customHeight="1">
      <c r="A62" s="499" t="s">
        <v>502</v>
      </c>
      <c r="B62" s="133" t="s">
        <v>18</v>
      </c>
      <c r="C62" s="487" t="s">
        <v>19</v>
      </c>
      <c r="D62" s="487"/>
      <c r="E62" s="26">
        <v>41</v>
      </c>
      <c r="F62" s="27">
        <v>1753</v>
      </c>
      <c r="G62" s="132">
        <f t="shared" ref="G62:G66" si="76">E62*F62</f>
        <v>71873</v>
      </c>
      <c r="H62" s="76" t="s">
        <v>57</v>
      </c>
      <c r="I62" s="135">
        <v>26</v>
      </c>
      <c r="J62" s="18">
        <v>1286</v>
      </c>
      <c r="K62" s="9">
        <f t="shared" ref="K62:K66" si="77">J62/I62</f>
        <v>49.46153846153846</v>
      </c>
      <c r="L62" s="17">
        <v>26</v>
      </c>
      <c r="M62" s="10">
        <f t="shared" ref="M62:M66" si="78">F62/V62*60</f>
        <v>1155.8241758241754</v>
      </c>
      <c r="N62" s="9">
        <f>M62/L62</f>
        <v>44.454775993237519</v>
      </c>
      <c r="O62" s="11">
        <f t="shared" ref="O62:O66" si="79">L62-I62</f>
        <v>0</v>
      </c>
      <c r="P62" s="12">
        <f t="shared" ref="P62:P66" si="80">N62-K62</f>
        <v>-5.0067624683009413</v>
      </c>
      <c r="Q62" s="136">
        <f>N62/K62</f>
        <v>0.89877463127851909</v>
      </c>
      <c r="R62" s="470">
        <f>Q67</f>
        <v>0.90007538291846156</v>
      </c>
      <c r="S62" s="24">
        <v>0.20833333333333334</v>
      </c>
      <c r="T62" s="24">
        <v>0.27152777777777781</v>
      </c>
      <c r="U62" s="132"/>
      <c r="V62" s="134">
        <f t="shared" ref="V62:V66" si="81">(T62-S62)*24*60</f>
        <v>91.000000000000043</v>
      </c>
      <c r="W62" s="15"/>
      <c r="X62" s="15"/>
      <c r="Y62" s="456"/>
      <c r="Z62" s="456"/>
      <c r="AA62" s="11">
        <f t="shared" si="2"/>
        <v>-130.17582417582457</v>
      </c>
      <c r="AB62" s="136">
        <f t="shared" si="57"/>
        <v>0.89877463127851898</v>
      </c>
      <c r="AC62" s="470">
        <f>AB67</f>
        <v>0.90007538291846156</v>
      </c>
    </row>
    <row r="63" spans="1:29" ht="15.75" customHeight="1">
      <c r="A63" s="499" t="s">
        <v>11</v>
      </c>
      <c r="B63" s="133" t="s">
        <v>15</v>
      </c>
      <c r="C63" s="487" t="s">
        <v>39</v>
      </c>
      <c r="D63" s="487"/>
      <c r="E63" s="26">
        <v>26.97</v>
      </c>
      <c r="F63" s="27">
        <v>3815</v>
      </c>
      <c r="G63" s="132">
        <f t="shared" si="76"/>
        <v>102890.55</v>
      </c>
      <c r="H63" s="76" t="s">
        <v>57</v>
      </c>
      <c r="I63" s="135">
        <v>8</v>
      </c>
      <c r="J63" s="18">
        <v>1440</v>
      </c>
      <c r="K63" s="9">
        <f t="shared" si="77"/>
        <v>180</v>
      </c>
      <c r="L63" s="17">
        <v>8</v>
      </c>
      <c r="M63" s="10">
        <f t="shared" si="78"/>
        <v>1285.9550561797753</v>
      </c>
      <c r="N63" s="9">
        <f t="shared" ref="N63:N66" si="82">M63/L63</f>
        <v>160.74438202247191</v>
      </c>
      <c r="O63" s="11">
        <f t="shared" si="79"/>
        <v>0</v>
      </c>
      <c r="P63" s="12">
        <f t="shared" si="80"/>
        <v>-19.25561797752809</v>
      </c>
      <c r="Q63" s="136">
        <f t="shared" ref="Q63:Q66" si="83">N63/K63</f>
        <v>0.89302434456928836</v>
      </c>
      <c r="R63" s="470"/>
      <c r="S63" s="24">
        <v>0.27708333333333335</v>
      </c>
      <c r="T63" s="24">
        <v>0.40069444444444446</v>
      </c>
      <c r="U63" s="132">
        <f>(S63-T62)*24*60</f>
        <v>7.9999999999999716</v>
      </c>
      <c r="V63" s="134">
        <f t="shared" si="81"/>
        <v>178</v>
      </c>
      <c r="W63" s="132"/>
      <c r="X63" s="132"/>
      <c r="Y63" s="456"/>
      <c r="Z63" s="456"/>
      <c r="AA63" s="11">
        <f t="shared" si="2"/>
        <v>-154.04494382022472</v>
      </c>
      <c r="AB63" s="136">
        <f t="shared" si="57"/>
        <v>0.89302434456928836</v>
      </c>
      <c r="AC63" s="470"/>
    </row>
    <row r="64" spans="1:29" ht="15.75" customHeight="1">
      <c r="A64" s="499" t="s">
        <v>11</v>
      </c>
      <c r="B64" s="133" t="s">
        <v>33</v>
      </c>
      <c r="C64" s="487" t="s">
        <v>41</v>
      </c>
      <c r="D64" s="487"/>
      <c r="E64" s="26">
        <v>34.35</v>
      </c>
      <c r="F64" s="27">
        <v>1547</v>
      </c>
      <c r="G64" s="132">
        <f t="shared" si="76"/>
        <v>53139.450000000004</v>
      </c>
      <c r="H64" s="76" t="s">
        <v>57</v>
      </c>
      <c r="I64" s="135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2729.9999999999964</v>
      </c>
      <c r="N64" s="9">
        <f t="shared" si="82"/>
        <v>272.99999999999966</v>
      </c>
      <c r="O64" s="11">
        <f t="shared" si="79"/>
        <v>0</v>
      </c>
      <c r="P64" s="12">
        <f t="shared" si="80"/>
        <v>-27.000000000000341</v>
      </c>
      <c r="Q64" s="136">
        <f t="shared" si="83"/>
        <v>0.90999999999999881</v>
      </c>
      <c r="R64" s="470"/>
      <c r="S64" s="24">
        <v>0.40625</v>
      </c>
      <c r="T64" s="24">
        <v>0.42986111111111114</v>
      </c>
      <c r="U64" s="132">
        <f t="shared" ref="U64:U66" si="84">(S64-T63)*24*60</f>
        <v>7.9999999999999716</v>
      </c>
      <c r="V64" s="134">
        <f t="shared" si="81"/>
        <v>34.000000000000043</v>
      </c>
      <c r="W64" s="132"/>
      <c r="X64" s="132"/>
      <c r="Y64" s="456"/>
      <c r="Z64" s="456"/>
      <c r="AA64" s="11">
        <f t="shared" si="2"/>
        <v>-270.00000000000364</v>
      </c>
      <c r="AB64" s="136">
        <f t="shared" si="57"/>
        <v>0.90999999999999881</v>
      </c>
      <c r="AC64" s="470"/>
    </row>
    <row r="65" spans="1:29" ht="15.75" customHeight="1">
      <c r="A65" s="499" t="s">
        <v>11</v>
      </c>
      <c r="B65" s="133" t="s">
        <v>33</v>
      </c>
      <c r="C65" s="487" t="s">
        <v>73</v>
      </c>
      <c r="D65" s="487"/>
      <c r="E65" s="26">
        <v>28.5</v>
      </c>
      <c r="F65" s="27">
        <v>2417</v>
      </c>
      <c r="G65" s="132">
        <f t="shared" si="76"/>
        <v>68884.5</v>
      </c>
      <c r="H65" s="76" t="s">
        <v>57</v>
      </c>
      <c r="I65" s="135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2685.555555555557</v>
      </c>
      <c r="N65" s="9">
        <f t="shared" si="82"/>
        <v>268.55555555555571</v>
      </c>
      <c r="O65" s="11">
        <f t="shared" si="79"/>
        <v>0</v>
      </c>
      <c r="P65" s="12">
        <f t="shared" si="80"/>
        <v>-31.444444444444287</v>
      </c>
      <c r="Q65" s="136">
        <f t="shared" si="83"/>
        <v>0.89518518518518575</v>
      </c>
      <c r="R65" s="470"/>
      <c r="S65" s="24">
        <v>0.43402777777777779</v>
      </c>
      <c r="T65" s="24">
        <v>0.47152777777777777</v>
      </c>
      <c r="U65" s="132">
        <f t="shared" si="84"/>
        <v>5.9999999999999787</v>
      </c>
      <c r="V65" s="134">
        <f t="shared" si="81"/>
        <v>53.999999999999972</v>
      </c>
      <c r="W65" s="132"/>
      <c r="X65" s="132"/>
      <c r="Y65" s="456"/>
      <c r="Z65" s="456"/>
      <c r="AA65" s="11">
        <f t="shared" si="2"/>
        <v>-314.44444444444298</v>
      </c>
      <c r="AB65" s="136">
        <f t="shared" si="57"/>
        <v>0.89518518518518564</v>
      </c>
      <c r="AC65" s="470"/>
    </row>
    <row r="66" spans="1:29">
      <c r="A66" s="500" t="s">
        <v>11</v>
      </c>
      <c r="B66" s="133" t="s">
        <v>33</v>
      </c>
      <c r="C66" s="487" t="s">
        <v>36</v>
      </c>
      <c r="D66" s="487"/>
      <c r="E66" s="26">
        <v>26.78</v>
      </c>
      <c r="F66" s="27">
        <v>2652</v>
      </c>
      <c r="G66" s="132">
        <f t="shared" si="76"/>
        <v>71020.56</v>
      </c>
      <c r="H66" s="76" t="s">
        <v>57</v>
      </c>
      <c r="I66" s="135">
        <v>10</v>
      </c>
      <c r="J66" s="18">
        <v>3000</v>
      </c>
      <c r="K66" s="9">
        <f t="shared" si="77"/>
        <v>300</v>
      </c>
      <c r="L66" s="17">
        <v>10</v>
      </c>
      <c r="M66" s="10">
        <f t="shared" si="78"/>
        <v>2696.9491525423755</v>
      </c>
      <c r="N66" s="9">
        <f t="shared" si="82"/>
        <v>269.69491525423757</v>
      </c>
      <c r="O66" s="11">
        <f t="shared" si="79"/>
        <v>0</v>
      </c>
      <c r="P66" s="12">
        <f t="shared" si="80"/>
        <v>-30.305084745762429</v>
      </c>
      <c r="Q66" s="136">
        <f t="shared" si="83"/>
        <v>0.89898305084745855</v>
      </c>
      <c r="R66" s="470"/>
      <c r="S66" s="24">
        <v>0.47569444444444442</v>
      </c>
      <c r="T66" s="24">
        <v>0.51666666666666661</v>
      </c>
      <c r="U66" s="132">
        <f t="shared" si="84"/>
        <v>5.9999999999999787</v>
      </c>
      <c r="V66" s="134">
        <f t="shared" si="81"/>
        <v>58.99999999999995</v>
      </c>
      <c r="W66" s="14"/>
      <c r="X66" s="14"/>
      <c r="Y66" s="456"/>
      <c r="Z66" s="456"/>
      <c r="AA66" s="11">
        <f t="shared" si="2"/>
        <v>-303.05084745762451</v>
      </c>
      <c r="AB66" s="136">
        <f t="shared" si="57"/>
        <v>0.89898305084745844</v>
      </c>
      <c r="AC66" s="470"/>
    </row>
    <row r="67" spans="1:29">
      <c r="A67" s="500" t="s">
        <v>11</v>
      </c>
      <c r="B67" s="26" t="s">
        <v>494</v>
      </c>
      <c r="C67" s="466"/>
      <c r="D67" s="466"/>
      <c r="E67" s="137"/>
      <c r="F67" s="16"/>
      <c r="G67" s="9"/>
      <c r="H67" s="133"/>
      <c r="I67" s="17">
        <v>12.8</v>
      </c>
      <c r="J67" s="18">
        <v>2345.1999999999998</v>
      </c>
      <c r="K67" s="9">
        <f>J67/I67</f>
        <v>183.21874999999997</v>
      </c>
      <c r="L67" s="17">
        <v>12.8</v>
      </c>
      <c r="M67" s="10">
        <f>AVERAGE(M62:M66)</f>
        <v>2110.8567880203759</v>
      </c>
      <c r="N67" s="9">
        <f>M67/L67</f>
        <v>164.91068656409186</v>
      </c>
      <c r="O67" s="11">
        <f>L67-I67</f>
        <v>0</v>
      </c>
      <c r="P67" s="12">
        <f>N67-K67</f>
        <v>-18.30806343590811</v>
      </c>
      <c r="Q67" s="136">
        <f>N67/K67</f>
        <v>0.90007538291846156</v>
      </c>
      <c r="R67" s="470"/>
      <c r="S67" s="24"/>
      <c r="T67" s="24"/>
      <c r="U67" s="9"/>
      <c r="V67" s="134"/>
      <c r="W67" s="9"/>
      <c r="X67" s="9"/>
      <c r="Y67" s="456"/>
      <c r="Z67" s="456"/>
      <c r="AA67" s="11">
        <f t="shared" si="2"/>
        <v>-234.3432119796239</v>
      </c>
      <c r="AB67" s="136">
        <f t="shared" si="57"/>
        <v>0.90007538291846156</v>
      </c>
      <c r="AC67" s="470"/>
    </row>
    <row r="68" spans="1:29" ht="15.75" customHeight="1">
      <c r="A68" s="467" t="s">
        <v>503</v>
      </c>
      <c r="B68" s="133" t="s">
        <v>24</v>
      </c>
      <c r="C68" s="487" t="s">
        <v>45</v>
      </c>
      <c r="D68" s="487"/>
      <c r="E68" s="26">
        <v>19.02</v>
      </c>
      <c r="F68" s="133">
        <v>5500</v>
      </c>
      <c r="G68" s="132">
        <f t="shared" ref="G68:G73" si="85">E68*F68</f>
        <v>104610</v>
      </c>
      <c r="H68" s="76">
        <v>2</v>
      </c>
      <c r="I68" s="135">
        <v>15</v>
      </c>
      <c r="J68" s="18">
        <v>2400</v>
      </c>
      <c r="K68" s="9">
        <f t="shared" ref="K68:K70" si="86">J68/I68</f>
        <v>160</v>
      </c>
      <c r="L68" s="17">
        <v>15</v>
      </c>
      <c r="M68" s="10">
        <f>F68/V68*60</f>
        <v>2142.8571428571431</v>
      </c>
      <c r="N68" s="9">
        <f t="shared" ref="N68:N73" si="87">M68/L68</f>
        <v>142.85714285714286</v>
      </c>
      <c r="O68" s="11">
        <f t="shared" ref="O68:O73" si="88">L68-I68</f>
        <v>0</v>
      </c>
      <c r="P68" s="12">
        <f t="shared" ref="P68:P73" si="89">N68-K68</f>
        <v>-17.142857142857139</v>
      </c>
      <c r="Q68" s="136">
        <f>N68/K68</f>
        <v>0.8928571428571429</v>
      </c>
      <c r="R68" s="470">
        <f>Q74</f>
        <v>0.89555138148888147</v>
      </c>
      <c r="S68" s="24">
        <v>0.125</v>
      </c>
      <c r="T68" s="24">
        <v>0.23194444444444445</v>
      </c>
      <c r="U68" s="15"/>
      <c r="V68" s="134">
        <f t="shared" ref="V68:V73" si="90">(T68-S68)*24*60</f>
        <v>154</v>
      </c>
      <c r="W68" s="14"/>
      <c r="X68" s="14"/>
      <c r="Y68" s="456"/>
      <c r="Z68" s="456"/>
      <c r="AA68" s="11">
        <f t="shared" si="2"/>
        <v>-257.14285714285688</v>
      </c>
      <c r="AB68" s="136">
        <f>M68/J68</f>
        <v>0.89285714285714302</v>
      </c>
      <c r="AC68" s="470">
        <f>AB74</f>
        <v>0.89555138148888147</v>
      </c>
    </row>
    <row r="69" spans="1:29" ht="15.75" customHeight="1">
      <c r="A69" s="467" t="s">
        <v>12</v>
      </c>
      <c r="B69" s="133" t="s">
        <v>24</v>
      </c>
      <c r="C69" s="487" t="s">
        <v>56</v>
      </c>
      <c r="D69" s="487"/>
      <c r="E69" s="26">
        <v>20.2</v>
      </c>
      <c r="F69" s="133">
        <v>2850</v>
      </c>
      <c r="G69" s="132">
        <f t="shared" si="85"/>
        <v>57570</v>
      </c>
      <c r="H69" s="76" t="s">
        <v>57</v>
      </c>
      <c r="I69" s="135">
        <v>19</v>
      </c>
      <c r="J69" s="18">
        <v>2400</v>
      </c>
      <c r="K69" s="9">
        <f t="shared" si="86"/>
        <v>126.31578947368421</v>
      </c>
      <c r="L69" s="17">
        <v>19</v>
      </c>
      <c r="M69" s="10">
        <f t="shared" ref="M69:M73" si="91">F69/V69*60</f>
        <v>2137.5</v>
      </c>
      <c r="N69" s="9">
        <f t="shared" si="87"/>
        <v>112.5</v>
      </c>
      <c r="O69" s="11">
        <f t="shared" si="88"/>
        <v>0</v>
      </c>
      <c r="P69" s="12">
        <f t="shared" si="89"/>
        <v>-13.815789473684205</v>
      </c>
      <c r="Q69" s="136">
        <f t="shared" ref="Q69:Q74" si="92">N69/K69</f>
        <v>0.890625</v>
      </c>
      <c r="R69" s="470"/>
      <c r="S69" s="24">
        <v>0.23611111111111113</v>
      </c>
      <c r="T69" s="24">
        <v>0.29166666666666669</v>
      </c>
      <c r="U69" s="132">
        <f>(S69-T68)*24*60</f>
        <v>6.0000000000000187</v>
      </c>
      <c r="V69" s="134">
        <f t="shared" si="90"/>
        <v>80</v>
      </c>
      <c r="W69" s="14"/>
      <c r="X69" s="14"/>
      <c r="Y69" s="456"/>
      <c r="Z69" s="456"/>
      <c r="AA69" s="11">
        <f t="shared" ref="AA69:AA74" si="93">M69-J69</f>
        <v>-262.5</v>
      </c>
      <c r="AB69" s="136">
        <f t="shared" ref="AB69:AB74" si="94">M69/J69</f>
        <v>0.890625</v>
      </c>
      <c r="AC69" s="470"/>
    </row>
    <row r="70" spans="1:29" ht="15.75" customHeight="1">
      <c r="A70" s="467" t="s">
        <v>12</v>
      </c>
      <c r="B70" s="133" t="s">
        <v>24</v>
      </c>
      <c r="C70" s="487" t="s">
        <v>83</v>
      </c>
      <c r="D70" s="487"/>
      <c r="E70" s="26">
        <v>32.03</v>
      </c>
      <c r="F70" s="133">
        <v>2582</v>
      </c>
      <c r="G70" s="132">
        <f t="shared" si="85"/>
        <v>82701.460000000006</v>
      </c>
      <c r="H70" s="76" t="s">
        <v>57</v>
      </c>
      <c r="I70" s="135">
        <v>19</v>
      </c>
      <c r="J70" s="18">
        <v>2400</v>
      </c>
      <c r="K70" s="9">
        <f t="shared" si="86"/>
        <v>126.31578947368421</v>
      </c>
      <c r="L70" s="17">
        <v>19</v>
      </c>
      <c r="M70" s="10">
        <f t="shared" si="91"/>
        <v>2151.6666666666674</v>
      </c>
      <c r="N70" s="9">
        <f t="shared" si="87"/>
        <v>113.24561403508775</v>
      </c>
      <c r="O70" s="11">
        <f t="shared" si="88"/>
        <v>0</v>
      </c>
      <c r="P70" s="12">
        <f t="shared" si="89"/>
        <v>-13.070175438596451</v>
      </c>
      <c r="Q70" s="136">
        <f t="shared" si="92"/>
        <v>0.89652777777777815</v>
      </c>
      <c r="R70" s="470"/>
      <c r="S70" s="24">
        <v>0.2951388888888889</v>
      </c>
      <c r="T70" s="24">
        <v>0.34513888888888888</v>
      </c>
      <c r="U70" s="132">
        <f t="shared" ref="U70:U73" si="95">(S70-T69)*24*60</f>
        <v>4.9999999999999822</v>
      </c>
      <c r="V70" s="134">
        <f t="shared" si="90"/>
        <v>71.999999999999986</v>
      </c>
      <c r="W70" s="14"/>
      <c r="X70" s="14"/>
      <c r="Y70" s="456"/>
      <c r="Z70" s="456"/>
      <c r="AA70" s="11">
        <f t="shared" si="93"/>
        <v>-248.33333333333258</v>
      </c>
      <c r="AB70" s="136">
        <f t="shared" si="94"/>
        <v>0.89652777777777815</v>
      </c>
      <c r="AC70" s="470"/>
    </row>
    <row r="71" spans="1:29" ht="15.75" customHeight="1">
      <c r="A71" s="467" t="s">
        <v>12</v>
      </c>
      <c r="B71" s="133" t="s">
        <v>24</v>
      </c>
      <c r="C71" s="487" t="s">
        <v>28</v>
      </c>
      <c r="D71" s="487"/>
      <c r="E71" s="26">
        <v>22.69</v>
      </c>
      <c r="F71" s="133">
        <v>1414</v>
      </c>
      <c r="G71" s="132">
        <f t="shared" si="85"/>
        <v>32083.660000000003</v>
      </c>
      <c r="H71" s="76" t="s">
        <v>57</v>
      </c>
      <c r="I71" s="135">
        <v>18</v>
      </c>
      <c r="J71" s="18">
        <v>2400</v>
      </c>
      <c r="K71" s="9">
        <f>J71/I71</f>
        <v>133.33333333333334</v>
      </c>
      <c r="L71" s="17">
        <v>18</v>
      </c>
      <c r="M71" s="10">
        <f t="shared" si="91"/>
        <v>2175.3846153846139</v>
      </c>
      <c r="N71" s="9">
        <f t="shared" si="87"/>
        <v>120.85470085470077</v>
      </c>
      <c r="O71" s="11">
        <f t="shared" si="88"/>
        <v>0</v>
      </c>
      <c r="P71" s="12">
        <f t="shared" si="89"/>
        <v>-12.478632478632576</v>
      </c>
      <c r="Q71" s="136">
        <f t="shared" si="92"/>
        <v>0.90641025641025563</v>
      </c>
      <c r="R71" s="470"/>
      <c r="S71" s="24">
        <v>0.34930555555555554</v>
      </c>
      <c r="T71" s="24">
        <v>0.37638888888888888</v>
      </c>
      <c r="U71" s="132">
        <f t="shared" si="95"/>
        <v>5.9999999999999787</v>
      </c>
      <c r="V71" s="134">
        <f t="shared" si="90"/>
        <v>39.000000000000021</v>
      </c>
      <c r="W71" s="14"/>
      <c r="X71" s="14"/>
      <c r="Y71" s="456"/>
      <c r="Z71" s="456"/>
      <c r="AA71" s="11">
        <f t="shared" si="93"/>
        <v>-224.61538461538612</v>
      </c>
      <c r="AB71" s="136">
        <f t="shared" si="94"/>
        <v>0.90641025641025574</v>
      </c>
      <c r="AC71" s="470"/>
    </row>
    <row r="72" spans="1:29" ht="15.75" customHeight="1">
      <c r="A72" s="467" t="s">
        <v>12</v>
      </c>
      <c r="B72" s="133" t="s">
        <v>24</v>
      </c>
      <c r="C72" s="487" t="s">
        <v>46</v>
      </c>
      <c r="D72" s="487"/>
      <c r="E72" s="26">
        <v>25</v>
      </c>
      <c r="F72" s="133">
        <v>5580</v>
      </c>
      <c r="G72" s="132">
        <f t="shared" si="85"/>
        <v>139500</v>
      </c>
      <c r="H72" s="76" t="s">
        <v>57</v>
      </c>
      <c r="I72" s="135">
        <v>15</v>
      </c>
      <c r="J72" s="18">
        <v>2400</v>
      </c>
      <c r="K72" s="9">
        <f t="shared" ref="K72:K74" si="96">J72/I72</f>
        <v>160</v>
      </c>
      <c r="L72" s="17">
        <v>15</v>
      </c>
      <c r="M72" s="10">
        <f t="shared" si="91"/>
        <v>2146.1538461538462</v>
      </c>
      <c r="N72" s="9">
        <f t="shared" si="87"/>
        <v>143.07692307692307</v>
      </c>
      <c r="O72" s="11">
        <f t="shared" si="88"/>
        <v>0</v>
      </c>
      <c r="P72" s="12">
        <f t="shared" si="89"/>
        <v>-16.923076923076934</v>
      </c>
      <c r="Q72" s="136">
        <f t="shared" si="92"/>
        <v>0.89423076923076916</v>
      </c>
      <c r="R72" s="470"/>
      <c r="S72" s="24">
        <v>0.37986111111111109</v>
      </c>
      <c r="T72" s="24">
        <v>0.48819444444444443</v>
      </c>
      <c r="U72" s="132">
        <f t="shared" si="95"/>
        <v>4.9999999999999822</v>
      </c>
      <c r="V72" s="134">
        <f t="shared" si="90"/>
        <v>156</v>
      </c>
      <c r="W72" s="14"/>
      <c r="X72" s="14"/>
      <c r="Y72" s="456"/>
      <c r="Z72" s="456"/>
      <c r="AA72" s="11">
        <f t="shared" si="93"/>
        <v>-253.84615384615381</v>
      </c>
      <c r="AB72" s="136">
        <f t="shared" si="94"/>
        <v>0.89423076923076927</v>
      </c>
      <c r="AC72" s="470"/>
    </row>
    <row r="73" spans="1:29" ht="15.75" customHeight="1">
      <c r="A73" s="467" t="s">
        <v>12</v>
      </c>
      <c r="B73" s="133" t="s">
        <v>24</v>
      </c>
      <c r="C73" s="487" t="s">
        <v>45</v>
      </c>
      <c r="D73" s="487"/>
      <c r="E73" s="26">
        <v>19.02</v>
      </c>
      <c r="F73" s="133">
        <v>5106</v>
      </c>
      <c r="G73" s="132">
        <f t="shared" si="85"/>
        <v>97116.12</v>
      </c>
      <c r="H73" s="76" t="s">
        <v>57</v>
      </c>
      <c r="I73" s="135">
        <v>15</v>
      </c>
      <c r="J73" s="18">
        <v>2400</v>
      </c>
      <c r="K73" s="9">
        <f t="shared" si="96"/>
        <v>160</v>
      </c>
      <c r="L73" s="17">
        <v>15</v>
      </c>
      <c r="M73" s="10">
        <f t="shared" si="91"/>
        <v>2142.3776223776226</v>
      </c>
      <c r="N73" s="9">
        <f t="shared" si="87"/>
        <v>142.82517482517486</v>
      </c>
      <c r="O73" s="11">
        <f t="shared" si="88"/>
        <v>0</v>
      </c>
      <c r="P73" s="12">
        <f t="shared" si="89"/>
        <v>-17.174825174825145</v>
      </c>
      <c r="Q73" s="136">
        <f t="shared" si="92"/>
        <v>0.89265734265734287</v>
      </c>
      <c r="R73" s="470"/>
      <c r="S73" s="24">
        <v>0.52847222222222212</v>
      </c>
      <c r="T73" s="24">
        <v>0.62777777777777766</v>
      </c>
      <c r="U73" s="132">
        <f t="shared" si="95"/>
        <v>57.999999999999872</v>
      </c>
      <c r="V73" s="134">
        <f t="shared" si="90"/>
        <v>142.99999999999997</v>
      </c>
      <c r="W73" s="14"/>
      <c r="X73" s="14"/>
      <c r="Y73" s="456"/>
      <c r="Z73" s="456"/>
      <c r="AA73" s="11">
        <f t="shared" si="93"/>
        <v>-257.62237762237737</v>
      </c>
      <c r="AB73" s="136">
        <f t="shared" si="94"/>
        <v>0.89265734265734276</v>
      </c>
      <c r="AC73" s="470"/>
    </row>
    <row r="74" spans="1:29" ht="16.5" customHeight="1">
      <c r="A74" s="501" t="s">
        <v>12</v>
      </c>
      <c r="B74" s="26" t="s">
        <v>494</v>
      </c>
      <c r="C74" s="466"/>
      <c r="D74" s="466"/>
      <c r="E74" s="137"/>
      <c r="F74" s="16"/>
      <c r="G74" s="9"/>
      <c r="H74" s="133"/>
      <c r="I74" s="17">
        <v>16.833333333333332</v>
      </c>
      <c r="J74" s="18">
        <v>2400</v>
      </c>
      <c r="K74" s="9">
        <f t="shared" si="96"/>
        <v>142.57425742574259</v>
      </c>
      <c r="L74" s="17">
        <v>16.833333333333332</v>
      </c>
      <c r="M74" s="10">
        <f>AVERAGE(M68:M73)</f>
        <v>2149.3233155733155</v>
      </c>
      <c r="N74" s="9">
        <f>M74/L74</f>
        <v>127.6825732023752</v>
      </c>
      <c r="O74" s="11">
        <f>L74-I74</f>
        <v>0</v>
      </c>
      <c r="P74" s="12">
        <f>N74-K74</f>
        <v>-14.891684223367392</v>
      </c>
      <c r="Q74" s="136">
        <f t="shared" si="92"/>
        <v>0.89555138148888147</v>
      </c>
      <c r="R74" s="470"/>
      <c r="S74" s="24"/>
      <c r="T74" s="24"/>
      <c r="U74" s="9"/>
      <c r="V74" s="134"/>
      <c r="W74" s="9"/>
      <c r="X74" s="9"/>
      <c r="Y74" s="456"/>
      <c r="Z74" s="456"/>
      <c r="AA74" s="11">
        <f t="shared" si="93"/>
        <v>-250.67668442668446</v>
      </c>
      <c r="AB74" s="136">
        <f t="shared" si="94"/>
        <v>0.89555138148888147</v>
      </c>
      <c r="AC74" s="470"/>
    </row>
    <row r="75" spans="1:29">
      <c r="D75" s="19"/>
      <c r="E75" s="19"/>
    </row>
  </sheetData>
  <mergeCells count="201">
    <mergeCell ref="AC5:AC9"/>
    <mergeCell ref="C6:D6"/>
    <mergeCell ref="Y6:Z6"/>
    <mergeCell ref="C7:D7"/>
    <mergeCell ref="Y7:Z7"/>
    <mergeCell ref="H3:H4"/>
    <mergeCell ref="C8:D8"/>
    <mergeCell ref="Y8:Z8"/>
    <mergeCell ref="C9:D9"/>
    <mergeCell ref="Y9:Z9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C3:AC4"/>
    <mergeCell ref="U3:U4"/>
    <mergeCell ref="V3:V4"/>
    <mergeCell ref="W3:X3"/>
    <mergeCell ref="Y3:Z4"/>
    <mergeCell ref="I3:I4"/>
    <mergeCell ref="AA3:AA4"/>
    <mergeCell ref="AB3:AB4"/>
    <mergeCell ref="N3:N4"/>
    <mergeCell ref="O3:O4"/>
    <mergeCell ref="A10:A15"/>
    <mergeCell ref="C10:D10"/>
    <mergeCell ref="R10:R15"/>
    <mergeCell ref="Y10:Z10"/>
    <mergeCell ref="Y15:Z15"/>
    <mergeCell ref="A3:A4"/>
    <mergeCell ref="B3:B4"/>
    <mergeCell ref="C3:D4"/>
    <mergeCell ref="E3:E4"/>
    <mergeCell ref="F3:F4"/>
    <mergeCell ref="G3:G4"/>
    <mergeCell ref="A5:A9"/>
    <mergeCell ref="C5:D5"/>
    <mergeCell ref="R5:R9"/>
    <mergeCell ref="Y5:Z5"/>
    <mergeCell ref="AC16:AC21"/>
    <mergeCell ref="C17:D17"/>
    <mergeCell ref="Y17:Z17"/>
    <mergeCell ref="C18:D18"/>
    <mergeCell ref="Y18:Z18"/>
    <mergeCell ref="C19:D19"/>
    <mergeCell ref="AC10:AC15"/>
    <mergeCell ref="C11:D11"/>
    <mergeCell ref="Y11:Z11"/>
    <mergeCell ref="C12:D12"/>
    <mergeCell ref="Y12:Z12"/>
    <mergeCell ref="C13:D13"/>
    <mergeCell ref="Y13:Z13"/>
    <mergeCell ref="C14:D14"/>
    <mergeCell ref="Y14:Z14"/>
    <mergeCell ref="C15:D15"/>
    <mergeCell ref="Y19:Z19"/>
    <mergeCell ref="C20:D20"/>
    <mergeCell ref="Y20:Z20"/>
    <mergeCell ref="C21:D21"/>
    <mergeCell ref="Y21:Z21"/>
    <mergeCell ref="A22:A29"/>
    <mergeCell ref="C22:D22"/>
    <mergeCell ref="R22:R29"/>
    <mergeCell ref="Y22:Z22"/>
    <mergeCell ref="Y27:Z27"/>
    <mergeCell ref="A16:A21"/>
    <mergeCell ref="C16:D16"/>
    <mergeCell ref="R16:R21"/>
    <mergeCell ref="Y16:Z16"/>
    <mergeCell ref="AC22:AC29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28:D28"/>
    <mergeCell ref="Y28:Z28"/>
    <mergeCell ref="C29:D29"/>
    <mergeCell ref="Y29:Z29"/>
    <mergeCell ref="A30:A38"/>
    <mergeCell ref="C30:D30"/>
    <mergeCell ref="R30:R38"/>
    <mergeCell ref="Y30:Z30"/>
    <mergeCell ref="Y35:Z35"/>
    <mergeCell ref="C36:D36"/>
    <mergeCell ref="AC30:AC38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6:Z36"/>
    <mergeCell ref="C37:D37"/>
    <mergeCell ref="Y37:Z37"/>
    <mergeCell ref="C38:D38"/>
    <mergeCell ref="Y38:Z38"/>
    <mergeCell ref="A39:A47"/>
    <mergeCell ref="C39:D39"/>
    <mergeCell ref="R39:R47"/>
    <mergeCell ref="Y39:Z39"/>
    <mergeCell ref="Y44:Z44"/>
    <mergeCell ref="AC48:AC58"/>
    <mergeCell ref="C49:D49"/>
    <mergeCell ref="Y49:Z49"/>
    <mergeCell ref="C50:D50"/>
    <mergeCell ref="Y50:Z50"/>
    <mergeCell ref="C51:D51"/>
    <mergeCell ref="C45:D45"/>
    <mergeCell ref="Y45:Z45"/>
    <mergeCell ref="C46:D46"/>
    <mergeCell ref="Y46:Z46"/>
    <mergeCell ref="C47:D47"/>
    <mergeCell ref="Y47:Z47"/>
    <mergeCell ref="AC39:AC47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Y51:Z51"/>
    <mergeCell ref="C52:D52"/>
    <mergeCell ref="Y52:Z52"/>
    <mergeCell ref="C53:D53"/>
    <mergeCell ref="Y53:Z53"/>
    <mergeCell ref="C54:D54"/>
    <mergeCell ref="Y54:Z54"/>
    <mergeCell ref="A48:A58"/>
    <mergeCell ref="C48:D48"/>
    <mergeCell ref="R48:R58"/>
    <mergeCell ref="Y48:Z48"/>
    <mergeCell ref="C58:D58"/>
    <mergeCell ref="Y58:Z58"/>
    <mergeCell ref="A59:A61"/>
    <mergeCell ref="C59:D59"/>
    <mergeCell ref="R59:R61"/>
    <mergeCell ref="Y59:Z59"/>
    <mergeCell ref="C55:D55"/>
    <mergeCell ref="Y55:Z55"/>
    <mergeCell ref="C56:D56"/>
    <mergeCell ref="Y56:Z56"/>
    <mergeCell ref="C57:D57"/>
    <mergeCell ref="Y57:Z57"/>
    <mergeCell ref="AC59:AC61"/>
    <mergeCell ref="C60:D60"/>
    <mergeCell ref="Y60:Z60"/>
    <mergeCell ref="C61:D61"/>
    <mergeCell ref="Y61:Z61"/>
    <mergeCell ref="C62:D62"/>
    <mergeCell ref="R62:R67"/>
    <mergeCell ref="Y62:Z62"/>
    <mergeCell ref="AC62:AC67"/>
    <mergeCell ref="C66:D66"/>
    <mergeCell ref="Y66:Z66"/>
    <mergeCell ref="C67:D67"/>
    <mergeCell ref="Y67:Z67"/>
    <mergeCell ref="A68:A74"/>
    <mergeCell ref="C68:D68"/>
    <mergeCell ref="R68:R74"/>
    <mergeCell ref="Y68:Z68"/>
    <mergeCell ref="Y73:Z73"/>
    <mergeCell ref="C74:D74"/>
    <mergeCell ref="A62:A67"/>
    <mergeCell ref="Y74:Z74"/>
    <mergeCell ref="AC68:AC74"/>
    <mergeCell ref="C69:D69"/>
    <mergeCell ref="Y69:Z69"/>
    <mergeCell ref="C70:D70"/>
    <mergeCell ref="Y70:Z70"/>
    <mergeCell ref="C71:D71"/>
    <mergeCell ref="Y71:Z71"/>
    <mergeCell ref="C72:D72"/>
    <mergeCell ref="Y72:Z72"/>
    <mergeCell ref="C73:D73"/>
    <mergeCell ref="C63:D63"/>
    <mergeCell ref="Y63:Z63"/>
    <mergeCell ref="C64:D64"/>
    <mergeCell ref="Y64:Z64"/>
    <mergeCell ref="C65:D65"/>
    <mergeCell ref="Y65:Z65"/>
  </mergeCells>
  <phoneticPr fontId="3" type="noConversion"/>
  <conditionalFormatting sqref="O65:O74 O5:O10 O15:O17 O58:O62 O21:O53">
    <cfRule type="cellIs" dxfId="667" priority="62" operator="greaterThan">
      <formula>0</formula>
    </cfRule>
  </conditionalFormatting>
  <conditionalFormatting sqref="P5:P8 P65:P66 AA65:AA66 P68:P73 P30:P37 P62 P10 P15:P17 P22:P28 P59:P60 P39:P53 AA5:AA62 AA68:AA74">
    <cfRule type="cellIs" dxfId="666" priority="66" operator="lessThan">
      <formula>0</formula>
    </cfRule>
  </conditionalFormatting>
  <conditionalFormatting sqref="AB65:AB66 Q65:Q74 Q5:Q10 Q15:Q17 Q58:Q62 Q21:Q53 AB5:AB62 AB68:AB74">
    <cfRule type="cellIs" dxfId="665" priority="63" operator="greaterThan">
      <formula>1</formula>
    </cfRule>
    <cfRule type="cellIs" dxfId="664" priority="64" operator="lessThan">
      <formula>0.8</formula>
    </cfRule>
  </conditionalFormatting>
  <conditionalFormatting sqref="AC16:AC17 R16:R17 AC65 R21:R27 AC21:AC27 R65:R74 AC5:AC10 R5:R10 R29:R53 AC29:AC53 AC58:AC62 R58:R62">
    <cfRule type="cellIs" dxfId="663" priority="68" operator="lessThan">
      <formula>0.8</formula>
    </cfRule>
  </conditionalFormatting>
  <conditionalFormatting sqref="AC48">
    <cfRule type="cellIs" dxfId="662" priority="70" operator="lessThan">
      <formula>0.8</formula>
    </cfRule>
  </conditionalFormatting>
  <conditionalFormatting sqref="AC22:AC27">
    <cfRule type="cellIs" dxfId="661" priority="67" operator="lessThan">
      <formula>0.8</formula>
    </cfRule>
  </conditionalFormatting>
  <conditionalFormatting sqref="AC30">
    <cfRule type="cellIs" dxfId="660" priority="69" operator="lessThan">
      <formula>0.8</formula>
    </cfRule>
  </conditionalFormatting>
  <conditionalFormatting sqref="AC39:AC46">
    <cfRule type="cellIs" dxfId="659" priority="65" operator="lessThan">
      <formula>0.8</formula>
    </cfRule>
  </conditionalFormatting>
  <conditionalFormatting sqref="AA67">
    <cfRule type="cellIs" dxfId="658" priority="61" operator="lessThan">
      <formula>0</formula>
    </cfRule>
  </conditionalFormatting>
  <conditionalFormatting sqref="AB67">
    <cfRule type="cellIs" dxfId="657" priority="59" operator="greaterThan">
      <formula>1</formula>
    </cfRule>
    <cfRule type="cellIs" dxfId="656" priority="60" operator="lessThan">
      <formula>0.8</formula>
    </cfRule>
  </conditionalFormatting>
  <conditionalFormatting sqref="O18:O19">
    <cfRule type="cellIs" dxfId="655" priority="54" operator="greaterThan">
      <formula>0</formula>
    </cfRule>
  </conditionalFormatting>
  <conditionalFormatting sqref="P18:P19">
    <cfRule type="cellIs" dxfId="654" priority="57" operator="lessThan">
      <formula>0</formula>
    </cfRule>
  </conditionalFormatting>
  <conditionalFormatting sqref="Q18:Q19">
    <cfRule type="cellIs" dxfId="653" priority="55" operator="greaterThan">
      <formula>1</formula>
    </cfRule>
    <cfRule type="cellIs" dxfId="652" priority="56" operator="lessThan">
      <formula>0.8</formula>
    </cfRule>
  </conditionalFormatting>
  <conditionalFormatting sqref="R18:R19 AC18:AC19">
    <cfRule type="cellIs" dxfId="651" priority="58" operator="lessThan">
      <formula>0.8</formula>
    </cfRule>
  </conditionalFormatting>
  <conditionalFormatting sqref="O11:O14">
    <cfRule type="cellIs" dxfId="650" priority="50" operator="greaterThan">
      <formula>0</formula>
    </cfRule>
  </conditionalFormatting>
  <conditionalFormatting sqref="P11:P14">
    <cfRule type="cellIs" dxfId="649" priority="53" operator="lessThan">
      <formula>0</formula>
    </cfRule>
  </conditionalFormatting>
  <conditionalFormatting sqref="Q11:Q14">
    <cfRule type="cellIs" dxfId="648" priority="51" operator="greaterThan">
      <formula>1</formula>
    </cfRule>
    <cfRule type="cellIs" dxfId="647" priority="52" operator="lessThan">
      <formula>0.8</formula>
    </cfRule>
  </conditionalFormatting>
  <conditionalFormatting sqref="O64">
    <cfRule type="cellIs" dxfId="646" priority="45" operator="greaterThan">
      <formula>0</formula>
    </cfRule>
  </conditionalFormatting>
  <conditionalFormatting sqref="P64 AA64">
    <cfRule type="cellIs" dxfId="645" priority="48" operator="lessThan">
      <formula>0</formula>
    </cfRule>
  </conditionalFormatting>
  <conditionalFormatting sqref="Q64 AB64">
    <cfRule type="cellIs" dxfId="644" priority="46" operator="greaterThan">
      <formula>1</formula>
    </cfRule>
    <cfRule type="cellIs" dxfId="643" priority="47" operator="lessThan">
      <formula>0.8</formula>
    </cfRule>
  </conditionalFormatting>
  <conditionalFormatting sqref="R64 AC64">
    <cfRule type="cellIs" dxfId="642" priority="49" operator="lessThan">
      <formula>0.8</formula>
    </cfRule>
  </conditionalFormatting>
  <conditionalFormatting sqref="O20">
    <cfRule type="cellIs" dxfId="641" priority="40" operator="greaterThan">
      <formula>0</formula>
    </cfRule>
  </conditionalFormatting>
  <conditionalFormatting sqref="P20">
    <cfRule type="cellIs" dxfId="640" priority="43" operator="lessThan">
      <formula>0</formula>
    </cfRule>
  </conditionalFormatting>
  <conditionalFormatting sqref="Q20">
    <cfRule type="cellIs" dxfId="639" priority="41" operator="greaterThan">
      <formula>1</formula>
    </cfRule>
    <cfRule type="cellIs" dxfId="638" priority="42" operator="lessThan">
      <formula>0.8</formula>
    </cfRule>
  </conditionalFormatting>
  <conditionalFormatting sqref="R20 AC20">
    <cfRule type="cellIs" dxfId="637" priority="44" operator="lessThan">
      <formula>0.8</formula>
    </cfRule>
  </conditionalFormatting>
  <conditionalFormatting sqref="O54">
    <cfRule type="cellIs" dxfId="636" priority="34" operator="greaterThan">
      <formula>0</formula>
    </cfRule>
  </conditionalFormatting>
  <conditionalFormatting sqref="P54">
    <cfRule type="cellIs" dxfId="635" priority="38" operator="lessThan">
      <formula>0</formula>
    </cfRule>
  </conditionalFormatting>
  <conditionalFormatting sqref="Q54">
    <cfRule type="cellIs" dxfId="634" priority="35" operator="greaterThan">
      <formula>1</formula>
    </cfRule>
    <cfRule type="cellIs" dxfId="633" priority="36" operator="lessThan">
      <formula>0.8</formula>
    </cfRule>
  </conditionalFormatting>
  <conditionalFormatting sqref="R54 AC54">
    <cfRule type="cellIs" dxfId="632" priority="39" operator="lessThan">
      <formula>0.8</formula>
    </cfRule>
  </conditionalFormatting>
  <conditionalFormatting sqref="AC54">
    <cfRule type="cellIs" dxfId="631" priority="37" operator="lessThan">
      <formula>0.8</formula>
    </cfRule>
  </conditionalFormatting>
  <conditionalFormatting sqref="O55">
    <cfRule type="cellIs" dxfId="630" priority="28" operator="greaterThan">
      <formula>0</formula>
    </cfRule>
  </conditionalFormatting>
  <conditionalFormatting sqref="P55">
    <cfRule type="cellIs" dxfId="629" priority="32" operator="lessThan">
      <formula>0</formula>
    </cfRule>
  </conditionalFormatting>
  <conditionalFormatting sqref="Q55">
    <cfRule type="cellIs" dxfId="628" priority="29" operator="greaterThan">
      <formula>1</formula>
    </cfRule>
    <cfRule type="cellIs" dxfId="627" priority="30" operator="lessThan">
      <formula>0.8</formula>
    </cfRule>
  </conditionalFormatting>
  <conditionalFormatting sqref="R55 AC55">
    <cfRule type="cellIs" dxfId="626" priority="33" operator="lessThan">
      <formula>0.8</formula>
    </cfRule>
  </conditionalFormatting>
  <conditionalFormatting sqref="AC55">
    <cfRule type="cellIs" dxfId="625" priority="31" operator="lessThan">
      <formula>0.8</formula>
    </cfRule>
  </conditionalFormatting>
  <conditionalFormatting sqref="R28 AC28">
    <cfRule type="cellIs" dxfId="624" priority="27" operator="lessThan">
      <formula>0.8</formula>
    </cfRule>
  </conditionalFormatting>
  <conditionalFormatting sqref="AC28">
    <cfRule type="cellIs" dxfId="623" priority="26" operator="lessThan">
      <formula>0.8</formula>
    </cfRule>
  </conditionalFormatting>
  <conditionalFormatting sqref="O56">
    <cfRule type="cellIs" dxfId="622" priority="20" operator="greaterThan">
      <formula>0</formula>
    </cfRule>
  </conditionalFormatting>
  <conditionalFormatting sqref="P56">
    <cfRule type="cellIs" dxfId="621" priority="24" operator="lessThan">
      <formula>0</formula>
    </cfRule>
  </conditionalFormatting>
  <conditionalFormatting sqref="Q56">
    <cfRule type="cellIs" dxfId="620" priority="21" operator="greaterThan">
      <formula>1</formula>
    </cfRule>
    <cfRule type="cellIs" dxfId="619" priority="22" operator="lessThan">
      <formula>0.8</formula>
    </cfRule>
  </conditionalFormatting>
  <conditionalFormatting sqref="R56 AC56">
    <cfRule type="cellIs" dxfId="618" priority="25" operator="lessThan">
      <formula>0.8</formula>
    </cfRule>
  </conditionalFormatting>
  <conditionalFormatting sqref="AC56">
    <cfRule type="cellIs" dxfId="617" priority="23" operator="lessThan">
      <formula>0.8</formula>
    </cfRule>
  </conditionalFormatting>
  <conditionalFormatting sqref="O57">
    <cfRule type="cellIs" dxfId="616" priority="14" operator="greaterThan">
      <formula>0</formula>
    </cfRule>
  </conditionalFormatting>
  <conditionalFormatting sqref="P57">
    <cfRule type="cellIs" dxfId="615" priority="18" operator="lessThan">
      <formula>0</formula>
    </cfRule>
  </conditionalFormatting>
  <conditionalFormatting sqref="Q57">
    <cfRule type="cellIs" dxfId="614" priority="15" operator="greaterThan">
      <formula>1</formula>
    </cfRule>
    <cfRule type="cellIs" dxfId="613" priority="16" operator="lessThan">
      <formula>0.8</formula>
    </cfRule>
  </conditionalFormatting>
  <conditionalFormatting sqref="R57 AC57">
    <cfRule type="cellIs" dxfId="612" priority="19" operator="lessThan">
      <formula>0.8</formula>
    </cfRule>
  </conditionalFormatting>
  <conditionalFormatting sqref="AC57">
    <cfRule type="cellIs" dxfId="611" priority="17" operator="lessThan">
      <formula>0.8</formula>
    </cfRule>
  </conditionalFormatting>
  <conditionalFormatting sqref="O63">
    <cfRule type="cellIs" dxfId="610" priority="9" operator="greaterThan">
      <formula>0</formula>
    </cfRule>
  </conditionalFormatting>
  <conditionalFormatting sqref="P63 AA63">
    <cfRule type="cellIs" dxfId="609" priority="12" operator="lessThan">
      <formula>0</formula>
    </cfRule>
  </conditionalFormatting>
  <conditionalFormatting sqref="Q63 AB63">
    <cfRule type="cellIs" dxfId="608" priority="10" operator="greaterThan">
      <formula>1</formula>
    </cfRule>
    <cfRule type="cellIs" dxfId="607" priority="11" operator="lessThan">
      <formula>0.8</formula>
    </cfRule>
  </conditionalFormatting>
  <conditionalFormatting sqref="R63 AC63">
    <cfRule type="cellIs" dxfId="606" priority="13" operator="lessThan">
      <formula>0.8</formula>
    </cfRule>
  </conditionalFormatting>
  <conditionalFormatting sqref="P9">
    <cfRule type="cellIs" dxfId="605" priority="8" operator="lessThan">
      <formula>0</formula>
    </cfRule>
  </conditionalFormatting>
  <conditionalFormatting sqref="P21">
    <cfRule type="cellIs" dxfId="604" priority="7" operator="lessThan">
      <formula>0</formula>
    </cfRule>
  </conditionalFormatting>
  <conditionalFormatting sqref="P29">
    <cfRule type="cellIs" dxfId="603" priority="6" operator="lessThan">
      <formula>0</formula>
    </cfRule>
  </conditionalFormatting>
  <conditionalFormatting sqref="P38">
    <cfRule type="cellIs" dxfId="602" priority="5" operator="lessThan">
      <formula>0</formula>
    </cfRule>
  </conditionalFormatting>
  <conditionalFormatting sqref="P58">
    <cfRule type="cellIs" dxfId="601" priority="4" operator="lessThan">
      <formula>0</formula>
    </cfRule>
  </conditionalFormatting>
  <conditionalFormatting sqref="P61">
    <cfRule type="cellIs" dxfId="600" priority="3" operator="lessThan">
      <formula>0</formula>
    </cfRule>
  </conditionalFormatting>
  <conditionalFormatting sqref="P67">
    <cfRule type="cellIs" dxfId="599" priority="2" operator="lessThan">
      <formula>0</formula>
    </cfRule>
  </conditionalFormatting>
  <conditionalFormatting sqref="P74">
    <cfRule type="cellIs" dxfId="598" priority="1" operator="lessThan">
      <formula>0</formula>
    </cfRule>
  </conditionalFormatting>
  <dataValidations count="1">
    <dataValidation type="list" allowBlank="1" showInputMessage="1" showErrorMessage="1" sqref="Z9 Z66 Y5:Z8 Y9:Y66 Z11:Z62 Y67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K2" sqref="K2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264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18" t="s">
        <v>89</v>
      </c>
      <c r="C3" s="421" t="str">
        <f>TEXT('0706 4度C'!A2,"yyyy.mm.ddaaaa")</f>
        <v>2025.07.06星期日</v>
      </c>
      <c r="D3" s="421"/>
      <c r="E3" s="118" t="s">
        <v>248</v>
      </c>
      <c r="F3" s="422">
        <f>'0706 4度C'!D1</f>
        <v>168905</v>
      </c>
      <c r="G3" s="422"/>
      <c r="H3" s="118" t="s">
        <v>385</v>
      </c>
      <c r="I3" s="423">
        <f>'0706 4度C'!F1</f>
        <v>5522639.0600000015</v>
      </c>
      <c r="J3" s="423"/>
      <c r="K3" s="31"/>
      <c r="L3" s="32"/>
      <c r="M3" s="33"/>
      <c r="N3" s="33"/>
    </row>
    <row r="4" spans="2:17" ht="28.5" customHeight="1">
      <c r="B4" s="424" t="s">
        <v>386</v>
      </c>
      <c r="C4" s="424" t="s">
        <v>387</v>
      </c>
      <c r="D4" s="424"/>
      <c r="E4" s="425" t="s">
        <v>92</v>
      </c>
      <c r="F4" s="425"/>
      <c r="G4" s="425" t="s">
        <v>269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271</v>
      </c>
      <c r="F5" s="424"/>
      <c r="G5" s="426" t="s">
        <v>388</v>
      </c>
      <c r="H5" s="426"/>
      <c r="I5" s="427" t="s">
        <v>389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132.79539057684019</v>
      </c>
      <c r="F6" s="424">
        <f>AVERAGE(D27:O27,D13:J13)</f>
        <v>134.59600923695601</v>
      </c>
      <c r="G6" s="429">
        <f>AVERAGE(D13:J13)</f>
        <v>134.59600923695601</v>
      </c>
      <c r="H6" s="429"/>
      <c r="I6" s="429">
        <f>AVERAGE(K13:M13)</f>
        <v>128.59394703657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119.03577518275456</v>
      </c>
      <c r="F7" s="434">
        <f>AVERAGE(D28:O28,D14:J14)</f>
        <v>120.63835172191236</v>
      </c>
      <c r="G7" s="435">
        <f>AVERAGE(D14:J14)</f>
        <v>120.63835172191236</v>
      </c>
      <c r="H7" s="435"/>
      <c r="I7" s="435">
        <f>AVERAGE(K14:M14)</f>
        <v>115.2964299247197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0.89594523965083239</v>
      </c>
      <c r="F8" s="432">
        <f>AVERAGE(D15:J15,D29:O29)</f>
        <v>0.89569642661814286</v>
      </c>
      <c r="G8" s="437">
        <f>AVERAGE(D15:J15)</f>
        <v>0.89569642661814286</v>
      </c>
      <c r="H8" s="437"/>
      <c r="I8" s="437">
        <f>AVERAGE(K15:M15)</f>
        <v>0.89652580339377419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390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391</v>
      </c>
      <c r="E12" s="42" t="s">
        <v>86</v>
      </c>
      <c r="F12" s="42" t="s">
        <v>392</v>
      </c>
      <c r="G12" s="42" t="s">
        <v>99</v>
      </c>
      <c r="H12" s="42" t="s">
        <v>393</v>
      </c>
      <c r="I12" s="42" t="s">
        <v>101</v>
      </c>
      <c r="J12" s="43" t="s">
        <v>280</v>
      </c>
      <c r="K12" s="41" t="s">
        <v>254</v>
      </c>
      <c r="L12" s="42" t="s">
        <v>394</v>
      </c>
      <c r="M12" s="43" t="s">
        <v>281</v>
      </c>
    </row>
    <row r="13" spans="2:17" ht="40.15" customHeight="1">
      <c r="B13" s="447" t="s">
        <v>114</v>
      </c>
      <c r="C13" s="44" t="s">
        <v>87</v>
      </c>
      <c r="D13" s="45">
        <f>SUMIFS('0706 4度C'!$K:$K,'0706 4度C'!$A:$A,"燴飯線",'0706 4度C'!$B:$B,"平均")</f>
        <v>109.09090909090909</v>
      </c>
      <c r="E13" s="46">
        <f>SUMIFS('0706 4度C'!$K:$K,'0706 4度C'!$A:$A,"沙拉線一線",'0706 4度C'!$B:$B,"平均")</f>
        <v>81.521739130434796</v>
      </c>
      <c r="F13" s="47">
        <f>SUMIFS('0706 4度C'!$K:$K,'0706 4度C'!$A:$A,"沙拉線二線",'0706 4度C'!$B:$B,"平均")</f>
        <v>88.636363636363626</v>
      </c>
      <c r="G13" s="47">
        <f>SUMIFS('0706 4度C'!$K:$K,'0706 4度C'!$A:$A,"沙拉線三線",'0706 4度C'!$B:$B,"平均")</f>
        <v>103.44827586206895</v>
      </c>
      <c r="H13" s="47">
        <f>SUMIFS('0706 4度C'!$K:$K,'0706 4度C'!$A:$A,"自動包裝線",'0706 4度C'!$B:$B,"平均")</f>
        <v>276.59574468085106</v>
      </c>
      <c r="I13" s="47">
        <f>SUMIFS('0706 4度C'!$K:$K,'0706 4度C'!$A:$A,"涼麵一線",'0706 4度C'!$B:$B,"平均")</f>
        <v>93.75</v>
      </c>
      <c r="J13" s="48">
        <f>SUMIFS('0706 4度C'!$K:$K,'0706 4度C'!$A:$A,"三明治四線",'0706 4度C'!$B:$B,"平均")</f>
        <v>189.12903225806448</v>
      </c>
      <c r="K13" s="49">
        <f>SUMIFS('0706 4度C'!$K:$K,'0706 4度C'!$A:$A,"三明治一線",'0706 4度C'!$B:$B,"平均")</f>
        <v>125</v>
      </c>
      <c r="L13" s="50">
        <f>SUMIFS('0706 4度C'!$K:$K,'0706 4度C'!$A:$A,"三明治二線",'0706 4度C'!$B:$B,"平均")</f>
        <v>123.07692307692308</v>
      </c>
      <c r="M13" s="48">
        <f>SUMIFS('0706 4度C'!$K:$K,'0706 4度C'!$A:$A,"自動包裝二線",'0706 4度C'!$B:$B,"平均")</f>
        <v>137.70491803278691</v>
      </c>
    </row>
    <row r="14" spans="2:17" ht="39.6" customHeight="1">
      <c r="B14" s="447"/>
      <c r="C14" s="51" t="s">
        <v>88</v>
      </c>
      <c r="D14" s="52">
        <f>SUMIFS('0706 4度C'!$N:$N,'0706 4度C'!$A:$A,"燴飯線",'0706 4度C'!$B:$B,"平均")</f>
        <v>98.009897281205042</v>
      </c>
      <c r="E14" s="53">
        <f>SUMIFS('0706 4度C'!$N:$N,'0706 4度C'!$A:$A,"沙拉線一線",'0706 4度C'!$B:$B,"平均")</f>
        <v>72.812710974808923</v>
      </c>
      <c r="F14" s="53">
        <f>SUMIFS('0706 4度C'!$N:$N,'0706 4度C'!$A:$A,"沙拉線二線",'0706 4度C'!$B:$B,"平均")</f>
        <v>79.119863301435871</v>
      </c>
      <c r="G14" s="53">
        <f>SUMIFS('0706 4度C'!$N:$N,'0706 4度C'!$A:$A,"沙拉線三線",'0706 4度C'!$B:$B,"平均")</f>
        <v>92.89793299703355</v>
      </c>
      <c r="H14" s="53">
        <f>SUMIFS('0706 4度C'!$N:$N,'0706 4度C'!$A:$A,"自動包裝線",'0706 4度C'!$B:$B,"平均")</f>
        <v>248.03469224684437</v>
      </c>
      <c r="I14" s="53">
        <f>SUMIFS('0706 4度C'!$N:$N,'0706 4度C'!$A:$A,"涼麵一線",'0706 4度C'!$B:$B,"平均")</f>
        <v>83.662771002710031</v>
      </c>
      <c r="J14" s="54">
        <f>SUMIFS('0706 4度C'!$N:$N,'0706 4度C'!$A:$A,"三明治四線",'0706 4度C'!$B:$B,"平均")</f>
        <v>169.93059424934862</v>
      </c>
      <c r="K14" s="55">
        <f>SUMIFS('0706 4度C'!$N:$N,'0706 4度C'!$A:$A,"三明治一線",'0706 4度C'!$B:$B,"平均")</f>
        <v>112.07765214146693</v>
      </c>
      <c r="L14" s="56">
        <f>SUMIFS('0706 4度C'!$N:$N,'0706 4度C'!$A:$A,"三明治二線",'0706 4度C'!$B:$B,"平均")</f>
        <v>110.11339669273252</v>
      </c>
      <c r="M14" s="54">
        <f>SUMIFS('0706 4度C'!$N:$N,'0706 4度C'!$A:$A,"自動包裝二線",'0706 4度C'!$B:$B,"平均")</f>
        <v>123.6982409399597</v>
      </c>
    </row>
    <row r="15" spans="2:17" ht="40.15" customHeight="1">
      <c r="B15" s="447"/>
      <c r="C15" s="57" t="s">
        <v>395</v>
      </c>
      <c r="D15" s="58">
        <f>D14/D13</f>
        <v>0.89842405841104622</v>
      </c>
      <c r="E15" s="59">
        <f t="shared" ref="E15:M15" si="0">E14/E13</f>
        <v>0.89316925462432262</v>
      </c>
      <c r="F15" s="59">
        <f t="shared" si="0"/>
        <v>0.8926343551956869</v>
      </c>
      <c r="G15" s="59">
        <f t="shared" si="0"/>
        <v>0.89801335230465773</v>
      </c>
      <c r="H15" s="59">
        <f>H14/H13</f>
        <v>0.89674081043089893</v>
      </c>
      <c r="I15" s="59">
        <f>I14/I13</f>
        <v>0.89240289069557366</v>
      </c>
      <c r="J15" s="60">
        <f>J14/J13</f>
        <v>0.89849026466481463</v>
      </c>
      <c r="K15" s="58">
        <f>K14/K13</f>
        <v>0.89662121713173537</v>
      </c>
      <c r="L15" s="59">
        <f>L14/L13</f>
        <v>0.89467134812845173</v>
      </c>
      <c r="M15" s="60">
        <f t="shared" si="0"/>
        <v>0.89828484492113581</v>
      </c>
    </row>
    <row r="16" spans="2:17" ht="17.25" customHeight="1">
      <c r="B16" s="430" t="s">
        <v>285</v>
      </c>
      <c r="C16" s="117" t="s">
        <v>396</v>
      </c>
      <c r="D16" s="61">
        <f>VLOOKUP("燴飯線",'0706 4度C'!$A:$T,19,0)</f>
        <v>0.70833333333333337</v>
      </c>
      <c r="E16" s="24">
        <f>VLOOKUP("沙拉線一線",'0706 4度C'!$A:$T,19,0)</f>
        <v>0.13055555555555556</v>
      </c>
      <c r="F16" s="24">
        <f>VLOOKUP("沙拉線二線",'0706 4度C'!$A:$T,19,0)</f>
        <v>0.16666666666666666</v>
      </c>
      <c r="G16" s="24">
        <f>VLOOKUP("沙拉線三線",'0706 4度C'!$A:$T,19,0)</f>
        <v>0.25</v>
      </c>
      <c r="H16" s="24">
        <f>VLOOKUP("自動包裝線",'0706 4度C'!$A:$T,19,0)</f>
        <v>0.16666666666666666</v>
      </c>
      <c r="I16" s="24">
        <f>VLOOKUP("涼麵一線",'0706 4度C'!$A:$T,19,0)</f>
        <v>0.70833333333333337</v>
      </c>
      <c r="J16" s="62">
        <f>VLOOKUP("三明治四線",'0706 4度C'!$A:$T,19,0)</f>
        <v>0.20833333333333334</v>
      </c>
      <c r="K16" s="63">
        <f>VLOOKUP("三明治一線",'0706 4度C'!$A:$T,19,0)</f>
        <v>0.125</v>
      </c>
      <c r="L16" s="64">
        <f>VLOOKUP("三明治二線",'0706 4度C'!$A:$T,19,0)</f>
        <v>0.125</v>
      </c>
      <c r="M16" s="65">
        <f>VLOOKUP("自動包裝二線",'0706 4度C'!$A:$T,19,0)</f>
        <v>0.16666666666666666</v>
      </c>
    </row>
    <row r="17" spans="2:13" ht="17.25" customHeight="1">
      <c r="B17" s="431"/>
      <c r="C17" s="117" t="s">
        <v>340</v>
      </c>
      <c r="D17" s="63">
        <f>LOOKUP(2,1/(('0706 4度C'!$A:$A="燴飯線")*('0706 4度C'!$T:$T&lt;&gt;"")),'0706 4度C'!$T:$T)</f>
        <v>0.81041666666666667</v>
      </c>
      <c r="E17" s="24">
        <f>LOOKUP(2,1/(('0706 4度C'!$A:$A="沙拉線一線")*('0706 4度C'!$T:$T&lt;&gt;"")),'0706 4度C'!$T:$T)</f>
        <v>0.67222222222222228</v>
      </c>
      <c r="F17" s="24">
        <f>LOOKUP(2,1/(('0706 4度C'!$A:$A="沙拉線二線")*('0706 4度C'!$T:$T&lt;&gt;"")),'0706 4度C'!$T:$T)</f>
        <v>0.84930555555555554</v>
      </c>
      <c r="G17" s="24">
        <f>LOOKUP(2,1/(('0706 4度C'!$A:$A="沙拉線三線")*('0706 4度C'!$T:$T&lt;&gt;"")),'0706 4度C'!$T:$T)</f>
        <v>0.84236111111111123</v>
      </c>
      <c r="H17" s="24">
        <f>LOOKUP(2,1/(('0706 4度C'!$A:$A="自動包裝線")*('0706 4度C'!$T:$T&lt;&gt;"")),'0706 4度C'!$T:$T)</f>
        <v>0.65347222222222212</v>
      </c>
      <c r="I17" s="24">
        <f>LOOKUP(2,1/(('0706 4度C'!$A:$A="涼麵一線")*('0706 4度C'!$T:$T&lt;&gt;"")),'0706 4度C'!$T:$T)</f>
        <v>0.84513888888888888</v>
      </c>
      <c r="J17" s="62">
        <f>LOOKUP(2,1/(('0706 4度C'!$A:$A="三明治四線")*('0706 4度C'!$T:$T&lt;&gt;"")),'0706 4度C'!$T:$T)</f>
        <v>0.51458333333333328</v>
      </c>
      <c r="K17" s="61">
        <f>LOOKUP(2,1/(('0706 4度C'!$A:$A="三明治一線")*('0706 4度C'!$T:$T&lt;&gt;"")),'0706 4度C'!$T:$T)</f>
        <v>0.74444444444444424</v>
      </c>
      <c r="L17" s="24">
        <f>LOOKUP(2,1/(('0706 4度C'!$A:$A="三明治二線")*('0706 4度C'!$T:$T&lt;&gt;"")),'0706 4度C'!$T:$T)</f>
        <v>0.73055555555555551</v>
      </c>
      <c r="M17" s="62">
        <f>LOOKUP(2,1/(('0706 4度C'!$A:$A="自動包裝二線")*('0706 4度C'!$T:$T&lt;&gt;"")),'0706 4度C'!$T:$T)</f>
        <v>0.73333333333333328</v>
      </c>
    </row>
    <row r="18" spans="2:13" ht="17.25" customHeight="1">
      <c r="B18" s="431" t="s">
        <v>341</v>
      </c>
      <c r="C18" s="446"/>
      <c r="D18" s="66">
        <f>SUMIFS('0706 4度C'!$I:$I,'0706 4度C'!$A:$A,"燴飯線",'0706 4度C'!$B:$B,"平均")</f>
        <v>16.5</v>
      </c>
      <c r="E18" s="67">
        <f>SUMIFS('0706 4度C'!$I:$I,'0706 4度C'!$A:$A,"沙拉線一線",'0706 4度C'!$B:$B,"平均")</f>
        <v>18.399999999999999</v>
      </c>
      <c r="F18" s="67">
        <f>SUMIFS('0706 4度C'!$I:$I,'0706 4度C'!$A:$A,"沙拉線二線",'0706 4度C'!$B:$B,"平均")</f>
        <v>17.600000000000001</v>
      </c>
      <c r="G18" s="67">
        <f>SUMIFS('0706 4度C'!$I:$I,'0706 4度C'!$A:$A,"沙拉線三線",'0706 4度C'!$B:$B,"平均")</f>
        <v>16.571428571428573</v>
      </c>
      <c r="H18" s="67">
        <f>SUMIFS('0706 4度C'!$I:$I,'0706 4度C'!$A:$A,"自動包裝線",'0706 4度C'!$B:$B,"平均")</f>
        <v>10.444444444444445</v>
      </c>
      <c r="I18" s="67">
        <f>SUMIFS('0706 4度C'!$I:$I,'0706 4度C'!$A:$A,"涼麵一線",'0706 4度C'!$B:$B,"平均")</f>
        <v>16</v>
      </c>
      <c r="J18" s="68">
        <f>SUMIFS('0706 4度C'!$I:$I,'0706 4度C'!$A:$A,"三明治四線",'0706 4度C'!$B:$B,"平均")</f>
        <v>12.4</v>
      </c>
      <c r="K18" s="66">
        <f>SUMIFS('0706 4度C'!$I:$I,'0706 4度C'!$A:$A,"三明治一線",'0706 4度C'!$B:$B,"平均")</f>
        <v>19.2</v>
      </c>
      <c r="L18" s="67">
        <f>SUMIFS('0706 4度C'!$I:$I,'0706 4度C'!$A:$A,"三明治二線",'0706 4度C'!$B:$B,"平均")</f>
        <v>19.5</v>
      </c>
      <c r="M18" s="68">
        <f>SUMIFS('0706 4度C'!$I:$I,'0706 4度C'!$A:$A,"自動包裝二線",'0706 4度C'!$B:$B,"平均")</f>
        <v>17.428571428571427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397</v>
      </c>
      <c r="G19" s="70" t="s">
        <v>398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399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400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289</v>
      </c>
      <c r="C21" s="451"/>
      <c r="D21" s="72"/>
      <c r="E21" s="73" t="s">
        <v>401</v>
      </c>
      <c r="F21" s="452" t="s">
        <v>260</v>
      </c>
      <c r="G21" s="453"/>
      <c r="H21" s="73" t="s">
        <v>107</v>
      </c>
      <c r="I21" s="73" t="s">
        <v>402</v>
      </c>
      <c r="J21" s="74" t="s">
        <v>403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59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5"/>
  <sheetViews>
    <sheetView zoomScale="80" zoomScaleNormal="80" workbookViewId="0">
      <pane ySplit="4" topLeftCell="A5" activePane="bottomLeft" state="frozen"/>
      <selection activeCell="C5" sqref="C5:D5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404</v>
      </c>
      <c r="B1" s="1"/>
      <c r="C1" s="2" t="s">
        <v>405</v>
      </c>
      <c r="D1" s="3">
        <f>SUM(F5:F74)</f>
        <v>168905</v>
      </c>
      <c r="E1" s="119" t="s">
        <v>406</v>
      </c>
      <c r="F1" s="1">
        <f>SUM(G5:G74)</f>
        <v>5522639.0600000015</v>
      </c>
      <c r="G1" s="1" t="s">
        <v>407</v>
      </c>
      <c r="H1" s="4">
        <f>L7+L13+L57+L60+L19+L66+L38+L47+L27+L74</f>
        <v>164.04444444444445</v>
      </c>
      <c r="I1" s="454" t="s">
        <v>408</v>
      </c>
      <c r="J1" s="454"/>
      <c r="K1" s="454"/>
      <c r="L1" s="454" t="s">
        <v>409</v>
      </c>
      <c r="M1" s="454"/>
      <c r="N1" s="454"/>
      <c r="O1" s="454" t="s">
        <v>410</v>
      </c>
      <c r="P1" s="454"/>
      <c r="Q1" s="454"/>
      <c r="R1" s="454"/>
      <c r="S1" s="454" t="s">
        <v>411</v>
      </c>
      <c r="T1" s="454"/>
      <c r="U1" s="454"/>
      <c r="V1" s="454"/>
      <c r="W1" s="454"/>
      <c r="X1" s="454"/>
      <c r="Y1" s="454" t="s">
        <v>412</v>
      </c>
      <c r="Z1" s="454"/>
      <c r="AA1" s="454" t="s">
        <v>413</v>
      </c>
      <c r="AB1" s="455"/>
      <c r="AC1" s="455"/>
    </row>
    <row r="2" spans="1:29" ht="26.25" customHeight="1">
      <c r="A2" s="22">
        <v>45844</v>
      </c>
      <c r="B2" s="23" t="s">
        <v>414</v>
      </c>
      <c r="C2" s="2" t="s">
        <v>415</v>
      </c>
      <c r="D2" s="6">
        <f>AVERAGE(N7,N13,N57,N60,N19,N66,N27,N38,N47,N74)</f>
        <v>119.03577518275456</v>
      </c>
      <c r="E2" s="7" t="s">
        <v>0</v>
      </c>
      <c r="F2" s="8">
        <f>F1/D1</f>
        <v>32.69671744471745</v>
      </c>
      <c r="G2" s="1" t="s">
        <v>416</v>
      </c>
      <c r="H2" s="128">
        <f>COUNT(H5:H74)</f>
        <v>13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417</v>
      </c>
      <c r="B3" s="456" t="s">
        <v>418</v>
      </c>
      <c r="C3" s="456" t="s">
        <v>419</v>
      </c>
      <c r="D3" s="456"/>
      <c r="E3" s="457" t="s">
        <v>420</v>
      </c>
      <c r="F3" s="456" t="s">
        <v>421</v>
      </c>
      <c r="G3" s="457" t="s">
        <v>422</v>
      </c>
      <c r="H3" s="463" t="s">
        <v>423</v>
      </c>
      <c r="I3" s="464" t="s">
        <v>424</v>
      </c>
      <c r="J3" s="465" t="s">
        <v>425</v>
      </c>
      <c r="K3" s="459" t="s">
        <v>415</v>
      </c>
      <c r="L3" s="464" t="s">
        <v>424</v>
      </c>
      <c r="M3" s="465" t="s">
        <v>425</v>
      </c>
      <c r="N3" s="459" t="s">
        <v>415</v>
      </c>
      <c r="O3" s="464" t="s">
        <v>424</v>
      </c>
      <c r="P3" s="459" t="s">
        <v>415</v>
      </c>
      <c r="Q3" s="460" t="s">
        <v>426</v>
      </c>
      <c r="R3" s="461" t="s">
        <v>427</v>
      </c>
      <c r="S3" s="462" t="s">
        <v>1</v>
      </c>
      <c r="T3" s="462"/>
      <c r="U3" s="463" t="s">
        <v>2</v>
      </c>
      <c r="V3" s="463" t="s">
        <v>428</v>
      </c>
      <c r="W3" s="456" t="s">
        <v>429</v>
      </c>
      <c r="X3" s="456"/>
      <c r="Y3" s="475" t="s">
        <v>430</v>
      </c>
      <c r="Z3" s="476"/>
      <c r="AA3" s="465" t="s">
        <v>425</v>
      </c>
      <c r="AB3" s="460" t="s">
        <v>426</v>
      </c>
      <c r="AC3" s="461" t="s">
        <v>427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27" t="s">
        <v>3</v>
      </c>
      <c r="T4" s="127" t="s">
        <v>4</v>
      </c>
      <c r="U4" s="463"/>
      <c r="V4" s="463"/>
      <c r="W4" s="119" t="s">
        <v>431</v>
      </c>
      <c r="X4" s="119" t="s">
        <v>432</v>
      </c>
      <c r="Y4" s="476"/>
      <c r="Z4" s="476"/>
      <c r="AA4" s="465"/>
      <c r="AB4" s="460"/>
      <c r="AC4" s="461"/>
    </row>
    <row r="5" spans="1:29">
      <c r="A5" s="471" t="s">
        <v>433</v>
      </c>
      <c r="B5" s="26" t="s">
        <v>13</v>
      </c>
      <c r="C5" s="472" t="s">
        <v>58</v>
      </c>
      <c r="D5" s="472"/>
      <c r="E5" s="26">
        <v>46.93</v>
      </c>
      <c r="F5" s="127">
        <v>1440</v>
      </c>
      <c r="G5" s="119">
        <f>E5*F5</f>
        <v>67579.199999999997</v>
      </c>
      <c r="H5" s="76" t="s">
        <v>57</v>
      </c>
      <c r="I5" s="125">
        <v>17</v>
      </c>
      <c r="J5" s="18">
        <v>1800</v>
      </c>
      <c r="K5" s="9">
        <f>J5/I5</f>
        <v>105.88235294117646</v>
      </c>
      <c r="L5" s="125">
        <v>17</v>
      </c>
      <c r="M5" s="10">
        <f>F5/V5*60</f>
        <v>1630.188679245284</v>
      </c>
      <c r="N5" s="9">
        <f>M5/L5</f>
        <v>95.893451720310821</v>
      </c>
      <c r="O5" s="11">
        <f t="shared" ref="O5:O6" si="0">L5-I5</f>
        <v>0</v>
      </c>
      <c r="P5" s="12">
        <f t="shared" ref="P5:P6" si="1">N5-K5</f>
        <v>-9.9889012208656425</v>
      </c>
      <c r="Q5" s="120">
        <f>N5/K5</f>
        <v>0.90566037735849114</v>
      </c>
      <c r="R5" s="470">
        <f>Q7</f>
        <v>0.89842405841104622</v>
      </c>
      <c r="S5" s="24">
        <v>0.70833333333333337</v>
      </c>
      <c r="T5" s="24">
        <v>0.74513888888888891</v>
      </c>
      <c r="U5" s="119"/>
      <c r="V5" s="126">
        <f>(T5-S5)*24*60</f>
        <v>52.999999999999972</v>
      </c>
      <c r="W5" s="13"/>
      <c r="X5" s="13"/>
      <c r="Y5" s="456"/>
      <c r="Z5" s="456"/>
      <c r="AA5" s="11">
        <f t="shared" ref="AA5:AA68" si="2">M5-J5</f>
        <v>-169.81132075471601</v>
      </c>
      <c r="AB5" s="120">
        <f t="shared" ref="AB5:AB6" si="3">M5/J5</f>
        <v>0.90566037735849114</v>
      </c>
      <c r="AC5" s="470">
        <f>AB7</f>
        <v>0.89842405841104622</v>
      </c>
    </row>
    <row r="6" spans="1:29">
      <c r="A6" s="464" t="s">
        <v>433</v>
      </c>
      <c r="B6" s="26" t="s">
        <v>13</v>
      </c>
      <c r="C6" s="472" t="s">
        <v>60</v>
      </c>
      <c r="D6" s="472"/>
      <c r="E6" s="26">
        <v>50.49</v>
      </c>
      <c r="F6" s="127">
        <v>2326</v>
      </c>
      <c r="G6" s="119">
        <f t="shared" ref="G6" si="4">E6*F6</f>
        <v>117439.74</v>
      </c>
      <c r="H6" s="76" t="s">
        <v>57</v>
      </c>
      <c r="I6" s="125">
        <v>16</v>
      </c>
      <c r="J6" s="18">
        <v>1800</v>
      </c>
      <c r="K6" s="9">
        <f t="shared" ref="K6" si="5">J6/I6</f>
        <v>112.5</v>
      </c>
      <c r="L6" s="125">
        <v>16</v>
      </c>
      <c r="M6" s="10">
        <f>F6/V6*60</f>
        <v>1604.1379310344826</v>
      </c>
      <c r="N6" s="9">
        <f t="shared" ref="N6" si="6">M6/L6</f>
        <v>100.25862068965516</v>
      </c>
      <c r="O6" s="11">
        <f t="shared" si="0"/>
        <v>0</v>
      </c>
      <c r="P6" s="12">
        <f t="shared" si="1"/>
        <v>-12.24137931034484</v>
      </c>
      <c r="Q6" s="120">
        <f t="shared" ref="Q6" si="7">N6/K6</f>
        <v>0.89118773946360141</v>
      </c>
      <c r="R6" s="470"/>
      <c r="S6" s="24">
        <v>0.75</v>
      </c>
      <c r="T6" s="24">
        <v>0.81041666666666667</v>
      </c>
      <c r="U6" s="119">
        <f>(S6-T5)*24*60</f>
        <v>6.9999999999999751</v>
      </c>
      <c r="V6" s="126">
        <f>(T6-S6)*24*60</f>
        <v>87.000000000000014</v>
      </c>
      <c r="W6" s="14"/>
      <c r="X6" s="14"/>
      <c r="Y6" s="456"/>
      <c r="Z6" s="456"/>
      <c r="AA6" s="11">
        <f t="shared" si="2"/>
        <v>-195.86206896551744</v>
      </c>
      <c r="AB6" s="120">
        <f t="shared" si="3"/>
        <v>0.89118773946360141</v>
      </c>
      <c r="AC6" s="470"/>
    </row>
    <row r="7" spans="1:29">
      <c r="A7" s="464" t="s">
        <v>433</v>
      </c>
      <c r="B7" s="26" t="s">
        <v>434</v>
      </c>
      <c r="C7" s="466"/>
      <c r="D7" s="466"/>
      <c r="E7" s="121"/>
      <c r="F7" s="16"/>
      <c r="G7" s="9"/>
      <c r="H7" s="127"/>
      <c r="I7" s="17">
        <v>16.5</v>
      </c>
      <c r="J7" s="18">
        <v>1800</v>
      </c>
      <c r="K7" s="9">
        <f>J7/I7</f>
        <v>109.09090909090909</v>
      </c>
      <c r="L7" s="17">
        <v>16.5</v>
      </c>
      <c r="M7" s="10">
        <f>AVERAGE(M5:M6)</f>
        <v>1617.1633051398833</v>
      </c>
      <c r="N7" s="9">
        <f>M7/L7</f>
        <v>98.009897281205042</v>
      </c>
      <c r="O7" s="11">
        <f>L7-I7</f>
        <v>0</v>
      </c>
      <c r="P7" s="12">
        <f>N7-K7</f>
        <v>-11.081011809704052</v>
      </c>
      <c r="Q7" s="120">
        <f>N7/K7</f>
        <v>0.89842405841104622</v>
      </c>
      <c r="R7" s="470"/>
      <c r="S7" s="24"/>
      <c r="T7" s="24"/>
      <c r="U7" s="119"/>
      <c r="V7" s="126"/>
      <c r="W7" s="9"/>
      <c r="X7" s="9"/>
      <c r="Y7" s="456"/>
      <c r="Z7" s="456"/>
      <c r="AA7" s="11">
        <f t="shared" si="2"/>
        <v>-182.83669486011672</v>
      </c>
      <c r="AB7" s="120">
        <f>M7/J7</f>
        <v>0.89842405841104622</v>
      </c>
      <c r="AC7" s="470"/>
    </row>
    <row r="8" spans="1:29" ht="15.75" customHeight="1">
      <c r="A8" s="467" t="s">
        <v>435</v>
      </c>
      <c r="B8" s="26" t="s">
        <v>15</v>
      </c>
      <c r="C8" s="468" t="s">
        <v>16</v>
      </c>
      <c r="D8" s="469"/>
      <c r="E8" s="26">
        <v>39.619999999999997</v>
      </c>
      <c r="F8" s="127">
        <v>2700</v>
      </c>
      <c r="G8" s="119">
        <f t="shared" ref="G8:G12" si="8">E8*F8</f>
        <v>106974</v>
      </c>
      <c r="H8" s="76">
        <v>2</v>
      </c>
      <c r="I8" s="125">
        <v>18</v>
      </c>
      <c r="J8" s="18">
        <v>1500</v>
      </c>
      <c r="K8" s="9">
        <f t="shared" ref="K8:K12" si="9">J8/I8</f>
        <v>83.333333333333329</v>
      </c>
      <c r="L8" s="125">
        <v>18</v>
      </c>
      <c r="M8" s="10">
        <f t="shared" ref="M8:M12" si="10">F8/V8*60</f>
        <v>1338.8429752066118</v>
      </c>
      <c r="N8" s="9">
        <f t="shared" ref="N8:N12" si="11">M8/L8</f>
        <v>74.380165289256212</v>
      </c>
      <c r="O8" s="11">
        <f t="shared" ref="O8:O12" si="12">L8-I8</f>
        <v>0</v>
      </c>
      <c r="P8" s="12">
        <f>N8-K8</f>
        <v>-8.9531680440771169</v>
      </c>
      <c r="Q8" s="120">
        <f>N8/K8</f>
        <v>0.89256198347107463</v>
      </c>
      <c r="R8" s="470">
        <f>Q13</f>
        <v>0.89316925462432262</v>
      </c>
      <c r="S8" s="24">
        <v>0.13055555555555556</v>
      </c>
      <c r="T8" s="24">
        <v>0.21458333333333335</v>
      </c>
      <c r="U8" s="119"/>
      <c r="V8" s="126">
        <f t="shared" ref="V8:V12" si="13">(T8-S8)*24*60</f>
        <v>121</v>
      </c>
      <c r="W8" s="9"/>
      <c r="X8" s="9"/>
      <c r="Y8" s="456"/>
      <c r="Z8" s="456"/>
      <c r="AA8" s="11">
        <f t="shared" si="2"/>
        <v>-161.15702479338825</v>
      </c>
      <c r="AB8" s="120">
        <f>M8/J8</f>
        <v>0.89256198347107452</v>
      </c>
      <c r="AC8" s="470">
        <f>AB13</f>
        <v>0.89316925462432273</v>
      </c>
    </row>
    <row r="9" spans="1:29" ht="15.75" customHeight="1">
      <c r="A9" s="467" t="s">
        <v>5</v>
      </c>
      <c r="B9" s="26" t="s">
        <v>15</v>
      </c>
      <c r="C9" s="468" t="s">
        <v>17</v>
      </c>
      <c r="D9" s="469"/>
      <c r="E9" s="26">
        <v>39.799999999999997</v>
      </c>
      <c r="F9" s="127">
        <v>4000</v>
      </c>
      <c r="G9" s="119">
        <f t="shared" si="8"/>
        <v>159200</v>
      </c>
      <c r="H9" s="76">
        <v>2</v>
      </c>
      <c r="I9" s="125">
        <v>19</v>
      </c>
      <c r="J9" s="18">
        <v>1500</v>
      </c>
      <c r="K9" s="9">
        <f t="shared" si="9"/>
        <v>78.94736842105263</v>
      </c>
      <c r="L9" s="125">
        <v>19</v>
      </c>
      <c r="M9" s="10">
        <f t="shared" si="10"/>
        <v>1340.7821229050278</v>
      </c>
      <c r="N9" s="9">
        <f t="shared" si="11"/>
        <v>70.567480152896195</v>
      </c>
      <c r="O9" s="11">
        <f t="shared" si="12"/>
        <v>0</v>
      </c>
      <c r="P9" s="12">
        <f t="shared" ref="P9:P12" si="14">N9-K9</f>
        <v>-8.3798882681564351</v>
      </c>
      <c r="Q9" s="120">
        <f t="shared" ref="Q9:Q12" si="15">N9/K9</f>
        <v>0.89385474860335179</v>
      </c>
      <c r="R9" s="470"/>
      <c r="S9" s="24">
        <v>0.23749999999999999</v>
      </c>
      <c r="T9" s="24">
        <v>0.36180555555555555</v>
      </c>
      <c r="U9" s="119">
        <f>(S9-T8)*24*60</f>
        <v>32.999999999999964</v>
      </c>
      <c r="V9" s="126">
        <f t="shared" si="13"/>
        <v>179</v>
      </c>
      <c r="W9" s="14"/>
      <c r="X9" s="14"/>
      <c r="Y9" s="456"/>
      <c r="Z9" s="456"/>
      <c r="AA9" s="11">
        <f t="shared" si="2"/>
        <v>-159.21787709497221</v>
      </c>
      <c r="AB9" s="120">
        <f t="shared" ref="AB9:AB27" si="16">M9/J9</f>
        <v>0.8938547486033519</v>
      </c>
      <c r="AC9" s="470"/>
    </row>
    <row r="10" spans="1:29" ht="15.75" customHeight="1">
      <c r="A10" s="467" t="s">
        <v>5</v>
      </c>
      <c r="B10" s="26" t="s">
        <v>15</v>
      </c>
      <c r="C10" s="468" t="s">
        <v>54</v>
      </c>
      <c r="D10" s="469"/>
      <c r="E10" s="26">
        <v>39.29</v>
      </c>
      <c r="F10" s="127">
        <v>3790</v>
      </c>
      <c r="G10" s="119">
        <f t="shared" si="8"/>
        <v>148909.1</v>
      </c>
      <c r="H10" s="76" t="s">
        <v>57</v>
      </c>
      <c r="I10" s="125">
        <v>18</v>
      </c>
      <c r="J10" s="18">
        <v>1500</v>
      </c>
      <c r="K10" s="9">
        <f t="shared" si="9"/>
        <v>83.333333333333329</v>
      </c>
      <c r="L10" s="125">
        <v>18</v>
      </c>
      <c r="M10" s="10">
        <f t="shared" si="10"/>
        <v>1337.6470588235291</v>
      </c>
      <c r="N10" s="9">
        <f t="shared" si="11"/>
        <v>74.313725490196063</v>
      </c>
      <c r="O10" s="11">
        <f t="shared" si="12"/>
        <v>0</v>
      </c>
      <c r="P10" s="12">
        <f t="shared" si="14"/>
        <v>-9.0196078431372655</v>
      </c>
      <c r="Q10" s="120">
        <f t="shared" si="15"/>
        <v>0.89176470588235279</v>
      </c>
      <c r="R10" s="470"/>
      <c r="S10" s="24">
        <v>0.37013888888888885</v>
      </c>
      <c r="T10" s="24">
        <v>0.48819444444444443</v>
      </c>
      <c r="U10" s="119">
        <f t="shared" ref="U10:U12" si="17">(S10-T9)*24*60</f>
        <v>11.999999999999957</v>
      </c>
      <c r="V10" s="126">
        <f t="shared" si="13"/>
        <v>170.00000000000003</v>
      </c>
      <c r="W10" s="14"/>
      <c r="X10" s="14"/>
      <c r="Y10" s="456"/>
      <c r="Z10" s="456"/>
      <c r="AA10" s="11">
        <f t="shared" si="2"/>
        <v>-162.35294117647095</v>
      </c>
      <c r="AB10" s="120">
        <f t="shared" si="16"/>
        <v>0.89176470588235268</v>
      </c>
      <c r="AC10" s="470"/>
    </row>
    <row r="11" spans="1:29" ht="15.75" customHeight="1">
      <c r="A11" s="467" t="s">
        <v>5</v>
      </c>
      <c r="B11" s="26" t="s">
        <v>15</v>
      </c>
      <c r="C11" s="468" t="s">
        <v>17</v>
      </c>
      <c r="D11" s="469"/>
      <c r="E11" s="26">
        <v>39.799999999999997</v>
      </c>
      <c r="F11" s="127">
        <v>2507</v>
      </c>
      <c r="G11" s="119">
        <f t="shared" si="8"/>
        <v>99778.599999999991</v>
      </c>
      <c r="H11" s="76" t="s">
        <v>57</v>
      </c>
      <c r="I11" s="125">
        <v>19</v>
      </c>
      <c r="J11" s="18">
        <v>1500</v>
      </c>
      <c r="K11" s="9">
        <f t="shared" si="9"/>
        <v>78.94736842105263</v>
      </c>
      <c r="L11" s="125">
        <v>19</v>
      </c>
      <c r="M11" s="10">
        <f t="shared" si="10"/>
        <v>1343.0357142857133</v>
      </c>
      <c r="N11" s="9">
        <f t="shared" si="11"/>
        <v>70.686090225563859</v>
      </c>
      <c r="O11" s="11">
        <f t="shared" si="12"/>
        <v>0</v>
      </c>
      <c r="P11" s="12">
        <f t="shared" si="14"/>
        <v>-8.2612781954887708</v>
      </c>
      <c r="Q11" s="120">
        <f t="shared" si="15"/>
        <v>0.89535714285714219</v>
      </c>
      <c r="R11" s="470"/>
      <c r="S11" s="24">
        <v>0.52777777777777779</v>
      </c>
      <c r="T11" s="24">
        <v>0.60555555555555562</v>
      </c>
      <c r="U11" s="119">
        <f t="shared" si="17"/>
        <v>57.000000000000036</v>
      </c>
      <c r="V11" s="126">
        <f t="shared" si="13"/>
        <v>112.00000000000009</v>
      </c>
      <c r="W11" s="14"/>
      <c r="X11" s="14"/>
      <c r="Y11" s="456"/>
      <c r="Z11" s="456"/>
      <c r="AA11" s="11">
        <f t="shared" si="2"/>
        <v>-156.96428571428669</v>
      </c>
      <c r="AB11" s="120">
        <f t="shared" si="16"/>
        <v>0.89535714285714219</v>
      </c>
      <c r="AC11" s="470"/>
    </row>
    <row r="12" spans="1:29" ht="15.75" customHeight="1">
      <c r="A12" s="467" t="s">
        <v>5</v>
      </c>
      <c r="B12" s="26" t="s">
        <v>15</v>
      </c>
      <c r="C12" s="468" t="s">
        <v>16</v>
      </c>
      <c r="D12" s="469"/>
      <c r="E12" s="26">
        <v>39.619999999999997</v>
      </c>
      <c r="F12" s="127">
        <v>2030</v>
      </c>
      <c r="G12" s="119">
        <f t="shared" si="8"/>
        <v>80428.599999999991</v>
      </c>
      <c r="H12" s="76" t="s">
        <v>57</v>
      </c>
      <c r="I12" s="125">
        <v>18</v>
      </c>
      <c r="J12" s="18">
        <v>1500</v>
      </c>
      <c r="K12" s="9">
        <f t="shared" si="9"/>
        <v>83.333333333333329</v>
      </c>
      <c r="L12" s="125">
        <v>18</v>
      </c>
      <c r="M12" s="10">
        <f t="shared" si="10"/>
        <v>1338.4615384615383</v>
      </c>
      <c r="N12" s="9">
        <f t="shared" si="11"/>
        <v>74.358974358974351</v>
      </c>
      <c r="O12" s="11">
        <f t="shared" si="12"/>
        <v>0</v>
      </c>
      <c r="P12" s="12">
        <f t="shared" si="14"/>
        <v>-8.974358974358978</v>
      </c>
      <c r="Q12" s="120">
        <f t="shared" si="15"/>
        <v>0.89230769230769225</v>
      </c>
      <c r="R12" s="470"/>
      <c r="S12" s="24">
        <v>0.60902777777777783</v>
      </c>
      <c r="T12" s="24">
        <v>0.67222222222222228</v>
      </c>
      <c r="U12" s="119">
        <f t="shared" si="17"/>
        <v>4.9999999999999822</v>
      </c>
      <c r="V12" s="126">
        <f t="shared" si="13"/>
        <v>91</v>
      </c>
      <c r="W12" s="14"/>
      <c r="X12" s="14"/>
      <c r="Y12" s="473"/>
      <c r="Z12" s="474"/>
      <c r="AA12" s="11">
        <f t="shared" si="2"/>
        <v>-161.53846153846166</v>
      </c>
      <c r="AB12" s="120">
        <f t="shared" si="16"/>
        <v>0.89230769230769225</v>
      </c>
      <c r="AC12" s="470"/>
    </row>
    <row r="13" spans="1:29" ht="16.5" customHeight="1">
      <c r="A13" s="467" t="s">
        <v>5</v>
      </c>
      <c r="B13" s="26" t="s">
        <v>434</v>
      </c>
      <c r="C13" s="466"/>
      <c r="D13" s="466"/>
      <c r="E13" s="121"/>
      <c r="F13" s="18"/>
      <c r="G13" s="10"/>
      <c r="H13" s="127"/>
      <c r="I13" s="17">
        <v>18.399999999999999</v>
      </c>
      <c r="J13" s="18">
        <v>1500</v>
      </c>
      <c r="K13" s="9">
        <f>J13/I13</f>
        <v>81.521739130434796</v>
      </c>
      <c r="L13" s="17">
        <v>18.399999999999999</v>
      </c>
      <c r="M13" s="10">
        <f>AVERAGE(M8:M12)</f>
        <v>1339.753881936484</v>
      </c>
      <c r="N13" s="9">
        <f>M13/L13</f>
        <v>72.812710974808923</v>
      </c>
      <c r="O13" s="11">
        <f>L13-I13</f>
        <v>0</v>
      </c>
      <c r="P13" s="12">
        <f>N13-K13</f>
        <v>-8.7090281556258731</v>
      </c>
      <c r="Q13" s="120">
        <f>N13/K13</f>
        <v>0.89316925462432262</v>
      </c>
      <c r="R13" s="470"/>
      <c r="S13" s="24"/>
      <c r="T13" s="24"/>
      <c r="U13" s="9"/>
      <c r="V13" s="126"/>
      <c r="W13" s="9"/>
      <c r="X13" s="9"/>
      <c r="Y13" s="456"/>
      <c r="Z13" s="456"/>
      <c r="AA13" s="11">
        <f t="shared" si="2"/>
        <v>-160.24611806351595</v>
      </c>
      <c r="AB13" s="120">
        <f t="shared" si="16"/>
        <v>0.89316925462432273</v>
      </c>
      <c r="AC13" s="470"/>
    </row>
    <row r="14" spans="1:29" ht="16.5" customHeight="1">
      <c r="A14" s="480" t="s">
        <v>436</v>
      </c>
      <c r="B14" s="127" t="s">
        <v>15</v>
      </c>
      <c r="C14" s="477" t="s">
        <v>20</v>
      </c>
      <c r="D14" s="477"/>
      <c r="E14" s="26">
        <v>46</v>
      </c>
      <c r="F14" s="127">
        <v>3449</v>
      </c>
      <c r="G14" s="119">
        <f t="shared" ref="G14:G18" si="18">E14*F14</f>
        <v>158654</v>
      </c>
      <c r="H14" s="76" t="s">
        <v>57</v>
      </c>
      <c r="I14" s="125">
        <v>17</v>
      </c>
      <c r="J14" s="18">
        <v>1500</v>
      </c>
      <c r="K14" s="9">
        <f>J14/I14</f>
        <v>88.235294117647058</v>
      </c>
      <c r="L14" s="125">
        <v>17</v>
      </c>
      <c r="M14" s="10">
        <f>F14/V14*60</f>
        <v>1343.7662337662334</v>
      </c>
      <c r="N14" s="9">
        <f t="shared" ref="N14:N26" si="19">M14/L14</f>
        <v>79.045072574484323</v>
      </c>
      <c r="O14" s="11">
        <f t="shared" ref="O14" si="20">L14-I14</f>
        <v>0</v>
      </c>
      <c r="P14" s="12">
        <f t="shared" ref="P14" si="21">N14-K14</f>
        <v>-9.1902215431627354</v>
      </c>
      <c r="Q14" s="120">
        <f>N14/K14</f>
        <v>0.89584415584415567</v>
      </c>
      <c r="R14" s="470">
        <f>Q19</f>
        <v>0.8926343551956869</v>
      </c>
      <c r="S14" s="24">
        <v>0.16666666666666666</v>
      </c>
      <c r="T14" s="24">
        <v>0.27361111111111114</v>
      </c>
      <c r="U14" s="119"/>
      <c r="V14" s="126">
        <f>(T14-S14)*24*60</f>
        <v>154.00000000000003</v>
      </c>
      <c r="W14" s="15"/>
      <c r="X14" s="15"/>
      <c r="Y14" s="456"/>
      <c r="Z14" s="456"/>
      <c r="AA14" s="11">
        <f t="shared" si="2"/>
        <v>-156.23376623376657</v>
      </c>
      <c r="AB14" s="120">
        <f t="shared" si="16"/>
        <v>0.89584415584415567</v>
      </c>
      <c r="AC14" s="470">
        <f>AB19</f>
        <v>0.89263435519568679</v>
      </c>
    </row>
    <row r="15" spans="1:29" ht="16.5" customHeight="1">
      <c r="A15" s="481" t="s">
        <v>6</v>
      </c>
      <c r="B15" s="127" t="s">
        <v>15</v>
      </c>
      <c r="C15" s="477" t="s">
        <v>75</v>
      </c>
      <c r="D15" s="477"/>
      <c r="E15" s="26">
        <v>46</v>
      </c>
      <c r="F15" s="127">
        <v>4291</v>
      </c>
      <c r="G15" s="119">
        <f t="shared" si="18"/>
        <v>197386</v>
      </c>
      <c r="H15" s="76" t="s">
        <v>57</v>
      </c>
      <c r="I15" s="125">
        <v>20</v>
      </c>
      <c r="J15" s="18">
        <v>1500</v>
      </c>
      <c r="K15" s="9">
        <f>J15/I15</f>
        <v>75</v>
      </c>
      <c r="L15" s="125">
        <v>20</v>
      </c>
      <c r="M15" s="10">
        <f>F15/V15*60</f>
        <v>1340.9374999999998</v>
      </c>
      <c r="N15" s="9">
        <f t="shared" si="19"/>
        <v>67.046874999999986</v>
      </c>
      <c r="O15" s="11">
        <f>L15-I15</f>
        <v>0</v>
      </c>
      <c r="P15" s="12">
        <f>N15-K15</f>
        <v>-7.9531250000000142</v>
      </c>
      <c r="Q15" s="120">
        <f>N15/K15</f>
        <v>0.89395833333333319</v>
      </c>
      <c r="R15" s="470"/>
      <c r="S15" s="24">
        <v>0.29444444444444445</v>
      </c>
      <c r="T15" s="24">
        <v>0.42777777777777781</v>
      </c>
      <c r="U15" s="119">
        <f>(S15-T14)*24*60</f>
        <v>29.999999999999972</v>
      </c>
      <c r="V15" s="126">
        <f>(T15-S15)*24*60</f>
        <v>192.00000000000003</v>
      </c>
      <c r="W15" s="14"/>
      <c r="X15" s="14"/>
      <c r="Y15" s="456"/>
      <c r="Z15" s="456"/>
      <c r="AA15" s="11">
        <f t="shared" si="2"/>
        <v>-159.06250000000023</v>
      </c>
      <c r="AB15" s="120">
        <f t="shared" si="16"/>
        <v>0.89395833333333319</v>
      </c>
      <c r="AC15" s="470"/>
    </row>
    <row r="16" spans="1:29" ht="16.5" customHeight="1">
      <c r="A16" s="481" t="s">
        <v>6</v>
      </c>
      <c r="B16" s="127" t="s">
        <v>15</v>
      </c>
      <c r="C16" s="477" t="s">
        <v>68</v>
      </c>
      <c r="D16" s="477"/>
      <c r="E16" s="26">
        <v>39.29</v>
      </c>
      <c r="F16" s="127">
        <v>2672</v>
      </c>
      <c r="G16" s="119">
        <f t="shared" si="18"/>
        <v>104982.88</v>
      </c>
      <c r="H16" s="76" t="s">
        <v>57</v>
      </c>
      <c r="I16" s="125">
        <v>19</v>
      </c>
      <c r="J16" s="18">
        <v>1500</v>
      </c>
      <c r="K16" s="9">
        <f t="shared" ref="K16:K18" si="22">J16/I16</f>
        <v>78.94736842105263</v>
      </c>
      <c r="L16" s="125">
        <v>19</v>
      </c>
      <c r="M16" s="10">
        <f t="shared" ref="M16:M18" si="23">F16/V16*60</f>
        <v>1335.9999999999993</v>
      </c>
      <c r="N16" s="9">
        <f t="shared" si="19"/>
        <v>70.315789473684177</v>
      </c>
      <c r="O16" s="11">
        <f t="shared" ref="O16:O18" si="24">L16-I16</f>
        <v>0</v>
      </c>
      <c r="P16" s="12">
        <f t="shared" ref="P16:P18" si="25">N16-K16</f>
        <v>-8.6315789473684532</v>
      </c>
      <c r="Q16" s="120">
        <f t="shared" ref="Q16:Q26" si="26">N16/K16</f>
        <v>0.89066666666666627</v>
      </c>
      <c r="R16" s="470"/>
      <c r="S16" s="24">
        <v>0.4375</v>
      </c>
      <c r="T16" s="24">
        <v>0.52083333333333337</v>
      </c>
      <c r="U16" s="119">
        <f t="shared" ref="U16:U18" si="27">(S16-T15)*24*60</f>
        <v>13.99999999999995</v>
      </c>
      <c r="V16" s="126">
        <f t="shared" ref="V16:V18" si="28">(T16-S16)*24*60</f>
        <v>120.00000000000006</v>
      </c>
      <c r="W16" s="14"/>
      <c r="X16" s="14"/>
      <c r="Y16" s="456"/>
      <c r="Z16" s="456"/>
      <c r="AA16" s="11">
        <f t="shared" si="2"/>
        <v>-164.00000000000068</v>
      </c>
      <c r="AB16" s="120">
        <f t="shared" si="16"/>
        <v>0.89066666666666616</v>
      </c>
      <c r="AC16" s="470"/>
    </row>
    <row r="17" spans="1:29" ht="16.5" customHeight="1">
      <c r="A17" s="481" t="s">
        <v>6</v>
      </c>
      <c r="B17" s="127" t="s">
        <v>13</v>
      </c>
      <c r="C17" s="477" t="s">
        <v>63</v>
      </c>
      <c r="D17" s="477"/>
      <c r="E17" s="26">
        <v>50.98</v>
      </c>
      <c r="F17" s="127">
        <v>2859</v>
      </c>
      <c r="G17" s="119">
        <f t="shared" si="18"/>
        <v>145751.81999999998</v>
      </c>
      <c r="H17" s="76" t="s">
        <v>57</v>
      </c>
      <c r="I17" s="125">
        <v>17</v>
      </c>
      <c r="J17" s="18">
        <v>1800</v>
      </c>
      <c r="K17" s="9">
        <f t="shared" si="22"/>
        <v>105.88235294117646</v>
      </c>
      <c r="L17" s="125">
        <v>17</v>
      </c>
      <c r="M17" s="10">
        <f t="shared" si="23"/>
        <v>1603.1775700934588</v>
      </c>
      <c r="N17" s="9">
        <f t="shared" si="19"/>
        <v>94.304562946674054</v>
      </c>
      <c r="O17" s="11">
        <f t="shared" si="24"/>
        <v>0</v>
      </c>
      <c r="P17" s="12">
        <f t="shared" si="25"/>
        <v>-11.57778999450241</v>
      </c>
      <c r="Q17" s="120">
        <f t="shared" si="26"/>
        <v>0.89065420560747721</v>
      </c>
      <c r="R17" s="470"/>
      <c r="S17" s="24">
        <v>0.70833333333333337</v>
      </c>
      <c r="T17" s="24">
        <v>0.78263888888888888</v>
      </c>
      <c r="U17" s="119">
        <f t="shared" si="27"/>
        <v>270</v>
      </c>
      <c r="V17" s="126">
        <f t="shared" si="28"/>
        <v>106.99999999999994</v>
      </c>
      <c r="W17" s="14"/>
      <c r="X17" s="14"/>
      <c r="Y17" s="456"/>
      <c r="Z17" s="456"/>
      <c r="AA17" s="11">
        <f t="shared" si="2"/>
        <v>-196.82242990654117</v>
      </c>
      <c r="AB17" s="120">
        <f t="shared" si="16"/>
        <v>0.8906542056074771</v>
      </c>
      <c r="AC17" s="470"/>
    </row>
    <row r="18" spans="1:29" ht="16.5" customHeight="1">
      <c r="A18" s="481" t="s">
        <v>6</v>
      </c>
      <c r="B18" s="127" t="s">
        <v>13</v>
      </c>
      <c r="C18" s="477" t="s">
        <v>66</v>
      </c>
      <c r="D18" s="477"/>
      <c r="E18" s="26">
        <v>57.73</v>
      </c>
      <c r="F18" s="127">
        <v>2008</v>
      </c>
      <c r="G18" s="119">
        <f t="shared" si="18"/>
        <v>115921.84</v>
      </c>
      <c r="H18" s="76" t="s">
        <v>57</v>
      </c>
      <c r="I18" s="125">
        <v>15</v>
      </c>
      <c r="J18" s="18">
        <v>1500</v>
      </c>
      <c r="K18" s="9">
        <f t="shared" si="22"/>
        <v>100</v>
      </c>
      <c r="L18" s="125">
        <v>15</v>
      </c>
      <c r="M18" s="10">
        <f t="shared" si="23"/>
        <v>1338.6666666666665</v>
      </c>
      <c r="N18" s="9">
        <f t="shared" si="19"/>
        <v>89.24444444444444</v>
      </c>
      <c r="O18" s="11">
        <f t="shared" si="24"/>
        <v>0</v>
      </c>
      <c r="P18" s="12">
        <f t="shared" si="25"/>
        <v>-10.75555555555556</v>
      </c>
      <c r="Q18" s="120">
        <f t="shared" si="26"/>
        <v>0.89244444444444437</v>
      </c>
      <c r="R18" s="470"/>
      <c r="S18" s="24">
        <v>0.78680555555555554</v>
      </c>
      <c r="T18" s="24">
        <v>0.84930555555555554</v>
      </c>
      <c r="U18" s="119">
        <f t="shared" si="27"/>
        <v>5.9999999999999787</v>
      </c>
      <c r="V18" s="126">
        <f t="shared" si="28"/>
        <v>90</v>
      </c>
      <c r="W18" s="14"/>
      <c r="X18" s="14"/>
      <c r="Y18" s="456"/>
      <c r="Z18" s="456"/>
      <c r="AA18" s="11">
        <f t="shared" si="2"/>
        <v>-161.33333333333348</v>
      </c>
      <c r="AB18" s="120">
        <f t="shared" si="16"/>
        <v>0.89244444444444437</v>
      </c>
      <c r="AC18" s="470"/>
    </row>
    <row r="19" spans="1:29" ht="16.5" customHeight="1">
      <c r="A19" s="481" t="s">
        <v>6</v>
      </c>
      <c r="B19" s="26" t="s">
        <v>434</v>
      </c>
      <c r="C19" s="466"/>
      <c r="D19" s="466"/>
      <c r="E19" s="121"/>
      <c r="F19" s="16"/>
      <c r="G19" s="9"/>
      <c r="H19" s="127"/>
      <c r="I19" s="17">
        <v>17.600000000000001</v>
      </c>
      <c r="J19" s="18">
        <v>1560</v>
      </c>
      <c r="K19" s="9">
        <f>J19/I19</f>
        <v>88.636363636363626</v>
      </c>
      <c r="L19" s="17">
        <v>17.600000000000001</v>
      </c>
      <c r="M19" s="10">
        <f>AVERAGE(M14:M18)</f>
        <v>1392.5095941052714</v>
      </c>
      <c r="N19" s="9">
        <f t="shared" si="19"/>
        <v>79.119863301435871</v>
      </c>
      <c r="O19" s="11">
        <f>L19-I19</f>
        <v>0</v>
      </c>
      <c r="P19" s="12">
        <f>N19-K19</f>
        <v>-9.5165003349277555</v>
      </c>
      <c r="Q19" s="120">
        <f t="shared" si="26"/>
        <v>0.8926343551956869</v>
      </c>
      <c r="R19" s="470"/>
      <c r="S19" s="24"/>
      <c r="T19" s="24"/>
      <c r="U19" s="119"/>
      <c r="V19" s="126"/>
      <c r="W19" s="9"/>
      <c r="X19" s="9"/>
      <c r="Y19" s="456"/>
      <c r="Z19" s="456"/>
      <c r="AA19" s="11">
        <f t="shared" si="2"/>
        <v>-167.49040589472861</v>
      </c>
      <c r="AB19" s="120">
        <f t="shared" si="16"/>
        <v>0.89263435519568679</v>
      </c>
      <c r="AC19" s="470"/>
    </row>
    <row r="20" spans="1:29" ht="15.75" customHeight="1">
      <c r="A20" s="478" t="s">
        <v>437</v>
      </c>
      <c r="B20" s="26" t="s">
        <v>21</v>
      </c>
      <c r="C20" s="477" t="s">
        <v>22</v>
      </c>
      <c r="D20" s="477"/>
      <c r="E20" s="26">
        <v>43.14</v>
      </c>
      <c r="F20" s="127">
        <v>1470</v>
      </c>
      <c r="G20" s="119">
        <f t="shared" ref="G20:G26" si="29">E20*F20</f>
        <v>63415.8</v>
      </c>
      <c r="H20" s="76" t="s">
        <v>57</v>
      </c>
      <c r="I20" s="125">
        <v>17</v>
      </c>
      <c r="J20" s="18">
        <v>1200</v>
      </c>
      <c r="K20" s="9">
        <f t="shared" ref="K20:K27" si="30">J20/I20</f>
        <v>70.588235294117652</v>
      </c>
      <c r="L20" s="125">
        <v>17</v>
      </c>
      <c r="M20" s="10">
        <f t="shared" ref="M20:M26" si="31">F20/V20*60</f>
        <v>1075.6097560975606</v>
      </c>
      <c r="N20" s="9">
        <f t="shared" si="19"/>
        <v>63.27116212338592</v>
      </c>
      <c r="O20" s="11">
        <f t="shared" ref="O20:O26" si="32">L20-I20</f>
        <v>0</v>
      </c>
      <c r="P20" s="12">
        <f t="shared" ref="P20:P26" si="33">N20-K20</f>
        <v>-7.3170731707317316</v>
      </c>
      <c r="Q20" s="120">
        <f t="shared" si="26"/>
        <v>0.89634146341463383</v>
      </c>
      <c r="R20" s="470">
        <f>Q27</f>
        <v>0.89801335230465773</v>
      </c>
      <c r="S20" s="24">
        <v>0.25</v>
      </c>
      <c r="T20" s="24">
        <v>0.30694444444444446</v>
      </c>
      <c r="U20" s="119"/>
      <c r="V20" s="126">
        <f>(T20-S20)*24*60</f>
        <v>82.000000000000028</v>
      </c>
      <c r="W20" s="15"/>
      <c r="X20" s="15"/>
      <c r="Y20" s="456"/>
      <c r="Z20" s="456"/>
      <c r="AA20" s="11">
        <f t="shared" si="2"/>
        <v>-124.39024390243935</v>
      </c>
      <c r="AB20" s="120">
        <f t="shared" si="16"/>
        <v>0.89634146341463383</v>
      </c>
      <c r="AC20" s="470">
        <f>AB27</f>
        <v>0.89801335230465773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127">
        <v>2889</v>
      </c>
      <c r="G21" s="119">
        <f t="shared" si="29"/>
        <v>166781.97</v>
      </c>
      <c r="H21" s="76" t="s">
        <v>57</v>
      </c>
      <c r="I21" s="125">
        <v>16</v>
      </c>
      <c r="J21" s="18">
        <v>1800</v>
      </c>
      <c r="K21" s="9">
        <f t="shared" si="30"/>
        <v>112.5</v>
      </c>
      <c r="L21" s="125">
        <v>16</v>
      </c>
      <c r="M21" s="10">
        <f t="shared" si="31"/>
        <v>1604.9999999999998</v>
      </c>
      <c r="N21" s="9">
        <f t="shared" si="19"/>
        <v>100.31249999999999</v>
      </c>
      <c r="O21" s="11">
        <f t="shared" si="32"/>
        <v>0</v>
      </c>
      <c r="P21" s="12">
        <f t="shared" si="33"/>
        <v>-12.187500000000014</v>
      </c>
      <c r="Q21" s="120">
        <f t="shared" si="26"/>
        <v>0.8916666666666665</v>
      </c>
      <c r="R21" s="470"/>
      <c r="S21" s="24">
        <v>0.31041666666666667</v>
      </c>
      <c r="T21" s="24">
        <v>0.38541666666666669</v>
      </c>
      <c r="U21" s="119">
        <f>(S21-T20)*24*60</f>
        <v>4.9999999999999822</v>
      </c>
      <c r="V21" s="126">
        <f t="shared" ref="V21:V26" si="34">(T21-S21)*24*60</f>
        <v>108.00000000000001</v>
      </c>
      <c r="W21" s="14"/>
      <c r="X21" s="119"/>
      <c r="Y21" s="456"/>
      <c r="Z21" s="456"/>
      <c r="AA21" s="11">
        <f t="shared" si="2"/>
        <v>-195.00000000000023</v>
      </c>
      <c r="AB21" s="120">
        <f t="shared" si="16"/>
        <v>0.8916666666666665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127">
        <v>2202</v>
      </c>
      <c r="G22" s="119">
        <f t="shared" si="29"/>
        <v>118203.36</v>
      </c>
      <c r="H22" s="76" t="s">
        <v>57</v>
      </c>
      <c r="I22" s="125">
        <v>17</v>
      </c>
      <c r="J22" s="18">
        <v>1800</v>
      </c>
      <c r="K22" s="9">
        <f t="shared" si="30"/>
        <v>105.88235294117646</v>
      </c>
      <c r="L22" s="125">
        <v>17</v>
      </c>
      <c r="M22" s="10">
        <f t="shared" si="31"/>
        <v>1611.2195121951213</v>
      </c>
      <c r="N22" s="9">
        <f t="shared" si="19"/>
        <v>94.777618364418899</v>
      </c>
      <c r="O22" s="11">
        <f t="shared" si="32"/>
        <v>0</v>
      </c>
      <c r="P22" s="12">
        <f t="shared" si="33"/>
        <v>-11.104734576757565</v>
      </c>
      <c r="Q22" s="120">
        <f t="shared" si="26"/>
        <v>0.89512195121951188</v>
      </c>
      <c r="R22" s="470"/>
      <c r="S22" s="24">
        <v>0.39027777777777778</v>
      </c>
      <c r="T22" s="24">
        <v>0.44722222222222224</v>
      </c>
      <c r="U22" s="119">
        <f t="shared" ref="U22:U26" si="35">(S22-T21)*24*60</f>
        <v>6.9999999999999751</v>
      </c>
      <c r="V22" s="126">
        <f t="shared" si="34"/>
        <v>82.000000000000028</v>
      </c>
      <c r="W22" s="14"/>
      <c r="X22" s="119"/>
      <c r="Y22" s="456"/>
      <c r="Z22" s="456"/>
      <c r="AA22" s="11">
        <f t="shared" si="2"/>
        <v>-188.7804878048787</v>
      </c>
      <c r="AB22" s="120">
        <f t="shared" si="16"/>
        <v>0.89512195121951188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127">
        <v>1482</v>
      </c>
      <c r="G23" s="119">
        <f t="shared" si="29"/>
        <v>75092.94</v>
      </c>
      <c r="H23" s="76" t="s">
        <v>57</v>
      </c>
      <c r="I23" s="125">
        <v>19</v>
      </c>
      <c r="J23" s="18">
        <v>1800</v>
      </c>
      <c r="K23" s="9">
        <f t="shared" si="30"/>
        <v>94.736842105263165</v>
      </c>
      <c r="L23" s="125">
        <v>19</v>
      </c>
      <c r="M23" s="10">
        <f t="shared" si="31"/>
        <v>1616.7272727272739</v>
      </c>
      <c r="N23" s="9">
        <f t="shared" si="19"/>
        <v>85.09090909090915</v>
      </c>
      <c r="O23" s="11">
        <f t="shared" si="32"/>
        <v>0</v>
      </c>
      <c r="P23" s="12">
        <f t="shared" si="33"/>
        <v>-9.6459330143540143</v>
      </c>
      <c r="Q23" s="120">
        <f t="shared" si="26"/>
        <v>0.89818181818181875</v>
      </c>
      <c r="R23" s="470"/>
      <c r="S23" s="24">
        <v>0.45069444444444445</v>
      </c>
      <c r="T23" s="24">
        <v>0.48888888888888887</v>
      </c>
      <c r="U23" s="119">
        <f t="shared" si="35"/>
        <v>4.9999999999999822</v>
      </c>
      <c r="V23" s="126">
        <f t="shared" si="34"/>
        <v>54.999999999999964</v>
      </c>
      <c r="W23" s="14"/>
      <c r="X23" s="119"/>
      <c r="Y23" s="456"/>
      <c r="Z23" s="456"/>
      <c r="AA23" s="11">
        <f t="shared" si="2"/>
        <v>-183.27272727272612</v>
      </c>
      <c r="AB23" s="120">
        <f t="shared" si="16"/>
        <v>0.89818181818181886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127">
        <v>3210</v>
      </c>
      <c r="G24" s="119">
        <f t="shared" si="29"/>
        <v>163453.20000000001</v>
      </c>
      <c r="H24" s="76" t="s">
        <v>57</v>
      </c>
      <c r="I24" s="125">
        <v>16</v>
      </c>
      <c r="J24" s="18">
        <v>1800</v>
      </c>
      <c r="K24" s="9">
        <f t="shared" si="30"/>
        <v>112.5</v>
      </c>
      <c r="L24" s="125">
        <v>16</v>
      </c>
      <c r="M24" s="10">
        <f t="shared" si="31"/>
        <v>1604.9999999999991</v>
      </c>
      <c r="N24" s="9">
        <f t="shared" si="19"/>
        <v>100.31249999999994</v>
      </c>
      <c r="O24" s="11">
        <f t="shared" si="32"/>
        <v>0</v>
      </c>
      <c r="P24" s="12">
        <f t="shared" si="33"/>
        <v>-12.187500000000057</v>
      </c>
      <c r="Q24" s="120">
        <f t="shared" si="26"/>
        <v>0.89166666666666616</v>
      </c>
      <c r="R24" s="470"/>
      <c r="S24" s="24">
        <v>0.70833333333333337</v>
      </c>
      <c r="T24" s="24">
        <v>0.79166666666666674</v>
      </c>
      <c r="U24" s="119">
        <f t="shared" si="35"/>
        <v>316.00000000000006</v>
      </c>
      <c r="V24" s="126">
        <f t="shared" si="34"/>
        <v>120.00000000000006</v>
      </c>
      <c r="W24" s="14"/>
      <c r="X24" s="119"/>
      <c r="Y24" s="456"/>
      <c r="Z24" s="456"/>
      <c r="AA24" s="11">
        <f t="shared" si="2"/>
        <v>-195.00000000000091</v>
      </c>
      <c r="AB24" s="120">
        <f t="shared" si="16"/>
        <v>0.89166666666666616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127">
        <v>852</v>
      </c>
      <c r="G25" s="119">
        <f t="shared" si="29"/>
        <v>45386.04</v>
      </c>
      <c r="H25" s="76" t="s">
        <v>57</v>
      </c>
      <c r="I25" s="125">
        <v>15</v>
      </c>
      <c r="J25" s="18">
        <v>1800</v>
      </c>
      <c r="K25" s="9">
        <f t="shared" si="30"/>
        <v>120</v>
      </c>
      <c r="L25" s="125">
        <v>15</v>
      </c>
      <c r="M25" s="10">
        <f t="shared" si="31"/>
        <v>1649.0322580645134</v>
      </c>
      <c r="N25" s="9">
        <f t="shared" si="19"/>
        <v>109.93548387096756</v>
      </c>
      <c r="O25" s="11">
        <f t="shared" si="32"/>
        <v>0</v>
      </c>
      <c r="P25" s="12">
        <f t="shared" si="33"/>
        <v>-10.064516129032441</v>
      </c>
      <c r="Q25" s="120">
        <f t="shared" si="26"/>
        <v>0.91612903225806297</v>
      </c>
      <c r="R25" s="470"/>
      <c r="S25" s="24">
        <v>0.79583333333333339</v>
      </c>
      <c r="T25" s="24">
        <v>0.8173611111111112</v>
      </c>
      <c r="U25" s="119">
        <f t="shared" si="35"/>
        <v>5.9999999999999787</v>
      </c>
      <c r="V25" s="126">
        <f t="shared" si="34"/>
        <v>31.00000000000005</v>
      </c>
      <c r="W25" s="14"/>
      <c r="X25" s="15"/>
      <c r="Y25" s="456"/>
      <c r="Z25" s="456"/>
      <c r="AA25" s="11">
        <f t="shared" si="2"/>
        <v>-150.96774193548663</v>
      </c>
      <c r="AB25" s="120">
        <f t="shared" si="16"/>
        <v>0.91612903225806297</v>
      </c>
      <c r="AC25" s="470"/>
    </row>
    <row r="26" spans="1:29" ht="15.75" customHeight="1">
      <c r="A26" s="479" t="s">
        <v>7</v>
      </c>
      <c r="B26" s="26" t="s">
        <v>13</v>
      </c>
      <c r="C26" s="477" t="s">
        <v>61</v>
      </c>
      <c r="D26" s="477"/>
      <c r="E26" s="26">
        <v>49.91</v>
      </c>
      <c r="F26" s="127">
        <v>753</v>
      </c>
      <c r="G26" s="119">
        <f t="shared" si="29"/>
        <v>37582.229999999996</v>
      </c>
      <c r="H26" s="76" t="s">
        <v>57</v>
      </c>
      <c r="I26" s="125">
        <v>16</v>
      </c>
      <c r="J26" s="18">
        <v>1800</v>
      </c>
      <c r="K26" s="9">
        <f t="shared" si="30"/>
        <v>112.5</v>
      </c>
      <c r="L26" s="125">
        <v>16</v>
      </c>
      <c r="M26" s="10">
        <f t="shared" si="31"/>
        <v>1613.571428571425</v>
      </c>
      <c r="N26" s="9">
        <f t="shared" si="19"/>
        <v>100.84821428571406</v>
      </c>
      <c r="O26" s="11">
        <f t="shared" si="32"/>
        <v>0</v>
      </c>
      <c r="P26" s="12">
        <f t="shared" si="33"/>
        <v>-11.651785714285936</v>
      </c>
      <c r="Q26" s="120">
        <f t="shared" si="26"/>
        <v>0.89642857142856947</v>
      </c>
      <c r="R26" s="470"/>
      <c r="S26" s="24">
        <v>0.82291666666666674</v>
      </c>
      <c r="T26" s="24">
        <v>0.84236111111111123</v>
      </c>
      <c r="U26" s="119">
        <f t="shared" si="35"/>
        <v>7.9999999999999716</v>
      </c>
      <c r="V26" s="126">
        <f t="shared" si="34"/>
        <v>28.00000000000006</v>
      </c>
      <c r="W26" s="14"/>
      <c r="X26" s="15"/>
      <c r="Y26" s="473"/>
      <c r="Z26" s="474"/>
      <c r="AA26" s="11">
        <f t="shared" si="2"/>
        <v>-186.42857142857497</v>
      </c>
      <c r="AB26" s="120">
        <f t="shared" si="16"/>
        <v>0.89642857142856947</v>
      </c>
      <c r="AC26" s="470"/>
    </row>
    <row r="27" spans="1:29" ht="15.75" customHeight="1">
      <c r="A27" s="479" t="s">
        <v>7</v>
      </c>
      <c r="B27" s="26" t="s">
        <v>438</v>
      </c>
      <c r="C27" s="466"/>
      <c r="D27" s="466"/>
      <c r="E27" s="121"/>
      <c r="F27" s="127"/>
      <c r="G27" s="119"/>
      <c r="H27" s="127"/>
      <c r="I27" s="17">
        <v>16.571428571428573</v>
      </c>
      <c r="J27" s="18">
        <v>1714.2857142857142</v>
      </c>
      <c r="K27" s="9">
        <f t="shared" si="30"/>
        <v>103.44827586206895</v>
      </c>
      <c r="L27" s="17">
        <v>16.571428571428573</v>
      </c>
      <c r="M27" s="10">
        <f>AVERAGE(M20:M26)</f>
        <v>1539.451461093699</v>
      </c>
      <c r="N27" s="9">
        <f>M27/L27</f>
        <v>92.89793299703355</v>
      </c>
      <c r="O27" s="11">
        <f>L27-I27</f>
        <v>0</v>
      </c>
      <c r="P27" s="12">
        <f>N27-K27</f>
        <v>-10.550342865035404</v>
      </c>
      <c r="Q27" s="120">
        <f>N27/K27</f>
        <v>0.89801335230465773</v>
      </c>
      <c r="R27" s="470"/>
      <c r="S27" s="24"/>
      <c r="T27" s="24"/>
      <c r="U27" s="9"/>
      <c r="V27" s="126"/>
      <c r="W27" s="9"/>
      <c r="X27" s="9"/>
      <c r="Y27" s="456"/>
      <c r="Z27" s="456"/>
      <c r="AA27" s="11">
        <f t="shared" si="2"/>
        <v>-174.83425319201524</v>
      </c>
      <c r="AB27" s="120">
        <f t="shared" si="16"/>
        <v>0.89801335230465773</v>
      </c>
      <c r="AC27" s="470"/>
    </row>
    <row r="28" spans="1:29" ht="15.75" customHeight="1">
      <c r="A28" s="484" t="s">
        <v>439</v>
      </c>
      <c r="B28" s="26" t="s">
        <v>24</v>
      </c>
      <c r="C28" s="477" t="s">
        <v>25</v>
      </c>
      <c r="D28" s="477"/>
      <c r="E28" s="26">
        <v>20.52</v>
      </c>
      <c r="F28" s="127">
        <v>3100</v>
      </c>
      <c r="G28" s="119">
        <f t="shared" ref="G28:G37" si="36">E28*F28</f>
        <v>63612</v>
      </c>
      <c r="H28" s="76">
        <v>2</v>
      </c>
      <c r="I28" s="125">
        <v>20</v>
      </c>
      <c r="J28" s="18">
        <v>2400</v>
      </c>
      <c r="K28" s="9">
        <f>J28/I28</f>
        <v>120</v>
      </c>
      <c r="L28" s="125">
        <v>20</v>
      </c>
      <c r="M28" s="10">
        <f t="shared" ref="M28:M37" si="37">F28/V28*60</f>
        <v>2162.7906976744184</v>
      </c>
      <c r="N28" s="9">
        <f t="shared" ref="N28:N37" si="38">M28/L28</f>
        <v>108.13953488372093</v>
      </c>
      <c r="O28" s="11">
        <f t="shared" ref="O28:O37" si="39">L28-I28</f>
        <v>0</v>
      </c>
      <c r="P28" s="12">
        <f t="shared" ref="P28:P37" si="40">N28-K28</f>
        <v>-11.860465116279073</v>
      </c>
      <c r="Q28" s="120">
        <f t="shared" ref="Q28:Q37" si="41">N28/K28</f>
        <v>0.90116279069767435</v>
      </c>
      <c r="R28" s="470">
        <f>Q38</f>
        <v>0.89662121713173537</v>
      </c>
      <c r="S28" s="24">
        <v>0.125</v>
      </c>
      <c r="T28" s="24">
        <v>0.18472222222222223</v>
      </c>
      <c r="U28" s="119"/>
      <c r="V28" s="126">
        <f t="shared" ref="V28:V37" si="42">(T28-S28)*24*60</f>
        <v>86.000000000000014</v>
      </c>
      <c r="W28" s="14"/>
      <c r="X28" s="14"/>
      <c r="Y28" s="456"/>
      <c r="Z28" s="456"/>
      <c r="AA28" s="11">
        <f t="shared" si="2"/>
        <v>-237.20930232558158</v>
      </c>
      <c r="AB28" s="120">
        <f>M28/J28</f>
        <v>0.90116279069767435</v>
      </c>
      <c r="AC28" s="470">
        <f>AB38</f>
        <v>0.89662121713173537</v>
      </c>
    </row>
    <row r="29" spans="1:29" ht="15.75" customHeight="1">
      <c r="A29" s="484" t="s">
        <v>8</v>
      </c>
      <c r="B29" s="26" t="s">
        <v>24</v>
      </c>
      <c r="C29" s="477" t="s">
        <v>26</v>
      </c>
      <c r="D29" s="477"/>
      <c r="E29" s="26">
        <v>26.2</v>
      </c>
      <c r="F29" s="127">
        <v>3300</v>
      </c>
      <c r="G29" s="119">
        <f t="shared" si="36"/>
        <v>86460</v>
      </c>
      <c r="H29" s="76">
        <v>2</v>
      </c>
      <c r="I29" s="125">
        <v>20</v>
      </c>
      <c r="J29" s="18">
        <v>2400</v>
      </c>
      <c r="K29" s="9">
        <f t="shared" ref="K29:K38" si="43">J29/I29</f>
        <v>120</v>
      </c>
      <c r="L29" s="125">
        <v>20</v>
      </c>
      <c r="M29" s="10">
        <f t="shared" si="37"/>
        <v>2152.1739130434785</v>
      </c>
      <c r="N29" s="9">
        <f t="shared" si="38"/>
        <v>107.60869565217392</v>
      </c>
      <c r="O29" s="11">
        <f t="shared" si="39"/>
        <v>0</v>
      </c>
      <c r="P29" s="12">
        <f t="shared" si="40"/>
        <v>-12.391304347826079</v>
      </c>
      <c r="Q29" s="120">
        <f t="shared" si="41"/>
        <v>0.89673913043478271</v>
      </c>
      <c r="R29" s="470"/>
      <c r="S29" s="24">
        <v>0.20347222222222222</v>
      </c>
      <c r="T29" s="24">
        <v>0.2673611111111111</v>
      </c>
      <c r="U29" s="119">
        <f>(S29-T28)*24*60</f>
        <v>26.999999999999986</v>
      </c>
      <c r="V29" s="126">
        <f t="shared" si="42"/>
        <v>92</v>
      </c>
      <c r="W29" s="14"/>
      <c r="X29" s="14"/>
      <c r="Y29" s="456"/>
      <c r="Z29" s="456"/>
      <c r="AA29" s="11">
        <f t="shared" si="2"/>
        <v>-247.82608695652152</v>
      </c>
      <c r="AB29" s="120">
        <f t="shared" ref="AB29:AB37" si="44">M29/J29</f>
        <v>0.89673913043478271</v>
      </c>
      <c r="AC29" s="470"/>
    </row>
    <row r="30" spans="1:29" ht="15.75" customHeight="1">
      <c r="A30" s="484" t="s">
        <v>8</v>
      </c>
      <c r="B30" s="26" t="s">
        <v>24</v>
      </c>
      <c r="C30" s="477" t="s">
        <v>55</v>
      </c>
      <c r="D30" s="477"/>
      <c r="E30" s="26">
        <v>26.2</v>
      </c>
      <c r="F30" s="127">
        <v>2000</v>
      </c>
      <c r="G30" s="119">
        <f t="shared" si="36"/>
        <v>52400</v>
      </c>
      <c r="H30" s="76">
        <v>2</v>
      </c>
      <c r="I30" s="125">
        <v>21</v>
      </c>
      <c r="J30" s="18">
        <v>2400</v>
      </c>
      <c r="K30" s="9">
        <f t="shared" si="43"/>
        <v>114.28571428571429</v>
      </c>
      <c r="L30" s="125">
        <v>21</v>
      </c>
      <c r="M30" s="10">
        <f t="shared" si="37"/>
        <v>2142.8571428571413</v>
      </c>
      <c r="N30" s="9">
        <f t="shared" si="38"/>
        <v>102.04081632653053</v>
      </c>
      <c r="O30" s="11">
        <f t="shared" si="39"/>
        <v>0</v>
      </c>
      <c r="P30" s="12">
        <f t="shared" si="40"/>
        <v>-12.24489795918376</v>
      </c>
      <c r="Q30" s="120">
        <f t="shared" si="41"/>
        <v>0.89285714285714213</v>
      </c>
      <c r="R30" s="470"/>
      <c r="S30" s="24">
        <v>0.2722222222222222</v>
      </c>
      <c r="T30" s="24">
        <v>0.31111111111111112</v>
      </c>
      <c r="U30" s="119">
        <f t="shared" ref="U30:U37" si="45">(S30-T29)*24*60</f>
        <v>6.9999999999999751</v>
      </c>
      <c r="V30" s="126">
        <f t="shared" si="42"/>
        <v>56.000000000000043</v>
      </c>
      <c r="W30" s="14"/>
      <c r="X30" s="14"/>
      <c r="Y30" s="456"/>
      <c r="Z30" s="456"/>
      <c r="AA30" s="11">
        <f t="shared" si="2"/>
        <v>-257.1428571428587</v>
      </c>
      <c r="AB30" s="120">
        <f t="shared" si="44"/>
        <v>0.89285714285714224</v>
      </c>
      <c r="AC30" s="470"/>
    </row>
    <row r="31" spans="1:29" ht="15.75" customHeight="1">
      <c r="A31" s="484" t="s">
        <v>8</v>
      </c>
      <c r="B31" s="26" t="s">
        <v>24</v>
      </c>
      <c r="C31" s="477" t="s">
        <v>46</v>
      </c>
      <c r="D31" s="477"/>
      <c r="E31" s="26">
        <v>25</v>
      </c>
      <c r="F31" s="127">
        <v>3000</v>
      </c>
      <c r="G31" s="119">
        <f t="shared" si="36"/>
        <v>75000</v>
      </c>
      <c r="H31" s="76">
        <v>2</v>
      </c>
      <c r="I31" s="125">
        <v>16</v>
      </c>
      <c r="J31" s="18">
        <v>2400</v>
      </c>
      <c r="K31" s="9">
        <f t="shared" si="43"/>
        <v>150</v>
      </c>
      <c r="L31" s="125">
        <v>16</v>
      </c>
      <c r="M31" s="10">
        <f t="shared" si="37"/>
        <v>2142.8571428571422</v>
      </c>
      <c r="N31" s="9">
        <f t="shared" si="38"/>
        <v>133.92857142857139</v>
      </c>
      <c r="O31" s="11">
        <f t="shared" si="39"/>
        <v>0</v>
      </c>
      <c r="P31" s="12">
        <f t="shared" si="40"/>
        <v>-16.071428571428612</v>
      </c>
      <c r="Q31" s="120">
        <f t="shared" si="41"/>
        <v>0.89285714285714257</v>
      </c>
      <c r="R31" s="470"/>
      <c r="S31" s="24">
        <v>0.31527777777777777</v>
      </c>
      <c r="T31" s="24">
        <v>0.37361111111111112</v>
      </c>
      <c r="U31" s="119">
        <f t="shared" si="45"/>
        <v>5.9999999999999787</v>
      </c>
      <c r="V31" s="126">
        <f t="shared" si="42"/>
        <v>84.000000000000028</v>
      </c>
      <c r="W31" s="14"/>
      <c r="X31" s="14"/>
      <c r="Y31" s="456"/>
      <c r="Z31" s="456"/>
      <c r="AA31" s="11">
        <f t="shared" si="2"/>
        <v>-257.14285714285779</v>
      </c>
      <c r="AB31" s="120">
        <f t="shared" si="44"/>
        <v>0.89285714285714257</v>
      </c>
      <c r="AC31" s="470"/>
    </row>
    <row r="32" spans="1:29" ht="15.75" customHeight="1">
      <c r="A32" s="484" t="s">
        <v>8</v>
      </c>
      <c r="B32" s="26" t="s">
        <v>24</v>
      </c>
      <c r="C32" s="477" t="s">
        <v>27</v>
      </c>
      <c r="D32" s="477"/>
      <c r="E32" s="26">
        <v>20.52</v>
      </c>
      <c r="F32" s="127">
        <v>3702</v>
      </c>
      <c r="G32" s="119">
        <f t="shared" si="36"/>
        <v>75965.039999999994</v>
      </c>
      <c r="H32" s="76" t="s">
        <v>57</v>
      </c>
      <c r="I32" s="125">
        <v>18</v>
      </c>
      <c r="J32" s="18">
        <v>2400</v>
      </c>
      <c r="K32" s="9">
        <f t="shared" si="43"/>
        <v>133.33333333333334</v>
      </c>
      <c r="L32" s="125">
        <v>18</v>
      </c>
      <c r="M32" s="10">
        <f t="shared" si="37"/>
        <v>2156.5048543689331</v>
      </c>
      <c r="N32" s="9">
        <f t="shared" si="38"/>
        <v>119.80582524271851</v>
      </c>
      <c r="O32" s="11">
        <f t="shared" si="39"/>
        <v>0</v>
      </c>
      <c r="P32" s="12">
        <f t="shared" si="40"/>
        <v>-13.52750809061483</v>
      </c>
      <c r="Q32" s="120">
        <f t="shared" si="41"/>
        <v>0.89854368932038875</v>
      </c>
      <c r="R32" s="470"/>
      <c r="S32" s="24">
        <v>0.37916666666666665</v>
      </c>
      <c r="T32" s="24">
        <v>0.4506944444444444</v>
      </c>
      <c r="U32" s="119">
        <f t="shared" si="45"/>
        <v>7.9999999999999716</v>
      </c>
      <c r="V32" s="126">
        <f t="shared" si="42"/>
        <v>102.99999999999996</v>
      </c>
      <c r="W32" s="14"/>
      <c r="X32" s="14"/>
      <c r="Y32" s="456"/>
      <c r="Z32" s="456"/>
      <c r="AA32" s="11">
        <f t="shared" si="2"/>
        <v>-243.49514563106686</v>
      </c>
      <c r="AB32" s="120">
        <f t="shared" si="44"/>
        <v>0.89854368932038886</v>
      </c>
      <c r="AC32" s="470"/>
    </row>
    <row r="33" spans="1:29" ht="15.75" customHeight="1">
      <c r="A33" s="484" t="s">
        <v>8</v>
      </c>
      <c r="B33" s="26" t="s">
        <v>24</v>
      </c>
      <c r="C33" s="477" t="s">
        <v>31</v>
      </c>
      <c r="D33" s="477"/>
      <c r="E33" s="26">
        <v>24.45</v>
      </c>
      <c r="F33" s="127">
        <v>2873</v>
      </c>
      <c r="G33" s="119">
        <f t="shared" si="36"/>
        <v>70244.849999999991</v>
      </c>
      <c r="H33" s="76" t="s">
        <v>57</v>
      </c>
      <c r="I33" s="125">
        <v>20</v>
      </c>
      <c r="J33" s="18">
        <v>2400</v>
      </c>
      <c r="K33" s="9">
        <f t="shared" si="43"/>
        <v>120</v>
      </c>
      <c r="L33" s="125">
        <v>20</v>
      </c>
      <c r="M33" s="10">
        <f t="shared" si="37"/>
        <v>2154.7499999999991</v>
      </c>
      <c r="N33" s="9">
        <f t="shared" si="38"/>
        <v>107.73749999999995</v>
      </c>
      <c r="O33" s="11">
        <f t="shared" si="39"/>
        <v>0</v>
      </c>
      <c r="P33" s="12">
        <f t="shared" si="40"/>
        <v>-12.262500000000045</v>
      </c>
      <c r="Q33" s="120">
        <f t="shared" si="41"/>
        <v>0.89781249999999957</v>
      </c>
      <c r="R33" s="470"/>
      <c r="S33" s="24">
        <v>0.45416666666666661</v>
      </c>
      <c r="T33" s="24">
        <v>0.50972222222222219</v>
      </c>
      <c r="U33" s="119">
        <f t="shared" si="45"/>
        <v>4.9999999999999822</v>
      </c>
      <c r="V33" s="126">
        <f t="shared" si="42"/>
        <v>80.000000000000028</v>
      </c>
      <c r="W33" s="14"/>
      <c r="X33" s="14"/>
      <c r="Y33" s="456"/>
      <c r="Z33" s="456"/>
      <c r="AA33" s="11">
        <f t="shared" si="2"/>
        <v>-245.25000000000091</v>
      </c>
      <c r="AB33" s="120">
        <f t="shared" si="44"/>
        <v>0.89781249999999957</v>
      </c>
      <c r="AC33" s="470"/>
    </row>
    <row r="34" spans="1:29" ht="15.75" customHeight="1">
      <c r="A34" s="484" t="s">
        <v>8</v>
      </c>
      <c r="B34" s="26" t="s">
        <v>24</v>
      </c>
      <c r="C34" s="477" t="s">
        <v>55</v>
      </c>
      <c r="D34" s="477"/>
      <c r="E34" s="26">
        <v>26.2</v>
      </c>
      <c r="F34" s="127">
        <v>2682</v>
      </c>
      <c r="G34" s="119">
        <f t="shared" si="36"/>
        <v>70268.399999999994</v>
      </c>
      <c r="H34" s="76" t="s">
        <v>57</v>
      </c>
      <c r="I34" s="125">
        <v>21</v>
      </c>
      <c r="J34" s="18">
        <v>2400</v>
      </c>
      <c r="K34" s="9">
        <f t="shared" si="43"/>
        <v>114.28571428571429</v>
      </c>
      <c r="L34" s="125">
        <v>21</v>
      </c>
      <c r="M34" s="10">
        <f t="shared" si="37"/>
        <v>2145.5999999999981</v>
      </c>
      <c r="N34" s="9">
        <f t="shared" si="38"/>
        <v>102.17142857142848</v>
      </c>
      <c r="O34" s="11">
        <f t="shared" si="39"/>
        <v>0</v>
      </c>
      <c r="P34" s="12">
        <f t="shared" si="40"/>
        <v>-12.114285714285813</v>
      </c>
      <c r="Q34" s="120">
        <f t="shared" si="41"/>
        <v>0.89399999999999913</v>
      </c>
      <c r="R34" s="470"/>
      <c r="S34" s="24">
        <v>0.55138888888888882</v>
      </c>
      <c r="T34" s="24">
        <v>0.60347222222222219</v>
      </c>
      <c r="U34" s="119">
        <f t="shared" si="45"/>
        <v>59.999999999999943</v>
      </c>
      <c r="V34" s="126">
        <f t="shared" si="42"/>
        <v>75.000000000000057</v>
      </c>
      <c r="W34" s="14"/>
      <c r="X34" s="14"/>
      <c r="Y34" s="456"/>
      <c r="Z34" s="456"/>
      <c r="AA34" s="11">
        <f t="shared" si="2"/>
        <v>-254.40000000000191</v>
      </c>
      <c r="AB34" s="120">
        <f t="shared" si="44"/>
        <v>0.89399999999999924</v>
      </c>
      <c r="AC34" s="470"/>
    </row>
    <row r="35" spans="1:29" ht="15.75" customHeight="1">
      <c r="A35" s="484" t="s">
        <v>8</v>
      </c>
      <c r="B35" s="26" t="s">
        <v>24</v>
      </c>
      <c r="C35" s="477" t="s">
        <v>26</v>
      </c>
      <c r="D35" s="477"/>
      <c r="E35" s="26">
        <v>26.2</v>
      </c>
      <c r="F35" s="127">
        <v>2250</v>
      </c>
      <c r="G35" s="119">
        <f t="shared" si="36"/>
        <v>58950</v>
      </c>
      <c r="H35" s="76" t="s">
        <v>57</v>
      </c>
      <c r="I35" s="125">
        <v>20</v>
      </c>
      <c r="J35" s="18">
        <v>2400</v>
      </c>
      <c r="K35" s="9">
        <f t="shared" si="43"/>
        <v>120</v>
      </c>
      <c r="L35" s="125">
        <v>20</v>
      </c>
      <c r="M35" s="10">
        <f t="shared" si="37"/>
        <v>2142.8571428571449</v>
      </c>
      <c r="N35" s="9">
        <f t="shared" si="38"/>
        <v>107.14285714285725</v>
      </c>
      <c r="O35" s="11">
        <f t="shared" si="39"/>
        <v>0</v>
      </c>
      <c r="P35" s="12">
        <f t="shared" si="40"/>
        <v>-12.857142857142748</v>
      </c>
      <c r="Q35" s="120">
        <f t="shared" si="41"/>
        <v>0.89285714285714379</v>
      </c>
      <c r="R35" s="470"/>
      <c r="S35" s="24">
        <v>0.60833333333333328</v>
      </c>
      <c r="T35" s="24">
        <v>0.65208333333333324</v>
      </c>
      <c r="U35" s="119">
        <f t="shared" si="45"/>
        <v>6.9999999999999751</v>
      </c>
      <c r="V35" s="126">
        <f t="shared" si="42"/>
        <v>62.999999999999936</v>
      </c>
      <c r="W35" s="14"/>
      <c r="X35" s="14"/>
      <c r="Y35" s="456"/>
      <c r="Z35" s="456"/>
      <c r="AA35" s="11">
        <f t="shared" si="2"/>
        <v>-257.14285714285506</v>
      </c>
      <c r="AB35" s="120">
        <f t="shared" si="44"/>
        <v>0.89285714285714368</v>
      </c>
      <c r="AC35" s="470"/>
    </row>
    <row r="36" spans="1:29" ht="15.75" customHeight="1">
      <c r="A36" s="484" t="s">
        <v>8</v>
      </c>
      <c r="B36" s="26" t="s">
        <v>24</v>
      </c>
      <c r="C36" s="482" t="s">
        <v>25</v>
      </c>
      <c r="D36" s="483"/>
      <c r="E36" s="26">
        <v>20.52</v>
      </c>
      <c r="F36" s="127">
        <v>2414</v>
      </c>
      <c r="G36" s="119">
        <f t="shared" si="36"/>
        <v>49535.28</v>
      </c>
      <c r="H36" s="76" t="s">
        <v>57</v>
      </c>
      <c r="I36" s="125">
        <v>20</v>
      </c>
      <c r="J36" s="18">
        <v>2400</v>
      </c>
      <c r="K36" s="9">
        <f t="shared" si="43"/>
        <v>120</v>
      </c>
      <c r="L36" s="125">
        <v>20</v>
      </c>
      <c r="M36" s="10">
        <f t="shared" si="37"/>
        <v>2161.7910447761219</v>
      </c>
      <c r="N36" s="9">
        <f t="shared" si="38"/>
        <v>108.08955223880609</v>
      </c>
      <c r="O36" s="11">
        <f t="shared" si="39"/>
        <v>0</v>
      </c>
      <c r="P36" s="12">
        <f t="shared" si="40"/>
        <v>-11.910447761193907</v>
      </c>
      <c r="Q36" s="120">
        <f t="shared" si="41"/>
        <v>0.90074626865671747</v>
      </c>
      <c r="R36" s="470"/>
      <c r="S36" s="24">
        <v>0.65555555555555545</v>
      </c>
      <c r="T36" s="24">
        <v>0.70208333333333317</v>
      </c>
      <c r="U36" s="119">
        <f t="shared" si="45"/>
        <v>4.9999999999999822</v>
      </c>
      <c r="V36" s="126">
        <f t="shared" si="42"/>
        <v>66.999999999999915</v>
      </c>
      <c r="W36" s="14"/>
      <c r="X36" s="14"/>
      <c r="Y36" s="473"/>
      <c r="Z36" s="474"/>
      <c r="AA36" s="11">
        <f t="shared" si="2"/>
        <v>-238.20895522387809</v>
      </c>
      <c r="AB36" s="120">
        <f t="shared" si="44"/>
        <v>0.90074626865671747</v>
      </c>
      <c r="AC36" s="470"/>
    </row>
    <row r="37" spans="1:29" ht="15.75" customHeight="1">
      <c r="A37" s="484" t="s">
        <v>8</v>
      </c>
      <c r="B37" s="26" t="s">
        <v>24</v>
      </c>
      <c r="C37" s="482" t="s">
        <v>46</v>
      </c>
      <c r="D37" s="483"/>
      <c r="E37" s="26">
        <v>25</v>
      </c>
      <c r="F37" s="127">
        <v>1977</v>
      </c>
      <c r="G37" s="119">
        <f t="shared" si="36"/>
        <v>49425</v>
      </c>
      <c r="H37" s="76" t="s">
        <v>57</v>
      </c>
      <c r="I37" s="125">
        <v>16</v>
      </c>
      <c r="J37" s="18">
        <v>2400</v>
      </c>
      <c r="K37" s="9">
        <f t="shared" si="43"/>
        <v>150</v>
      </c>
      <c r="L37" s="125">
        <v>16</v>
      </c>
      <c r="M37" s="10">
        <f t="shared" si="37"/>
        <v>2156.7272727272739</v>
      </c>
      <c r="N37" s="9">
        <f t="shared" si="38"/>
        <v>134.79545454545462</v>
      </c>
      <c r="O37" s="11">
        <f t="shared" si="39"/>
        <v>0</v>
      </c>
      <c r="P37" s="12">
        <f t="shared" si="40"/>
        <v>-15.204545454545382</v>
      </c>
      <c r="Q37" s="120">
        <f t="shared" si="41"/>
        <v>0.89863636363636412</v>
      </c>
      <c r="R37" s="470"/>
      <c r="S37" s="24">
        <v>0.70624999999999982</v>
      </c>
      <c r="T37" s="24">
        <v>0.74444444444444424</v>
      </c>
      <c r="U37" s="119">
        <f t="shared" si="45"/>
        <v>5.9999999999999787</v>
      </c>
      <c r="V37" s="126">
        <f t="shared" si="42"/>
        <v>54.999999999999964</v>
      </c>
      <c r="W37" s="14"/>
      <c r="X37" s="14"/>
      <c r="Y37" s="473"/>
      <c r="Z37" s="474"/>
      <c r="AA37" s="11">
        <f t="shared" si="2"/>
        <v>-243.27272727272612</v>
      </c>
      <c r="AB37" s="120">
        <f t="shared" si="44"/>
        <v>0.89863636363636412</v>
      </c>
      <c r="AC37" s="470"/>
    </row>
    <row r="38" spans="1:29" ht="15.75" customHeight="1">
      <c r="A38" s="484" t="s">
        <v>8</v>
      </c>
      <c r="B38" s="26" t="s">
        <v>438</v>
      </c>
      <c r="C38" s="466"/>
      <c r="D38" s="466"/>
      <c r="E38" s="121"/>
      <c r="F38" s="127"/>
      <c r="G38" s="119"/>
      <c r="H38" s="127"/>
      <c r="I38" s="17">
        <v>19.2</v>
      </c>
      <c r="J38" s="18">
        <v>2400</v>
      </c>
      <c r="K38" s="9">
        <f t="shared" si="43"/>
        <v>125</v>
      </c>
      <c r="L38" s="17">
        <v>19.2</v>
      </c>
      <c r="M38" s="10">
        <f>AVERAGE(M28:M37)</f>
        <v>2151.8909211161649</v>
      </c>
      <c r="N38" s="9">
        <f>M38/L38</f>
        <v>112.07765214146693</v>
      </c>
      <c r="O38" s="11">
        <f>L38-I38</f>
        <v>0</v>
      </c>
      <c r="P38" s="12">
        <f>N38-K38</f>
        <v>-12.922347858533072</v>
      </c>
      <c r="Q38" s="120">
        <f>N38/K38</f>
        <v>0.89662121713173537</v>
      </c>
      <c r="R38" s="470"/>
      <c r="S38" s="24"/>
      <c r="T38" s="24"/>
      <c r="U38" s="119"/>
      <c r="V38" s="126"/>
      <c r="W38" s="119"/>
      <c r="X38" s="119"/>
      <c r="Y38" s="456"/>
      <c r="Z38" s="456"/>
      <c r="AA38" s="11">
        <f t="shared" si="2"/>
        <v>-248.10907888383508</v>
      </c>
      <c r="AB38" s="120">
        <f>M38/J38</f>
        <v>0.89662121713173537</v>
      </c>
      <c r="AC38" s="470"/>
    </row>
    <row r="39" spans="1:29" ht="15.75" customHeight="1">
      <c r="A39" s="485" t="s">
        <v>440</v>
      </c>
      <c r="B39" s="26" t="s">
        <v>24</v>
      </c>
      <c r="C39" s="487" t="s">
        <v>32</v>
      </c>
      <c r="D39" s="487"/>
      <c r="E39" s="26">
        <v>26.2</v>
      </c>
      <c r="F39" s="127">
        <v>3176</v>
      </c>
      <c r="G39" s="119">
        <f t="shared" ref="G39:G46" si="46">E39*F39</f>
        <v>83211.199999999997</v>
      </c>
      <c r="H39" s="76" t="s">
        <v>57</v>
      </c>
      <c r="I39" s="125">
        <v>22</v>
      </c>
      <c r="J39" s="18">
        <v>2400</v>
      </c>
      <c r="K39" s="9">
        <f>J39/I39</f>
        <v>109.09090909090909</v>
      </c>
      <c r="L39" s="125">
        <v>22</v>
      </c>
      <c r="M39" s="10">
        <f>F39/V39*60</f>
        <v>2141.1235955056177</v>
      </c>
      <c r="N39" s="9">
        <f>M39/L39</f>
        <v>97.323799795709888</v>
      </c>
      <c r="O39" s="11">
        <f t="shared" ref="O39:O46" si="47">L39-I39</f>
        <v>0</v>
      </c>
      <c r="P39" s="12">
        <f t="shared" ref="P39:P57" si="48">N39-K39</f>
        <v>-11.767109295199205</v>
      </c>
      <c r="Q39" s="120">
        <f t="shared" ref="Q39:Q51" si="49">N39/K39</f>
        <v>0.89213483146067396</v>
      </c>
      <c r="R39" s="470">
        <f>Q47</f>
        <v>0.89467134812845173</v>
      </c>
      <c r="S39" s="24">
        <v>0.125</v>
      </c>
      <c r="T39" s="24">
        <v>0.18680555555555556</v>
      </c>
      <c r="U39" s="119"/>
      <c r="V39" s="126">
        <f t="shared" ref="V39:V46" si="50">(T39-S39)*24*60</f>
        <v>89</v>
      </c>
      <c r="W39" s="15"/>
      <c r="X39" s="15"/>
      <c r="Y39" s="456"/>
      <c r="Z39" s="456"/>
      <c r="AA39" s="11">
        <f t="shared" si="2"/>
        <v>-258.87640449438231</v>
      </c>
      <c r="AB39" s="120">
        <f>M39/J39</f>
        <v>0.89213483146067407</v>
      </c>
      <c r="AC39" s="470">
        <f>AB47</f>
        <v>0.89467134812845173</v>
      </c>
    </row>
    <row r="40" spans="1:29" ht="15.75" customHeight="1">
      <c r="A40" s="485" t="s">
        <v>441</v>
      </c>
      <c r="B40" s="26" t="s">
        <v>24</v>
      </c>
      <c r="C40" s="487" t="s">
        <v>30</v>
      </c>
      <c r="D40" s="487"/>
      <c r="E40" s="26">
        <v>26.39</v>
      </c>
      <c r="F40" s="127">
        <v>3600</v>
      </c>
      <c r="G40" s="119">
        <f t="shared" si="46"/>
        <v>95004</v>
      </c>
      <c r="H40" s="76">
        <v>2</v>
      </c>
      <c r="I40" s="125">
        <v>21</v>
      </c>
      <c r="J40" s="18">
        <v>2400</v>
      </c>
      <c r="K40" s="9">
        <f t="shared" ref="K40:K56" si="51">J40/I40</f>
        <v>114.28571428571429</v>
      </c>
      <c r="L40" s="125">
        <v>21</v>
      </c>
      <c r="M40" s="10">
        <f t="shared" ref="M40:M46" si="52">F40/V40*60</f>
        <v>2138.6138613861376</v>
      </c>
      <c r="N40" s="9">
        <f t="shared" ref="N40:N46" si="53">M40/L40</f>
        <v>101.8387553041018</v>
      </c>
      <c r="O40" s="11">
        <f t="shared" si="47"/>
        <v>0</v>
      </c>
      <c r="P40" s="12">
        <f t="shared" si="48"/>
        <v>-12.446958981612497</v>
      </c>
      <c r="Q40" s="120">
        <f t="shared" si="49"/>
        <v>0.89108910891089066</v>
      </c>
      <c r="R40" s="470"/>
      <c r="S40" s="24">
        <v>0.20624999999999999</v>
      </c>
      <c r="T40" s="24">
        <v>0.27638888888888891</v>
      </c>
      <c r="U40" s="119">
        <f>(S40-T39)*24*60</f>
        <v>27.999999999999979</v>
      </c>
      <c r="V40" s="126">
        <f t="shared" si="50"/>
        <v>101.00000000000004</v>
      </c>
      <c r="W40" s="119"/>
      <c r="X40" s="119"/>
      <c r="Y40" s="456"/>
      <c r="Z40" s="456"/>
      <c r="AA40" s="11">
        <f t="shared" si="2"/>
        <v>-261.38613861386239</v>
      </c>
      <c r="AB40" s="120">
        <f t="shared" ref="AB40:AB66" si="54">M40/J40</f>
        <v>0.89108910891089066</v>
      </c>
      <c r="AC40" s="470"/>
    </row>
    <row r="41" spans="1:29">
      <c r="A41" s="486" t="s">
        <v>441</v>
      </c>
      <c r="B41" s="26" t="s">
        <v>24</v>
      </c>
      <c r="C41" s="487" t="s">
        <v>29</v>
      </c>
      <c r="D41" s="487"/>
      <c r="E41" s="26">
        <v>26.2</v>
      </c>
      <c r="F41" s="127">
        <v>4100</v>
      </c>
      <c r="G41" s="119">
        <f t="shared" si="46"/>
        <v>107420</v>
      </c>
      <c r="H41" s="76">
        <v>2</v>
      </c>
      <c r="I41" s="125">
        <v>19</v>
      </c>
      <c r="J41" s="18">
        <v>2400</v>
      </c>
      <c r="K41" s="9">
        <f t="shared" si="51"/>
        <v>126.31578947368421</v>
      </c>
      <c r="L41" s="125">
        <v>19</v>
      </c>
      <c r="M41" s="10">
        <f t="shared" si="52"/>
        <v>2157.894736842105</v>
      </c>
      <c r="N41" s="9">
        <f t="shared" si="53"/>
        <v>113.57340720221605</v>
      </c>
      <c r="O41" s="11">
        <f t="shared" si="47"/>
        <v>0</v>
      </c>
      <c r="P41" s="12">
        <f t="shared" si="48"/>
        <v>-12.742382271468159</v>
      </c>
      <c r="Q41" s="120">
        <f t="shared" si="49"/>
        <v>0.89912280701754377</v>
      </c>
      <c r="R41" s="470"/>
      <c r="S41" s="24">
        <v>0.28194444444444444</v>
      </c>
      <c r="T41" s="24">
        <v>0.3611111111111111</v>
      </c>
      <c r="U41" s="119">
        <f t="shared" ref="U41:U46" si="55">(S41-T40)*24*60</f>
        <v>7.9999999999999716</v>
      </c>
      <c r="V41" s="126">
        <f t="shared" si="50"/>
        <v>114</v>
      </c>
      <c r="W41" s="119"/>
      <c r="X41" s="119"/>
      <c r="Y41" s="456"/>
      <c r="Z41" s="456"/>
      <c r="AA41" s="11">
        <f t="shared" si="2"/>
        <v>-242.10526315789502</v>
      </c>
      <c r="AB41" s="120">
        <f t="shared" si="54"/>
        <v>0.89912280701754377</v>
      </c>
      <c r="AC41" s="470"/>
    </row>
    <row r="42" spans="1:29">
      <c r="A42" s="486" t="s">
        <v>441</v>
      </c>
      <c r="B42" s="26" t="s">
        <v>24</v>
      </c>
      <c r="C42" s="487" t="s">
        <v>69</v>
      </c>
      <c r="D42" s="487"/>
      <c r="E42" s="26">
        <v>22.35</v>
      </c>
      <c r="F42" s="127">
        <v>3589</v>
      </c>
      <c r="G42" s="119">
        <f t="shared" si="46"/>
        <v>80214.150000000009</v>
      </c>
      <c r="H42" s="76" t="s">
        <v>57</v>
      </c>
      <c r="I42" s="125">
        <v>16</v>
      </c>
      <c r="J42" s="18">
        <v>2400</v>
      </c>
      <c r="K42" s="9">
        <f t="shared" si="51"/>
        <v>150</v>
      </c>
      <c r="L42" s="125">
        <v>16</v>
      </c>
      <c r="M42" s="10">
        <f t="shared" si="52"/>
        <v>2153.3999999999992</v>
      </c>
      <c r="N42" s="9">
        <f t="shared" si="53"/>
        <v>134.58749999999995</v>
      </c>
      <c r="O42" s="11">
        <f t="shared" si="47"/>
        <v>0</v>
      </c>
      <c r="P42" s="12">
        <f t="shared" si="48"/>
        <v>-15.412500000000051</v>
      </c>
      <c r="Q42" s="120">
        <f t="shared" si="49"/>
        <v>0.89724999999999966</v>
      </c>
      <c r="R42" s="470"/>
      <c r="S42" s="24">
        <v>0.36458333333333331</v>
      </c>
      <c r="T42" s="24">
        <v>0.43402777777777779</v>
      </c>
      <c r="U42" s="119">
        <f t="shared" si="55"/>
        <v>4.9999999999999822</v>
      </c>
      <c r="V42" s="126">
        <f t="shared" si="50"/>
        <v>100.00000000000004</v>
      </c>
      <c r="W42" s="14"/>
      <c r="X42" s="14"/>
      <c r="Y42" s="456"/>
      <c r="Z42" s="456"/>
      <c r="AA42" s="11">
        <f t="shared" si="2"/>
        <v>-246.60000000000082</v>
      </c>
      <c r="AB42" s="120">
        <f t="shared" si="54"/>
        <v>0.89724999999999966</v>
      </c>
      <c r="AC42" s="470"/>
    </row>
    <row r="43" spans="1:29">
      <c r="A43" s="486" t="s">
        <v>441</v>
      </c>
      <c r="B43" s="26" t="s">
        <v>24</v>
      </c>
      <c r="C43" s="487" t="s">
        <v>84</v>
      </c>
      <c r="D43" s="487"/>
      <c r="E43" s="26">
        <v>24.25</v>
      </c>
      <c r="F43" s="127">
        <v>3000</v>
      </c>
      <c r="G43" s="119">
        <f t="shared" si="46"/>
        <v>72750</v>
      </c>
      <c r="H43" s="76">
        <v>2</v>
      </c>
      <c r="I43" s="125">
        <v>19</v>
      </c>
      <c r="J43" s="18">
        <v>2400</v>
      </c>
      <c r="K43" s="9">
        <f t="shared" si="51"/>
        <v>126.31578947368421</v>
      </c>
      <c r="L43" s="125">
        <v>19</v>
      </c>
      <c r="M43" s="10">
        <f t="shared" si="52"/>
        <v>2142.8571428571422</v>
      </c>
      <c r="N43" s="9">
        <f t="shared" si="53"/>
        <v>112.78195488721801</v>
      </c>
      <c r="O43" s="11">
        <f t="shared" si="47"/>
        <v>0</v>
      </c>
      <c r="P43" s="12">
        <f t="shared" si="48"/>
        <v>-13.533834586466199</v>
      </c>
      <c r="Q43" s="120">
        <f t="shared" si="49"/>
        <v>0.89285714285714257</v>
      </c>
      <c r="R43" s="470"/>
      <c r="S43" s="24">
        <v>0.4375</v>
      </c>
      <c r="T43" s="24">
        <v>0.49583333333333335</v>
      </c>
      <c r="U43" s="119">
        <f t="shared" si="55"/>
        <v>4.9999999999999822</v>
      </c>
      <c r="V43" s="126">
        <f t="shared" si="50"/>
        <v>84.000000000000028</v>
      </c>
      <c r="W43" s="14"/>
      <c r="X43" s="14"/>
      <c r="Y43" s="456"/>
      <c r="Z43" s="456"/>
      <c r="AA43" s="11">
        <f t="shared" si="2"/>
        <v>-257.14285714285779</v>
      </c>
      <c r="AB43" s="120">
        <f t="shared" si="54"/>
        <v>0.89285714285714257</v>
      </c>
      <c r="AC43" s="470"/>
    </row>
    <row r="44" spans="1:29">
      <c r="A44" s="486" t="s">
        <v>441</v>
      </c>
      <c r="B44" s="26" t="s">
        <v>24</v>
      </c>
      <c r="C44" s="487" t="s">
        <v>84</v>
      </c>
      <c r="D44" s="487"/>
      <c r="E44" s="26">
        <v>24.25</v>
      </c>
      <c r="F44" s="127">
        <v>3775</v>
      </c>
      <c r="G44" s="119">
        <f t="shared" si="46"/>
        <v>91543.75</v>
      </c>
      <c r="H44" s="76" t="s">
        <v>57</v>
      </c>
      <c r="I44" s="125">
        <v>19</v>
      </c>
      <c r="J44" s="18">
        <v>2400</v>
      </c>
      <c r="K44" s="9">
        <f t="shared" si="51"/>
        <v>126.31578947368421</v>
      </c>
      <c r="L44" s="125">
        <v>19</v>
      </c>
      <c r="M44" s="10">
        <f t="shared" si="52"/>
        <v>2136.7924528301896</v>
      </c>
      <c r="N44" s="9">
        <f t="shared" si="53"/>
        <v>112.46276067527315</v>
      </c>
      <c r="O44" s="11">
        <f t="shared" si="47"/>
        <v>0</v>
      </c>
      <c r="P44" s="12">
        <f t="shared" si="48"/>
        <v>-13.85302879841106</v>
      </c>
      <c r="Q44" s="120">
        <f t="shared" si="49"/>
        <v>0.89033018867924574</v>
      </c>
      <c r="R44" s="470"/>
      <c r="S44" s="24">
        <v>0.53472222222222221</v>
      </c>
      <c r="T44" s="24">
        <v>0.60833333333333328</v>
      </c>
      <c r="U44" s="119">
        <f t="shared" si="55"/>
        <v>55.999999999999957</v>
      </c>
      <c r="V44" s="126">
        <f t="shared" si="50"/>
        <v>105.99999999999994</v>
      </c>
      <c r="W44" s="14"/>
      <c r="X44" s="14"/>
      <c r="Y44" s="456"/>
      <c r="Z44" s="456"/>
      <c r="AA44" s="11">
        <f t="shared" si="2"/>
        <v>-263.20754716981037</v>
      </c>
      <c r="AB44" s="120">
        <f t="shared" si="54"/>
        <v>0.89033018867924563</v>
      </c>
      <c r="AC44" s="470"/>
    </row>
    <row r="45" spans="1:29">
      <c r="A45" s="486" t="s">
        <v>441</v>
      </c>
      <c r="B45" s="26" t="s">
        <v>24</v>
      </c>
      <c r="C45" s="123" t="s">
        <v>29</v>
      </c>
      <c r="D45" s="124"/>
      <c r="E45" s="26">
        <v>26.2</v>
      </c>
      <c r="F45" s="127">
        <v>3161</v>
      </c>
      <c r="G45" s="119">
        <f t="shared" si="46"/>
        <v>82818.2</v>
      </c>
      <c r="H45" s="76" t="s">
        <v>57</v>
      </c>
      <c r="I45" s="125">
        <v>19</v>
      </c>
      <c r="J45" s="18">
        <v>2400</v>
      </c>
      <c r="K45" s="9">
        <f t="shared" si="51"/>
        <v>126.31578947368421</v>
      </c>
      <c r="L45" s="125">
        <v>19</v>
      </c>
      <c r="M45" s="10">
        <f t="shared" si="52"/>
        <v>2155.227272727273</v>
      </c>
      <c r="N45" s="9">
        <f t="shared" si="53"/>
        <v>113.433014354067</v>
      </c>
      <c r="O45" s="11">
        <f t="shared" si="47"/>
        <v>0</v>
      </c>
      <c r="P45" s="12">
        <f t="shared" si="48"/>
        <v>-12.882775119617207</v>
      </c>
      <c r="Q45" s="120">
        <f t="shared" si="49"/>
        <v>0.8980113636363638</v>
      </c>
      <c r="R45" s="470"/>
      <c r="S45" s="24">
        <v>0.61388888888888882</v>
      </c>
      <c r="T45" s="24">
        <v>0.67499999999999993</v>
      </c>
      <c r="U45" s="119">
        <f t="shared" si="55"/>
        <v>7.9999999999999716</v>
      </c>
      <c r="V45" s="126">
        <f t="shared" si="50"/>
        <v>88</v>
      </c>
      <c r="W45" s="14"/>
      <c r="X45" s="14"/>
      <c r="Y45" s="473"/>
      <c r="Z45" s="474"/>
      <c r="AA45" s="11">
        <f t="shared" si="2"/>
        <v>-244.77272727272702</v>
      </c>
      <c r="AB45" s="120">
        <f t="shared" si="54"/>
        <v>0.89801136363636369</v>
      </c>
      <c r="AC45" s="470"/>
    </row>
    <row r="46" spans="1:29">
      <c r="A46" s="486" t="s">
        <v>440</v>
      </c>
      <c r="B46" s="26" t="s">
        <v>24</v>
      </c>
      <c r="C46" s="123" t="s">
        <v>30</v>
      </c>
      <c r="D46" s="124"/>
      <c r="E46" s="26">
        <v>26.39</v>
      </c>
      <c r="F46" s="127">
        <v>2618</v>
      </c>
      <c r="G46" s="119">
        <f t="shared" si="46"/>
        <v>69089.02</v>
      </c>
      <c r="H46" s="76" t="s">
        <v>57</v>
      </c>
      <c r="I46" s="125">
        <v>21</v>
      </c>
      <c r="J46" s="18">
        <v>2400</v>
      </c>
      <c r="K46" s="9">
        <f t="shared" si="51"/>
        <v>114.28571428571429</v>
      </c>
      <c r="L46" s="125">
        <v>21</v>
      </c>
      <c r="M46" s="10">
        <f t="shared" si="52"/>
        <v>2151.7808219178069</v>
      </c>
      <c r="N46" s="9">
        <f t="shared" si="53"/>
        <v>102.46575342465746</v>
      </c>
      <c r="O46" s="11">
        <f t="shared" si="47"/>
        <v>0</v>
      </c>
      <c r="P46" s="12">
        <f t="shared" si="48"/>
        <v>-11.819960861056828</v>
      </c>
      <c r="Q46" s="120">
        <f t="shared" si="49"/>
        <v>0.89657534246575277</v>
      </c>
      <c r="R46" s="470"/>
      <c r="S46" s="24">
        <v>0.67986111111111103</v>
      </c>
      <c r="T46" s="24">
        <v>0.73055555555555551</v>
      </c>
      <c r="U46" s="119">
        <f t="shared" si="55"/>
        <v>6.9999999999999751</v>
      </c>
      <c r="V46" s="126">
        <f t="shared" si="50"/>
        <v>73.000000000000057</v>
      </c>
      <c r="W46" s="14"/>
      <c r="X46" s="14"/>
      <c r="Y46" s="473"/>
      <c r="Z46" s="474"/>
      <c r="AA46" s="11">
        <f t="shared" si="2"/>
        <v>-248.21917808219314</v>
      </c>
      <c r="AB46" s="120">
        <f t="shared" si="54"/>
        <v>0.89657534246575288</v>
      </c>
      <c r="AC46" s="470"/>
    </row>
    <row r="47" spans="1:29">
      <c r="A47" s="486" t="s">
        <v>441</v>
      </c>
      <c r="B47" s="16" t="s">
        <v>434</v>
      </c>
      <c r="C47" s="466"/>
      <c r="D47" s="466"/>
      <c r="E47" s="121"/>
      <c r="F47" s="16"/>
      <c r="G47" s="9"/>
      <c r="H47" s="127"/>
      <c r="I47" s="17">
        <v>19.5</v>
      </c>
      <c r="J47" s="18">
        <v>2400</v>
      </c>
      <c r="K47" s="9">
        <f t="shared" si="51"/>
        <v>123.07692307692308</v>
      </c>
      <c r="L47" s="17">
        <v>19.5</v>
      </c>
      <c r="M47" s="10">
        <f>AVERAGE(M39:M46)</f>
        <v>2147.2112355082841</v>
      </c>
      <c r="N47" s="9">
        <f>M47/L47</f>
        <v>110.11339669273252</v>
      </c>
      <c r="O47" s="11">
        <f>L47-I47</f>
        <v>0</v>
      </c>
      <c r="P47" s="12">
        <f t="shared" si="48"/>
        <v>-12.963526384190558</v>
      </c>
      <c r="Q47" s="120">
        <f t="shared" si="49"/>
        <v>0.89467134812845173</v>
      </c>
      <c r="R47" s="470"/>
      <c r="S47" s="24"/>
      <c r="T47" s="24"/>
      <c r="U47" s="9"/>
      <c r="V47" s="126"/>
      <c r="W47" s="9"/>
      <c r="X47" s="9"/>
      <c r="Y47" s="456"/>
      <c r="Z47" s="456"/>
      <c r="AA47" s="11">
        <f t="shared" si="2"/>
        <v>-252.78876449171594</v>
      </c>
      <c r="AB47" s="120">
        <f t="shared" si="54"/>
        <v>0.89467134812845173</v>
      </c>
      <c r="AC47" s="470"/>
    </row>
    <row r="48" spans="1:29" ht="15.75" customHeight="1">
      <c r="A48" s="488" t="s">
        <v>442</v>
      </c>
      <c r="B48" s="26" t="s">
        <v>33</v>
      </c>
      <c r="C48" s="491" t="s">
        <v>34</v>
      </c>
      <c r="D48" s="492"/>
      <c r="E48" s="26">
        <v>27.17</v>
      </c>
      <c r="F48" s="127">
        <v>2700</v>
      </c>
      <c r="G48" s="119">
        <f t="shared" ref="G48:G56" si="56">E48*F48</f>
        <v>73359</v>
      </c>
      <c r="H48" s="76">
        <v>2</v>
      </c>
      <c r="I48" s="125">
        <v>10</v>
      </c>
      <c r="J48" s="18">
        <v>3000</v>
      </c>
      <c r="K48" s="9">
        <f t="shared" si="51"/>
        <v>300</v>
      </c>
      <c r="L48" s="125">
        <v>10</v>
      </c>
      <c r="M48" s="10">
        <f t="shared" ref="M48:M49" si="57">F48/V48*60</f>
        <v>2700.0000000000009</v>
      </c>
      <c r="N48" s="10">
        <f t="shared" ref="N48:N57" si="58">M48/L48</f>
        <v>270.00000000000011</v>
      </c>
      <c r="O48" s="11">
        <f t="shared" ref="O48:O57" si="59">L48-I48</f>
        <v>0</v>
      </c>
      <c r="P48" s="12">
        <f t="shared" si="48"/>
        <v>-29.999999999999886</v>
      </c>
      <c r="Q48" s="120">
        <f t="shared" si="49"/>
        <v>0.90000000000000036</v>
      </c>
      <c r="R48" s="493">
        <f>Q57</f>
        <v>0.89674081043089893</v>
      </c>
      <c r="S48" s="24">
        <v>0.16666666666666666</v>
      </c>
      <c r="T48" s="24">
        <v>0.20833333333333331</v>
      </c>
      <c r="U48" s="15"/>
      <c r="V48" s="126">
        <f t="shared" ref="V48:V56" si="60">(T48-S48)*24*60</f>
        <v>59.999999999999986</v>
      </c>
      <c r="W48" s="119"/>
      <c r="X48" s="119"/>
      <c r="Y48" s="473"/>
      <c r="Z48" s="474"/>
      <c r="AA48" s="11">
        <f t="shared" si="2"/>
        <v>-299.99999999999909</v>
      </c>
      <c r="AB48" s="120">
        <f t="shared" si="54"/>
        <v>0.90000000000000036</v>
      </c>
      <c r="AC48" s="493">
        <f>AB57</f>
        <v>0.89674081043089904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127">
        <v>3000</v>
      </c>
      <c r="G49" s="119">
        <f t="shared" si="56"/>
        <v>63390</v>
      </c>
      <c r="H49" s="76">
        <v>2</v>
      </c>
      <c r="I49" s="125">
        <v>10</v>
      </c>
      <c r="J49" s="18">
        <v>3000</v>
      </c>
      <c r="K49" s="9">
        <f t="shared" si="51"/>
        <v>300</v>
      </c>
      <c r="L49" s="125">
        <v>10</v>
      </c>
      <c r="M49" s="10">
        <f t="shared" si="57"/>
        <v>2686.5671641791027</v>
      </c>
      <c r="N49" s="10">
        <f t="shared" si="58"/>
        <v>268.65671641791027</v>
      </c>
      <c r="O49" s="11">
        <f t="shared" si="59"/>
        <v>0</v>
      </c>
      <c r="P49" s="12">
        <f t="shared" si="48"/>
        <v>-31.343283582089725</v>
      </c>
      <c r="Q49" s="120">
        <f t="shared" si="49"/>
        <v>0.89552238805970097</v>
      </c>
      <c r="R49" s="494"/>
      <c r="S49" s="24">
        <v>0.22847222222222222</v>
      </c>
      <c r="T49" s="24">
        <v>0.27500000000000002</v>
      </c>
      <c r="U49" s="119">
        <f>(S49-T48)*24*60</f>
        <v>29.000000000000018</v>
      </c>
      <c r="V49" s="126">
        <f t="shared" si="60"/>
        <v>67.000000000000043</v>
      </c>
      <c r="W49" s="14"/>
      <c r="X49" s="14"/>
      <c r="Y49" s="473"/>
      <c r="Z49" s="474"/>
      <c r="AA49" s="11">
        <f t="shared" si="2"/>
        <v>-313.43283582089725</v>
      </c>
      <c r="AB49" s="120">
        <f t="shared" si="54"/>
        <v>0.89552238805970097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127">
        <v>4866</v>
      </c>
      <c r="G50" s="119">
        <f t="shared" si="56"/>
        <v>170893.91999999998</v>
      </c>
      <c r="H50" s="76" t="s">
        <v>57</v>
      </c>
      <c r="I50" s="125">
        <v>10</v>
      </c>
      <c r="J50" s="18">
        <v>3000</v>
      </c>
      <c r="K50" s="9">
        <f t="shared" si="51"/>
        <v>300</v>
      </c>
      <c r="L50" s="125">
        <v>10</v>
      </c>
      <c r="M50" s="10">
        <f>F50/V50*60</f>
        <v>2678.5321100917427</v>
      </c>
      <c r="N50" s="10">
        <f t="shared" si="58"/>
        <v>267.85321100917429</v>
      </c>
      <c r="O50" s="11">
        <f t="shared" si="59"/>
        <v>0</v>
      </c>
      <c r="P50" s="12">
        <f t="shared" si="48"/>
        <v>-32.146788990825712</v>
      </c>
      <c r="Q50" s="120">
        <f t="shared" si="49"/>
        <v>0.89284403669724766</v>
      </c>
      <c r="R50" s="494"/>
      <c r="S50" s="24">
        <v>0.27916666666666667</v>
      </c>
      <c r="T50" s="24">
        <v>0.35486111111111113</v>
      </c>
      <c r="U50" s="119">
        <f t="shared" ref="U50:U56" si="61">(S50-T49)*24*60</f>
        <v>5.9999999999999787</v>
      </c>
      <c r="V50" s="126">
        <f t="shared" si="60"/>
        <v>109.00000000000001</v>
      </c>
      <c r="W50" s="14"/>
      <c r="X50" s="14"/>
      <c r="Y50" s="473"/>
      <c r="Z50" s="474"/>
      <c r="AA50" s="11">
        <f t="shared" si="2"/>
        <v>-321.46788990825735</v>
      </c>
      <c r="AB50" s="120">
        <f t="shared" si="54"/>
        <v>0.89284403669724755</v>
      </c>
      <c r="AC50" s="494"/>
    </row>
    <row r="51" spans="1:29" ht="15.75" customHeight="1">
      <c r="A51" s="489" t="s">
        <v>9</v>
      </c>
      <c r="B51" s="26" t="s">
        <v>33</v>
      </c>
      <c r="C51" s="491" t="s">
        <v>67</v>
      </c>
      <c r="D51" s="492"/>
      <c r="E51" s="26">
        <v>40.18</v>
      </c>
      <c r="F51" s="127">
        <v>3012</v>
      </c>
      <c r="G51" s="119">
        <f t="shared" si="56"/>
        <v>121022.16</v>
      </c>
      <c r="H51" s="76" t="s">
        <v>57</v>
      </c>
      <c r="I51" s="125">
        <v>10</v>
      </c>
      <c r="J51" s="18">
        <v>3000</v>
      </c>
      <c r="K51" s="9">
        <f t="shared" si="51"/>
        <v>300</v>
      </c>
      <c r="L51" s="125">
        <v>10</v>
      </c>
      <c r="M51" s="10">
        <f t="shared" ref="M51:M56" si="62">F51/V51*60</f>
        <v>2697.313432835821</v>
      </c>
      <c r="N51" s="10">
        <f t="shared" si="58"/>
        <v>269.73134328358208</v>
      </c>
      <c r="O51" s="11">
        <f t="shared" si="59"/>
        <v>0</v>
      </c>
      <c r="P51" s="12">
        <f t="shared" si="48"/>
        <v>-30.268656716417922</v>
      </c>
      <c r="Q51" s="120">
        <f t="shared" si="49"/>
        <v>0.89910447761194023</v>
      </c>
      <c r="R51" s="494"/>
      <c r="S51" s="24">
        <v>0.35972222222222222</v>
      </c>
      <c r="T51" s="24">
        <v>0.40625</v>
      </c>
      <c r="U51" s="119">
        <f t="shared" si="61"/>
        <v>6.9999999999999751</v>
      </c>
      <c r="V51" s="126">
        <f t="shared" si="60"/>
        <v>67</v>
      </c>
      <c r="W51" s="14"/>
      <c r="X51" s="14"/>
      <c r="Y51" s="473"/>
      <c r="Z51" s="474"/>
      <c r="AA51" s="11">
        <f t="shared" si="2"/>
        <v>-302.686567164179</v>
      </c>
      <c r="AB51" s="120">
        <f t="shared" si="54"/>
        <v>0.89910447761194034</v>
      </c>
      <c r="AC51" s="494"/>
    </row>
    <row r="52" spans="1:29" ht="15.75" customHeight="1">
      <c r="A52" s="489" t="s">
        <v>9</v>
      </c>
      <c r="B52" s="26" t="s">
        <v>33</v>
      </c>
      <c r="C52" s="491" t="s">
        <v>42</v>
      </c>
      <c r="D52" s="492"/>
      <c r="E52" s="26">
        <v>35.369999999999997</v>
      </c>
      <c r="F52" s="127">
        <v>1844</v>
      </c>
      <c r="G52" s="119">
        <f t="shared" si="56"/>
        <v>65222.28</v>
      </c>
      <c r="H52" s="76" t="s">
        <v>57</v>
      </c>
      <c r="I52" s="125">
        <v>10</v>
      </c>
      <c r="J52" s="18">
        <v>3000</v>
      </c>
      <c r="K52" s="9">
        <f t="shared" si="51"/>
        <v>300</v>
      </c>
      <c r="L52" s="125">
        <v>10</v>
      </c>
      <c r="M52" s="10">
        <f t="shared" si="62"/>
        <v>2698.5365853658527</v>
      </c>
      <c r="N52" s="10">
        <f t="shared" si="58"/>
        <v>269.85365853658527</v>
      </c>
      <c r="O52" s="11">
        <f t="shared" si="59"/>
        <v>0</v>
      </c>
      <c r="P52" s="12">
        <f t="shared" si="48"/>
        <v>-30.146341463414728</v>
      </c>
      <c r="Q52" s="120">
        <f>N52/K52</f>
        <v>0.89951219512195091</v>
      </c>
      <c r="R52" s="494"/>
      <c r="S52" s="24">
        <v>0.40972222222222221</v>
      </c>
      <c r="T52" s="24">
        <v>0.43819444444444444</v>
      </c>
      <c r="U52" s="119">
        <f t="shared" si="61"/>
        <v>4.9999999999999822</v>
      </c>
      <c r="V52" s="126">
        <f t="shared" si="60"/>
        <v>41.000000000000014</v>
      </c>
      <c r="W52" s="14"/>
      <c r="X52" s="14"/>
      <c r="Y52" s="473"/>
      <c r="Z52" s="474"/>
      <c r="AA52" s="11">
        <f t="shared" si="2"/>
        <v>-301.46341463414728</v>
      </c>
      <c r="AB52" s="120">
        <f t="shared" si="54"/>
        <v>0.89951219512195091</v>
      </c>
      <c r="AC52" s="494"/>
    </row>
    <row r="53" spans="1:29" ht="15.75" customHeight="1">
      <c r="A53" s="489" t="s">
        <v>9</v>
      </c>
      <c r="B53" s="26" t="s">
        <v>33</v>
      </c>
      <c r="C53" s="491" t="s">
        <v>37</v>
      </c>
      <c r="D53" s="492"/>
      <c r="E53" s="26">
        <v>34.36</v>
      </c>
      <c r="F53" s="127">
        <v>2729</v>
      </c>
      <c r="G53" s="119">
        <f t="shared" si="56"/>
        <v>93768.44</v>
      </c>
      <c r="H53" s="76" t="s">
        <v>57</v>
      </c>
      <c r="I53" s="125">
        <v>10</v>
      </c>
      <c r="J53" s="18">
        <v>3000</v>
      </c>
      <c r="K53" s="9">
        <f t="shared" si="51"/>
        <v>300</v>
      </c>
      <c r="L53" s="125">
        <v>10</v>
      </c>
      <c r="M53" s="10">
        <f t="shared" si="62"/>
        <v>2684.2622950819659</v>
      </c>
      <c r="N53" s="10">
        <f t="shared" si="58"/>
        <v>268.42622950819657</v>
      </c>
      <c r="O53" s="11">
        <f t="shared" si="59"/>
        <v>0</v>
      </c>
      <c r="P53" s="12">
        <f t="shared" si="48"/>
        <v>-31.57377049180343</v>
      </c>
      <c r="Q53" s="120">
        <f t="shared" ref="Q53:Q57" si="63">N53/K53</f>
        <v>0.89475409836065523</v>
      </c>
      <c r="R53" s="494"/>
      <c r="S53" s="24">
        <v>0.44166666666666665</v>
      </c>
      <c r="T53" s="24">
        <v>0.48402777777777778</v>
      </c>
      <c r="U53" s="119">
        <f t="shared" si="61"/>
        <v>4.9999999999999822</v>
      </c>
      <c r="V53" s="126">
        <f t="shared" si="60"/>
        <v>61.000000000000021</v>
      </c>
      <c r="W53" s="14"/>
      <c r="X53" s="14"/>
      <c r="Y53" s="473"/>
      <c r="Z53" s="474"/>
      <c r="AA53" s="11">
        <f t="shared" si="2"/>
        <v>-315.73770491803407</v>
      </c>
      <c r="AB53" s="120">
        <f t="shared" si="54"/>
        <v>0.89475409836065534</v>
      </c>
      <c r="AC53" s="494"/>
    </row>
    <row r="54" spans="1:29" ht="15.75" customHeight="1">
      <c r="A54" s="489" t="s">
        <v>9</v>
      </c>
      <c r="B54" s="26" t="s">
        <v>33</v>
      </c>
      <c r="C54" s="491" t="s">
        <v>40</v>
      </c>
      <c r="D54" s="492"/>
      <c r="E54" s="26">
        <v>35.119999999999997</v>
      </c>
      <c r="F54" s="127">
        <v>1251</v>
      </c>
      <c r="G54" s="119">
        <f t="shared" si="56"/>
        <v>43935.119999999995</v>
      </c>
      <c r="H54" s="76" t="s">
        <v>57</v>
      </c>
      <c r="I54" s="125">
        <v>14</v>
      </c>
      <c r="J54" s="18">
        <v>2000</v>
      </c>
      <c r="K54" s="9">
        <f t="shared" si="51"/>
        <v>142.85714285714286</v>
      </c>
      <c r="L54" s="125">
        <v>14</v>
      </c>
      <c r="M54" s="10">
        <f t="shared" si="62"/>
        <v>1787.1428571428601</v>
      </c>
      <c r="N54" s="10">
        <f t="shared" si="58"/>
        <v>127.65306122449</v>
      </c>
      <c r="O54" s="11">
        <f t="shared" si="59"/>
        <v>0</v>
      </c>
      <c r="P54" s="12">
        <f t="shared" si="48"/>
        <v>-15.204081632652859</v>
      </c>
      <c r="Q54" s="120">
        <f t="shared" si="63"/>
        <v>0.89357142857143002</v>
      </c>
      <c r="R54" s="494"/>
      <c r="S54" s="24">
        <v>0.48958333333333331</v>
      </c>
      <c r="T54" s="24">
        <v>0.51874999999999993</v>
      </c>
      <c r="U54" s="119">
        <f t="shared" si="61"/>
        <v>7.9999999999999716</v>
      </c>
      <c r="V54" s="126">
        <f t="shared" si="60"/>
        <v>41.999999999999929</v>
      </c>
      <c r="W54" s="14"/>
      <c r="X54" s="14"/>
      <c r="Y54" s="473"/>
      <c r="Z54" s="474"/>
      <c r="AA54" s="11">
        <f t="shared" si="2"/>
        <v>-212.85714285713993</v>
      </c>
      <c r="AB54" s="120">
        <f t="shared" si="54"/>
        <v>0.89357142857143002</v>
      </c>
      <c r="AC54" s="494"/>
    </row>
    <row r="55" spans="1:29" ht="15.75" customHeight="1">
      <c r="A55" s="489" t="s">
        <v>9</v>
      </c>
      <c r="B55" s="26" t="s">
        <v>33</v>
      </c>
      <c r="C55" s="491" t="s">
        <v>34</v>
      </c>
      <c r="D55" s="492"/>
      <c r="E55" s="26">
        <v>27.17</v>
      </c>
      <c r="F55" s="127">
        <v>3720</v>
      </c>
      <c r="G55" s="119">
        <f t="shared" si="56"/>
        <v>101072.40000000001</v>
      </c>
      <c r="H55" s="76" t="s">
        <v>57</v>
      </c>
      <c r="I55" s="125">
        <v>10</v>
      </c>
      <c r="J55" s="18">
        <v>3000</v>
      </c>
      <c r="K55" s="9">
        <f t="shared" si="51"/>
        <v>300</v>
      </c>
      <c r="L55" s="125">
        <v>10</v>
      </c>
      <c r="M55" s="10">
        <f t="shared" si="62"/>
        <v>2689.1566265060228</v>
      </c>
      <c r="N55" s="10">
        <f t="shared" si="58"/>
        <v>268.91566265060226</v>
      </c>
      <c r="O55" s="11">
        <f t="shared" si="59"/>
        <v>0</v>
      </c>
      <c r="P55" s="12">
        <f t="shared" si="48"/>
        <v>-31.084337349397742</v>
      </c>
      <c r="Q55" s="120">
        <f t="shared" si="63"/>
        <v>0.89638554216867417</v>
      </c>
      <c r="R55" s="494"/>
      <c r="S55" s="24">
        <v>0.55833333333333324</v>
      </c>
      <c r="T55" s="24">
        <v>0.61597222222222214</v>
      </c>
      <c r="U55" s="119">
        <f t="shared" si="61"/>
        <v>56.999999999999957</v>
      </c>
      <c r="V55" s="126">
        <f t="shared" si="60"/>
        <v>83.000000000000028</v>
      </c>
      <c r="W55" s="14"/>
      <c r="X55" s="14"/>
      <c r="Y55" s="473"/>
      <c r="Z55" s="474"/>
      <c r="AA55" s="11">
        <f t="shared" si="2"/>
        <v>-310.8433734939772</v>
      </c>
      <c r="AB55" s="120">
        <f t="shared" si="54"/>
        <v>0.89638554216867428</v>
      </c>
      <c r="AC55" s="494"/>
    </row>
    <row r="56" spans="1:29" ht="15.75" customHeight="1">
      <c r="A56" s="489" t="s">
        <v>9</v>
      </c>
      <c r="B56" s="26" t="s">
        <v>33</v>
      </c>
      <c r="C56" s="491" t="s">
        <v>35</v>
      </c>
      <c r="D56" s="492"/>
      <c r="E56" s="26">
        <v>21.13</v>
      </c>
      <c r="F56" s="127">
        <v>2155</v>
      </c>
      <c r="G56" s="119">
        <f t="shared" si="56"/>
        <v>45535.15</v>
      </c>
      <c r="H56" s="76" t="s">
        <v>57</v>
      </c>
      <c r="I56" s="125">
        <v>10</v>
      </c>
      <c r="J56" s="18">
        <v>3000</v>
      </c>
      <c r="K56" s="9">
        <f t="shared" si="51"/>
        <v>300</v>
      </c>
      <c r="L56" s="125">
        <v>10</v>
      </c>
      <c r="M56" s="10">
        <f t="shared" si="62"/>
        <v>2693.7500000000009</v>
      </c>
      <c r="N56" s="10">
        <f t="shared" si="58"/>
        <v>269.37500000000011</v>
      </c>
      <c r="O56" s="11">
        <f t="shared" si="59"/>
        <v>0</v>
      </c>
      <c r="P56" s="12">
        <f t="shared" si="48"/>
        <v>-30.624999999999886</v>
      </c>
      <c r="Q56" s="120">
        <f t="shared" si="63"/>
        <v>0.89791666666666703</v>
      </c>
      <c r="R56" s="494"/>
      <c r="S56" s="24">
        <v>0.6201388888888888</v>
      </c>
      <c r="T56" s="24">
        <v>0.65347222222222212</v>
      </c>
      <c r="U56" s="119">
        <f t="shared" si="61"/>
        <v>5.9999999999999787</v>
      </c>
      <c r="V56" s="126">
        <f t="shared" si="60"/>
        <v>47.999999999999986</v>
      </c>
      <c r="W56" s="14"/>
      <c r="X56" s="14"/>
      <c r="Y56" s="473"/>
      <c r="Z56" s="474"/>
      <c r="AA56" s="11">
        <f t="shared" si="2"/>
        <v>-306.24999999999909</v>
      </c>
      <c r="AB56" s="120">
        <f t="shared" si="54"/>
        <v>0.89791666666666692</v>
      </c>
      <c r="AC56" s="494"/>
    </row>
    <row r="57" spans="1:29" ht="15.75" customHeight="1">
      <c r="A57" s="490" t="s">
        <v>9</v>
      </c>
      <c r="B57" s="26" t="s">
        <v>438</v>
      </c>
      <c r="C57" s="497"/>
      <c r="D57" s="498"/>
      <c r="E57" s="122"/>
      <c r="F57" s="127"/>
      <c r="G57" s="119"/>
      <c r="H57" s="127"/>
      <c r="I57" s="17">
        <v>10.444444444444445</v>
      </c>
      <c r="J57" s="18">
        <v>2888.8888888888887</v>
      </c>
      <c r="K57" s="9">
        <f>J57/I57</f>
        <v>276.59574468085106</v>
      </c>
      <c r="L57" s="17">
        <v>10.444444444444445</v>
      </c>
      <c r="M57" s="10">
        <f>AVERAGE(M48:M56)</f>
        <v>2590.5845634670413</v>
      </c>
      <c r="N57" s="9">
        <f t="shared" si="58"/>
        <v>248.03469224684437</v>
      </c>
      <c r="O57" s="11">
        <f t="shared" si="59"/>
        <v>0</v>
      </c>
      <c r="P57" s="12">
        <f t="shared" si="48"/>
        <v>-28.561052434006683</v>
      </c>
      <c r="Q57" s="120">
        <f t="shared" si="63"/>
        <v>0.89674081043089893</v>
      </c>
      <c r="R57" s="495"/>
      <c r="S57" s="24"/>
      <c r="T57" s="24"/>
      <c r="U57" s="119"/>
      <c r="V57" s="126"/>
      <c r="W57" s="14"/>
      <c r="X57" s="14"/>
      <c r="Y57" s="473"/>
      <c r="Z57" s="474"/>
      <c r="AA57" s="11">
        <f t="shared" si="2"/>
        <v>-298.30432542184735</v>
      </c>
      <c r="AB57" s="120">
        <f t="shared" si="54"/>
        <v>0.89674081043089904</v>
      </c>
      <c r="AC57" s="495"/>
    </row>
    <row r="58" spans="1:29" ht="15.75" customHeight="1">
      <c r="A58" s="461" t="s">
        <v>443</v>
      </c>
      <c r="B58" s="26" t="s">
        <v>13</v>
      </c>
      <c r="C58" s="487" t="s">
        <v>65</v>
      </c>
      <c r="D58" s="487"/>
      <c r="E58" s="26">
        <v>55.56</v>
      </c>
      <c r="F58" s="27">
        <v>2414</v>
      </c>
      <c r="G58" s="119">
        <f t="shared" ref="G58:G59" si="64">E58*F58</f>
        <v>134121.84</v>
      </c>
      <c r="H58" s="76" t="s">
        <v>57</v>
      </c>
      <c r="I58" s="125">
        <v>17</v>
      </c>
      <c r="J58" s="18">
        <v>1500</v>
      </c>
      <c r="K58" s="9">
        <f t="shared" ref="K58:K59" si="65">J58/I58</f>
        <v>88.235294117647058</v>
      </c>
      <c r="L58" s="125">
        <v>17</v>
      </c>
      <c r="M58" s="10">
        <f t="shared" ref="M58:M59" si="66">F58/V58*60</f>
        <v>1341.1111111111118</v>
      </c>
      <c r="N58" s="10">
        <f>M58/L58</f>
        <v>78.888888888888928</v>
      </c>
      <c r="O58" s="11">
        <f>L58-I58</f>
        <v>0</v>
      </c>
      <c r="P58" s="12">
        <f>N58-K58</f>
        <v>-9.3464052287581296</v>
      </c>
      <c r="Q58" s="120">
        <f>N58/K58</f>
        <v>0.89407407407407458</v>
      </c>
      <c r="R58" s="470">
        <f>Q60</f>
        <v>0.89240289069557366</v>
      </c>
      <c r="S58" s="24">
        <v>0.70833333333333337</v>
      </c>
      <c r="T58" s="24">
        <v>0.78333333333333333</v>
      </c>
      <c r="U58" s="15"/>
      <c r="V58" s="126">
        <f t="shared" ref="V58:V59" si="67">(T58-S58)*24*60</f>
        <v>107.99999999999994</v>
      </c>
      <c r="W58" s="15"/>
      <c r="X58" s="15"/>
      <c r="Y58" s="456"/>
      <c r="Z58" s="456"/>
      <c r="AA58" s="11">
        <f t="shared" si="2"/>
        <v>-158.88888888888823</v>
      </c>
      <c r="AB58" s="120">
        <f t="shared" si="54"/>
        <v>0.89407407407407447</v>
      </c>
      <c r="AC58" s="470">
        <f>AB60</f>
        <v>0.89240289069557366</v>
      </c>
    </row>
    <row r="59" spans="1:29" ht="15.75" customHeight="1">
      <c r="A59" s="461" t="s">
        <v>10</v>
      </c>
      <c r="B59" s="26" t="s">
        <v>13</v>
      </c>
      <c r="C59" s="487" t="s">
        <v>64</v>
      </c>
      <c r="D59" s="487"/>
      <c r="E59" s="26">
        <v>55.32</v>
      </c>
      <c r="F59" s="27">
        <v>1826</v>
      </c>
      <c r="G59" s="119">
        <f t="shared" si="64"/>
        <v>101014.32</v>
      </c>
      <c r="H59" s="76" t="s">
        <v>57</v>
      </c>
      <c r="I59" s="125">
        <v>15</v>
      </c>
      <c r="J59" s="18">
        <v>1500</v>
      </c>
      <c r="K59" s="9">
        <f t="shared" si="65"/>
        <v>100</v>
      </c>
      <c r="L59" s="125">
        <v>15</v>
      </c>
      <c r="M59" s="10">
        <f t="shared" si="66"/>
        <v>1336.0975609756094</v>
      </c>
      <c r="N59" s="10">
        <f t="shared" ref="N59" si="68">M59/L59</f>
        <v>89.073170731707293</v>
      </c>
      <c r="O59" s="11">
        <f t="shared" ref="O59" si="69">L59-I59</f>
        <v>0</v>
      </c>
      <c r="P59" s="12">
        <f t="shared" ref="P59" si="70">N59-K59</f>
        <v>-10.926829268292707</v>
      </c>
      <c r="Q59" s="120">
        <f t="shared" ref="Q59" si="71">N59/K59</f>
        <v>0.89073170731707296</v>
      </c>
      <c r="R59" s="470"/>
      <c r="S59" s="24">
        <v>0.78819444444444442</v>
      </c>
      <c r="T59" s="24">
        <v>0.84513888888888888</v>
      </c>
      <c r="U59" s="119">
        <f t="shared" ref="U59" si="72">(S59-T58)*24*60</f>
        <v>6.9999999999999751</v>
      </c>
      <c r="V59" s="126">
        <f t="shared" si="67"/>
        <v>82.000000000000028</v>
      </c>
      <c r="W59" s="14"/>
      <c r="X59" s="14"/>
      <c r="Y59" s="456"/>
      <c r="Z59" s="456"/>
      <c r="AA59" s="11">
        <f t="shared" si="2"/>
        <v>-163.90243902439056</v>
      </c>
      <c r="AB59" s="120">
        <f t="shared" si="54"/>
        <v>0.89073170731707296</v>
      </c>
      <c r="AC59" s="470"/>
    </row>
    <row r="60" spans="1:29">
      <c r="A60" s="496" t="s">
        <v>10</v>
      </c>
      <c r="B60" s="26" t="s">
        <v>438</v>
      </c>
      <c r="C60" s="466"/>
      <c r="D60" s="466"/>
      <c r="E60" s="121"/>
      <c r="F60" s="16"/>
      <c r="G60" s="9"/>
      <c r="H60" s="127"/>
      <c r="I60" s="17">
        <v>16</v>
      </c>
      <c r="J60" s="18">
        <v>1500</v>
      </c>
      <c r="K60" s="9">
        <f>J60/I60</f>
        <v>93.75</v>
      </c>
      <c r="L60" s="17">
        <v>16</v>
      </c>
      <c r="M60" s="10">
        <f>AVERAGE(M58:M59)</f>
        <v>1338.6043360433605</v>
      </c>
      <c r="N60" s="9">
        <f>M60/L60</f>
        <v>83.662771002710031</v>
      </c>
      <c r="O60" s="11">
        <f>L60-I60</f>
        <v>0</v>
      </c>
      <c r="P60" s="12">
        <f>N60-K60</f>
        <v>-10.087228997289969</v>
      </c>
      <c r="Q60" s="120">
        <f>N60/K60</f>
        <v>0.89240289069557366</v>
      </c>
      <c r="R60" s="470"/>
      <c r="S60" s="25"/>
      <c r="T60" s="24"/>
      <c r="U60" s="9"/>
      <c r="V60" s="126"/>
      <c r="W60" s="9"/>
      <c r="X60" s="9"/>
      <c r="Y60" s="456"/>
      <c r="Z60" s="456"/>
      <c r="AA60" s="11">
        <f t="shared" si="2"/>
        <v>-161.39566395663951</v>
      </c>
      <c r="AB60" s="120">
        <f t="shared" si="54"/>
        <v>0.89240289069557366</v>
      </c>
      <c r="AC60" s="470"/>
    </row>
    <row r="61" spans="1:29" ht="15.75" customHeight="1">
      <c r="A61" s="499" t="s">
        <v>444</v>
      </c>
      <c r="B61" s="127" t="s">
        <v>18</v>
      </c>
      <c r="C61" s="487" t="s">
        <v>19</v>
      </c>
      <c r="D61" s="487"/>
      <c r="E61" s="26">
        <v>41</v>
      </c>
      <c r="F61" s="27">
        <v>1859</v>
      </c>
      <c r="G61" s="119">
        <f t="shared" ref="G61:G65" si="73">E61*F61</f>
        <v>76219</v>
      </c>
      <c r="H61" s="76" t="s">
        <v>57</v>
      </c>
      <c r="I61" s="125">
        <v>21</v>
      </c>
      <c r="J61" s="18">
        <v>1286</v>
      </c>
      <c r="K61" s="9">
        <f t="shared" ref="K61:K65" si="74">J61/I61</f>
        <v>61.238095238095241</v>
      </c>
      <c r="L61" s="17">
        <v>21</v>
      </c>
      <c r="M61" s="10">
        <f t="shared" ref="M61:M65" si="75">F61/V61*60</f>
        <v>1149.8969072164946</v>
      </c>
      <c r="N61" s="9">
        <f>M61/L61</f>
        <v>54.75699558173784</v>
      </c>
      <c r="O61" s="11">
        <f t="shared" ref="O61:O65" si="76">L61-I61</f>
        <v>0</v>
      </c>
      <c r="P61" s="12">
        <f t="shared" ref="P61:P65" si="77">N61-K61</f>
        <v>-6.4810996563574008</v>
      </c>
      <c r="Q61" s="120">
        <f>N61/K61</f>
        <v>0.8941655577111155</v>
      </c>
      <c r="R61" s="470">
        <f>Q66</f>
        <v>0.89849026466481463</v>
      </c>
      <c r="S61" s="24">
        <v>0.20833333333333334</v>
      </c>
      <c r="T61" s="24">
        <v>0.27569444444444446</v>
      </c>
      <c r="U61" s="119"/>
      <c r="V61" s="126">
        <f t="shared" ref="V61:V65" si="78">(T61-S61)*24*60</f>
        <v>97.000000000000014</v>
      </c>
      <c r="W61" s="15"/>
      <c r="X61" s="15"/>
      <c r="Y61" s="456"/>
      <c r="Z61" s="456"/>
      <c r="AA61" s="11">
        <f t="shared" si="2"/>
        <v>-136.10309278350542</v>
      </c>
      <c r="AB61" s="120">
        <f t="shared" si="54"/>
        <v>0.8941655577111155</v>
      </c>
      <c r="AC61" s="470">
        <f>AB66</f>
        <v>0.89849026466481452</v>
      </c>
    </row>
    <row r="62" spans="1:29" ht="15.75" customHeight="1">
      <c r="A62" s="499" t="s">
        <v>11</v>
      </c>
      <c r="B62" s="127" t="s">
        <v>15</v>
      </c>
      <c r="C62" s="487" t="s">
        <v>445</v>
      </c>
      <c r="D62" s="487"/>
      <c r="E62" s="26">
        <v>26.97</v>
      </c>
      <c r="F62" s="27">
        <v>3639</v>
      </c>
      <c r="G62" s="119">
        <f t="shared" si="73"/>
        <v>98143.83</v>
      </c>
      <c r="H62" s="76" t="s">
        <v>57</v>
      </c>
      <c r="I62" s="125">
        <v>11</v>
      </c>
      <c r="J62" s="18">
        <v>1440</v>
      </c>
      <c r="K62" s="9">
        <f t="shared" si="74"/>
        <v>130.90909090909091</v>
      </c>
      <c r="L62" s="17">
        <v>11</v>
      </c>
      <c r="M62" s="10">
        <f t="shared" si="75"/>
        <v>1291.9526627218934</v>
      </c>
      <c r="N62" s="9">
        <f t="shared" ref="N62:N65" si="79">M62/L62</f>
        <v>117.45024206562667</v>
      </c>
      <c r="O62" s="11">
        <f t="shared" si="76"/>
        <v>0</v>
      </c>
      <c r="P62" s="12">
        <f t="shared" si="77"/>
        <v>-13.458848843464239</v>
      </c>
      <c r="Q62" s="120">
        <f t="shared" ref="Q62:Q65" si="80">N62/K62</f>
        <v>0.89718934911242598</v>
      </c>
      <c r="R62" s="470"/>
      <c r="S62" s="24">
        <v>0.28125</v>
      </c>
      <c r="T62" s="24">
        <v>0.39861111111111114</v>
      </c>
      <c r="U62" s="119">
        <f>(S62-T61)*24*60</f>
        <v>7.9999999999999716</v>
      </c>
      <c r="V62" s="126">
        <f t="shared" si="78"/>
        <v>169.00000000000003</v>
      </c>
      <c r="W62" s="119"/>
      <c r="X62" s="119"/>
      <c r="Y62" s="456"/>
      <c r="Z62" s="456"/>
      <c r="AA62" s="11">
        <f t="shared" si="2"/>
        <v>-148.04733727810662</v>
      </c>
      <c r="AB62" s="120">
        <f t="shared" si="54"/>
        <v>0.89718934911242598</v>
      </c>
      <c r="AC62" s="470"/>
    </row>
    <row r="63" spans="1:29" ht="15.75" customHeight="1">
      <c r="A63" s="499" t="s">
        <v>11</v>
      </c>
      <c r="B63" s="127" t="s">
        <v>33</v>
      </c>
      <c r="C63" s="487" t="s">
        <v>41</v>
      </c>
      <c r="D63" s="487"/>
      <c r="E63" s="26">
        <v>34.35</v>
      </c>
      <c r="F63" s="27">
        <v>1524</v>
      </c>
      <c r="G63" s="119">
        <f t="shared" si="73"/>
        <v>52349.4</v>
      </c>
      <c r="H63" s="76" t="s">
        <v>57</v>
      </c>
      <c r="I63" s="125">
        <v>10</v>
      </c>
      <c r="J63" s="18">
        <v>3000</v>
      </c>
      <c r="K63" s="9">
        <f t="shared" si="74"/>
        <v>300</v>
      </c>
      <c r="L63" s="17">
        <v>10</v>
      </c>
      <c r="M63" s="10">
        <f t="shared" si="75"/>
        <v>2689.4117647058792</v>
      </c>
      <c r="N63" s="9">
        <f t="shared" si="79"/>
        <v>268.94117647058795</v>
      </c>
      <c r="O63" s="11">
        <f t="shared" si="76"/>
        <v>0</v>
      </c>
      <c r="P63" s="12">
        <f t="shared" si="77"/>
        <v>-31.058823529412052</v>
      </c>
      <c r="Q63" s="120">
        <f t="shared" si="80"/>
        <v>0.89647058823529313</v>
      </c>
      <c r="R63" s="470"/>
      <c r="S63" s="24">
        <v>0.40416666666666667</v>
      </c>
      <c r="T63" s="24">
        <v>0.42777777777777781</v>
      </c>
      <c r="U63" s="119">
        <f t="shared" ref="U63:U65" si="81">(S63-T62)*24*60</f>
        <v>7.9999999999999716</v>
      </c>
      <c r="V63" s="126">
        <f t="shared" si="78"/>
        <v>34.000000000000043</v>
      </c>
      <c r="W63" s="119"/>
      <c r="X63" s="119"/>
      <c r="Y63" s="456"/>
      <c r="Z63" s="456"/>
      <c r="AA63" s="11">
        <f t="shared" si="2"/>
        <v>-310.58823529412075</v>
      </c>
      <c r="AB63" s="120">
        <f t="shared" si="54"/>
        <v>0.89647058823529313</v>
      </c>
      <c r="AC63" s="470"/>
    </row>
    <row r="64" spans="1:29" ht="15.75" customHeight="1">
      <c r="A64" s="499" t="s">
        <v>11</v>
      </c>
      <c r="B64" s="127" t="s">
        <v>33</v>
      </c>
      <c r="C64" s="487" t="s">
        <v>73</v>
      </c>
      <c r="D64" s="487"/>
      <c r="E64" s="26">
        <v>28.5</v>
      </c>
      <c r="F64" s="27">
        <v>2395</v>
      </c>
      <c r="G64" s="119">
        <f t="shared" si="73"/>
        <v>68257.5</v>
      </c>
      <c r="H64" s="76" t="s">
        <v>57</v>
      </c>
      <c r="I64" s="125">
        <v>10</v>
      </c>
      <c r="J64" s="18">
        <v>3000</v>
      </c>
      <c r="K64" s="9">
        <f t="shared" si="74"/>
        <v>300</v>
      </c>
      <c r="L64" s="17">
        <v>10</v>
      </c>
      <c r="M64" s="10">
        <f t="shared" si="75"/>
        <v>2711.3207547169823</v>
      </c>
      <c r="N64" s="9">
        <f t="shared" si="79"/>
        <v>271.13207547169822</v>
      </c>
      <c r="O64" s="11">
        <f t="shared" si="76"/>
        <v>0</v>
      </c>
      <c r="P64" s="12">
        <f t="shared" si="77"/>
        <v>-28.867924528301785</v>
      </c>
      <c r="Q64" s="120">
        <f t="shared" si="80"/>
        <v>0.90377358490566073</v>
      </c>
      <c r="R64" s="470"/>
      <c r="S64" s="24">
        <v>0.43194444444444446</v>
      </c>
      <c r="T64" s="24">
        <v>0.46875</v>
      </c>
      <c r="U64" s="119">
        <f t="shared" si="81"/>
        <v>5.9999999999999787</v>
      </c>
      <c r="V64" s="126">
        <f t="shared" si="78"/>
        <v>52.999999999999972</v>
      </c>
      <c r="W64" s="119"/>
      <c r="X64" s="119"/>
      <c r="Y64" s="456"/>
      <c r="Z64" s="456"/>
      <c r="AA64" s="11">
        <f t="shared" si="2"/>
        <v>-288.67924528301774</v>
      </c>
      <c r="AB64" s="120">
        <f t="shared" si="54"/>
        <v>0.90377358490566073</v>
      </c>
      <c r="AC64" s="470"/>
    </row>
    <row r="65" spans="1:29">
      <c r="A65" s="500" t="s">
        <v>11</v>
      </c>
      <c r="B65" s="127" t="s">
        <v>33</v>
      </c>
      <c r="C65" s="487" t="s">
        <v>36</v>
      </c>
      <c r="D65" s="487"/>
      <c r="E65" s="26">
        <v>26.78</v>
      </c>
      <c r="F65" s="27">
        <v>2738</v>
      </c>
      <c r="G65" s="119">
        <f t="shared" si="73"/>
        <v>73323.64</v>
      </c>
      <c r="H65" s="76" t="s">
        <v>57</v>
      </c>
      <c r="I65" s="125">
        <v>10</v>
      </c>
      <c r="J65" s="18">
        <v>3000</v>
      </c>
      <c r="K65" s="9">
        <f t="shared" si="74"/>
        <v>300</v>
      </c>
      <c r="L65" s="17">
        <v>10</v>
      </c>
      <c r="M65" s="10">
        <f t="shared" si="75"/>
        <v>2693.1147540983634</v>
      </c>
      <c r="N65" s="9">
        <f t="shared" si="79"/>
        <v>269.31147540983636</v>
      </c>
      <c r="O65" s="11">
        <f t="shared" si="76"/>
        <v>0</v>
      </c>
      <c r="P65" s="12">
        <f t="shared" si="77"/>
        <v>-30.688524590163638</v>
      </c>
      <c r="Q65" s="120">
        <f t="shared" si="80"/>
        <v>0.89770491803278785</v>
      </c>
      <c r="R65" s="470"/>
      <c r="S65" s="24">
        <v>0.47222222222222221</v>
      </c>
      <c r="T65" s="24">
        <v>0.51458333333333328</v>
      </c>
      <c r="U65" s="119">
        <f t="shared" si="81"/>
        <v>4.9999999999999822</v>
      </c>
      <c r="V65" s="126">
        <f t="shared" si="78"/>
        <v>60.999999999999943</v>
      </c>
      <c r="W65" s="14"/>
      <c r="X65" s="14"/>
      <c r="Y65" s="456"/>
      <c r="Z65" s="456"/>
      <c r="AA65" s="11">
        <f t="shared" si="2"/>
        <v>-306.88524590163661</v>
      </c>
      <c r="AB65" s="120">
        <f t="shared" si="54"/>
        <v>0.89770491803278785</v>
      </c>
      <c r="AC65" s="470"/>
    </row>
    <row r="66" spans="1:29">
      <c r="A66" s="500" t="s">
        <v>11</v>
      </c>
      <c r="B66" s="26" t="s">
        <v>434</v>
      </c>
      <c r="C66" s="466"/>
      <c r="D66" s="466"/>
      <c r="E66" s="121"/>
      <c r="F66" s="16"/>
      <c r="G66" s="9"/>
      <c r="H66" s="127"/>
      <c r="I66" s="17">
        <v>12.4</v>
      </c>
      <c r="J66" s="18">
        <v>2345.1999999999998</v>
      </c>
      <c r="K66" s="9">
        <f>J66/I66</f>
        <v>189.12903225806448</v>
      </c>
      <c r="L66" s="17">
        <v>12.4</v>
      </c>
      <c r="M66" s="10">
        <f>AVERAGE(M61:M65)</f>
        <v>2107.1393686919228</v>
      </c>
      <c r="N66" s="9">
        <f>M66/L66</f>
        <v>169.93059424934862</v>
      </c>
      <c r="O66" s="11">
        <f>L66-I66</f>
        <v>0</v>
      </c>
      <c r="P66" s="12">
        <f>N66-K66</f>
        <v>-19.198438008715868</v>
      </c>
      <c r="Q66" s="120">
        <f>N66/K66</f>
        <v>0.89849026466481463</v>
      </c>
      <c r="R66" s="470"/>
      <c r="S66" s="24"/>
      <c r="T66" s="24"/>
      <c r="U66" s="9"/>
      <c r="V66" s="126"/>
      <c r="W66" s="9"/>
      <c r="X66" s="9"/>
      <c r="Y66" s="456"/>
      <c r="Z66" s="456"/>
      <c r="AA66" s="11">
        <f t="shared" si="2"/>
        <v>-238.06063130807706</v>
      </c>
      <c r="AB66" s="120">
        <f t="shared" si="54"/>
        <v>0.89849026466481452</v>
      </c>
      <c r="AC66" s="470"/>
    </row>
    <row r="67" spans="1:29" ht="15.75" customHeight="1">
      <c r="A67" s="467" t="s">
        <v>446</v>
      </c>
      <c r="B67" s="127" t="s">
        <v>24</v>
      </c>
      <c r="C67" s="487" t="s">
        <v>44</v>
      </c>
      <c r="D67" s="487"/>
      <c r="E67" s="26">
        <v>29.58</v>
      </c>
      <c r="F67" s="127">
        <v>4000</v>
      </c>
      <c r="G67" s="119">
        <f t="shared" ref="G67:G73" si="82">E67*F67</f>
        <v>118320</v>
      </c>
      <c r="H67" s="76">
        <v>2</v>
      </c>
      <c r="I67" s="125">
        <v>17</v>
      </c>
      <c r="J67" s="18">
        <v>2400</v>
      </c>
      <c r="K67" s="9">
        <f t="shared" ref="K67:K69" si="83">J67/I67</f>
        <v>141.1764705882353</v>
      </c>
      <c r="L67" s="17">
        <v>17</v>
      </c>
      <c r="M67" s="10">
        <f>F67/V67*60</f>
        <v>2142.8571428571431</v>
      </c>
      <c r="N67" s="9">
        <f t="shared" ref="N67:N73" si="84">M67/L67</f>
        <v>126.05042016806725</v>
      </c>
      <c r="O67" s="11">
        <f t="shared" ref="O67:O73" si="85">L67-I67</f>
        <v>0</v>
      </c>
      <c r="P67" s="12">
        <f t="shared" ref="P67:P73" si="86">N67-K67</f>
        <v>-15.126050420168056</v>
      </c>
      <c r="Q67" s="120">
        <f>N67/K67</f>
        <v>0.8928571428571429</v>
      </c>
      <c r="R67" s="470">
        <f>Q74</f>
        <v>0.89828484492113581</v>
      </c>
      <c r="S67" s="24">
        <v>0.16666666666666666</v>
      </c>
      <c r="T67" s="24">
        <v>0.24444444444444444</v>
      </c>
      <c r="U67" s="15"/>
      <c r="V67" s="126">
        <f t="shared" ref="V67:V73" si="87">(T67-S67)*24*60</f>
        <v>112</v>
      </c>
      <c r="W67" s="14"/>
      <c r="X67" s="14"/>
      <c r="Y67" s="456"/>
      <c r="Z67" s="456"/>
      <c r="AA67" s="11">
        <f t="shared" si="2"/>
        <v>-257.14285714285688</v>
      </c>
      <c r="AB67" s="120">
        <f>M67/J67</f>
        <v>0.89285714285714302</v>
      </c>
      <c r="AC67" s="470">
        <f>AB74</f>
        <v>0.89828484492113581</v>
      </c>
    </row>
    <row r="68" spans="1:29" ht="15.75" customHeight="1">
      <c r="A68" s="467" t="s">
        <v>12</v>
      </c>
      <c r="B68" s="127" t="s">
        <v>24</v>
      </c>
      <c r="C68" s="487" t="s">
        <v>45</v>
      </c>
      <c r="D68" s="487"/>
      <c r="E68" s="26">
        <v>19.02</v>
      </c>
      <c r="F68" s="127">
        <v>5500</v>
      </c>
      <c r="G68" s="119">
        <f t="shared" si="82"/>
        <v>104610</v>
      </c>
      <c r="H68" s="76">
        <v>2</v>
      </c>
      <c r="I68" s="125">
        <v>16</v>
      </c>
      <c r="J68" s="18">
        <v>2400</v>
      </c>
      <c r="K68" s="9">
        <f t="shared" si="83"/>
        <v>150</v>
      </c>
      <c r="L68" s="17">
        <v>16</v>
      </c>
      <c r="M68" s="10">
        <f t="shared" ref="M68:M73" si="88">F68/V68*60</f>
        <v>2142.8571428571431</v>
      </c>
      <c r="N68" s="9">
        <f t="shared" si="84"/>
        <v>133.92857142857144</v>
      </c>
      <c r="O68" s="11">
        <f t="shared" si="85"/>
        <v>0</v>
      </c>
      <c r="P68" s="12">
        <f t="shared" si="86"/>
        <v>-16.071428571428555</v>
      </c>
      <c r="Q68" s="120">
        <f t="shared" ref="Q68:Q74" si="89">N68/K68</f>
        <v>0.89285714285714302</v>
      </c>
      <c r="R68" s="470"/>
      <c r="S68" s="24">
        <v>0.24861111111111112</v>
      </c>
      <c r="T68" s="24">
        <v>0.35555555555555557</v>
      </c>
      <c r="U68" s="119">
        <f>(S68-T67)*24*60</f>
        <v>6.0000000000000187</v>
      </c>
      <c r="V68" s="126">
        <f t="shared" si="87"/>
        <v>154</v>
      </c>
      <c r="W68" s="14"/>
      <c r="X68" s="14"/>
      <c r="Y68" s="456"/>
      <c r="Z68" s="456"/>
      <c r="AA68" s="11">
        <f t="shared" si="2"/>
        <v>-257.14285714285688</v>
      </c>
      <c r="AB68" s="120">
        <f t="shared" ref="AB68:AB74" si="90">M68/J68</f>
        <v>0.89285714285714302</v>
      </c>
      <c r="AC68" s="470"/>
    </row>
    <row r="69" spans="1:29" ht="15.75" customHeight="1">
      <c r="A69" s="467" t="s">
        <v>12</v>
      </c>
      <c r="B69" s="127" t="s">
        <v>24</v>
      </c>
      <c r="C69" s="487" t="s">
        <v>56</v>
      </c>
      <c r="D69" s="487"/>
      <c r="E69" s="26">
        <v>20.2</v>
      </c>
      <c r="F69" s="127">
        <v>2812</v>
      </c>
      <c r="G69" s="119">
        <f t="shared" si="82"/>
        <v>56802.400000000001</v>
      </c>
      <c r="H69" s="76" t="s">
        <v>57</v>
      </c>
      <c r="I69" s="125">
        <v>19</v>
      </c>
      <c r="J69" s="18">
        <v>2400</v>
      </c>
      <c r="K69" s="9">
        <f t="shared" si="83"/>
        <v>126.31578947368421</v>
      </c>
      <c r="L69" s="17">
        <v>19</v>
      </c>
      <c r="M69" s="10">
        <f t="shared" si="88"/>
        <v>2163.0769230769242</v>
      </c>
      <c r="N69" s="9">
        <f t="shared" si="84"/>
        <v>113.84615384615391</v>
      </c>
      <c r="O69" s="11">
        <f t="shared" si="85"/>
        <v>0</v>
      </c>
      <c r="P69" s="12">
        <f t="shared" si="86"/>
        <v>-12.469635627530295</v>
      </c>
      <c r="Q69" s="120">
        <f t="shared" si="89"/>
        <v>0.90128205128205185</v>
      </c>
      <c r="R69" s="470"/>
      <c r="S69" s="24">
        <v>0.35902777777777778</v>
      </c>
      <c r="T69" s="24">
        <v>0.41319444444444442</v>
      </c>
      <c r="U69" s="119">
        <f t="shared" ref="U69:U73" si="91">(S69-T68)*24*60</f>
        <v>4.9999999999999822</v>
      </c>
      <c r="V69" s="126">
        <f t="shared" si="87"/>
        <v>77.999999999999957</v>
      </c>
      <c r="W69" s="14"/>
      <c r="X69" s="14"/>
      <c r="Y69" s="456"/>
      <c r="Z69" s="456"/>
      <c r="AA69" s="11">
        <f t="shared" ref="AA69:AA74" si="92">M69-J69</f>
        <v>-236.92307692307577</v>
      </c>
      <c r="AB69" s="120">
        <f t="shared" si="90"/>
        <v>0.90128205128205174</v>
      </c>
      <c r="AC69" s="470"/>
    </row>
    <row r="70" spans="1:29" ht="15.75" customHeight="1">
      <c r="A70" s="467" t="s">
        <v>12</v>
      </c>
      <c r="B70" s="127" t="s">
        <v>24</v>
      </c>
      <c r="C70" s="487" t="s">
        <v>83</v>
      </c>
      <c r="D70" s="487"/>
      <c r="E70" s="26">
        <v>32.03</v>
      </c>
      <c r="F70" s="127">
        <v>2417</v>
      </c>
      <c r="G70" s="119">
        <f t="shared" si="82"/>
        <v>77416.510000000009</v>
      </c>
      <c r="H70" s="76" t="s">
        <v>57</v>
      </c>
      <c r="I70" s="125">
        <v>19</v>
      </c>
      <c r="J70" s="18">
        <v>2400</v>
      </c>
      <c r="K70" s="9">
        <f>J70/I70</f>
        <v>126.31578947368421</v>
      </c>
      <c r="L70" s="17">
        <v>19</v>
      </c>
      <c r="M70" s="10">
        <f t="shared" si="88"/>
        <v>2164.4776119402982</v>
      </c>
      <c r="N70" s="9">
        <f t="shared" si="84"/>
        <v>113.91987431264727</v>
      </c>
      <c r="O70" s="11">
        <f t="shared" si="85"/>
        <v>0</v>
      </c>
      <c r="P70" s="12">
        <f t="shared" si="86"/>
        <v>-12.395915161036939</v>
      </c>
      <c r="Q70" s="120">
        <f t="shared" si="89"/>
        <v>0.90186567164179088</v>
      </c>
      <c r="R70" s="470"/>
      <c r="S70" s="24">
        <v>0.41666666666666663</v>
      </c>
      <c r="T70" s="24">
        <v>0.46319444444444441</v>
      </c>
      <c r="U70" s="119">
        <f t="shared" si="91"/>
        <v>4.9999999999999822</v>
      </c>
      <c r="V70" s="126">
        <f t="shared" si="87"/>
        <v>67</v>
      </c>
      <c r="W70" s="14"/>
      <c r="X70" s="14"/>
      <c r="Y70" s="456"/>
      <c r="Z70" s="456"/>
      <c r="AA70" s="11">
        <f t="shared" si="92"/>
        <v>-235.52238805970183</v>
      </c>
      <c r="AB70" s="120">
        <f t="shared" si="90"/>
        <v>0.90186567164179088</v>
      </c>
      <c r="AC70" s="470"/>
    </row>
    <row r="71" spans="1:29" ht="15.75" customHeight="1">
      <c r="A71" s="467" t="s">
        <v>12</v>
      </c>
      <c r="B71" s="127" t="s">
        <v>24</v>
      </c>
      <c r="C71" s="487" t="s">
        <v>28</v>
      </c>
      <c r="D71" s="487"/>
      <c r="E71" s="26">
        <v>22.69</v>
      </c>
      <c r="F71" s="127">
        <v>1420</v>
      </c>
      <c r="G71" s="119">
        <f t="shared" si="82"/>
        <v>32219.800000000003</v>
      </c>
      <c r="H71" s="76" t="s">
        <v>57</v>
      </c>
      <c r="I71" s="125">
        <v>18</v>
      </c>
      <c r="J71" s="18">
        <v>2400</v>
      </c>
      <c r="K71" s="9">
        <f t="shared" ref="K71:K74" si="93">J71/I71</f>
        <v>133.33333333333334</v>
      </c>
      <c r="L71" s="17">
        <v>18</v>
      </c>
      <c r="M71" s="10">
        <f t="shared" si="88"/>
        <v>2184.6153846153834</v>
      </c>
      <c r="N71" s="9">
        <f t="shared" si="84"/>
        <v>121.36752136752131</v>
      </c>
      <c r="O71" s="11">
        <f t="shared" si="85"/>
        <v>0</v>
      </c>
      <c r="P71" s="12">
        <f t="shared" si="86"/>
        <v>-11.965811965812037</v>
      </c>
      <c r="Q71" s="120">
        <f t="shared" si="89"/>
        <v>0.91025641025640969</v>
      </c>
      <c r="R71" s="470"/>
      <c r="S71" s="24">
        <v>0.46874999999999994</v>
      </c>
      <c r="T71" s="24">
        <v>0.49583333333333329</v>
      </c>
      <c r="U71" s="119">
        <f t="shared" si="91"/>
        <v>7.9999999999999716</v>
      </c>
      <c r="V71" s="126">
        <f t="shared" si="87"/>
        <v>39.000000000000021</v>
      </c>
      <c r="W71" s="14"/>
      <c r="X71" s="14"/>
      <c r="Y71" s="456"/>
      <c r="Z71" s="456"/>
      <c r="AA71" s="11">
        <f t="shared" si="92"/>
        <v>-215.38461538461661</v>
      </c>
      <c r="AB71" s="120">
        <f t="shared" si="90"/>
        <v>0.9102564102564098</v>
      </c>
      <c r="AC71" s="470"/>
    </row>
    <row r="72" spans="1:29" ht="15.75" customHeight="1">
      <c r="A72" s="467" t="s">
        <v>12</v>
      </c>
      <c r="B72" s="127" t="s">
        <v>24</v>
      </c>
      <c r="C72" s="487" t="s">
        <v>44</v>
      </c>
      <c r="D72" s="487"/>
      <c r="E72" s="26">
        <v>29.58</v>
      </c>
      <c r="F72" s="127">
        <v>5465</v>
      </c>
      <c r="G72" s="119">
        <f t="shared" si="82"/>
        <v>161654.69999999998</v>
      </c>
      <c r="H72" s="76" t="s">
        <v>57</v>
      </c>
      <c r="I72" s="125">
        <v>17</v>
      </c>
      <c r="J72" s="18">
        <v>2400</v>
      </c>
      <c r="K72" s="9">
        <f t="shared" si="93"/>
        <v>141.1764705882353</v>
      </c>
      <c r="L72" s="17">
        <v>17</v>
      </c>
      <c r="M72" s="10">
        <f t="shared" si="88"/>
        <v>2143.1372549019616</v>
      </c>
      <c r="N72" s="9">
        <f t="shared" si="84"/>
        <v>126.0668973471742</v>
      </c>
      <c r="O72" s="11">
        <f t="shared" si="85"/>
        <v>0</v>
      </c>
      <c r="P72" s="12">
        <f t="shared" si="86"/>
        <v>-15.109573241061099</v>
      </c>
      <c r="Q72" s="120">
        <f t="shared" si="89"/>
        <v>0.8929738562091506</v>
      </c>
      <c r="R72" s="470"/>
      <c r="S72" s="24">
        <v>0.53680555555555554</v>
      </c>
      <c r="T72" s="24">
        <v>0.64305555555555549</v>
      </c>
      <c r="U72" s="119">
        <f t="shared" si="91"/>
        <v>59.000000000000028</v>
      </c>
      <c r="V72" s="126">
        <f t="shared" si="87"/>
        <v>152.99999999999994</v>
      </c>
      <c r="W72" s="14"/>
      <c r="X72" s="14"/>
      <c r="Y72" s="456"/>
      <c r="Z72" s="456"/>
      <c r="AA72" s="11">
        <f t="shared" si="92"/>
        <v>-256.86274509803843</v>
      </c>
      <c r="AB72" s="120">
        <f t="shared" si="90"/>
        <v>0.89297385620915071</v>
      </c>
      <c r="AC72" s="470"/>
    </row>
    <row r="73" spans="1:29" ht="15.75" customHeight="1">
      <c r="A73" s="467" t="s">
        <v>12</v>
      </c>
      <c r="B73" s="127" t="s">
        <v>24</v>
      </c>
      <c r="C73" s="491" t="s">
        <v>45</v>
      </c>
      <c r="D73" s="492"/>
      <c r="E73" s="26">
        <v>19.02</v>
      </c>
      <c r="F73" s="127">
        <v>4372</v>
      </c>
      <c r="G73" s="119">
        <f t="shared" si="82"/>
        <v>83155.44</v>
      </c>
      <c r="H73" s="76" t="s">
        <v>57</v>
      </c>
      <c r="I73" s="125">
        <v>16</v>
      </c>
      <c r="J73" s="18">
        <v>2400</v>
      </c>
      <c r="K73" s="9">
        <f t="shared" si="93"/>
        <v>150</v>
      </c>
      <c r="L73" s="17">
        <v>16</v>
      </c>
      <c r="M73" s="10">
        <f t="shared" si="88"/>
        <v>2150.1639344262285</v>
      </c>
      <c r="N73" s="9">
        <f t="shared" si="84"/>
        <v>134.38524590163928</v>
      </c>
      <c r="O73" s="11">
        <f t="shared" si="85"/>
        <v>0</v>
      </c>
      <c r="P73" s="12">
        <f t="shared" si="86"/>
        <v>-15.61475409836072</v>
      </c>
      <c r="Q73" s="120">
        <f t="shared" si="89"/>
        <v>0.89590163934426181</v>
      </c>
      <c r="R73" s="470"/>
      <c r="S73" s="24">
        <v>0.64861111111111103</v>
      </c>
      <c r="T73" s="24">
        <v>0.73333333333333328</v>
      </c>
      <c r="U73" s="119">
        <f t="shared" si="91"/>
        <v>7.9999999999999716</v>
      </c>
      <c r="V73" s="126">
        <f t="shared" si="87"/>
        <v>122.00000000000004</v>
      </c>
      <c r="W73" s="14"/>
      <c r="X73" s="14"/>
      <c r="Y73" s="473"/>
      <c r="Z73" s="474"/>
      <c r="AA73" s="11">
        <f t="shared" si="92"/>
        <v>-249.83606557377152</v>
      </c>
      <c r="AB73" s="120">
        <f t="shared" si="90"/>
        <v>0.89590163934426181</v>
      </c>
      <c r="AC73" s="470"/>
    </row>
    <row r="74" spans="1:29" ht="16.5" customHeight="1">
      <c r="A74" s="501" t="s">
        <v>12</v>
      </c>
      <c r="B74" s="26" t="s">
        <v>438</v>
      </c>
      <c r="C74" s="466"/>
      <c r="D74" s="466"/>
      <c r="E74" s="121"/>
      <c r="F74" s="16"/>
      <c r="G74" s="9"/>
      <c r="H74" s="127"/>
      <c r="I74" s="17">
        <v>17.428571428571427</v>
      </c>
      <c r="J74" s="18">
        <v>2400</v>
      </c>
      <c r="K74" s="9">
        <f t="shared" si="93"/>
        <v>137.70491803278691</v>
      </c>
      <c r="L74" s="17">
        <v>17.428571428571427</v>
      </c>
      <c r="M74" s="10">
        <f>AVERAGE(M67:M73)</f>
        <v>2155.883627810726</v>
      </c>
      <c r="N74" s="9">
        <f>M74/L74</f>
        <v>123.6982409399597</v>
      </c>
      <c r="O74" s="11">
        <f>L74-I74</f>
        <v>0</v>
      </c>
      <c r="P74" s="12">
        <f>N74-K74</f>
        <v>-14.006677092827204</v>
      </c>
      <c r="Q74" s="120">
        <f t="shared" si="89"/>
        <v>0.89828484492113581</v>
      </c>
      <c r="R74" s="470"/>
      <c r="S74" s="24"/>
      <c r="T74" s="24"/>
      <c r="U74" s="9"/>
      <c r="V74" s="126"/>
      <c r="W74" s="9"/>
      <c r="X74" s="9"/>
      <c r="Y74" s="456"/>
      <c r="Z74" s="456"/>
      <c r="AA74" s="11">
        <f t="shared" si="92"/>
        <v>-244.11637218927399</v>
      </c>
      <c r="AB74" s="120">
        <f t="shared" si="90"/>
        <v>0.89828484492113581</v>
      </c>
      <c r="AC74" s="470"/>
    </row>
    <row r="75" spans="1:29">
      <c r="D75" s="19"/>
      <c r="E75" s="19"/>
    </row>
  </sheetData>
  <mergeCells count="199">
    <mergeCell ref="AC67:AC74"/>
    <mergeCell ref="C68:D68"/>
    <mergeCell ref="Y68:Z68"/>
    <mergeCell ref="C69:D69"/>
    <mergeCell ref="Y69:Z69"/>
    <mergeCell ref="C70:D70"/>
    <mergeCell ref="Y70:Z70"/>
    <mergeCell ref="C71:D71"/>
    <mergeCell ref="Y71:Z71"/>
    <mergeCell ref="C72:D72"/>
    <mergeCell ref="A67:A74"/>
    <mergeCell ref="C67:D67"/>
    <mergeCell ref="R67:R74"/>
    <mergeCell ref="Y67:Z67"/>
    <mergeCell ref="Y72:Z72"/>
    <mergeCell ref="A61:A66"/>
    <mergeCell ref="C61:D61"/>
    <mergeCell ref="R61:R66"/>
    <mergeCell ref="Y61:Z61"/>
    <mergeCell ref="C73:D73"/>
    <mergeCell ref="Y73:Z73"/>
    <mergeCell ref="C74:D74"/>
    <mergeCell ref="Y74:Z74"/>
    <mergeCell ref="AC61:AC66"/>
    <mergeCell ref="C62:D62"/>
    <mergeCell ref="Y62:Z62"/>
    <mergeCell ref="C63:D63"/>
    <mergeCell ref="Y63:Z63"/>
    <mergeCell ref="C64:D64"/>
    <mergeCell ref="A58:A60"/>
    <mergeCell ref="C58:D58"/>
    <mergeCell ref="R58:R60"/>
    <mergeCell ref="Y58:Z58"/>
    <mergeCell ref="AC58:AC60"/>
    <mergeCell ref="C59:D59"/>
    <mergeCell ref="Y59:Z59"/>
    <mergeCell ref="C60:D60"/>
    <mergeCell ref="Y60:Z60"/>
    <mergeCell ref="Y64:Z64"/>
    <mergeCell ref="C65:D65"/>
    <mergeCell ref="Y65:Z65"/>
    <mergeCell ref="C66:D66"/>
    <mergeCell ref="Y66:Z66"/>
    <mergeCell ref="AC48:AC57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A48:A57"/>
    <mergeCell ref="C48:D48"/>
    <mergeCell ref="R48:R57"/>
    <mergeCell ref="Y48:Z48"/>
    <mergeCell ref="Y53:Z53"/>
    <mergeCell ref="C54:D54"/>
    <mergeCell ref="Y54:Z54"/>
    <mergeCell ref="C55:D55"/>
    <mergeCell ref="Y55:Z55"/>
    <mergeCell ref="C56:D56"/>
    <mergeCell ref="Y56:Z56"/>
    <mergeCell ref="C57:D57"/>
    <mergeCell ref="Y57:Z57"/>
    <mergeCell ref="C43:D43"/>
    <mergeCell ref="Y43:Z43"/>
    <mergeCell ref="C44:D44"/>
    <mergeCell ref="Y44:Z44"/>
    <mergeCell ref="Y45:Z45"/>
    <mergeCell ref="A39:A47"/>
    <mergeCell ref="C39:D39"/>
    <mergeCell ref="R39:R47"/>
    <mergeCell ref="Y39:Z39"/>
    <mergeCell ref="Y46:Z46"/>
    <mergeCell ref="C47:D47"/>
    <mergeCell ref="Y47:Z47"/>
    <mergeCell ref="AC39:AC47"/>
    <mergeCell ref="C40:D40"/>
    <mergeCell ref="Y40:Z40"/>
    <mergeCell ref="C41:D41"/>
    <mergeCell ref="Y41:Z41"/>
    <mergeCell ref="C42:D42"/>
    <mergeCell ref="Y35:Z35"/>
    <mergeCell ref="C36:D36"/>
    <mergeCell ref="Y36:Z36"/>
    <mergeCell ref="C37:D37"/>
    <mergeCell ref="Y37:Z37"/>
    <mergeCell ref="C38:D38"/>
    <mergeCell ref="Y38:Z38"/>
    <mergeCell ref="AC28:AC38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42:Z42"/>
    <mergeCell ref="A20:A27"/>
    <mergeCell ref="C20:D20"/>
    <mergeCell ref="R20:R27"/>
    <mergeCell ref="Y20:Z20"/>
    <mergeCell ref="C27:D27"/>
    <mergeCell ref="Y27:Z27"/>
    <mergeCell ref="A28:A38"/>
    <mergeCell ref="C28:D28"/>
    <mergeCell ref="R28:R38"/>
    <mergeCell ref="Y28:Z28"/>
    <mergeCell ref="Y33:Z33"/>
    <mergeCell ref="C34:D34"/>
    <mergeCell ref="Y34:Z34"/>
    <mergeCell ref="C35:D35"/>
    <mergeCell ref="AC20:AC27"/>
    <mergeCell ref="C21:D21"/>
    <mergeCell ref="Y21:Z21"/>
    <mergeCell ref="C22:D22"/>
    <mergeCell ref="Y22:Z22"/>
    <mergeCell ref="C23:D23"/>
    <mergeCell ref="AC14:AC19"/>
    <mergeCell ref="C15:D15"/>
    <mergeCell ref="Y15:Z15"/>
    <mergeCell ref="C16:D16"/>
    <mergeCell ref="Y16:Z16"/>
    <mergeCell ref="C17:D17"/>
    <mergeCell ref="Y17:Z17"/>
    <mergeCell ref="C18:D18"/>
    <mergeCell ref="Y18:Z18"/>
    <mergeCell ref="C19:D19"/>
    <mergeCell ref="Y23:Z23"/>
    <mergeCell ref="C24:D24"/>
    <mergeCell ref="Y24:Z24"/>
    <mergeCell ref="C25:D25"/>
    <mergeCell ref="Y25:Z25"/>
    <mergeCell ref="C26:D26"/>
    <mergeCell ref="Y26:Z26"/>
    <mergeCell ref="Y11:Z11"/>
    <mergeCell ref="C12:D12"/>
    <mergeCell ref="Y12:Z12"/>
    <mergeCell ref="C13:D13"/>
    <mergeCell ref="Y13:Z13"/>
    <mergeCell ref="A14:A19"/>
    <mergeCell ref="C14:D14"/>
    <mergeCell ref="R14:R19"/>
    <mergeCell ref="Y14:Z14"/>
    <mergeCell ref="Y19:Z19"/>
    <mergeCell ref="A8:A13"/>
    <mergeCell ref="C8:D8"/>
    <mergeCell ref="R8:R13"/>
    <mergeCell ref="Y8:Z8"/>
    <mergeCell ref="AC8:AC13"/>
    <mergeCell ref="C9:D9"/>
    <mergeCell ref="Y9:Z9"/>
    <mergeCell ref="C10:D10"/>
    <mergeCell ref="Y10:Z10"/>
    <mergeCell ref="C11:D11"/>
    <mergeCell ref="AC3:AC4"/>
    <mergeCell ref="A5:A7"/>
    <mergeCell ref="C5:D5"/>
    <mergeCell ref="R5:R7"/>
    <mergeCell ref="Y5:Z5"/>
    <mergeCell ref="AC5:AC7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2 O74 O5:O8 O13:O15 O57:O61 O19:O35 O38:O53">
    <cfRule type="cellIs" dxfId="596" priority="71" operator="greaterThan">
      <formula>0</formula>
    </cfRule>
  </conditionalFormatting>
  <conditionalFormatting sqref="P5:P6 P64:P65 AA64:AA65 P67:P72 P28:P35 P61 P8 P13:P15 P20:P26 P58:P59 P39:P53 AA5:AA61 AA67:AA74">
    <cfRule type="cellIs" dxfId="595" priority="75" operator="lessThan">
      <formula>0</formula>
    </cfRule>
  </conditionalFormatting>
  <conditionalFormatting sqref="AB64:AB65 Q64:Q72 Q74 Q5:Q8 Q13:Q15 Q57:Q61 Q19:Q35 Q38:Q53 AB5:AB61 AB67:AB74">
    <cfRule type="cellIs" dxfId="594" priority="72" operator="greaterThan">
      <formula>1</formula>
    </cfRule>
    <cfRule type="cellIs" dxfId="593" priority="73" operator="lessThan">
      <formula>0.8</formula>
    </cfRule>
  </conditionalFormatting>
  <conditionalFormatting sqref="AC14:AC15 R14:R15 AC64 R64:R72 R19:R25 AC19:AC25 AC27:AC35 R27:R35 R74 AC5:AC8 R5:R8 R38:R53 AC38:AC53 AC57:AC61 R57:R61">
    <cfRule type="cellIs" dxfId="592" priority="77" operator="lessThan">
      <formula>0.8</formula>
    </cfRule>
  </conditionalFormatting>
  <conditionalFormatting sqref="AC48">
    <cfRule type="cellIs" dxfId="591" priority="79" operator="lessThan">
      <formula>0.8</formula>
    </cfRule>
  </conditionalFormatting>
  <conditionalFormatting sqref="AC20:AC25">
    <cfRule type="cellIs" dxfId="590" priority="76" operator="lessThan">
      <formula>0.8</formula>
    </cfRule>
  </conditionalFormatting>
  <conditionalFormatting sqref="AC28">
    <cfRule type="cellIs" dxfId="589" priority="78" operator="lessThan">
      <formula>0.8</formula>
    </cfRule>
  </conditionalFormatting>
  <conditionalFormatting sqref="AC39:AC46">
    <cfRule type="cellIs" dxfId="588" priority="74" operator="lessThan">
      <formula>0.8</formula>
    </cfRule>
  </conditionalFormatting>
  <conditionalFormatting sqref="AA66">
    <cfRule type="cellIs" dxfId="587" priority="70" operator="lessThan">
      <formula>0</formula>
    </cfRule>
  </conditionalFormatting>
  <conditionalFormatting sqref="AB66">
    <cfRule type="cellIs" dxfId="586" priority="68" operator="greaterThan">
      <formula>1</formula>
    </cfRule>
    <cfRule type="cellIs" dxfId="585" priority="69" operator="lessThan">
      <formula>0.8</formula>
    </cfRule>
  </conditionalFormatting>
  <conditionalFormatting sqref="O16:O17">
    <cfRule type="cellIs" dxfId="584" priority="63" operator="greaterThan">
      <formula>0</formula>
    </cfRule>
  </conditionalFormatting>
  <conditionalFormatting sqref="P16:P17">
    <cfRule type="cellIs" dxfId="583" priority="66" operator="lessThan">
      <formula>0</formula>
    </cfRule>
  </conditionalFormatting>
  <conditionalFormatting sqref="Q16:Q17">
    <cfRule type="cellIs" dxfId="582" priority="64" operator="greaterThan">
      <formula>1</formula>
    </cfRule>
    <cfRule type="cellIs" dxfId="581" priority="65" operator="lessThan">
      <formula>0.8</formula>
    </cfRule>
  </conditionalFormatting>
  <conditionalFormatting sqref="R16:R17 AC16:AC17">
    <cfRule type="cellIs" dxfId="580" priority="67" operator="lessThan">
      <formula>0.8</formula>
    </cfRule>
  </conditionalFormatting>
  <conditionalFormatting sqref="O9:O12">
    <cfRule type="cellIs" dxfId="579" priority="59" operator="greaterThan">
      <formula>0</formula>
    </cfRule>
  </conditionalFormatting>
  <conditionalFormatting sqref="P9:P12">
    <cfRule type="cellIs" dxfId="578" priority="62" operator="lessThan">
      <formula>0</formula>
    </cfRule>
  </conditionalFormatting>
  <conditionalFormatting sqref="Q9:Q12">
    <cfRule type="cellIs" dxfId="577" priority="60" operator="greaterThan">
      <formula>1</formula>
    </cfRule>
    <cfRule type="cellIs" dxfId="576" priority="61" operator="lessThan">
      <formula>0.8</formula>
    </cfRule>
  </conditionalFormatting>
  <conditionalFormatting sqref="O63">
    <cfRule type="cellIs" dxfId="575" priority="54" operator="greaterThan">
      <formula>0</formula>
    </cfRule>
  </conditionalFormatting>
  <conditionalFormatting sqref="P63 AA63">
    <cfRule type="cellIs" dxfId="574" priority="57" operator="lessThan">
      <formula>0</formula>
    </cfRule>
  </conditionalFormatting>
  <conditionalFormatting sqref="Q63 AB63">
    <cfRule type="cellIs" dxfId="573" priority="55" operator="greaterThan">
      <formula>1</formula>
    </cfRule>
    <cfRule type="cellIs" dxfId="572" priority="56" operator="lessThan">
      <formula>0.8</formula>
    </cfRule>
  </conditionalFormatting>
  <conditionalFormatting sqref="R63 AC63">
    <cfRule type="cellIs" dxfId="571" priority="58" operator="lessThan">
      <formula>0.8</formula>
    </cfRule>
  </conditionalFormatting>
  <conditionalFormatting sqref="O36">
    <cfRule type="cellIs" dxfId="570" priority="49" operator="greaterThan">
      <formula>0</formula>
    </cfRule>
  </conditionalFormatting>
  <conditionalFormatting sqref="P36">
    <cfRule type="cellIs" dxfId="569" priority="52" operator="lessThan">
      <formula>0</formula>
    </cfRule>
  </conditionalFormatting>
  <conditionalFormatting sqref="Q36">
    <cfRule type="cellIs" dxfId="568" priority="50" operator="greaterThan">
      <formula>1</formula>
    </cfRule>
    <cfRule type="cellIs" dxfId="567" priority="51" operator="lessThan">
      <formula>0.8</formula>
    </cfRule>
  </conditionalFormatting>
  <conditionalFormatting sqref="R36 AC36">
    <cfRule type="cellIs" dxfId="566" priority="53" operator="lessThan">
      <formula>0.8</formula>
    </cfRule>
  </conditionalFormatting>
  <conditionalFormatting sqref="O73">
    <cfRule type="cellIs" dxfId="565" priority="44" operator="greaterThan">
      <formula>0</formula>
    </cfRule>
  </conditionalFormatting>
  <conditionalFormatting sqref="P73">
    <cfRule type="cellIs" dxfId="564" priority="47" operator="lessThan">
      <formula>0</formula>
    </cfRule>
  </conditionalFormatting>
  <conditionalFormatting sqref="Q73">
    <cfRule type="cellIs" dxfId="563" priority="45" operator="greaterThan">
      <formula>1</formula>
    </cfRule>
    <cfRule type="cellIs" dxfId="562" priority="46" operator="lessThan">
      <formula>0.8</formula>
    </cfRule>
  </conditionalFormatting>
  <conditionalFormatting sqref="R73">
    <cfRule type="cellIs" dxfId="561" priority="48" operator="lessThan">
      <formula>0.8</formula>
    </cfRule>
  </conditionalFormatting>
  <conditionalFormatting sqref="O18">
    <cfRule type="cellIs" dxfId="560" priority="39" operator="greaterThan">
      <formula>0</formula>
    </cfRule>
  </conditionalFormatting>
  <conditionalFormatting sqref="P18">
    <cfRule type="cellIs" dxfId="559" priority="42" operator="lessThan">
      <formula>0</formula>
    </cfRule>
  </conditionalFormatting>
  <conditionalFormatting sqref="Q18">
    <cfRule type="cellIs" dxfId="558" priority="40" operator="greaterThan">
      <formula>1</formula>
    </cfRule>
    <cfRule type="cellIs" dxfId="557" priority="41" operator="lessThan">
      <formula>0.8</formula>
    </cfRule>
  </conditionalFormatting>
  <conditionalFormatting sqref="R18 AC18">
    <cfRule type="cellIs" dxfId="556" priority="43" operator="lessThan">
      <formula>0.8</formula>
    </cfRule>
  </conditionalFormatting>
  <conditionalFormatting sqref="O37">
    <cfRule type="cellIs" dxfId="555" priority="34" operator="greaterThan">
      <formula>0</formula>
    </cfRule>
  </conditionalFormatting>
  <conditionalFormatting sqref="P37">
    <cfRule type="cellIs" dxfId="554" priority="37" operator="lessThan">
      <formula>0</formula>
    </cfRule>
  </conditionalFormatting>
  <conditionalFormatting sqref="Q37">
    <cfRule type="cellIs" dxfId="553" priority="35" operator="greaterThan">
      <formula>1</formula>
    </cfRule>
    <cfRule type="cellIs" dxfId="552" priority="36" operator="lessThan">
      <formula>0.8</formula>
    </cfRule>
  </conditionalFormatting>
  <conditionalFormatting sqref="R37 AC37">
    <cfRule type="cellIs" dxfId="551" priority="38" operator="lessThan">
      <formula>0.8</formula>
    </cfRule>
  </conditionalFormatting>
  <conditionalFormatting sqref="O54">
    <cfRule type="cellIs" dxfId="550" priority="28" operator="greaterThan">
      <formula>0</formula>
    </cfRule>
  </conditionalFormatting>
  <conditionalFormatting sqref="P54">
    <cfRule type="cellIs" dxfId="549" priority="32" operator="lessThan">
      <formula>0</formula>
    </cfRule>
  </conditionalFormatting>
  <conditionalFormatting sqref="Q54">
    <cfRule type="cellIs" dxfId="548" priority="29" operator="greaterThan">
      <formula>1</formula>
    </cfRule>
    <cfRule type="cellIs" dxfId="547" priority="30" operator="lessThan">
      <formula>0.8</formula>
    </cfRule>
  </conditionalFormatting>
  <conditionalFormatting sqref="R54 AC54">
    <cfRule type="cellIs" dxfId="546" priority="33" operator="lessThan">
      <formula>0.8</formula>
    </cfRule>
  </conditionalFormatting>
  <conditionalFormatting sqref="AC54">
    <cfRule type="cellIs" dxfId="545" priority="31" operator="lessThan">
      <formula>0.8</formula>
    </cfRule>
  </conditionalFormatting>
  <conditionalFormatting sqref="O55">
    <cfRule type="cellIs" dxfId="544" priority="22" operator="greaterThan">
      <formula>0</formula>
    </cfRule>
  </conditionalFormatting>
  <conditionalFormatting sqref="P55">
    <cfRule type="cellIs" dxfId="543" priority="26" operator="lessThan">
      <formula>0</formula>
    </cfRule>
  </conditionalFormatting>
  <conditionalFormatting sqref="Q55">
    <cfRule type="cellIs" dxfId="542" priority="23" operator="greaterThan">
      <formula>1</formula>
    </cfRule>
    <cfRule type="cellIs" dxfId="541" priority="24" operator="lessThan">
      <formula>0.8</formula>
    </cfRule>
  </conditionalFormatting>
  <conditionalFormatting sqref="R55 AC55">
    <cfRule type="cellIs" dxfId="540" priority="27" operator="lessThan">
      <formula>0.8</formula>
    </cfRule>
  </conditionalFormatting>
  <conditionalFormatting sqref="AC55">
    <cfRule type="cellIs" dxfId="539" priority="25" operator="lessThan">
      <formula>0.8</formula>
    </cfRule>
  </conditionalFormatting>
  <conditionalFormatting sqref="R26 AC26">
    <cfRule type="cellIs" dxfId="538" priority="21" operator="lessThan">
      <formula>0.8</formula>
    </cfRule>
  </conditionalFormatting>
  <conditionalFormatting sqref="AC26">
    <cfRule type="cellIs" dxfId="537" priority="20" operator="lessThan">
      <formula>0.8</formula>
    </cfRule>
  </conditionalFormatting>
  <conditionalFormatting sqref="O56">
    <cfRule type="cellIs" dxfId="536" priority="14" operator="greaterThan">
      <formula>0</formula>
    </cfRule>
  </conditionalFormatting>
  <conditionalFormatting sqref="P56">
    <cfRule type="cellIs" dxfId="535" priority="18" operator="lessThan">
      <formula>0</formula>
    </cfRule>
  </conditionalFormatting>
  <conditionalFormatting sqref="Q56">
    <cfRule type="cellIs" dxfId="534" priority="15" operator="greaterThan">
      <formula>1</formula>
    </cfRule>
    <cfRule type="cellIs" dxfId="533" priority="16" operator="lessThan">
      <formula>0.8</formula>
    </cfRule>
  </conditionalFormatting>
  <conditionalFormatting sqref="R56 AC56">
    <cfRule type="cellIs" dxfId="532" priority="19" operator="lessThan">
      <formula>0.8</formula>
    </cfRule>
  </conditionalFormatting>
  <conditionalFormatting sqref="AC56">
    <cfRule type="cellIs" dxfId="531" priority="17" operator="lessThan">
      <formula>0.8</formula>
    </cfRule>
  </conditionalFormatting>
  <conditionalFormatting sqref="O62">
    <cfRule type="cellIs" dxfId="530" priority="9" operator="greaterThan">
      <formula>0</formula>
    </cfRule>
  </conditionalFormatting>
  <conditionalFormatting sqref="P62 AA62">
    <cfRule type="cellIs" dxfId="529" priority="12" operator="lessThan">
      <formula>0</formula>
    </cfRule>
  </conditionalFormatting>
  <conditionalFormatting sqref="Q62 AB62">
    <cfRule type="cellIs" dxfId="528" priority="10" operator="greaterThan">
      <formula>1</formula>
    </cfRule>
    <cfRule type="cellIs" dxfId="527" priority="11" operator="lessThan">
      <formula>0.8</formula>
    </cfRule>
  </conditionalFormatting>
  <conditionalFormatting sqref="R62 AC62">
    <cfRule type="cellIs" dxfId="526" priority="13" operator="lessThan">
      <formula>0.8</formula>
    </cfRule>
  </conditionalFormatting>
  <conditionalFormatting sqref="P7">
    <cfRule type="cellIs" dxfId="525" priority="8" operator="lessThan">
      <formula>0</formula>
    </cfRule>
  </conditionalFormatting>
  <conditionalFormatting sqref="P19">
    <cfRule type="cellIs" dxfId="524" priority="7" operator="lessThan">
      <formula>0</formula>
    </cfRule>
  </conditionalFormatting>
  <conditionalFormatting sqref="P27">
    <cfRule type="cellIs" dxfId="523" priority="6" operator="lessThan">
      <formula>0</formula>
    </cfRule>
  </conditionalFormatting>
  <conditionalFormatting sqref="P38">
    <cfRule type="cellIs" dxfId="522" priority="5" operator="lessThan">
      <formula>0</formula>
    </cfRule>
  </conditionalFormatting>
  <conditionalFormatting sqref="P57">
    <cfRule type="cellIs" dxfId="521" priority="4" operator="lessThan">
      <formula>0</formula>
    </cfRule>
  </conditionalFormatting>
  <conditionalFormatting sqref="P60">
    <cfRule type="cellIs" dxfId="520" priority="3" operator="lessThan">
      <formula>0</formula>
    </cfRule>
  </conditionalFormatting>
  <conditionalFormatting sqref="P66">
    <cfRule type="cellIs" dxfId="519" priority="2" operator="lessThan">
      <formula>0</formula>
    </cfRule>
  </conditionalFormatting>
  <conditionalFormatting sqref="P74">
    <cfRule type="cellIs" dxfId="518" priority="1" operator="lessThan">
      <formula>0</formula>
    </cfRule>
  </conditionalFormatting>
  <dataValidations count="1">
    <dataValidation type="list" allowBlank="1" showInputMessage="1" showErrorMessage="1" sqref="Z7 Z65 Y5:Z6 Y7:Y65 Z9:Z61 Y66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5" sqref="C5:D5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264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108" t="s">
        <v>265</v>
      </c>
      <c r="C3" s="421" t="str">
        <f>TEXT('0705 4度C'!A2,"yyyy.mm.ddaaaa")</f>
        <v>2025.07.05星期六</v>
      </c>
      <c r="D3" s="421"/>
      <c r="E3" s="108" t="s">
        <v>329</v>
      </c>
      <c r="F3" s="422">
        <f>'0705 4度C'!D1</f>
        <v>134367</v>
      </c>
      <c r="G3" s="422"/>
      <c r="H3" s="108" t="s">
        <v>90</v>
      </c>
      <c r="I3" s="423">
        <f>'0705 4度C'!F1</f>
        <v>4472122.0299999993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330</v>
      </c>
      <c r="D4" s="424"/>
      <c r="E4" s="425" t="s">
        <v>331</v>
      </c>
      <c r="F4" s="425"/>
      <c r="G4" s="425" t="s">
        <v>269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249</v>
      </c>
      <c r="D5" s="424"/>
      <c r="E5" s="424" t="s">
        <v>271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132.20090964531903</v>
      </c>
      <c r="F6" s="424">
        <f>AVERAGE(D27:O27,D13:J13)</f>
        <v>134.13502653400158</v>
      </c>
      <c r="G6" s="429">
        <f>AVERAGE(D13:J13)</f>
        <v>134.13502653400158</v>
      </c>
      <c r="H6" s="429"/>
      <c r="I6" s="429">
        <f>AVERAGE(K13:M13)</f>
        <v>127.68797023839313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118.74079449564154</v>
      </c>
      <c r="F7" s="434">
        <f>AVERAGE(D28:O28,D14:J14)</f>
        <v>120.50998875538968</v>
      </c>
      <c r="G7" s="435">
        <f>AVERAGE(D14:J14)</f>
        <v>120.50998875538968</v>
      </c>
      <c r="H7" s="435"/>
      <c r="I7" s="435">
        <f>AVERAGE(K14:M14)</f>
        <v>114.61267455622915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0.89770362854690655</v>
      </c>
      <c r="F8" s="432">
        <f>AVERAGE(D15:J15,D29:O29)</f>
        <v>0.89776892609248093</v>
      </c>
      <c r="G8" s="437">
        <f>AVERAGE(D15:J15)</f>
        <v>0.89776892609248093</v>
      </c>
      <c r="H8" s="437"/>
      <c r="I8" s="437">
        <f>AVERAGE(K15:M15)</f>
        <v>0.89755126760723281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332</v>
      </c>
      <c r="C10" s="439"/>
      <c r="D10" s="440" t="s">
        <v>252</v>
      </c>
      <c r="E10" s="441"/>
      <c r="F10" s="441"/>
      <c r="G10" s="441"/>
      <c r="H10" s="441"/>
      <c r="I10" s="441"/>
      <c r="J10" s="442"/>
      <c r="K10" s="443" t="s">
        <v>333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334</v>
      </c>
      <c r="E12" s="42" t="s">
        <v>335</v>
      </c>
      <c r="F12" s="42" t="s">
        <v>277</v>
      </c>
      <c r="G12" s="42" t="s">
        <v>278</v>
      </c>
      <c r="H12" s="42" t="s">
        <v>100</v>
      </c>
      <c r="I12" s="42" t="s">
        <v>101</v>
      </c>
      <c r="J12" s="43" t="s">
        <v>336</v>
      </c>
      <c r="K12" s="41" t="s">
        <v>254</v>
      </c>
      <c r="L12" s="42" t="s">
        <v>77</v>
      </c>
      <c r="M12" s="43" t="s">
        <v>337</v>
      </c>
    </row>
    <row r="13" spans="2:17" ht="40.15" customHeight="1">
      <c r="B13" s="447" t="s">
        <v>114</v>
      </c>
      <c r="C13" s="44" t="s">
        <v>87</v>
      </c>
      <c r="D13" s="45">
        <f>SUMIFS('0705 4度C'!$K:$K,'0705 4度C'!$A:$A,"燴飯線",'0705 4度C'!$B:$B,"平均")</f>
        <v>109.09090909090909</v>
      </c>
      <c r="E13" s="46">
        <f>SUMIFS('0705 4度C'!$K:$K,'0705 4度C'!$A:$A,"沙拉線一線",'0705 4度C'!$B:$B,"平均")</f>
        <v>81.081081081081081</v>
      </c>
      <c r="F13" s="47">
        <f>SUMIFS('0705 4度C'!$K:$K,'0705 4度C'!$A:$A,"沙拉線二線",'0705 4度C'!$B:$B,"平均")</f>
        <v>88.636363636363626</v>
      </c>
      <c r="G13" s="47">
        <f>SUMIFS('0705 4度C'!$K:$K,'0705 4度C'!$A:$A,"沙拉線三線",'0705 4度C'!$B:$B,"平均")</f>
        <v>103.44827586206895</v>
      </c>
      <c r="H13" s="47">
        <f>SUMIFS('0705 4度C'!$K:$K,'0705 4度C'!$A:$A,"自動包裝線",'0705 4度C'!$B:$B,"平均")</f>
        <v>273.8095238095238</v>
      </c>
      <c r="I13" s="47">
        <f>SUMIFS('0705 4度C'!$K:$K,'0705 4度C'!$A:$A,"涼麵一線",'0705 4度C'!$B:$B,"平均")</f>
        <v>93.75</v>
      </c>
      <c r="J13" s="48">
        <f>SUMIFS('0705 4度C'!$K:$K,'0705 4度C'!$A:$A,"三明治四線",'0705 4度C'!$B:$B,"平均")</f>
        <v>189.12903225806448</v>
      </c>
      <c r="K13" s="49">
        <f>SUMIFS('0705 4度C'!$K:$K,'0705 4度C'!$A:$A,"三明治一線",'0705 4度C'!$B:$B,"平均")</f>
        <v>123.07692307692308</v>
      </c>
      <c r="L13" s="50">
        <f>SUMIFS('0705 4度C'!$K:$K,'0705 4度C'!$A:$A,"三明治二線",'0705 4度C'!$B:$B,"平均")</f>
        <v>124.13793103448276</v>
      </c>
      <c r="M13" s="48">
        <f>SUMIFS('0705 4度C'!$K:$K,'0705 4度C'!$A:$A,"自動包裝二線",'0705 4度C'!$B:$B,"平均")</f>
        <v>135.84905660377356</v>
      </c>
    </row>
    <row r="14" spans="2:17" ht="39.6" customHeight="1">
      <c r="B14" s="447"/>
      <c r="C14" s="51" t="s">
        <v>256</v>
      </c>
      <c r="D14" s="52">
        <f>SUMIFS('0705 4度C'!$N:$N,'0705 4度C'!$A:$A,"燴飯線",'0705 4度C'!$B:$B,"平均")</f>
        <v>97.544970986460342</v>
      </c>
      <c r="E14" s="53">
        <f>SUMIFS('0705 4度C'!$N:$N,'0705 4度C'!$A:$A,"沙拉線一線",'0705 4度C'!$B:$B,"平均")</f>
        <v>72.585732390702873</v>
      </c>
      <c r="F14" s="53">
        <f>SUMIFS('0705 4度C'!$N:$N,'0705 4度C'!$A:$A,"沙拉線二線",'0705 4度C'!$B:$B,"平均")</f>
        <v>79.260277496147708</v>
      </c>
      <c r="G14" s="53">
        <f>SUMIFS('0705 4度C'!$N:$N,'0705 4度C'!$A:$A,"沙拉線三線",'0705 4度C'!$B:$B,"平均")</f>
        <v>93.181646355121316</v>
      </c>
      <c r="H14" s="53">
        <f>SUMIFS('0705 4度C'!$N:$N,'0705 4度C'!$A:$A,"自動包裝線",'0705 4度C'!$B:$B,"平均")</f>
        <v>245.92448172469</v>
      </c>
      <c r="I14" s="53">
        <f>SUMIFS('0705 4度C'!$N:$N,'0705 4度C'!$A:$A,"涼麵一線",'0705 4度C'!$B:$B,"平均")</f>
        <v>84.247837568891555</v>
      </c>
      <c r="J14" s="54">
        <f>SUMIFS('0705 4度C'!$N:$N,'0705 4度C'!$A:$A,"三明治四線",'0705 4度C'!$B:$B,"平均")</f>
        <v>170.82497476571396</v>
      </c>
      <c r="K14" s="55">
        <f>SUMIFS('0705 4度C'!$N:$N,'0705 4度C'!$A:$A,"三明治一線",'0705 4度C'!$B:$B,"平均")</f>
        <v>110.49378135548181</v>
      </c>
      <c r="L14" s="56">
        <f>SUMIFS('0705 4度C'!$N:$N,'0705 4度C'!$A:$A,"三明治二線",'0705 4度C'!$B:$B,"平均")</f>
        <v>111.19526568412873</v>
      </c>
      <c r="M14" s="54">
        <f>SUMIFS('0705 4度C'!$N:$N,'0705 4度C'!$A:$A,"自動包裝二線",'0705 4度C'!$B:$B,"平均")</f>
        <v>122.14897662907694</v>
      </c>
    </row>
    <row r="15" spans="2:17" ht="40.15" customHeight="1">
      <c r="B15" s="447"/>
      <c r="C15" s="57" t="s">
        <v>257</v>
      </c>
      <c r="D15" s="58">
        <f>D14/D13</f>
        <v>0.89416223404255313</v>
      </c>
      <c r="E15" s="59">
        <f t="shared" ref="E15:M15" si="0">E14/E13</f>
        <v>0.8952240328186688</v>
      </c>
      <c r="F15" s="59">
        <f t="shared" si="0"/>
        <v>0.89421851534115371</v>
      </c>
      <c r="G15" s="59">
        <f t="shared" si="0"/>
        <v>0.90075591476617278</v>
      </c>
      <c r="H15" s="59">
        <f>H14/H13</f>
        <v>0.89815897673365042</v>
      </c>
      <c r="I15" s="59">
        <f>I14/I13</f>
        <v>0.89864360073484328</v>
      </c>
      <c r="J15" s="60">
        <f>J14/J13</f>
        <v>0.90321920821032464</v>
      </c>
      <c r="K15" s="58">
        <f>K14/K13</f>
        <v>0.89776197351328968</v>
      </c>
      <c r="L15" s="59">
        <f>L14/L13</f>
        <v>0.89573964023325914</v>
      </c>
      <c r="M15" s="60">
        <f t="shared" si="0"/>
        <v>0.89915218907514982</v>
      </c>
    </row>
    <row r="16" spans="2:17" ht="17.25" customHeight="1">
      <c r="B16" s="430" t="s">
        <v>338</v>
      </c>
      <c r="C16" s="107" t="s">
        <v>339</v>
      </c>
      <c r="D16" s="61">
        <f>VLOOKUP("燴飯線",'0705 4度C'!$A:$T,19,0)</f>
        <v>0.70833333333333337</v>
      </c>
      <c r="E16" s="24">
        <f>VLOOKUP("沙拉線一線",'0705 4度C'!$A:$T,19,0)</f>
        <v>0.12986111111111112</v>
      </c>
      <c r="F16" s="24">
        <f>VLOOKUP("沙拉線二線",'0705 4度C'!$A:$T,19,0)</f>
        <v>0.16666666666666666</v>
      </c>
      <c r="G16" s="24">
        <f>VLOOKUP("沙拉線三線",'0705 4度C'!$A:$T,19,0)</f>
        <v>0.29166666666666669</v>
      </c>
      <c r="H16" s="24">
        <f>VLOOKUP("自動包裝線",'0705 4度C'!$A:$T,19,0)</f>
        <v>0.16666666666666666</v>
      </c>
      <c r="I16" s="24">
        <f>VLOOKUP("涼麵一線",'0705 4度C'!$A:$T,19,0)</f>
        <v>0.70833333333333337</v>
      </c>
      <c r="J16" s="62">
        <f>VLOOKUP("三明治四線",'0705 4度C'!$A:$T,19,0)</f>
        <v>0.20833333333333334</v>
      </c>
      <c r="K16" s="63">
        <f>VLOOKUP("三明治一線",'0705 4度C'!$A:$T,19,0)</f>
        <v>0.125</v>
      </c>
      <c r="L16" s="64">
        <f>VLOOKUP("三明治二線",'0705 4度C'!$A:$T,19,0)</f>
        <v>0.125</v>
      </c>
      <c r="M16" s="65">
        <f>VLOOKUP("自動包裝二線",'0705 4度C'!$A:$T,19,0)</f>
        <v>0.16666666666666666</v>
      </c>
    </row>
    <row r="17" spans="2:13" ht="17.25" customHeight="1">
      <c r="B17" s="431"/>
      <c r="C17" s="107" t="s">
        <v>340</v>
      </c>
      <c r="D17" s="63">
        <f>LOOKUP(2,1/(('0705 4度C'!$A:$A="燴飯線")*('0705 4度C'!$T:$T&lt;&gt;"")),'0705 4度C'!$T:$T)</f>
        <v>0.80208333333333337</v>
      </c>
      <c r="E17" s="24">
        <f>LOOKUP(2,1/(('0705 4度C'!$A:$A="沙拉線一線")*('0705 4度C'!$T:$T&lt;&gt;"")),'0705 4度C'!$T:$T)</f>
        <v>0.59861111111111098</v>
      </c>
      <c r="F17" s="24">
        <f>LOOKUP(2,1/(('0705 4度C'!$A:$A="沙拉線二線")*('0705 4度C'!$T:$T&lt;&gt;"")),'0705 4度C'!$T:$T)</f>
        <v>0.83958333333333335</v>
      </c>
      <c r="G17" s="24">
        <f>LOOKUP(2,1/(('0705 4度C'!$A:$A="沙拉線三線")*('0705 4度C'!$T:$T&lt;&gt;"")),'0705 4度C'!$T:$T)</f>
        <v>0.82847222222222228</v>
      </c>
      <c r="H17" s="24">
        <f>LOOKUP(2,1/(('0705 4度C'!$A:$A="自動包裝線")*('0705 4度C'!$T:$T&lt;&gt;"")),'0705 4度C'!$T:$T)</f>
        <v>0.58194444444444438</v>
      </c>
      <c r="I17" s="24">
        <f>LOOKUP(2,1/(('0705 4度C'!$A:$A="涼麵一線")*('0705 4度C'!$T:$T&lt;&gt;"")),'0705 4度C'!$T:$T)</f>
        <v>0.82708333333333339</v>
      </c>
      <c r="J17" s="62">
        <f>LOOKUP(2,1/(('0705 4度C'!$A:$A="三明治四線")*('0705 4度C'!$T:$T&lt;&gt;"")),'0705 4度C'!$T:$T)</f>
        <v>0.47361111111111104</v>
      </c>
      <c r="K17" s="61">
        <f>LOOKUP(2,1/(('0705 4度C'!$A:$A="三明治一線")*('0705 4度C'!$T:$T&lt;&gt;"")),'0705 4度C'!$T:$T)</f>
        <v>0.59791666666666643</v>
      </c>
      <c r="L17" s="24">
        <f>LOOKUP(2,1/(('0705 4度C'!$A:$A="三明治二線")*('0705 4度C'!$T:$T&lt;&gt;"")),'0705 4度C'!$T:$T)</f>
        <v>0.59097222222222212</v>
      </c>
      <c r="M17" s="62">
        <f>LOOKUP(2,1/(('0705 4度C'!$A:$A="自動包裝二線")*('0705 4度C'!$T:$T&lt;&gt;"")),'0705 4度C'!$T:$T)</f>
        <v>0.59583333333333333</v>
      </c>
    </row>
    <row r="18" spans="2:13" ht="17.25" customHeight="1">
      <c r="B18" s="431" t="s">
        <v>341</v>
      </c>
      <c r="C18" s="446"/>
      <c r="D18" s="66">
        <f>SUMIFS('0705 4度C'!$I:$I,'0705 4度C'!$A:$A,"燴飯線",'0705 4度C'!$B:$B,"平均")</f>
        <v>16.5</v>
      </c>
      <c r="E18" s="67">
        <f>SUMIFS('0705 4度C'!$I:$I,'0705 4度C'!$A:$A,"沙拉線一線",'0705 4度C'!$B:$B,"平均")</f>
        <v>18.5</v>
      </c>
      <c r="F18" s="67">
        <f>SUMIFS('0705 4度C'!$I:$I,'0705 4度C'!$A:$A,"沙拉線二線",'0705 4度C'!$B:$B,"平均")</f>
        <v>17.600000000000001</v>
      </c>
      <c r="G18" s="67">
        <f>SUMIFS('0705 4度C'!$I:$I,'0705 4度C'!$A:$A,"沙拉線三線",'0705 4度C'!$B:$B,"平均")</f>
        <v>16.571428571428573</v>
      </c>
      <c r="H18" s="67">
        <f>SUMIFS('0705 4度C'!$I:$I,'0705 4度C'!$A:$A,"自動包裝線",'0705 4度C'!$B:$B,"平均")</f>
        <v>10.5</v>
      </c>
      <c r="I18" s="67">
        <f>SUMIFS('0705 4度C'!$I:$I,'0705 4度C'!$A:$A,"涼麵一線",'0705 4度C'!$B:$B,"平均")</f>
        <v>16</v>
      </c>
      <c r="J18" s="68">
        <f>SUMIFS('0705 4度C'!$I:$I,'0705 4度C'!$A:$A,"三明治四線",'0705 4度C'!$B:$B,"平均")</f>
        <v>12.4</v>
      </c>
      <c r="K18" s="66">
        <f>SUMIFS('0705 4度C'!$I:$I,'0705 4度C'!$A:$A,"三明治一線",'0705 4度C'!$B:$B,"平均")</f>
        <v>19.5</v>
      </c>
      <c r="L18" s="67">
        <f>SUMIFS('0705 4度C'!$I:$I,'0705 4度C'!$A:$A,"三明治二線",'0705 4度C'!$B:$B,"平均")</f>
        <v>19.333333333333332</v>
      </c>
      <c r="M18" s="68">
        <f>SUMIFS('0705 4度C'!$I:$I,'0705 4度C'!$A:$A,"自動包裝二線",'0705 4度C'!$B:$B,"平均")</f>
        <v>17.666666666666668</v>
      </c>
    </row>
    <row r="19" spans="2:13" ht="17.25" customHeight="1">
      <c r="B19" s="448" t="s">
        <v>286</v>
      </c>
      <c r="C19" s="449"/>
      <c r="D19" s="69" t="s">
        <v>50</v>
      </c>
      <c r="E19" s="70" t="s">
        <v>51</v>
      </c>
      <c r="F19" s="70" t="s">
        <v>258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259</v>
      </c>
      <c r="C20" s="449"/>
      <c r="D20" s="69"/>
      <c r="E20" s="70"/>
      <c r="F20" s="70" t="s">
        <v>342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343</v>
      </c>
      <c r="C21" s="451"/>
      <c r="D21" s="72"/>
      <c r="E21" s="73" t="s">
        <v>344</v>
      </c>
      <c r="F21" s="452" t="s">
        <v>260</v>
      </c>
      <c r="G21" s="453"/>
      <c r="H21" s="73" t="s">
        <v>107</v>
      </c>
      <c r="I21" s="73" t="s">
        <v>108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51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8"/>
  <sheetViews>
    <sheetView zoomScale="80" zoomScaleNormal="80" workbookViewId="0">
      <pane ySplit="4" topLeftCell="A5" activePane="bottomLeft" state="frozen"/>
      <selection activeCell="C5" sqref="C5:D5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345</v>
      </c>
      <c r="B1" s="1"/>
      <c r="C1" s="2" t="s">
        <v>346</v>
      </c>
      <c r="D1" s="3">
        <f>SUM(F5:F67)</f>
        <v>134367</v>
      </c>
      <c r="E1" s="110" t="s">
        <v>347</v>
      </c>
      <c r="F1" s="1">
        <f>SUM(G5:G67)</f>
        <v>4472122.0299999993</v>
      </c>
      <c r="G1" s="1" t="s">
        <v>348</v>
      </c>
      <c r="H1" s="4">
        <f>L7+L12+L51+L54+L18+L60+L35+L42+L26+L67</f>
        <v>164.57142857142858</v>
      </c>
      <c r="I1" s="454" t="s">
        <v>349</v>
      </c>
      <c r="J1" s="454"/>
      <c r="K1" s="454"/>
      <c r="L1" s="454" t="s">
        <v>350</v>
      </c>
      <c r="M1" s="454"/>
      <c r="N1" s="454"/>
      <c r="O1" s="454" t="s">
        <v>351</v>
      </c>
      <c r="P1" s="454"/>
      <c r="Q1" s="454"/>
      <c r="R1" s="454"/>
      <c r="S1" s="454" t="s">
        <v>352</v>
      </c>
      <c r="T1" s="454"/>
      <c r="U1" s="454"/>
      <c r="V1" s="454"/>
      <c r="W1" s="454"/>
      <c r="X1" s="454"/>
      <c r="Y1" s="454" t="s">
        <v>353</v>
      </c>
      <c r="Z1" s="454"/>
      <c r="AA1" s="454" t="s">
        <v>354</v>
      </c>
      <c r="AB1" s="455"/>
      <c r="AC1" s="455"/>
    </row>
    <row r="2" spans="1:29" ht="26.25" customHeight="1">
      <c r="A2" s="22">
        <v>45843</v>
      </c>
      <c r="B2" s="23" t="s">
        <v>355</v>
      </c>
      <c r="C2" s="2" t="s">
        <v>356</v>
      </c>
      <c r="D2" s="6">
        <f>AVERAGE(N7,N12,N51,N54,N18,N60,N26,N35,N42,N67)</f>
        <v>118.74079449564154</v>
      </c>
      <c r="E2" s="7" t="s">
        <v>0</v>
      </c>
      <c r="F2" s="8">
        <f>F1/D1</f>
        <v>33.282889623196169</v>
      </c>
      <c r="G2" s="1" t="s">
        <v>357</v>
      </c>
      <c r="H2" s="116">
        <f>COUNT(H5:H67)</f>
        <v>6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358</v>
      </c>
      <c r="B3" s="456" t="s">
        <v>359</v>
      </c>
      <c r="C3" s="456" t="s">
        <v>360</v>
      </c>
      <c r="D3" s="456"/>
      <c r="E3" s="457" t="s">
        <v>361</v>
      </c>
      <c r="F3" s="456" t="s">
        <v>362</v>
      </c>
      <c r="G3" s="457" t="s">
        <v>363</v>
      </c>
      <c r="H3" s="463" t="s">
        <v>364</v>
      </c>
      <c r="I3" s="464" t="s">
        <v>365</v>
      </c>
      <c r="J3" s="465" t="s">
        <v>366</v>
      </c>
      <c r="K3" s="459" t="s">
        <v>356</v>
      </c>
      <c r="L3" s="464" t="s">
        <v>365</v>
      </c>
      <c r="M3" s="465" t="s">
        <v>366</v>
      </c>
      <c r="N3" s="459" t="s">
        <v>356</v>
      </c>
      <c r="O3" s="464" t="s">
        <v>365</v>
      </c>
      <c r="P3" s="459" t="s">
        <v>356</v>
      </c>
      <c r="Q3" s="460" t="s">
        <v>367</v>
      </c>
      <c r="R3" s="461" t="s">
        <v>368</v>
      </c>
      <c r="S3" s="462" t="s">
        <v>1</v>
      </c>
      <c r="T3" s="462"/>
      <c r="U3" s="463" t="s">
        <v>2</v>
      </c>
      <c r="V3" s="463" t="s">
        <v>369</v>
      </c>
      <c r="W3" s="456" t="s">
        <v>370</v>
      </c>
      <c r="X3" s="456"/>
      <c r="Y3" s="475" t="s">
        <v>371</v>
      </c>
      <c r="Z3" s="476"/>
      <c r="AA3" s="465" t="s">
        <v>366</v>
      </c>
      <c r="AB3" s="460" t="s">
        <v>367</v>
      </c>
      <c r="AC3" s="461" t="s">
        <v>368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15" t="s">
        <v>3</v>
      </c>
      <c r="T4" s="115" t="s">
        <v>4</v>
      </c>
      <c r="U4" s="463"/>
      <c r="V4" s="463"/>
      <c r="W4" s="110" t="s">
        <v>372</v>
      </c>
      <c r="X4" s="110" t="s">
        <v>373</v>
      </c>
      <c r="Y4" s="476"/>
      <c r="Z4" s="476"/>
      <c r="AA4" s="465"/>
      <c r="AB4" s="460"/>
      <c r="AC4" s="461"/>
    </row>
    <row r="5" spans="1:29">
      <c r="A5" s="471" t="s">
        <v>374</v>
      </c>
      <c r="B5" s="26" t="s">
        <v>13</v>
      </c>
      <c r="C5" s="472" t="s">
        <v>58</v>
      </c>
      <c r="D5" s="472"/>
      <c r="E5" s="26">
        <v>46.93</v>
      </c>
      <c r="F5" s="115">
        <v>1259</v>
      </c>
      <c r="G5" s="110">
        <f>E5*F5</f>
        <v>59084.87</v>
      </c>
      <c r="H5" s="76" t="s">
        <v>57</v>
      </c>
      <c r="I5" s="113">
        <v>17</v>
      </c>
      <c r="J5" s="18">
        <v>1800</v>
      </c>
      <c r="K5" s="9">
        <f>J5/I5</f>
        <v>105.88235294117646</v>
      </c>
      <c r="L5" s="113">
        <v>17</v>
      </c>
      <c r="M5" s="10">
        <f>F5/V5*60</f>
        <v>1607.2340425531916</v>
      </c>
      <c r="N5" s="9">
        <f>M5/L5</f>
        <v>94.543178973717147</v>
      </c>
      <c r="O5" s="11">
        <f t="shared" ref="O5:O6" si="0">L5-I5</f>
        <v>0</v>
      </c>
      <c r="P5" s="12">
        <f t="shared" ref="P5:P6" si="1">N5-K5</f>
        <v>-11.339173967459317</v>
      </c>
      <c r="Q5" s="111">
        <f>N5/K5</f>
        <v>0.89290780141843973</v>
      </c>
      <c r="R5" s="470">
        <f>Q7</f>
        <v>0.89416223404255313</v>
      </c>
      <c r="S5" s="24">
        <v>0.70833333333333337</v>
      </c>
      <c r="T5" s="24">
        <v>0.74097222222222225</v>
      </c>
      <c r="U5" s="110"/>
      <c r="V5" s="114">
        <f>(T5-S5)*24*60</f>
        <v>46.999999999999993</v>
      </c>
      <c r="W5" s="13"/>
      <c r="X5" s="13"/>
      <c r="Y5" s="456"/>
      <c r="Z5" s="456"/>
      <c r="AA5" s="11">
        <f t="shared" ref="AA5:AA67" si="2">M5-J5</f>
        <v>-192.76595744680844</v>
      </c>
      <c r="AB5" s="111">
        <f t="shared" ref="AB5:AB6" si="3">M5/J5</f>
        <v>0.89290780141843973</v>
      </c>
      <c r="AC5" s="470">
        <f>AB7</f>
        <v>0.89416223404255313</v>
      </c>
    </row>
    <row r="6" spans="1:29">
      <c r="A6" s="464" t="s">
        <v>374</v>
      </c>
      <c r="B6" s="26" t="s">
        <v>13</v>
      </c>
      <c r="C6" s="472" t="s">
        <v>60</v>
      </c>
      <c r="D6" s="472"/>
      <c r="E6" s="26">
        <v>50.49</v>
      </c>
      <c r="F6" s="115">
        <v>2149</v>
      </c>
      <c r="G6" s="110">
        <f t="shared" ref="G6" si="4">E6*F6</f>
        <v>108503.01000000001</v>
      </c>
      <c r="H6" s="76" t="s">
        <v>57</v>
      </c>
      <c r="I6" s="113">
        <v>16</v>
      </c>
      <c r="J6" s="18">
        <v>1800</v>
      </c>
      <c r="K6" s="9">
        <f t="shared" ref="K6" si="5">J6/I6</f>
        <v>112.5</v>
      </c>
      <c r="L6" s="113">
        <v>16</v>
      </c>
      <c r="M6" s="10">
        <f>F6/V6*60</f>
        <v>1611.7499999999993</v>
      </c>
      <c r="N6" s="9">
        <f t="shared" ref="N6" si="6">M6/L6</f>
        <v>100.73437499999996</v>
      </c>
      <c r="O6" s="11">
        <f t="shared" si="0"/>
        <v>0</v>
      </c>
      <c r="P6" s="12">
        <f t="shared" si="1"/>
        <v>-11.765625000000043</v>
      </c>
      <c r="Q6" s="111">
        <f t="shared" ref="Q6" si="7">N6/K6</f>
        <v>0.89541666666666631</v>
      </c>
      <c r="R6" s="470"/>
      <c r="S6" s="24">
        <v>0.74652777777777779</v>
      </c>
      <c r="T6" s="24">
        <v>0.80208333333333337</v>
      </c>
      <c r="U6" s="110">
        <f>(S6-T5)*24*60</f>
        <v>7.9999999999999716</v>
      </c>
      <c r="V6" s="114">
        <f>(T6-S6)*24*60</f>
        <v>80.000000000000028</v>
      </c>
      <c r="W6" s="14"/>
      <c r="X6" s="14"/>
      <c r="Y6" s="456"/>
      <c r="Z6" s="456"/>
      <c r="AA6" s="11">
        <f t="shared" si="2"/>
        <v>-188.25000000000068</v>
      </c>
      <c r="AB6" s="111">
        <f t="shared" si="3"/>
        <v>0.89541666666666631</v>
      </c>
      <c r="AC6" s="470"/>
    </row>
    <row r="7" spans="1:29">
      <c r="A7" s="464" t="s">
        <v>374</v>
      </c>
      <c r="B7" s="26" t="s">
        <v>375</v>
      </c>
      <c r="C7" s="466"/>
      <c r="D7" s="466"/>
      <c r="E7" s="109"/>
      <c r="F7" s="16"/>
      <c r="G7" s="9"/>
      <c r="H7" s="115"/>
      <c r="I7" s="17">
        <v>16.5</v>
      </c>
      <c r="J7" s="18">
        <v>1800</v>
      </c>
      <c r="K7" s="9">
        <f>J7/I7</f>
        <v>109.09090909090909</v>
      </c>
      <c r="L7" s="17">
        <v>16.5</v>
      </c>
      <c r="M7" s="10">
        <f>AVERAGE(M5:M6)</f>
        <v>1609.4920212765956</v>
      </c>
      <c r="N7" s="9">
        <f>M7/L7</f>
        <v>97.544970986460342</v>
      </c>
      <c r="O7" s="11">
        <f>L7-I7</f>
        <v>0</v>
      </c>
      <c r="P7" s="12">
        <f>N7-K7</f>
        <v>-11.545938104448751</v>
      </c>
      <c r="Q7" s="111">
        <f>N7/K7</f>
        <v>0.89416223404255313</v>
      </c>
      <c r="R7" s="470"/>
      <c r="S7" s="24"/>
      <c r="T7" s="24"/>
      <c r="U7" s="110"/>
      <c r="V7" s="114"/>
      <c r="W7" s="9"/>
      <c r="X7" s="9"/>
      <c r="Y7" s="456"/>
      <c r="Z7" s="456"/>
      <c r="AA7" s="11">
        <f t="shared" si="2"/>
        <v>-190.50797872340445</v>
      </c>
      <c r="AB7" s="111">
        <f>M7/J7</f>
        <v>0.89416223404255313</v>
      </c>
      <c r="AC7" s="470"/>
    </row>
    <row r="8" spans="1:29" ht="15.75" customHeight="1">
      <c r="A8" s="467" t="s">
        <v>376</v>
      </c>
      <c r="B8" s="26" t="s">
        <v>15</v>
      </c>
      <c r="C8" s="468" t="s">
        <v>16</v>
      </c>
      <c r="D8" s="469"/>
      <c r="E8" s="26">
        <v>39.619999999999997</v>
      </c>
      <c r="F8" s="115">
        <v>4093</v>
      </c>
      <c r="G8" s="110">
        <f t="shared" ref="G8:G11" si="8">E8*F8</f>
        <v>162164.66</v>
      </c>
      <c r="H8" s="76" t="s">
        <v>57</v>
      </c>
      <c r="I8" s="113">
        <v>18</v>
      </c>
      <c r="J8" s="18">
        <v>1500</v>
      </c>
      <c r="K8" s="9">
        <f t="shared" ref="K8:K11" si="9">J8/I8</f>
        <v>83.333333333333329</v>
      </c>
      <c r="L8" s="113">
        <v>18</v>
      </c>
      <c r="M8" s="10">
        <f t="shared" ref="M8:M11" si="10">F8/V8*60</f>
        <v>1341.9672131147545</v>
      </c>
      <c r="N8" s="9">
        <f t="shared" ref="N8:N11" si="11">M8/L8</f>
        <v>74.553734061930811</v>
      </c>
      <c r="O8" s="11">
        <f t="shared" ref="O8:O11" si="12">L8-I8</f>
        <v>0</v>
      </c>
      <c r="P8" s="12">
        <f>N8-K8</f>
        <v>-8.7795992714025175</v>
      </c>
      <c r="Q8" s="111">
        <f>N8/K8</f>
        <v>0.89464480874316976</v>
      </c>
      <c r="R8" s="470">
        <f>Q12</f>
        <v>0.8952240328186688</v>
      </c>
      <c r="S8" s="24">
        <v>0.12986111111111112</v>
      </c>
      <c r="T8" s="24">
        <v>0.25694444444444442</v>
      </c>
      <c r="U8" s="110"/>
      <c r="V8" s="114">
        <f t="shared" ref="V8:V11" si="13">(T8-S8)*24*60</f>
        <v>182.99999999999994</v>
      </c>
      <c r="W8" s="9"/>
      <c r="X8" s="9"/>
      <c r="Y8" s="456"/>
      <c r="Z8" s="456"/>
      <c r="AA8" s="11">
        <f t="shared" si="2"/>
        <v>-158.03278688524551</v>
      </c>
      <c r="AB8" s="111">
        <f>M8/J8</f>
        <v>0.89464480874316965</v>
      </c>
      <c r="AC8" s="470">
        <f>AB12</f>
        <v>0.89522403281866869</v>
      </c>
    </row>
    <row r="9" spans="1:29" ht="15.75" customHeight="1">
      <c r="A9" s="467" t="s">
        <v>5</v>
      </c>
      <c r="B9" s="26" t="s">
        <v>15</v>
      </c>
      <c r="C9" s="468" t="s">
        <v>17</v>
      </c>
      <c r="D9" s="469"/>
      <c r="E9" s="26">
        <v>39.799999999999997</v>
      </c>
      <c r="F9" s="115">
        <v>3700</v>
      </c>
      <c r="G9" s="110">
        <f t="shared" si="8"/>
        <v>147260</v>
      </c>
      <c r="H9" s="76">
        <v>2</v>
      </c>
      <c r="I9" s="113">
        <v>19</v>
      </c>
      <c r="J9" s="18">
        <v>1500</v>
      </c>
      <c r="K9" s="9">
        <f t="shared" si="9"/>
        <v>78.94736842105263</v>
      </c>
      <c r="L9" s="113">
        <v>19</v>
      </c>
      <c r="M9" s="10">
        <f t="shared" si="10"/>
        <v>1337.3493975903616</v>
      </c>
      <c r="N9" s="9">
        <f t="shared" si="11"/>
        <v>70.386810399492717</v>
      </c>
      <c r="O9" s="11">
        <f t="shared" si="12"/>
        <v>0</v>
      </c>
      <c r="P9" s="12">
        <f t="shared" ref="P9:P11" si="14">N9-K9</f>
        <v>-8.5605580215599133</v>
      </c>
      <c r="Q9" s="111">
        <f t="shared" ref="Q9:Q11" si="15">N9/K9</f>
        <v>0.89156626506024106</v>
      </c>
      <c r="R9" s="470"/>
      <c r="S9" s="24">
        <v>0.28194444444444439</v>
      </c>
      <c r="T9" s="24">
        <v>0.39722222222222214</v>
      </c>
      <c r="U9" s="110">
        <f>(S9-T8)*24*60</f>
        <v>35.99999999999995</v>
      </c>
      <c r="V9" s="114">
        <f t="shared" si="13"/>
        <v>165.99999999999997</v>
      </c>
      <c r="W9" s="14"/>
      <c r="X9" s="14"/>
      <c r="Y9" s="456"/>
      <c r="Z9" s="456"/>
      <c r="AA9" s="11">
        <f t="shared" si="2"/>
        <v>-162.6506024096384</v>
      </c>
      <c r="AB9" s="111">
        <f t="shared" ref="AB9:AB26" si="16">M9/J9</f>
        <v>0.89156626506024106</v>
      </c>
      <c r="AC9" s="470"/>
    </row>
    <row r="10" spans="1:29" ht="15.75" customHeight="1">
      <c r="A10" s="467" t="s">
        <v>5</v>
      </c>
      <c r="B10" s="26" t="s">
        <v>15</v>
      </c>
      <c r="C10" s="468" t="s">
        <v>54</v>
      </c>
      <c r="D10" s="469"/>
      <c r="E10" s="26">
        <v>39.29</v>
      </c>
      <c r="F10" s="115">
        <v>3250</v>
      </c>
      <c r="G10" s="110">
        <f t="shared" si="8"/>
        <v>127692.5</v>
      </c>
      <c r="H10" s="76" t="s">
        <v>57</v>
      </c>
      <c r="I10" s="113">
        <v>18</v>
      </c>
      <c r="J10" s="18">
        <v>1500</v>
      </c>
      <c r="K10" s="9">
        <f t="shared" si="9"/>
        <v>83.333333333333329</v>
      </c>
      <c r="L10" s="113">
        <v>18</v>
      </c>
      <c r="M10" s="10">
        <f t="shared" si="10"/>
        <v>1344.827586206897</v>
      </c>
      <c r="N10" s="9">
        <f t="shared" si="11"/>
        <v>74.712643678160944</v>
      </c>
      <c r="O10" s="11">
        <f t="shared" si="12"/>
        <v>0</v>
      </c>
      <c r="P10" s="12">
        <f t="shared" si="14"/>
        <v>-8.6206896551723844</v>
      </c>
      <c r="Q10" s="111">
        <f t="shared" si="15"/>
        <v>0.89655172413793138</v>
      </c>
      <c r="R10" s="470"/>
      <c r="S10" s="24">
        <v>0.40555555555555545</v>
      </c>
      <c r="T10" s="24">
        <v>0.50624999999999987</v>
      </c>
      <c r="U10" s="110">
        <f t="shared" ref="U10:U11" si="17">(S10-T9)*24*60</f>
        <v>11.999999999999957</v>
      </c>
      <c r="V10" s="114">
        <f t="shared" si="13"/>
        <v>144.99999999999997</v>
      </c>
      <c r="W10" s="14"/>
      <c r="X10" s="14"/>
      <c r="Y10" s="456"/>
      <c r="Z10" s="456"/>
      <c r="AA10" s="11">
        <f t="shared" si="2"/>
        <v>-155.17241379310303</v>
      </c>
      <c r="AB10" s="111">
        <f t="shared" si="16"/>
        <v>0.89655172413793127</v>
      </c>
      <c r="AC10" s="470"/>
    </row>
    <row r="11" spans="1:29" ht="15.75" customHeight="1">
      <c r="A11" s="467" t="s">
        <v>5</v>
      </c>
      <c r="B11" s="26" t="s">
        <v>15</v>
      </c>
      <c r="C11" s="468" t="s">
        <v>17</v>
      </c>
      <c r="D11" s="469"/>
      <c r="E11" s="26">
        <v>39.799999999999997</v>
      </c>
      <c r="F11" s="115">
        <v>1684</v>
      </c>
      <c r="G11" s="110">
        <f t="shared" si="8"/>
        <v>67023.199999999997</v>
      </c>
      <c r="H11" s="76" t="s">
        <v>57</v>
      </c>
      <c r="I11" s="113">
        <v>19</v>
      </c>
      <c r="J11" s="18">
        <v>1500</v>
      </c>
      <c r="K11" s="9">
        <f t="shared" si="9"/>
        <v>78.94736842105263</v>
      </c>
      <c r="L11" s="113">
        <v>19</v>
      </c>
      <c r="M11" s="10">
        <f t="shared" si="10"/>
        <v>1347.1999999999989</v>
      </c>
      <c r="N11" s="9">
        <f t="shared" si="11"/>
        <v>70.90526315789468</v>
      </c>
      <c r="O11" s="11">
        <f t="shared" si="12"/>
        <v>0</v>
      </c>
      <c r="P11" s="12">
        <f t="shared" si="14"/>
        <v>-8.0421052631579499</v>
      </c>
      <c r="Q11" s="111">
        <f t="shared" si="15"/>
        <v>0.89813333333333267</v>
      </c>
      <c r="R11" s="470"/>
      <c r="S11" s="24">
        <v>0.54652777777777761</v>
      </c>
      <c r="T11" s="24">
        <v>0.59861111111111098</v>
      </c>
      <c r="U11" s="110">
        <f t="shared" si="17"/>
        <v>57.999999999999957</v>
      </c>
      <c r="V11" s="114">
        <f t="shared" si="13"/>
        <v>75.000000000000057</v>
      </c>
      <c r="W11" s="14"/>
      <c r="X11" s="14"/>
      <c r="Y11" s="456"/>
      <c r="Z11" s="456"/>
      <c r="AA11" s="11">
        <f t="shared" si="2"/>
        <v>-152.80000000000109</v>
      </c>
      <c r="AB11" s="111">
        <f t="shared" si="16"/>
        <v>0.89813333333333256</v>
      </c>
      <c r="AC11" s="470"/>
    </row>
    <row r="12" spans="1:29" ht="16.5" customHeight="1">
      <c r="A12" s="467" t="s">
        <v>5</v>
      </c>
      <c r="B12" s="26" t="s">
        <v>375</v>
      </c>
      <c r="C12" s="466"/>
      <c r="D12" s="466"/>
      <c r="E12" s="109"/>
      <c r="F12" s="18"/>
      <c r="G12" s="10"/>
      <c r="H12" s="115"/>
      <c r="I12" s="17">
        <v>18.5</v>
      </c>
      <c r="J12" s="18">
        <v>1500</v>
      </c>
      <c r="K12" s="9">
        <f>J12/I12</f>
        <v>81.081081081081081</v>
      </c>
      <c r="L12" s="17">
        <v>18.5</v>
      </c>
      <c r="M12" s="10">
        <f>AVERAGE(M8:M11)</f>
        <v>1342.836049228003</v>
      </c>
      <c r="N12" s="9">
        <f>M12/L12</f>
        <v>72.585732390702873</v>
      </c>
      <c r="O12" s="11">
        <f>L12-I12</f>
        <v>0</v>
      </c>
      <c r="P12" s="12">
        <f>N12-K12</f>
        <v>-8.4953486903782078</v>
      </c>
      <c r="Q12" s="111">
        <f>N12/K12</f>
        <v>0.8952240328186688</v>
      </c>
      <c r="R12" s="470"/>
      <c r="S12" s="24"/>
      <c r="T12" s="24"/>
      <c r="U12" s="9"/>
      <c r="V12" s="114"/>
      <c r="W12" s="9"/>
      <c r="X12" s="9"/>
      <c r="Y12" s="456"/>
      <c r="Z12" s="456"/>
      <c r="AA12" s="11">
        <f t="shared" si="2"/>
        <v>-157.16395077199695</v>
      </c>
      <c r="AB12" s="111">
        <f t="shared" si="16"/>
        <v>0.89522403281866869</v>
      </c>
      <c r="AC12" s="470"/>
    </row>
    <row r="13" spans="1:29" ht="16.5" customHeight="1">
      <c r="A13" s="480" t="s">
        <v>377</v>
      </c>
      <c r="B13" s="115" t="s">
        <v>15</v>
      </c>
      <c r="C13" s="477" t="s">
        <v>20</v>
      </c>
      <c r="D13" s="477"/>
      <c r="E13" s="26">
        <v>46</v>
      </c>
      <c r="F13" s="115">
        <v>2854</v>
      </c>
      <c r="G13" s="110">
        <f t="shared" ref="G13:G17" si="18">E13*F13</f>
        <v>131284</v>
      </c>
      <c r="H13" s="76" t="s">
        <v>57</v>
      </c>
      <c r="I13" s="113">
        <v>17</v>
      </c>
      <c r="J13" s="18">
        <v>1500</v>
      </c>
      <c r="K13" s="9">
        <f>J13/I13</f>
        <v>88.235294117647058</v>
      </c>
      <c r="L13" s="113">
        <v>17</v>
      </c>
      <c r="M13" s="10">
        <f>F13/V13*60</f>
        <v>1337.8125000000002</v>
      </c>
      <c r="N13" s="9">
        <f t="shared" ref="N13:N25" si="19">M13/L13</f>
        <v>78.694852941176478</v>
      </c>
      <c r="O13" s="11">
        <f t="shared" ref="O13" si="20">L13-I13</f>
        <v>0</v>
      </c>
      <c r="P13" s="12">
        <f t="shared" ref="P13" si="21">N13-K13</f>
        <v>-9.5404411764705799</v>
      </c>
      <c r="Q13" s="111">
        <f>N13/K13</f>
        <v>0.89187500000000008</v>
      </c>
      <c r="R13" s="470">
        <f>Q18</f>
        <v>0.89421851534115371</v>
      </c>
      <c r="S13" s="24">
        <v>0.16666666666666666</v>
      </c>
      <c r="T13" s="24">
        <v>0.25555555555555554</v>
      </c>
      <c r="U13" s="110"/>
      <c r="V13" s="114">
        <f>(T13-S13)*24*60</f>
        <v>127.99999999999997</v>
      </c>
      <c r="W13" s="15"/>
      <c r="X13" s="15"/>
      <c r="Y13" s="456"/>
      <c r="Z13" s="456"/>
      <c r="AA13" s="11">
        <f t="shared" si="2"/>
        <v>-162.18749999999977</v>
      </c>
      <c r="AB13" s="111">
        <f t="shared" si="16"/>
        <v>0.8918750000000002</v>
      </c>
      <c r="AC13" s="470">
        <f>AB18</f>
        <v>0.89421851534115371</v>
      </c>
    </row>
    <row r="14" spans="1:29" ht="16.5" customHeight="1">
      <c r="A14" s="481" t="s">
        <v>6</v>
      </c>
      <c r="B14" s="115" t="s">
        <v>15</v>
      </c>
      <c r="C14" s="477" t="s">
        <v>75</v>
      </c>
      <c r="D14" s="477"/>
      <c r="E14" s="26">
        <v>46</v>
      </c>
      <c r="F14" s="115">
        <v>3763</v>
      </c>
      <c r="G14" s="110">
        <f t="shared" si="18"/>
        <v>173098</v>
      </c>
      <c r="H14" s="76" t="s">
        <v>57</v>
      </c>
      <c r="I14" s="113">
        <v>20</v>
      </c>
      <c r="J14" s="18">
        <v>1500</v>
      </c>
      <c r="K14" s="9">
        <f>J14/I14</f>
        <v>75</v>
      </c>
      <c r="L14" s="113">
        <v>20</v>
      </c>
      <c r="M14" s="10">
        <f>F14/V14*60</f>
        <v>1343.9285714285718</v>
      </c>
      <c r="N14" s="9">
        <f t="shared" si="19"/>
        <v>67.196428571428584</v>
      </c>
      <c r="O14" s="11">
        <f>L14-I14</f>
        <v>0</v>
      </c>
      <c r="P14" s="12">
        <f>N14-K14</f>
        <v>-7.8035714285714164</v>
      </c>
      <c r="Q14" s="111">
        <f>N14/K14</f>
        <v>0.89595238095238117</v>
      </c>
      <c r="R14" s="470"/>
      <c r="S14" s="24">
        <v>0.27361111111111108</v>
      </c>
      <c r="T14" s="24">
        <v>0.39027777777777772</v>
      </c>
      <c r="U14" s="110">
        <f>(S14-T13)*24*60</f>
        <v>25.999999999999986</v>
      </c>
      <c r="V14" s="114">
        <f>(T14-S14)*24*60</f>
        <v>167.99999999999997</v>
      </c>
      <c r="W14" s="14"/>
      <c r="X14" s="14"/>
      <c r="Y14" s="456"/>
      <c r="Z14" s="456"/>
      <c r="AA14" s="11">
        <f t="shared" si="2"/>
        <v>-156.07142857142821</v>
      </c>
      <c r="AB14" s="111">
        <f t="shared" si="16"/>
        <v>0.89595238095238117</v>
      </c>
      <c r="AC14" s="470"/>
    </row>
    <row r="15" spans="1:29" ht="16.5" customHeight="1">
      <c r="A15" s="481" t="s">
        <v>6</v>
      </c>
      <c r="B15" s="115" t="s">
        <v>15</v>
      </c>
      <c r="C15" s="477" t="s">
        <v>68</v>
      </c>
      <c r="D15" s="477"/>
      <c r="E15" s="26">
        <v>39.29</v>
      </c>
      <c r="F15" s="115">
        <v>2405</v>
      </c>
      <c r="G15" s="110">
        <f t="shared" si="18"/>
        <v>94492.45</v>
      </c>
      <c r="H15" s="76" t="s">
        <v>57</v>
      </c>
      <c r="I15" s="113">
        <v>19</v>
      </c>
      <c r="J15" s="18">
        <v>1500</v>
      </c>
      <c r="K15" s="9">
        <f t="shared" ref="K15:K17" si="22">J15/I15</f>
        <v>78.94736842105263</v>
      </c>
      <c r="L15" s="113">
        <v>19</v>
      </c>
      <c r="M15" s="10">
        <f t="shared" ref="M15:M17" si="23">F15/V15*60</f>
        <v>1348.5981308411212</v>
      </c>
      <c r="N15" s="9">
        <f t="shared" si="19"/>
        <v>70.97884899163796</v>
      </c>
      <c r="O15" s="11">
        <f t="shared" ref="O15:O17" si="24">L15-I15</f>
        <v>0</v>
      </c>
      <c r="P15" s="12">
        <f t="shared" ref="P15:P17" si="25">N15-K15</f>
        <v>-7.9685194294146697</v>
      </c>
      <c r="Q15" s="111">
        <f t="shared" ref="Q15:Q25" si="26">N15/K15</f>
        <v>0.89906542056074756</v>
      </c>
      <c r="R15" s="470"/>
      <c r="S15" s="24">
        <v>0.39791666666666659</v>
      </c>
      <c r="T15" s="24">
        <v>0.47222222222222215</v>
      </c>
      <c r="U15" s="110">
        <f t="shared" ref="U15:U17" si="27">(S15-T14)*24*60</f>
        <v>10.999999999999961</v>
      </c>
      <c r="V15" s="114">
        <f t="shared" ref="V15:V17" si="28">(T15-S15)*24*60</f>
        <v>107.00000000000001</v>
      </c>
      <c r="W15" s="14"/>
      <c r="X15" s="14"/>
      <c r="Y15" s="456"/>
      <c r="Z15" s="456"/>
      <c r="AA15" s="11">
        <f t="shared" si="2"/>
        <v>-151.40186915887875</v>
      </c>
      <c r="AB15" s="111">
        <f t="shared" si="16"/>
        <v>0.89906542056074745</v>
      </c>
      <c r="AC15" s="470"/>
    </row>
    <row r="16" spans="1:29" ht="16.5" customHeight="1">
      <c r="A16" s="481" t="s">
        <v>6</v>
      </c>
      <c r="B16" s="115" t="s">
        <v>13</v>
      </c>
      <c r="C16" s="477" t="s">
        <v>63</v>
      </c>
      <c r="D16" s="477"/>
      <c r="E16" s="26">
        <v>50.98</v>
      </c>
      <c r="F16" s="115">
        <v>2458</v>
      </c>
      <c r="G16" s="110">
        <f t="shared" si="18"/>
        <v>125308.84</v>
      </c>
      <c r="H16" s="76" t="s">
        <v>57</v>
      </c>
      <c r="I16" s="113">
        <v>17</v>
      </c>
      <c r="J16" s="18">
        <v>1800</v>
      </c>
      <c r="K16" s="9">
        <f t="shared" si="22"/>
        <v>105.88235294117646</v>
      </c>
      <c r="L16" s="113">
        <v>17</v>
      </c>
      <c r="M16" s="10">
        <f t="shared" si="23"/>
        <v>1603.0434782608695</v>
      </c>
      <c r="N16" s="9">
        <f t="shared" si="19"/>
        <v>94.296675191815851</v>
      </c>
      <c r="O16" s="11">
        <f t="shared" si="24"/>
        <v>0</v>
      </c>
      <c r="P16" s="12">
        <f t="shared" si="25"/>
        <v>-11.585677749360613</v>
      </c>
      <c r="Q16" s="111">
        <f t="shared" si="26"/>
        <v>0.89057971014492754</v>
      </c>
      <c r="R16" s="470"/>
      <c r="S16" s="24">
        <v>0.70833333333333337</v>
      </c>
      <c r="T16" s="24">
        <v>0.77222222222222225</v>
      </c>
      <c r="U16" s="110">
        <f t="shared" si="27"/>
        <v>340.00000000000017</v>
      </c>
      <c r="V16" s="114">
        <f t="shared" si="28"/>
        <v>92</v>
      </c>
      <c r="W16" s="14"/>
      <c r="X16" s="14"/>
      <c r="Y16" s="456"/>
      <c r="Z16" s="456"/>
      <c r="AA16" s="11">
        <f t="shared" si="2"/>
        <v>-196.95652173913049</v>
      </c>
      <c r="AB16" s="111">
        <f t="shared" si="16"/>
        <v>0.89057971014492754</v>
      </c>
      <c r="AC16" s="470"/>
    </row>
    <row r="17" spans="1:29" ht="16.5" customHeight="1">
      <c r="A17" s="481" t="s">
        <v>6</v>
      </c>
      <c r="B17" s="115" t="s">
        <v>13</v>
      </c>
      <c r="C17" s="477" t="s">
        <v>66</v>
      </c>
      <c r="D17" s="477"/>
      <c r="E17" s="26">
        <v>57.73</v>
      </c>
      <c r="F17" s="115">
        <v>2057</v>
      </c>
      <c r="G17" s="110">
        <f t="shared" si="18"/>
        <v>118750.61</v>
      </c>
      <c r="H17" s="76" t="s">
        <v>57</v>
      </c>
      <c r="I17" s="113">
        <v>15</v>
      </c>
      <c r="J17" s="18">
        <v>1500</v>
      </c>
      <c r="K17" s="9">
        <f t="shared" si="22"/>
        <v>100</v>
      </c>
      <c r="L17" s="113">
        <v>15</v>
      </c>
      <c r="M17" s="10">
        <f t="shared" si="23"/>
        <v>1341.5217391304348</v>
      </c>
      <c r="N17" s="9">
        <f t="shared" si="19"/>
        <v>89.434782608695656</v>
      </c>
      <c r="O17" s="11">
        <f t="shared" si="24"/>
        <v>0</v>
      </c>
      <c r="P17" s="12">
        <f t="shared" si="25"/>
        <v>-10.565217391304344</v>
      </c>
      <c r="Q17" s="111">
        <f t="shared" si="26"/>
        <v>0.89434782608695651</v>
      </c>
      <c r="R17" s="470"/>
      <c r="S17" s="24">
        <v>0.77569444444444446</v>
      </c>
      <c r="T17" s="24">
        <v>0.83958333333333335</v>
      </c>
      <c r="U17" s="110">
        <f t="shared" si="27"/>
        <v>4.9999999999999822</v>
      </c>
      <c r="V17" s="114">
        <f t="shared" si="28"/>
        <v>92</v>
      </c>
      <c r="W17" s="14"/>
      <c r="X17" s="14"/>
      <c r="Y17" s="456"/>
      <c r="Z17" s="456"/>
      <c r="AA17" s="11">
        <f t="shared" si="2"/>
        <v>-158.47826086956525</v>
      </c>
      <c r="AB17" s="111">
        <f t="shared" si="16"/>
        <v>0.89434782608695651</v>
      </c>
      <c r="AC17" s="470"/>
    </row>
    <row r="18" spans="1:29" ht="16.5" customHeight="1">
      <c r="A18" s="481" t="s">
        <v>6</v>
      </c>
      <c r="B18" s="26" t="s">
        <v>375</v>
      </c>
      <c r="C18" s="466"/>
      <c r="D18" s="466"/>
      <c r="E18" s="109"/>
      <c r="F18" s="16"/>
      <c r="G18" s="9"/>
      <c r="H18" s="115"/>
      <c r="I18" s="17">
        <v>17.600000000000001</v>
      </c>
      <c r="J18" s="18">
        <v>1560</v>
      </c>
      <c r="K18" s="9">
        <f>J18/I18</f>
        <v>88.636363636363626</v>
      </c>
      <c r="L18" s="17">
        <v>17.600000000000001</v>
      </c>
      <c r="M18" s="10">
        <f>AVERAGE(M13:M17)</f>
        <v>1394.9808839321997</v>
      </c>
      <c r="N18" s="9">
        <f t="shared" si="19"/>
        <v>79.260277496147708</v>
      </c>
      <c r="O18" s="11">
        <f>L18-I18</f>
        <v>0</v>
      </c>
      <c r="P18" s="12">
        <f>N18-K18</f>
        <v>-9.3760861402159179</v>
      </c>
      <c r="Q18" s="111">
        <f t="shared" si="26"/>
        <v>0.89421851534115371</v>
      </c>
      <c r="R18" s="470"/>
      <c r="S18" s="24"/>
      <c r="T18" s="24"/>
      <c r="U18" s="110"/>
      <c r="V18" s="114"/>
      <c r="W18" s="9"/>
      <c r="X18" s="9"/>
      <c r="Y18" s="456"/>
      <c r="Z18" s="456"/>
      <c r="AA18" s="11">
        <f t="shared" si="2"/>
        <v>-165.01911606780027</v>
      </c>
      <c r="AB18" s="111">
        <f t="shared" si="16"/>
        <v>0.89421851534115371</v>
      </c>
      <c r="AC18" s="470"/>
    </row>
    <row r="19" spans="1:29" ht="15.75" customHeight="1">
      <c r="A19" s="478" t="s">
        <v>378</v>
      </c>
      <c r="B19" s="26" t="s">
        <v>21</v>
      </c>
      <c r="C19" s="477" t="s">
        <v>22</v>
      </c>
      <c r="D19" s="477"/>
      <c r="E19" s="26">
        <v>43.14</v>
      </c>
      <c r="F19" s="115">
        <v>1197</v>
      </c>
      <c r="G19" s="110">
        <f t="shared" ref="G19:G25" si="29">E19*F19</f>
        <v>51638.58</v>
      </c>
      <c r="H19" s="76" t="s">
        <v>57</v>
      </c>
      <c r="I19" s="113">
        <v>17</v>
      </c>
      <c r="J19" s="18">
        <v>1200</v>
      </c>
      <c r="K19" s="9">
        <f t="shared" ref="K19:K26" si="30">J19/I19</f>
        <v>70.588235294117652</v>
      </c>
      <c r="L19" s="113">
        <v>17</v>
      </c>
      <c r="M19" s="10">
        <f t="shared" ref="M19:M25" si="31">F19/V19*60</f>
        <v>1088.1818181818182</v>
      </c>
      <c r="N19" s="9">
        <f t="shared" si="19"/>
        <v>64.01069518716578</v>
      </c>
      <c r="O19" s="11">
        <f t="shared" ref="O19:O25" si="32">L19-I19</f>
        <v>0</v>
      </c>
      <c r="P19" s="12">
        <f t="shared" ref="P19:P25" si="33">N19-K19</f>
        <v>-6.5775401069518722</v>
      </c>
      <c r="Q19" s="111">
        <f t="shared" si="26"/>
        <v>0.90681818181818186</v>
      </c>
      <c r="R19" s="470">
        <f>Q26</f>
        <v>0.90075591476617278</v>
      </c>
      <c r="S19" s="24">
        <v>0.29166666666666669</v>
      </c>
      <c r="T19" s="24">
        <v>0.33750000000000002</v>
      </c>
      <c r="U19" s="110"/>
      <c r="V19" s="114">
        <f>(T19-S19)*24*60</f>
        <v>66</v>
      </c>
      <c r="W19" s="15"/>
      <c r="X19" s="15"/>
      <c r="Y19" s="456"/>
      <c r="Z19" s="456"/>
      <c r="AA19" s="11">
        <f t="shared" si="2"/>
        <v>-111.81818181818176</v>
      </c>
      <c r="AB19" s="111">
        <f t="shared" si="16"/>
        <v>0.90681818181818186</v>
      </c>
      <c r="AC19" s="470">
        <f>AB26</f>
        <v>0.90075591476617289</v>
      </c>
    </row>
    <row r="20" spans="1:29" ht="15.75" customHeight="1">
      <c r="A20" s="479" t="s">
        <v>7</v>
      </c>
      <c r="B20" s="26" t="s">
        <v>13</v>
      </c>
      <c r="C20" s="477" t="s">
        <v>23</v>
      </c>
      <c r="D20" s="477"/>
      <c r="E20" s="26">
        <v>57.73</v>
      </c>
      <c r="F20" s="115">
        <v>2046</v>
      </c>
      <c r="G20" s="110">
        <f t="shared" si="29"/>
        <v>118115.57999999999</v>
      </c>
      <c r="H20" s="76" t="s">
        <v>57</v>
      </c>
      <c r="I20" s="113">
        <v>16</v>
      </c>
      <c r="J20" s="18">
        <v>1800</v>
      </c>
      <c r="K20" s="9">
        <f t="shared" si="30"/>
        <v>112.5</v>
      </c>
      <c r="L20" s="113">
        <v>16</v>
      </c>
      <c r="M20" s="10">
        <f t="shared" si="31"/>
        <v>1615.2631578947373</v>
      </c>
      <c r="N20" s="9">
        <f t="shared" si="19"/>
        <v>100.95394736842108</v>
      </c>
      <c r="O20" s="11">
        <f t="shared" si="32"/>
        <v>0</v>
      </c>
      <c r="P20" s="12">
        <f t="shared" si="33"/>
        <v>-11.546052631578917</v>
      </c>
      <c r="Q20" s="111">
        <f t="shared" si="26"/>
        <v>0.89736842105263182</v>
      </c>
      <c r="R20" s="470"/>
      <c r="S20" s="24">
        <v>0.34236111111111112</v>
      </c>
      <c r="T20" s="24">
        <v>0.39513888888888887</v>
      </c>
      <c r="U20" s="110">
        <f>(S20-T19)*24*60</f>
        <v>6.9999999999999751</v>
      </c>
      <c r="V20" s="114">
        <f t="shared" ref="V20:V25" si="34">(T20-S20)*24*60</f>
        <v>75.999999999999972</v>
      </c>
      <c r="W20" s="14"/>
      <c r="X20" s="110"/>
      <c r="Y20" s="456"/>
      <c r="Z20" s="456"/>
      <c r="AA20" s="11">
        <f t="shared" si="2"/>
        <v>-184.73684210526267</v>
      </c>
      <c r="AB20" s="111">
        <f t="shared" si="16"/>
        <v>0.89736842105263182</v>
      </c>
      <c r="AC20" s="470"/>
    </row>
    <row r="21" spans="1:29" ht="15.75" customHeight="1">
      <c r="A21" s="479" t="s">
        <v>7</v>
      </c>
      <c r="B21" s="26" t="s">
        <v>13</v>
      </c>
      <c r="C21" s="477" t="s">
        <v>14</v>
      </c>
      <c r="D21" s="477"/>
      <c r="E21" s="26">
        <v>53.68</v>
      </c>
      <c r="F21" s="115">
        <v>1604</v>
      </c>
      <c r="G21" s="110">
        <f t="shared" si="29"/>
        <v>86102.720000000001</v>
      </c>
      <c r="H21" s="76" t="s">
        <v>57</v>
      </c>
      <c r="I21" s="113">
        <v>17</v>
      </c>
      <c r="J21" s="18">
        <v>1800</v>
      </c>
      <c r="K21" s="9">
        <f t="shared" si="30"/>
        <v>105.88235294117646</v>
      </c>
      <c r="L21" s="113">
        <v>17</v>
      </c>
      <c r="M21" s="10">
        <f t="shared" si="31"/>
        <v>1631.1864406779655</v>
      </c>
      <c r="N21" s="9">
        <f t="shared" si="19"/>
        <v>95.95214356929209</v>
      </c>
      <c r="O21" s="11">
        <f t="shared" si="32"/>
        <v>0</v>
      </c>
      <c r="P21" s="12">
        <f t="shared" si="33"/>
        <v>-9.9302093718843736</v>
      </c>
      <c r="Q21" s="111">
        <f t="shared" si="26"/>
        <v>0.9062146892655365</v>
      </c>
      <c r="R21" s="470"/>
      <c r="S21" s="24">
        <v>0.39999999999999997</v>
      </c>
      <c r="T21" s="24">
        <v>0.44097222222222221</v>
      </c>
      <c r="U21" s="110">
        <f t="shared" ref="U21:U25" si="35">(S21-T20)*24*60</f>
        <v>6.9999999999999751</v>
      </c>
      <c r="V21" s="114">
        <f t="shared" si="34"/>
        <v>59.000000000000028</v>
      </c>
      <c r="W21" s="14"/>
      <c r="X21" s="110"/>
      <c r="Y21" s="456"/>
      <c r="Z21" s="456"/>
      <c r="AA21" s="11">
        <f t="shared" si="2"/>
        <v>-168.81355932203451</v>
      </c>
      <c r="AB21" s="111">
        <f t="shared" si="16"/>
        <v>0.90621468926553639</v>
      </c>
      <c r="AC21" s="470"/>
    </row>
    <row r="22" spans="1:29" ht="15.75" customHeight="1">
      <c r="A22" s="479" t="s">
        <v>7</v>
      </c>
      <c r="B22" s="26" t="s">
        <v>13</v>
      </c>
      <c r="C22" s="477" t="s">
        <v>72</v>
      </c>
      <c r="D22" s="477"/>
      <c r="E22" s="26">
        <v>50.67</v>
      </c>
      <c r="F22" s="115">
        <v>1203</v>
      </c>
      <c r="G22" s="110">
        <f t="shared" si="29"/>
        <v>60956.01</v>
      </c>
      <c r="H22" s="76" t="s">
        <v>57</v>
      </c>
      <c r="I22" s="113">
        <v>19</v>
      </c>
      <c r="J22" s="18">
        <v>1800</v>
      </c>
      <c r="K22" s="9">
        <f t="shared" si="30"/>
        <v>94.736842105263165</v>
      </c>
      <c r="L22" s="113">
        <v>19</v>
      </c>
      <c r="M22" s="10">
        <f t="shared" si="31"/>
        <v>1604</v>
      </c>
      <c r="N22" s="9">
        <f t="shared" si="19"/>
        <v>84.421052631578945</v>
      </c>
      <c r="O22" s="11">
        <f t="shared" si="32"/>
        <v>0</v>
      </c>
      <c r="P22" s="12">
        <f t="shared" si="33"/>
        <v>-10.31578947368422</v>
      </c>
      <c r="Q22" s="111">
        <f t="shared" si="26"/>
        <v>0.89111111111111108</v>
      </c>
      <c r="R22" s="470"/>
      <c r="S22" s="24">
        <v>0.44513888888888886</v>
      </c>
      <c r="T22" s="24">
        <v>0.47638888888888886</v>
      </c>
      <c r="U22" s="110">
        <f t="shared" si="35"/>
        <v>5.9999999999999787</v>
      </c>
      <c r="V22" s="114">
        <f t="shared" si="34"/>
        <v>45</v>
      </c>
      <c r="W22" s="14"/>
      <c r="X22" s="110"/>
      <c r="Y22" s="456"/>
      <c r="Z22" s="456"/>
      <c r="AA22" s="11">
        <f t="shared" si="2"/>
        <v>-196</v>
      </c>
      <c r="AB22" s="111">
        <f t="shared" si="16"/>
        <v>0.89111111111111108</v>
      </c>
      <c r="AC22" s="470"/>
    </row>
    <row r="23" spans="1:29" ht="15.75" customHeight="1">
      <c r="A23" s="479" t="s">
        <v>7</v>
      </c>
      <c r="B23" s="26" t="s">
        <v>13</v>
      </c>
      <c r="C23" s="477" t="s">
        <v>59</v>
      </c>
      <c r="D23" s="477"/>
      <c r="E23" s="26">
        <v>50.92</v>
      </c>
      <c r="F23" s="115">
        <v>2784</v>
      </c>
      <c r="G23" s="110">
        <f t="shared" si="29"/>
        <v>141761.28</v>
      </c>
      <c r="H23" s="76" t="s">
        <v>57</v>
      </c>
      <c r="I23" s="113">
        <v>16</v>
      </c>
      <c r="J23" s="18">
        <v>1800</v>
      </c>
      <c r="K23" s="9">
        <f t="shared" si="30"/>
        <v>112.5</v>
      </c>
      <c r="L23" s="113">
        <v>16</v>
      </c>
      <c r="M23" s="10">
        <f t="shared" si="31"/>
        <v>1606.1538461538471</v>
      </c>
      <c r="N23" s="9">
        <f t="shared" si="19"/>
        <v>100.38461538461544</v>
      </c>
      <c r="O23" s="11">
        <f t="shared" si="32"/>
        <v>0</v>
      </c>
      <c r="P23" s="12">
        <f t="shared" si="33"/>
        <v>-12.115384615384556</v>
      </c>
      <c r="Q23" s="111">
        <f t="shared" si="26"/>
        <v>0.8923076923076928</v>
      </c>
      <c r="R23" s="470"/>
      <c r="S23" s="24">
        <v>0.70833333333333337</v>
      </c>
      <c r="T23" s="24">
        <v>0.78055555555555556</v>
      </c>
      <c r="U23" s="110">
        <f t="shared" si="35"/>
        <v>334.00000000000011</v>
      </c>
      <c r="V23" s="114">
        <f t="shared" si="34"/>
        <v>103.99999999999994</v>
      </c>
      <c r="W23" s="14"/>
      <c r="X23" s="110"/>
      <c r="Y23" s="456"/>
      <c r="Z23" s="456"/>
      <c r="AA23" s="11">
        <f t="shared" si="2"/>
        <v>-193.8461538461529</v>
      </c>
      <c r="AB23" s="111">
        <f t="shared" si="16"/>
        <v>0.8923076923076928</v>
      </c>
      <c r="AC23" s="470"/>
    </row>
    <row r="24" spans="1:29" ht="15.75" customHeight="1">
      <c r="A24" s="479" t="s">
        <v>7</v>
      </c>
      <c r="B24" s="26" t="s">
        <v>13</v>
      </c>
      <c r="C24" s="477" t="s">
        <v>62</v>
      </c>
      <c r="D24" s="477"/>
      <c r="E24" s="26">
        <v>53.27</v>
      </c>
      <c r="F24" s="115">
        <v>805</v>
      </c>
      <c r="G24" s="110">
        <f t="shared" si="29"/>
        <v>42882.350000000006</v>
      </c>
      <c r="H24" s="76" t="s">
        <v>57</v>
      </c>
      <c r="I24" s="113">
        <v>15</v>
      </c>
      <c r="J24" s="18">
        <v>1800</v>
      </c>
      <c r="K24" s="9">
        <f t="shared" si="30"/>
        <v>120</v>
      </c>
      <c r="L24" s="113">
        <v>15</v>
      </c>
      <c r="M24" s="10">
        <f t="shared" si="31"/>
        <v>1609.9999999999973</v>
      </c>
      <c r="N24" s="9">
        <f t="shared" si="19"/>
        <v>107.33333333333316</v>
      </c>
      <c r="O24" s="11">
        <f t="shared" si="32"/>
        <v>0</v>
      </c>
      <c r="P24" s="12">
        <f t="shared" si="33"/>
        <v>-12.666666666666842</v>
      </c>
      <c r="Q24" s="111">
        <f t="shared" si="26"/>
        <v>0.89444444444444293</v>
      </c>
      <c r="R24" s="470"/>
      <c r="S24" s="24">
        <v>0.78402777777777777</v>
      </c>
      <c r="T24" s="24">
        <v>0.80486111111111114</v>
      </c>
      <c r="U24" s="110">
        <f t="shared" si="35"/>
        <v>4.9999999999999822</v>
      </c>
      <c r="V24" s="114">
        <f t="shared" si="34"/>
        <v>30.000000000000053</v>
      </c>
      <c r="W24" s="14"/>
      <c r="X24" s="15"/>
      <c r="Y24" s="456"/>
      <c r="Z24" s="456"/>
      <c r="AA24" s="11">
        <f t="shared" si="2"/>
        <v>-190.00000000000273</v>
      </c>
      <c r="AB24" s="111">
        <f t="shared" si="16"/>
        <v>0.89444444444444293</v>
      </c>
      <c r="AC24" s="470"/>
    </row>
    <row r="25" spans="1:29" ht="15.75" customHeight="1">
      <c r="A25" s="479" t="s">
        <v>7</v>
      </c>
      <c r="B25" s="26" t="s">
        <v>13</v>
      </c>
      <c r="C25" s="477" t="s">
        <v>61</v>
      </c>
      <c r="D25" s="477"/>
      <c r="E25" s="26">
        <v>49.91</v>
      </c>
      <c r="F25" s="115">
        <v>772</v>
      </c>
      <c r="G25" s="110">
        <f t="shared" si="29"/>
        <v>38530.519999999997</v>
      </c>
      <c r="H25" s="76" t="s">
        <v>57</v>
      </c>
      <c r="I25" s="113">
        <v>16</v>
      </c>
      <c r="J25" s="18">
        <v>1800</v>
      </c>
      <c r="K25" s="9">
        <f t="shared" si="30"/>
        <v>112.5</v>
      </c>
      <c r="L25" s="113">
        <v>16</v>
      </c>
      <c r="M25" s="10">
        <f t="shared" si="31"/>
        <v>1654.2857142857108</v>
      </c>
      <c r="N25" s="9">
        <f t="shared" si="19"/>
        <v>103.39285714285693</v>
      </c>
      <c r="O25" s="11">
        <f t="shared" si="32"/>
        <v>0</v>
      </c>
      <c r="P25" s="12">
        <f t="shared" si="33"/>
        <v>-9.1071428571430744</v>
      </c>
      <c r="Q25" s="111">
        <f t="shared" si="26"/>
        <v>0.91904761904761711</v>
      </c>
      <c r="R25" s="470"/>
      <c r="S25" s="24">
        <v>0.80902777777777779</v>
      </c>
      <c r="T25" s="24">
        <v>0.82847222222222228</v>
      </c>
      <c r="U25" s="110">
        <f t="shared" si="35"/>
        <v>5.9999999999999787</v>
      </c>
      <c r="V25" s="114">
        <f t="shared" si="34"/>
        <v>28.00000000000006</v>
      </c>
      <c r="W25" s="14"/>
      <c r="X25" s="15"/>
      <c r="Y25" s="473"/>
      <c r="Z25" s="474"/>
      <c r="AA25" s="11">
        <f t="shared" si="2"/>
        <v>-145.71428571428919</v>
      </c>
      <c r="AB25" s="111">
        <f t="shared" si="16"/>
        <v>0.91904761904761711</v>
      </c>
      <c r="AC25" s="470"/>
    </row>
    <row r="26" spans="1:29" ht="15.75" customHeight="1">
      <c r="A26" s="479" t="s">
        <v>7</v>
      </c>
      <c r="B26" s="26" t="s">
        <v>375</v>
      </c>
      <c r="C26" s="466"/>
      <c r="D26" s="466"/>
      <c r="E26" s="109"/>
      <c r="F26" s="115"/>
      <c r="G26" s="110"/>
      <c r="H26" s="115"/>
      <c r="I26" s="17">
        <v>16.571428571428573</v>
      </c>
      <c r="J26" s="18">
        <v>1714.2857142857142</v>
      </c>
      <c r="K26" s="9">
        <f t="shared" si="30"/>
        <v>103.44827586206895</v>
      </c>
      <c r="L26" s="17">
        <v>16.571428571428573</v>
      </c>
      <c r="M26" s="10">
        <f>AVERAGE(M19:M25)</f>
        <v>1544.1529967420106</v>
      </c>
      <c r="N26" s="9">
        <f>M26/L26</f>
        <v>93.181646355121316</v>
      </c>
      <c r="O26" s="11">
        <f>L26-I26</f>
        <v>0</v>
      </c>
      <c r="P26" s="12">
        <f>N26-K26</f>
        <v>-10.266629506947638</v>
      </c>
      <c r="Q26" s="111">
        <f>N26/K26</f>
        <v>0.90075591476617278</v>
      </c>
      <c r="R26" s="470"/>
      <c r="S26" s="24"/>
      <c r="T26" s="24"/>
      <c r="U26" s="9"/>
      <c r="V26" s="114"/>
      <c r="W26" s="9"/>
      <c r="X26" s="9"/>
      <c r="Y26" s="456"/>
      <c r="Z26" s="456"/>
      <c r="AA26" s="11">
        <f t="shared" si="2"/>
        <v>-170.13271754370362</v>
      </c>
      <c r="AB26" s="111">
        <f t="shared" si="16"/>
        <v>0.90075591476617289</v>
      </c>
      <c r="AC26" s="470"/>
    </row>
    <row r="27" spans="1:29" ht="15.75" customHeight="1">
      <c r="A27" s="484" t="s">
        <v>379</v>
      </c>
      <c r="B27" s="26" t="s">
        <v>24</v>
      </c>
      <c r="C27" s="477" t="s">
        <v>25</v>
      </c>
      <c r="D27" s="477"/>
      <c r="E27" s="26">
        <v>20.52</v>
      </c>
      <c r="F27" s="115">
        <v>3877</v>
      </c>
      <c r="G27" s="110">
        <f t="shared" ref="G27:G34" si="36">E27*F27</f>
        <v>79556.039999999994</v>
      </c>
      <c r="H27" s="76" t="s">
        <v>57</v>
      </c>
      <c r="I27" s="113">
        <v>20</v>
      </c>
      <c r="J27" s="18">
        <v>2400</v>
      </c>
      <c r="K27" s="9">
        <f>J27/I27</f>
        <v>120</v>
      </c>
      <c r="L27" s="113">
        <v>20</v>
      </c>
      <c r="M27" s="10">
        <f t="shared" ref="M27:M34" si="37">F27/V27*60</f>
        <v>2153.8888888888887</v>
      </c>
      <c r="N27" s="9">
        <f t="shared" ref="N27:N34" si="38">M27/L27</f>
        <v>107.69444444444443</v>
      </c>
      <c r="O27" s="11">
        <f t="shared" ref="O27:O34" si="39">L27-I27</f>
        <v>0</v>
      </c>
      <c r="P27" s="12">
        <f t="shared" ref="P27:P34" si="40">N27-K27</f>
        <v>-12.305555555555571</v>
      </c>
      <c r="Q27" s="111">
        <f t="shared" ref="Q27:Q34" si="41">N27/K27</f>
        <v>0.89745370370370359</v>
      </c>
      <c r="R27" s="470">
        <f>Q35</f>
        <v>0.89776197351328968</v>
      </c>
      <c r="S27" s="24">
        <v>0.125</v>
      </c>
      <c r="T27" s="24">
        <v>0.2</v>
      </c>
      <c r="U27" s="110"/>
      <c r="V27" s="114">
        <f t="shared" ref="V27:V34" si="42">(T27-S27)*24*60</f>
        <v>108.00000000000001</v>
      </c>
      <c r="W27" s="14"/>
      <c r="X27" s="14"/>
      <c r="Y27" s="456"/>
      <c r="Z27" s="456"/>
      <c r="AA27" s="11">
        <f t="shared" si="2"/>
        <v>-246.11111111111131</v>
      </c>
      <c r="AB27" s="111">
        <f>M27/J27</f>
        <v>0.89745370370370359</v>
      </c>
      <c r="AC27" s="470">
        <f>AB35</f>
        <v>0.89776197351328979</v>
      </c>
    </row>
    <row r="28" spans="1:29" ht="15.75" customHeight="1">
      <c r="A28" s="484" t="s">
        <v>8</v>
      </c>
      <c r="B28" s="26" t="s">
        <v>24</v>
      </c>
      <c r="C28" s="477" t="s">
        <v>26</v>
      </c>
      <c r="D28" s="477"/>
      <c r="E28" s="26">
        <v>26.2</v>
      </c>
      <c r="F28" s="115">
        <v>3300</v>
      </c>
      <c r="G28" s="110">
        <f t="shared" si="36"/>
        <v>86460</v>
      </c>
      <c r="H28" s="76">
        <v>2</v>
      </c>
      <c r="I28" s="113">
        <v>20</v>
      </c>
      <c r="J28" s="18">
        <v>2400</v>
      </c>
      <c r="K28" s="9">
        <f t="shared" ref="K28:K35" si="43">J28/I28</f>
        <v>120</v>
      </c>
      <c r="L28" s="113">
        <v>20</v>
      </c>
      <c r="M28" s="10">
        <f t="shared" si="37"/>
        <v>2152.1739130434785</v>
      </c>
      <c r="N28" s="9">
        <f t="shared" si="38"/>
        <v>107.60869565217392</v>
      </c>
      <c r="O28" s="11">
        <f t="shared" si="39"/>
        <v>0</v>
      </c>
      <c r="P28" s="12">
        <f t="shared" si="40"/>
        <v>-12.391304347826079</v>
      </c>
      <c r="Q28" s="111">
        <f t="shared" si="41"/>
        <v>0.89673913043478271</v>
      </c>
      <c r="R28" s="470"/>
      <c r="S28" s="24">
        <v>0.21875</v>
      </c>
      <c r="T28" s="24">
        <v>0.28263888888888888</v>
      </c>
      <c r="U28" s="110">
        <f>(S28-T27)*24*60</f>
        <v>26.999999999999986</v>
      </c>
      <c r="V28" s="114">
        <f t="shared" si="42"/>
        <v>92</v>
      </c>
      <c r="W28" s="14"/>
      <c r="X28" s="14"/>
      <c r="Y28" s="456"/>
      <c r="Z28" s="456"/>
      <c r="AA28" s="11">
        <f t="shared" si="2"/>
        <v>-247.82608695652152</v>
      </c>
      <c r="AB28" s="111">
        <f t="shared" ref="AB28:AB34" si="44">M28/J28</f>
        <v>0.89673913043478271</v>
      </c>
      <c r="AC28" s="470"/>
    </row>
    <row r="29" spans="1:29" ht="15.75" customHeight="1">
      <c r="A29" s="484" t="s">
        <v>8</v>
      </c>
      <c r="B29" s="26" t="s">
        <v>24</v>
      </c>
      <c r="C29" s="477" t="s">
        <v>55</v>
      </c>
      <c r="D29" s="477"/>
      <c r="E29" s="26">
        <v>26.2</v>
      </c>
      <c r="F29" s="115">
        <v>2000</v>
      </c>
      <c r="G29" s="110">
        <f t="shared" si="36"/>
        <v>52400</v>
      </c>
      <c r="H29" s="76">
        <v>2</v>
      </c>
      <c r="I29" s="113">
        <v>21</v>
      </c>
      <c r="J29" s="18">
        <v>2400</v>
      </c>
      <c r="K29" s="9">
        <f t="shared" si="43"/>
        <v>114.28571428571429</v>
      </c>
      <c r="L29" s="113">
        <v>21</v>
      </c>
      <c r="M29" s="10">
        <f t="shared" si="37"/>
        <v>2142.8571428571445</v>
      </c>
      <c r="N29" s="9">
        <f t="shared" si="38"/>
        <v>102.04081632653069</v>
      </c>
      <c r="O29" s="11">
        <f t="shared" si="39"/>
        <v>0</v>
      </c>
      <c r="P29" s="12">
        <f t="shared" si="40"/>
        <v>-12.244897959183604</v>
      </c>
      <c r="Q29" s="111">
        <f t="shared" si="41"/>
        <v>0.89285714285714346</v>
      </c>
      <c r="R29" s="470"/>
      <c r="S29" s="24">
        <v>0.28611111111111109</v>
      </c>
      <c r="T29" s="24">
        <v>0.32499999999999996</v>
      </c>
      <c r="U29" s="110">
        <f t="shared" ref="U29:U34" si="45">(S29-T28)*24*60</f>
        <v>4.9999999999999822</v>
      </c>
      <c r="V29" s="114">
        <f t="shared" si="42"/>
        <v>55.999999999999957</v>
      </c>
      <c r="W29" s="14"/>
      <c r="X29" s="14"/>
      <c r="Y29" s="456"/>
      <c r="Z29" s="456"/>
      <c r="AA29" s="11">
        <f t="shared" si="2"/>
        <v>-257.14285714285552</v>
      </c>
      <c r="AB29" s="111">
        <f t="shared" si="44"/>
        <v>0.89285714285714357</v>
      </c>
      <c r="AC29" s="470"/>
    </row>
    <row r="30" spans="1:29" ht="15.75" customHeight="1">
      <c r="A30" s="484" t="s">
        <v>8</v>
      </c>
      <c r="B30" s="26" t="s">
        <v>24</v>
      </c>
      <c r="C30" s="477" t="s">
        <v>46</v>
      </c>
      <c r="D30" s="477"/>
      <c r="E30" s="26">
        <v>25</v>
      </c>
      <c r="F30" s="115">
        <v>3678</v>
      </c>
      <c r="G30" s="110">
        <f t="shared" si="36"/>
        <v>91950</v>
      </c>
      <c r="H30" s="76" t="s">
        <v>57</v>
      </c>
      <c r="I30" s="113">
        <v>16</v>
      </c>
      <c r="J30" s="18">
        <v>2400</v>
      </c>
      <c r="K30" s="9">
        <f t="shared" si="43"/>
        <v>150</v>
      </c>
      <c r="L30" s="113">
        <v>16</v>
      </c>
      <c r="M30" s="10">
        <f t="shared" si="37"/>
        <v>2142.5242718446611</v>
      </c>
      <c r="N30" s="9">
        <f t="shared" si="38"/>
        <v>133.90776699029132</v>
      </c>
      <c r="O30" s="11">
        <f t="shared" si="39"/>
        <v>0</v>
      </c>
      <c r="P30" s="12">
        <f t="shared" si="40"/>
        <v>-16.092233009708679</v>
      </c>
      <c r="Q30" s="111">
        <f t="shared" si="41"/>
        <v>0.89271844660194211</v>
      </c>
      <c r="R30" s="470"/>
      <c r="S30" s="24">
        <v>0.32916666666666661</v>
      </c>
      <c r="T30" s="24">
        <v>0.40069444444444435</v>
      </c>
      <c r="U30" s="110">
        <f t="shared" si="45"/>
        <v>5.9999999999999787</v>
      </c>
      <c r="V30" s="114">
        <f t="shared" si="42"/>
        <v>102.99999999999996</v>
      </c>
      <c r="W30" s="14"/>
      <c r="X30" s="14"/>
      <c r="Y30" s="456"/>
      <c r="Z30" s="456"/>
      <c r="AA30" s="11">
        <f t="shared" si="2"/>
        <v>-257.47572815533886</v>
      </c>
      <c r="AB30" s="111">
        <f t="shared" si="44"/>
        <v>0.89271844660194211</v>
      </c>
      <c r="AC30" s="470"/>
    </row>
    <row r="31" spans="1:29" ht="15.75" customHeight="1">
      <c r="A31" s="484" t="s">
        <v>8</v>
      </c>
      <c r="B31" s="26" t="s">
        <v>24</v>
      </c>
      <c r="C31" s="477" t="s">
        <v>27</v>
      </c>
      <c r="D31" s="477"/>
      <c r="E31" s="26">
        <v>20.52</v>
      </c>
      <c r="F31" s="115">
        <v>2932</v>
      </c>
      <c r="G31" s="110">
        <f t="shared" si="36"/>
        <v>60164.639999999999</v>
      </c>
      <c r="H31" s="76" t="s">
        <v>57</v>
      </c>
      <c r="I31" s="113">
        <v>18</v>
      </c>
      <c r="J31" s="18">
        <v>2400</v>
      </c>
      <c r="K31" s="9">
        <f t="shared" si="43"/>
        <v>133.33333333333334</v>
      </c>
      <c r="L31" s="113">
        <v>18</v>
      </c>
      <c r="M31" s="10">
        <f t="shared" si="37"/>
        <v>2145.3658536585358</v>
      </c>
      <c r="N31" s="9">
        <f t="shared" si="38"/>
        <v>119.18699186991866</v>
      </c>
      <c r="O31" s="11">
        <f t="shared" si="39"/>
        <v>0</v>
      </c>
      <c r="P31" s="12">
        <f t="shared" si="40"/>
        <v>-14.146341463414686</v>
      </c>
      <c r="Q31" s="111">
        <f t="shared" si="41"/>
        <v>0.89390243902438982</v>
      </c>
      <c r="R31" s="470"/>
      <c r="S31" s="24">
        <v>0.40624999999999989</v>
      </c>
      <c r="T31" s="24">
        <v>0.46319444444444435</v>
      </c>
      <c r="U31" s="110">
        <f t="shared" si="45"/>
        <v>7.9999999999999716</v>
      </c>
      <c r="V31" s="114">
        <f t="shared" si="42"/>
        <v>82.000000000000028</v>
      </c>
      <c r="W31" s="14"/>
      <c r="X31" s="14"/>
      <c r="Y31" s="456"/>
      <c r="Z31" s="456"/>
      <c r="AA31" s="11">
        <f t="shared" si="2"/>
        <v>-254.6341463414642</v>
      </c>
      <c r="AB31" s="111">
        <f t="shared" si="44"/>
        <v>0.89390243902438993</v>
      </c>
      <c r="AC31" s="470"/>
    </row>
    <row r="32" spans="1:29" ht="15.75" customHeight="1">
      <c r="A32" s="484" t="s">
        <v>8</v>
      </c>
      <c r="B32" s="26" t="s">
        <v>24</v>
      </c>
      <c r="C32" s="477" t="s">
        <v>31</v>
      </c>
      <c r="D32" s="477"/>
      <c r="E32" s="26">
        <v>24.45</v>
      </c>
      <c r="F32" s="115">
        <v>2202</v>
      </c>
      <c r="G32" s="110">
        <f t="shared" si="36"/>
        <v>53838.9</v>
      </c>
      <c r="H32" s="76" t="s">
        <v>57</v>
      </c>
      <c r="I32" s="113">
        <v>20</v>
      </c>
      <c r="J32" s="18">
        <v>2400</v>
      </c>
      <c r="K32" s="9">
        <f t="shared" si="43"/>
        <v>120</v>
      </c>
      <c r="L32" s="113">
        <v>20</v>
      </c>
      <c r="M32" s="10">
        <f t="shared" si="37"/>
        <v>2165.9016393442644</v>
      </c>
      <c r="N32" s="9">
        <f t="shared" si="38"/>
        <v>108.29508196721322</v>
      </c>
      <c r="O32" s="11">
        <f t="shared" si="39"/>
        <v>0</v>
      </c>
      <c r="P32" s="12">
        <f t="shared" si="40"/>
        <v>-11.704918032786779</v>
      </c>
      <c r="Q32" s="111">
        <f t="shared" si="41"/>
        <v>0.9024590163934435</v>
      </c>
      <c r="R32" s="470"/>
      <c r="S32" s="24">
        <v>0.46874999999999989</v>
      </c>
      <c r="T32" s="24">
        <v>0.51111111111111096</v>
      </c>
      <c r="U32" s="110">
        <f t="shared" si="45"/>
        <v>7.9999999999999716</v>
      </c>
      <c r="V32" s="114">
        <f t="shared" si="42"/>
        <v>60.999999999999943</v>
      </c>
      <c r="W32" s="14"/>
      <c r="X32" s="14"/>
      <c r="Y32" s="456"/>
      <c r="Z32" s="456"/>
      <c r="AA32" s="11">
        <f t="shared" si="2"/>
        <v>-234.09836065573563</v>
      </c>
      <c r="AB32" s="111">
        <f t="shared" si="44"/>
        <v>0.9024590163934435</v>
      </c>
      <c r="AC32" s="470"/>
    </row>
    <row r="33" spans="1:29" ht="15.75" customHeight="1">
      <c r="A33" s="484" t="s">
        <v>8</v>
      </c>
      <c r="B33" s="26" t="s">
        <v>24</v>
      </c>
      <c r="C33" s="477" t="s">
        <v>55</v>
      </c>
      <c r="D33" s="477"/>
      <c r="E33" s="26">
        <v>26.2</v>
      </c>
      <c r="F33" s="115">
        <v>1435</v>
      </c>
      <c r="G33" s="110">
        <f t="shared" si="36"/>
        <v>37597</v>
      </c>
      <c r="H33" s="76" t="s">
        <v>57</v>
      </c>
      <c r="I33" s="113">
        <v>21</v>
      </c>
      <c r="J33" s="18">
        <v>2400</v>
      </c>
      <c r="K33" s="9">
        <f t="shared" si="43"/>
        <v>114.28571428571429</v>
      </c>
      <c r="L33" s="113">
        <v>21</v>
      </c>
      <c r="M33" s="10">
        <f t="shared" si="37"/>
        <v>2152.4999999999991</v>
      </c>
      <c r="N33" s="9">
        <f t="shared" si="38"/>
        <v>102.49999999999996</v>
      </c>
      <c r="O33" s="11">
        <f t="shared" si="39"/>
        <v>0</v>
      </c>
      <c r="P33" s="12">
        <f t="shared" si="40"/>
        <v>-11.785714285714334</v>
      </c>
      <c r="Q33" s="111">
        <f t="shared" si="41"/>
        <v>0.89687499999999953</v>
      </c>
      <c r="R33" s="470"/>
      <c r="S33" s="24">
        <v>0.55138888888888871</v>
      </c>
      <c r="T33" s="24">
        <v>0.5791666666666665</v>
      </c>
      <c r="U33" s="110">
        <f t="shared" si="45"/>
        <v>57.999999999999957</v>
      </c>
      <c r="V33" s="114">
        <f t="shared" si="42"/>
        <v>40.000000000000014</v>
      </c>
      <c r="W33" s="14"/>
      <c r="X33" s="14"/>
      <c r="Y33" s="456"/>
      <c r="Z33" s="456"/>
      <c r="AA33" s="11">
        <f t="shared" si="2"/>
        <v>-247.50000000000091</v>
      </c>
      <c r="AB33" s="111">
        <f t="shared" si="44"/>
        <v>0.89687499999999964</v>
      </c>
      <c r="AC33" s="470"/>
    </row>
    <row r="34" spans="1:29" ht="15.75" customHeight="1">
      <c r="A34" s="484" t="s">
        <v>8</v>
      </c>
      <c r="B34" s="26" t="s">
        <v>24</v>
      </c>
      <c r="C34" s="477" t="s">
        <v>26</v>
      </c>
      <c r="D34" s="477"/>
      <c r="E34" s="26">
        <v>26.2</v>
      </c>
      <c r="F34" s="115">
        <v>800</v>
      </c>
      <c r="G34" s="110">
        <f t="shared" si="36"/>
        <v>20960</v>
      </c>
      <c r="H34" s="76" t="s">
        <v>57</v>
      </c>
      <c r="I34" s="113">
        <v>20</v>
      </c>
      <c r="J34" s="18">
        <v>2400</v>
      </c>
      <c r="K34" s="9">
        <f t="shared" si="43"/>
        <v>120</v>
      </c>
      <c r="L34" s="113">
        <v>20</v>
      </c>
      <c r="M34" s="10">
        <f t="shared" si="37"/>
        <v>2181.8181818181897</v>
      </c>
      <c r="N34" s="9">
        <f t="shared" si="38"/>
        <v>109.09090909090949</v>
      </c>
      <c r="O34" s="11">
        <f t="shared" si="39"/>
        <v>0</v>
      </c>
      <c r="P34" s="12">
        <f t="shared" si="40"/>
        <v>-10.909090909090509</v>
      </c>
      <c r="Q34" s="111">
        <f t="shared" si="41"/>
        <v>0.90909090909091239</v>
      </c>
      <c r="R34" s="470"/>
      <c r="S34" s="24">
        <v>0.58263888888888871</v>
      </c>
      <c r="T34" s="24">
        <v>0.59791666666666643</v>
      </c>
      <c r="U34" s="110">
        <f t="shared" si="45"/>
        <v>4.9999999999999822</v>
      </c>
      <c r="V34" s="114">
        <f t="shared" si="42"/>
        <v>21.999999999999922</v>
      </c>
      <c r="W34" s="14"/>
      <c r="X34" s="14"/>
      <c r="Y34" s="456"/>
      <c r="Z34" s="456"/>
      <c r="AA34" s="11">
        <f t="shared" si="2"/>
        <v>-218.18181818181029</v>
      </c>
      <c r="AB34" s="111">
        <f t="shared" si="44"/>
        <v>0.90909090909091239</v>
      </c>
      <c r="AC34" s="470"/>
    </row>
    <row r="35" spans="1:29" ht="15.75" customHeight="1">
      <c r="A35" s="484" t="s">
        <v>8</v>
      </c>
      <c r="B35" s="26" t="s">
        <v>375</v>
      </c>
      <c r="C35" s="466"/>
      <c r="D35" s="466"/>
      <c r="E35" s="109"/>
      <c r="F35" s="115"/>
      <c r="G35" s="110"/>
      <c r="H35" s="115"/>
      <c r="I35" s="17">
        <v>19.5</v>
      </c>
      <c r="J35" s="18">
        <v>2400</v>
      </c>
      <c r="K35" s="9">
        <f t="shared" si="43"/>
        <v>123.07692307692308</v>
      </c>
      <c r="L35" s="17">
        <v>19.5</v>
      </c>
      <c r="M35" s="10">
        <f>AVERAGE(M27:M34)</f>
        <v>2154.6287364318955</v>
      </c>
      <c r="N35" s="9">
        <f>M35/L35</f>
        <v>110.49378135548181</v>
      </c>
      <c r="O35" s="11">
        <f>L35-I35</f>
        <v>0</v>
      </c>
      <c r="P35" s="12">
        <f>N35-K35</f>
        <v>-12.583141721441265</v>
      </c>
      <c r="Q35" s="111">
        <f>N35/K35</f>
        <v>0.89776197351328968</v>
      </c>
      <c r="R35" s="470"/>
      <c r="S35" s="24"/>
      <c r="T35" s="24"/>
      <c r="U35" s="110"/>
      <c r="V35" s="114"/>
      <c r="W35" s="110"/>
      <c r="X35" s="110"/>
      <c r="Y35" s="456"/>
      <c r="Z35" s="456"/>
      <c r="AA35" s="11">
        <f t="shared" si="2"/>
        <v>-245.3712635681045</v>
      </c>
      <c r="AB35" s="111">
        <f>M35/J35</f>
        <v>0.89776197351328979</v>
      </c>
      <c r="AC35" s="470"/>
    </row>
    <row r="36" spans="1:29" ht="15.75" customHeight="1">
      <c r="A36" s="485" t="s">
        <v>380</v>
      </c>
      <c r="B36" s="26" t="s">
        <v>24</v>
      </c>
      <c r="C36" s="487" t="s">
        <v>32</v>
      </c>
      <c r="D36" s="487"/>
      <c r="E36" s="26">
        <v>26.2</v>
      </c>
      <c r="F36" s="115">
        <v>2315</v>
      </c>
      <c r="G36" s="110">
        <f t="shared" ref="G36:G41" si="46">E36*F36</f>
        <v>60653</v>
      </c>
      <c r="H36" s="76" t="s">
        <v>57</v>
      </c>
      <c r="I36" s="113">
        <v>22</v>
      </c>
      <c r="J36" s="18">
        <v>2400</v>
      </c>
      <c r="K36" s="9">
        <f>J36/I36</f>
        <v>109.09090909090909</v>
      </c>
      <c r="L36" s="113">
        <v>22</v>
      </c>
      <c r="M36" s="10">
        <f>F36/V36*60</f>
        <v>2170.3124999999995</v>
      </c>
      <c r="N36" s="9">
        <f>M36/L36</f>
        <v>98.650568181818159</v>
      </c>
      <c r="O36" s="11">
        <f t="shared" ref="O36:O41" si="47">L36-I36</f>
        <v>0</v>
      </c>
      <c r="P36" s="12">
        <f t="shared" ref="P36:P51" si="48">N36-K36</f>
        <v>-10.440340909090935</v>
      </c>
      <c r="Q36" s="111">
        <f t="shared" ref="Q36:Q46" si="49">N36/K36</f>
        <v>0.90429687499999978</v>
      </c>
      <c r="R36" s="470">
        <f>Q42</f>
        <v>0.89573964023325914</v>
      </c>
      <c r="S36" s="24">
        <v>0.125</v>
      </c>
      <c r="T36" s="24">
        <v>0.16944444444444445</v>
      </c>
      <c r="U36" s="110"/>
      <c r="V36" s="114">
        <f t="shared" ref="V36:V41" si="50">(T36-S36)*24*60</f>
        <v>64.000000000000014</v>
      </c>
      <c r="W36" s="15"/>
      <c r="X36" s="15"/>
      <c r="Y36" s="456"/>
      <c r="Z36" s="456"/>
      <c r="AA36" s="11">
        <f t="shared" si="2"/>
        <v>-229.68750000000045</v>
      </c>
      <c r="AB36" s="111">
        <f>M36/J36</f>
        <v>0.90429687499999978</v>
      </c>
      <c r="AC36" s="470">
        <f>AB42</f>
        <v>0.89573964023325914</v>
      </c>
    </row>
    <row r="37" spans="1:29" ht="15.75" customHeight="1">
      <c r="A37" s="485" t="s">
        <v>380</v>
      </c>
      <c r="B37" s="26" t="s">
        <v>24</v>
      </c>
      <c r="C37" s="487" t="s">
        <v>30</v>
      </c>
      <c r="D37" s="487"/>
      <c r="E37" s="26">
        <v>26.39</v>
      </c>
      <c r="F37" s="115">
        <v>4577</v>
      </c>
      <c r="G37" s="110">
        <f t="shared" si="46"/>
        <v>120787.03</v>
      </c>
      <c r="H37" s="76" t="s">
        <v>57</v>
      </c>
      <c r="I37" s="113">
        <v>21</v>
      </c>
      <c r="J37" s="18">
        <v>2400</v>
      </c>
      <c r="K37" s="9">
        <f t="shared" ref="K37:K50" si="51">J37/I37</f>
        <v>114.28571428571429</v>
      </c>
      <c r="L37" s="113">
        <v>21</v>
      </c>
      <c r="M37" s="10">
        <f t="shared" ref="M37:M41" si="52">F37/V37*60</f>
        <v>2145.4687500000005</v>
      </c>
      <c r="N37" s="9">
        <f t="shared" ref="N37:N41" si="53">M37/L37</f>
        <v>102.1651785714286</v>
      </c>
      <c r="O37" s="11">
        <f t="shared" si="47"/>
        <v>0</v>
      </c>
      <c r="P37" s="12">
        <f t="shared" si="48"/>
        <v>-12.120535714285694</v>
      </c>
      <c r="Q37" s="111">
        <f t="shared" si="49"/>
        <v>0.8939453125000002</v>
      </c>
      <c r="R37" s="470"/>
      <c r="S37" s="24">
        <v>0.1902777777777778</v>
      </c>
      <c r="T37" s="24">
        <v>0.27916666666666667</v>
      </c>
      <c r="U37" s="110">
        <f>(S37-T36)*24*60</f>
        <v>30.000000000000014</v>
      </c>
      <c r="V37" s="114">
        <f t="shared" si="50"/>
        <v>127.99999999999997</v>
      </c>
      <c r="W37" s="110"/>
      <c r="X37" s="110"/>
      <c r="Y37" s="456"/>
      <c r="Z37" s="456"/>
      <c r="AA37" s="11">
        <f t="shared" si="2"/>
        <v>-254.53124999999955</v>
      </c>
      <c r="AB37" s="111">
        <f t="shared" ref="AB37:AB60" si="54">M37/J37</f>
        <v>0.8939453125000002</v>
      </c>
      <c r="AC37" s="470"/>
    </row>
    <row r="38" spans="1:29">
      <c r="A38" s="486" t="s">
        <v>380</v>
      </c>
      <c r="B38" s="26" t="s">
        <v>24</v>
      </c>
      <c r="C38" s="487" t="s">
        <v>29</v>
      </c>
      <c r="D38" s="487"/>
      <c r="E38" s="26">
        <v>26.2</v>
      </c>
      <c r="F38" s="115">
        <v>5030</v>
      </c>
      <c r="G38" s="110">
        <f t="shared" si="46"/>
        <v>131786</v>
      </c>
      <c r="H38" s="76" t="s">
        <v>57</v>
      </c>
      <c r="I38" s="113">
        <v>19</v>
      </c>
      <c r="J38" s="18">
        <v>2400</v>
      </c>
      <c r="K38" s="9">
        <f t="shared" si="51"/>
        <v>126.31578947368421</v>
      </c>
      <c r="L38" s="113">
        <v>19</v>
      </c>
      <c r="M38" s="10">
        <f t="shared" si="52"/>
        <v>2140.4255319148938</v>
      </c>
      <c r="N38" s="9">
        <f t="shared" si="53"/>
        <v>112.65397536394178</v>
      </c>
      <c r="O38" s="11">
        <f t="shared" si="47"/>
        <v>0</v>
      </c>
      <c r="P38" s="12">
        <f t="shared" si="48"/>
        <v>-13.661814109742423</v>
      </c>
      <c r="Q38" s="111">
        <f t="shared" si="49"/>
        <v>0.89184397163120577</v>
      </c>
      <c r="R38" s="470"/>
      <c r="S38" s="24">
        <v>0.28263888888888888</v>
      </c>
      <c r="T38" s="24">
        <v>0.38055555555555554</v>
      </c>
      <c r="U38" s="110">
        <f t="shared" ref="U38:U41" si="55">(S38-T37)*24*60</f>
        <v>4.9999999999999822</v>
      </c>
      <c r="V38" s="114">
        <f t="shared" si="50"/>
        <v>140.99999999999997</v>
      </c>
      <c r="W38" s="110"/>
      <c r="X38" s="110"/>
      <c r="Y38" s="456"/>
      <c r="Z38" s="456"/>
      <c r="AA38" s="11">
        <f t="shared" si="2"/>
        <v>-259.57446808510622</v>
      </c>
      <c r="AB38" s="111">
        <f t="shared" si="54"/>
        <v>0.89184397163120577</v>
      </c>
      <c r="AC38" s="470"/>
    </row>
    <row r="39" spans="1:29">
      <c r="A39" s="486" t="s">
        <v>380</v>
      </c>
      <c r="B39" s="26" t="s">
        <v>24</v>
      </c>
      <c r="C39" s="487" t="s">
        <v>69</v>
      </c>
      <c r="D39" s="487"/>
      <c r="E39" s="26">
        <v>22.35</v>
      </c>
      <c r="F39" s="115">
        <v>2890</v>
      </c>
      <c r="G39" s="110">
        <f t="shared" si="46"/>
        <v>64591.500000000007</v>
      </c>
      <c r="H39" s="76" t="s">
        <v>57</v>
      </c>
      <c r="I39" s="113">
        <v>16</v>
      </c>
      <c r="J39" s="18">
        <v>2400</v>
      </c>
      <c r="K39" s="9">
        <f t="shared" si="51"/>
        <v>150</v>
      </c>
      <c r="L39" s="113">
        <v>16</v>
      </c>
      <c r="M39" s="10">
        <f t="shared" si="52"/>
        <v>2140.74074074074</v>
      </c>
      <c r="N39" s="9">
        <f t="shared" si="53"/>
        <v>133.79629629629625</v>
      </c>
      <c r="O39" s="11">
        <f t="shared" si="47"/>
        <v>0</v>
      </c>
      <c r="P39" s="12">
        <f t="shared" si="48"/>
        <v>-16.203703703703752</v>
      </c>
      <c r="Q39" s="111">
        <f t="shared" si="49"/>
        <v>0.89197530864197494</v>
      </c>
      <c r="R39" s="470"/>
      <c r="S39" s="24">
        <v>0.38611111111111107</v>
      </c>
      <c r="T39" s="24">
        <v>0.44236111111111109</v>
      </c>
      <c r="U39" s="110">
        <f t="shared" si="55"/>
        <v>7.9999999999999716</v>
      </c>
      <c r="V39" s="114">
        <f t="shared" si="50"/>
        <v>81.000000000000028</v>
      </c>
      <c r="W39" s="14"/>
      <c r="X39" s="14"/>
      <c r="Y39" s="456"/>
      <c r="Z39" s="456"/>
      <c r="AA39" s="11">
        <f t="shared" si="2"/>
        <v>-259.25925925926003</v>
      </c>
      <c r="AB39" s="111">
        <f t="shared" si="54"/>
        <v>0.89197530864197494</v>
      </c>
      <c r="AC39" s="470"/>
    </row>
    <row r="40" spans="1:29">
      <c r="A40" s="486" t="s">
        <v>380</v>
      </c>
      <c r="B40" s="26" t="s">
        <v>24</v>
      </c>
      <c r="C40" s="487" t="s">
        <v>84</v>
      </c>
      <c r="D40" s="487"/>
      <c r="E40" s="26">
        <v>24.25</v>
      </c>
      <c r="F40" s="115">
        <v>3500</v>
      </c>
      <c r="G40" s="110">
        <f t="shared" si="46"/>
        <v>84875</v>
      </c>
      <c r="H40" s="76">
        <v>2</v>
      </c>
      <c r="I40" s="113">
        <v>19</v>
      </c>
      <c r="J40" s="18">
        <v>2400</v>
      </c>
      <c r="K40" s="9">
        <f t="shared" si="51"/>
        <v>126.31578947368421</v>
      </c>
      <c r="L40" s="113">
        <v>19</v>
      </c>
      <c r="M40" s="10">
        <f t="shared" si="52"/>
        <v>2142.8571428571431</v>
      </c>
      <c r="N40" s="9">
        <f t="shared" si="53"/>
        <v>112.78195488721806</v>
      </c>
      <c r="O40" s="11">
        <f t="shared" si="47"/>
        <v>0</v>
      </c>
      <c r="P40" s="12">
        <f t="shared" si="48"/>
        <v>-13.533834586466142</v>
      </c>
      <c r="Q40" s="111">
        <f t="shared" si="49"/>
        <v>0.89285714285714302</v>
      </c>
      <c r="R40" s="470"/>
      <c r="S40" s="24">
        <v>0.44722222222222219</v>
      </c>
      <c r="T40" s="24">
        <v>0.51527777777777772</v>
      </c>
      <c r="U40" s="110">
        <f t="shared" si="55"/>
        <v>6.9999999999999751</v>
      </c>
      <c r="V40" s="114">
        <f t="shared" si="50"/>
        <v>97.999999999999972</v>
      </c>
      <c r="W40" s="14"/>
      <c r="X40" s="14"/>
      <c r="Y40" s="456"/>
      <c r="Z40" s="456"/>
      <c r="AA40" s="11">
        <f t="shared" si="2"/>
        <v>-257.14285714285688</v>
      </c>
      <c r="AB40" s="111">
        <f t="shared" si="54"/>
        <v>0.89285714285714302</v>
      </c>
      <c r="AC40" s="470"/>
    </row>
    <row r="41" spans="1:29">
      <c r="A41" s="486" t="s">
        <v>380</v>
      </c>
      <c r="B41" s="26" t="s">
        <v>24</v>
      </c>
      <c r="C41" s="487" t="s">
        <v>84</v>
      </c>
      <c r="D41" s="487"/>
      <c r="E41" s="26">
        <v>24.25</v>
      </c>
      <c r="F41" s="115">
        <v>1871</v>
      </c>
      <c r="G41" s="110">
        <f t="shared" si="46"/>
        <v>45371.75</v>
      </c>
      <c r="H41" s="76" t="s">
        <v>57</v>
      </c>
      <c r="I41" s="113">
        <v>19</v>
      </c>
      <c r="J41" s="18">
        <v>2400</v>
      </c>
      <c r="K41" s="9">
        <f t="shared" si="51"/>
        <v>126.31578947368421</v>
      </c>
      <c r="L41" s="113">
        <v>19</v>
      </c>
      <c r="M41" s="10">
        <f t="shared" si="52"/>
        <v>2158.8461538461547</v>
      </c>
      <c r="N41" s="9">
        <f t="shared" si="53"/>
        <v>113.62348178137657</v>
      </c>
      <c r="O41" s="11">
        <f t="shared" si="47"/>
        <v>0</v>
      </c>
      <c r="P41" s="12">
        <f t="shared" si="48"/>
        <v>-12.692307692307637</v>
      </c>
      <c r="Q41" s="111">
        <f t="shared" si="49"/>
        <v>0.89951923076923124</v>
      </c>
      <c r="R41" s="470"/>
      <c r="S41" s="24">
        <v>0.55486111111111103</v>
      </c>
      <c r="T41" s="24">
        <v>0.59097222222222212</v>
      </c>
      <c r="U41" s="110">
        <f t="shared" si="55"/>
        <v>56.999999999999957</v>
      </c>
      <c r="V41" s="114">
        <f t="shared" si="50"/>
        <v>51.999999999999972</v>
      </c>
      <c r="W41" s="14"/>
      <c r="X41" s="14"/>
      <c r="Y41" s="456"/>
      <c r="Z41" s="456"/>
      <c r="AA41" s="11">
        <f t="shared" si="2"/>
        <v>-241.15384615384528</v>
      </c>
      <c r="AB41" s="111">
        <f t="shared" si="54"/>
        <v>0.89951923076923113</v>
      </c>
      <c r="AC41" s="470"/>
    </row>
    <row r="42" spans="1:29">
      <c r="A42" s="486" t="s">
        <v>380</v>
      </c>
      <c r="B42" s="16" t="s">
        <v>375</v>
      </c>
      <c r="C42" s="466"/>
      <c r="D42" s="466"/>
      <c r="E42" s="109"/>
      <c r="F42" s="16"/>
      <c r="G42" s="9"/>
      <c r="H42" s="115"/>
      <c r="I42" s="17">
        <v>19.333333333333332</v>
      </c>
      <c r="J42" s="18">
        <v>2400</v>
      </c>
      <c r="K42" s="9">
        <f t="shared" si="51"/>
        <v>124.13793103448276</v>
      </c>
      <c r="L42" s="17">
        <v>19.333333333333332</v>
      </c>
      <c r="M42" s="10">
        <f>AVERAGE(M36:M41)</f>
        <v>2149.7751365598219</v>
      </c>
      <c r="N42" s="9">
        <f>M42/L42</f>
        <v>111.19526568412873</v>
      </c>
      <c r="O42" s="11">
        <f>L42-I42</f>
        <v>0</v>
      </c>
      <c r="P42" s="12">
        <f t="shared" si="48"/>
        <v>-12.942665350354034</v>
      </c>
      <c r="Q42" s="111">
        <f t="shared" si="49"/>
        <v>0.89573964023325914</v>
      </c>
      <c r="R42" s="470"/>
      <c r="S42" s="24"/>
      <c r="T42" s="24"/>
      <c r="U42" s="9"/>
      <c r="V42" s="114"/>
      <c r="W42" s="9"/>
      <c r="X42" s="9"/>
      <c r="Y42" s="456"/>
      <c r="Z42" s="456"/>
      <c r="AA42" s="11">
        <f t="shared" si="2"/>
        <v>-250.22486344017807</v>
      </c>
      <c r="AB42" s="111">
        <f t="shared" si="54"/>
        <v>0.89573964023325914</v>
      </c>
      <c r="AC42" s="470"/>
    </row>
    <row r="43" spans="1:29" ht="15.75" customHeight="1">
      <c r="A43" s="488" t="s">
        <v>381</v>
      </c>
      <c r="B43" s="26" t="s">
        <v>33</v>
      </c>
      <c r="C43" s="491" t="s">
        <v>34</v>
      </c>
      <c r="D43" s="492"/>
      <c r="E43" s="26">
        <v>27.17</v>
      </c>
      <c r="F43" s="115">
        <v>2500</v>
      </c>
      <c r="G43" s="110">
        <f t="shared" ref="G43:G50" si="56">E43*F43</f>
        <v>67925</v>
      </c>
      <c r="H43" s="76">
        <v>2</v>
      </c>
      <c r="I43" s="113">
        <v>10</v>
      </c>
      <c r="J43" s="18">
        <v>3000</v>
      </c>
      <c r="K43" s="9">
        <f t="shared" si="51"/>
        <v>300</v>
      </c>
      <c r="L43" s="113">
        <v>10</v>
      </c>
      <c r="M43" s="10">
        <f t="shared" ref="M43:M44" si="57">F43/V43*60</f>
        <v>2678.5714285714289</v>
      </c>
      <c r="N43" s="10">
        <f t="shared" ref="N43:N51" si="58">M43/L43</f>
        <v>267.85714285714289</v>
      </c>
      <c r="O43" s="11">
        <f t="shared" ref="O43:O51" si="59">L43-I43</f>
        <v>0</v>
      </c>
      <c r="P43" s="12">
        <f t="shared" si="48"/>
        <v>-32.14285714285711</v>
      </c>
      <c r="Q43" s="111">
        <f t="shared" si="49"/>
        <v>0.89285714285714302</v>
      </c>
      <c r="R43" s="493">
        <f>Q51</f>
        <v>0.89815897673365042</v>
      </c>
      <c r="S43" s="24">
        <v>0.16666666666666666</v>
      </c>
      <c r="T43" s="24">
        <v>0.20555555555555555</v>
      </c>
      <c r="U43" s="15"/>
      <c r="V43" s="114">
        <f t="shared" ref="V43:V50" si="60">(T43-S43)*24*60</f>
        <v>56</v>
      </c>
      <c r="W43" s="110"/>
      <c r="X43" s="110"/>
      <c r="Y43" s="473"/>
      <c r="Z43" s="474"/>
      <c r="AA43" s="11">
        <f t="shared" si="2"/>
        <v>-321.4285714285711</v>
      </c>
      <c r="AB43" s="111">
        <f t="shared" si="54"/>
        <v>0.89285714285714302</v>
      </c>
      <c r="AC43" s="493">
        <f>AB51</f>
        <v>0.89815897673365042</v>
      </c>
    </row>
    <row r="44" spans="1:29" ht="15.75" customHeight="1">
      <c r="A44" s="489" t="s">
        <v>9</v>
      </c>
      <c r="B44" s="26" t="s">
        <v>33</v>
      </c>
      <c r="C44" s="491" t="s">
        <v>35</v>
      </c>
      <c r="D44" s="492"/>
      <c r="E44" s="26">
        <v>21.13</v>
      </c>
      <c r="F44" s="115">
        <v>4167</v>
      </c>
      <c r="G44" s="110">
        <f t="shared" si="56"/>
        <v>88048.709999999992</v>
      </c>
      <c r="H44" s="76" t="s">
        <v>57</v>
      </c>
      <c r="I44" s="113">
        <v>10</v>
      </c>
      <c r="J44" s="18">
        <v>3000</v>
      </c>
      <c r="K44" s="9">
        <f t="shared" si="51"/>
        <v>300</v>
      </c>
      <c r="L44" s="113">
        <v>10</v>
      </c>
      <c r="M44" s="10">
        <f t="shared" si="57"/>
        <v>2688.3870967741927</v>
      </c>
      <c r="N44" s="10">
        <f t="shared" si="58"/>
        <v>268.83870967741927</v>
      </c>
      <c r="O44" s="11">
        <f t="shared" si="59"/>
        <v>0</v>
      </c>
      <c r="P44" s="12">
        <f t="shared" si="48"/>
        <v>-31.161290322580726</v>
      </c>
      <c r="Q44" s="111">
        <f t="shared" si="49"/>
        <v>0.89612903225806428</v>
      </c>
      <c r="R44" s="494"/>
      <c r="S44" s="24">
        <v>0.22569444444444445</v>
      </c>
      <c r="T44" s="24">
        <v>0.2902777777777778</v>
      </c>
      <c r="U44" s="110">
        <f>(S44-T43)*24*60</f>
        <v>29.000000000000018</v>
      </c>
      <c r="V44" s="114">
        <f t="shared" si="60"/>
        <v>93.000000000000028</v>
      </c>
      <c r="W44" s="14"/>
      <c r="X44" s="14"/>
      <c r="Y44" s="473"/>
      <c r="Z44" s="474"/>
      <c r="AA44" s="11">
        <f t="shared" si="2"/>
        <v>-311.61290322580726</v>
      </c>
      <c r="AB44" s="111">
        <f t="shared" si="54"/>
        <v>0.89612903225806428</v>
      </c>
      <c r="AC44" s="494"/>
    </row>
    <row r="45" spans="1:29" ht="15.75" customHeight="1">
      <c r="A45" s="489" t="s">
        <v>9</v>
      </c>
      <c r="B45" s="26" t="s">
        <v>33</v>
      </c>
      <c r="C45" s="491" t="s">
        <v>43</v>
      </c>
      <c r="D45" s="492"/>
      <c r="E45" s="26">
        <v>35.119999999999997</v>
      </c>
      <c r="F45" s="115">
        <v>3846</v>
      </c>
      <c r="G45" s="110">
        <f t="shared" si="56"/>
        <v>135071.51999999999</v>
      </c>
      <c r="H45" s="76" t="s">
        <v>57</v>
      </c>
      <c r="I45" s="113">
        <v>10</v>
      </c>
      <c r="J45" s="18">
        <v>3000</v>
      </c>
      <c r="K45" s="9">
        <f t="shared" si="51"/>
        <v>300</v>
      </c>
      <c r="L45" s="113">
        <v>10</v>
      </c>
      <c r="M45" s="10">
        <f>F45/V45*60</f>
        <v>2683.2558139534881</v>
      </c>
      <c r="N45" s="10">
        <f t="shared" si="58"/>
        <v>268.32558139534882</v>
      </c>
      <c r="O45" s="11">
        <f t="shared" si="59"/>
        <v>0</v>
      </c>
      <c r="P45" s="12">
        <f t="shared" si="48"/>
        <v>-31.67441860465118</v>
      </c>
      <c r="Q45" s="111">
        <f t="shared" si="49"/>
        <v>0.89441860465116274</v>
      </c>
      <c r="R45" s="494"/>
      <c r="S45" s="24">
        <v>0.29444444444444445</v>
      </c>
      <c r="T45" s="24">
        <v>0.35416666666666669</v>
      </c>
      <c r="U45" s="110">
        <f t="shared" ref="U45:U50" si="61">(S45-T44)*24*60</f>
        <v>5.9999999999999787</v>
      </c>
      <c r="V45" s="114">
        <f t="shared" si="60"/>
        <v>86.000000000000014</v>
      </c>
      <c r="W45" s="14"/>
      <c r="X45" s="14"/>
      <c r="Y45" s="473"/>
      <c r="Z45" s="474"/>
      <c r="AA45" s="11">
        <f t="shared" si="2"/>
        <v>-316.74418604651191</v>
      </c>
      <c r="AB45" s="111">
        <f t="shared" si="54"/>
        <v>0.89441860465116274</v>
      </c>
      <c r="AC45" s="494"/>
    </row>
    <row r="46" spans="1:29" ht="15.75" customHeight="1">
      <c r="A46" s="489" t="s">
        <v>9</v>
      </c>
      <c r="B46" s="26" t="s">
        <v>33</v>
      </c>
      <c r="C46" s="491" t="s">
        <v>67</v>
      </c>
      <c r="D46" s="492"/>
      <c r="E46" s="26">
        <v>40.18</v>
      </c>
      <c r="F46" s="115">
        <v>2618</v>
      </c>
      <c r="G46" s="110">
        <f t="shared" si="56"/>
        <v>105191.24</v>
      </c>
      <c r="H46" s="76" t="s">
        <v>57</v>
      </c>
      <c r="I46" s="113">
        <v>10</v>
      </c>
      <c r="J46" s="18">
        <v>3000</v>
      </c>
      <c r="K46" s="9">
        <f t="shared" si="51"/>
        <v>300</v>
      </c>
      <c r="L46" s="113">
        <v>10</v>
      </c>
      <c r="M46" s="10">
        <f t="shared" ref="M46:M50" si="62">F46/V46*60</f>
        <v>2708.2758620689638</v>
      </c>
      <c r="N46" s="10">
        <f t="shared" si="58"/>
        <v>270.8275862068964</v>
      </c>
      <c r="O46" s="11">
        <f t="shared" si="59"/>
        <v>0</v>
      </c>
      <c r="P46" s="12">
        <f t="shared" si="48"/>
        <v>-29.172413793103601</v>
      </c>
      <c r="Q46" s="111">
        <f t="shared" si="49"/>
        <v>0.90275862068965462</v>
      </c>
      <c r="R46" s="494"/>
      <c r="S46" s="24">
        <v>0.35902777777777778</v>
      </c>
      <c r="T46" s="24">
        <v>0.39930555555555558</v>
      </c>
      <c r="U46" s="110">
        <f t="shared" si="61"/>
        <v>6.9999999999999751</v>
      </c>
      <c r="V46" s="114">
        <f t="shared" si="60"/>
        <v>58.000000000000036</v>
      </c>
      <c r="W46" s="14"/>
      <c r="X46" s="14"/>
      <c r="Y46" s="473"/>
      <c r="Z46" s="474"/>
      <c r="AA46" s="11">
        <f t="shared" si="2"/>
        <v>-291.72413793103624</v>
      </c>
      <c r="AB46" s="111">
        <f t="shared" si="54"/>
        <v>0.90275862068965462</v>
      </c>
      <c r="AC46" s="494"/>
    </row>
    <row r="47" spans="1:29" ht="15.75" customHeight="1">
      <c r="A47" s="489" t="s">
        <v>9</v>
      </c>
      <c r="B47" s="26" t="s">
        <v>33</v>
      </c>
      <c r="C47" s="491" t="s">
        <v>42</v>
      </c>
      <c r="D47" s="492"/>
      <c r="E47" s="26">
        <v>35.369999999999997</v>
      </c>
      <c r="F47" s="115">
        <v>1606</v>
      </c>
      <c r="G47" s="110">
        <f t="shared" si="56"/>
        <v>56804.219999999994</v>
      </c>
      <c r="H47" s="76" t="s">
        <v>57</v>
      </c>
      <c r="I47" s="113">
        <v>10</v>
      </c>
      <c r="J47" s="18">
        <v>3000</v>
      </c>
      <c r="K47" s="9">
        <f t="shared" si="51"/>
        <v>300</v>
      </c>
      <c r="L47" s="113">
        <v>10</v>
      </c>
      <c r="M47" s="10">
        <f t="shared" si="62"/>
        <v>2676.6666666666647</v>
      </c>
      <c r="N47" s="10">
        <f t="shared" si="58"/>
        <v>267.66666666666646</v>
      </c>
      <c r="O47" s="11">
        <f t="shared" si="59"/>
        <v>0</v>
      </c>
      <c r="P47" s="12">
        <f t="shared" si="48"/>
        <v>-32.333333333333542</v>
      </c>
      <c r="Q47" s="111">
        <f>N47/K47</f>
        <v>0.89222222222222147</v>
      </c>
      <c r="R47" s="494"/>
      <c r="S47" s="24">
        <v>0.40486111111111112</v>
      </c>
      <c r="T47" s="24">
        <v>0.42986111111111114</v>
      </c>
      <c r="U47" s="110">
        <f t="shared" si="61"/>
        <v>7.9999999999999716</v>
      </c>
      <c r="V47" s="114">
        <f t="shared" si="60"/>
        <v>36.000000000000028</v>
      </c>
      <c r="W47" s="14"/>
      <c r="X47" s="14"/>
      <c r="Y47" s="473"/>
      <c r="Z47" s="474"/>
      <c r="AA47" s="11">
        <f t="shared" si="2"/>
        <v>-323.3333333333353</v>
      </c>
      <c r="AB47" s="111">
        <f t="shared" si="54"/>
        <v>0.89222222222222158</v>
      </c>
      <c r="AC47" s="494"/>
    </row>
    <row r="48" spans="1:29" ht="15.75" customHeight="1">
      <c r="A48" s="489" t="s">
        <v>9</v>
      </c>
      <c r="B48" s="26" t="s">
        <v>33</v>
      </c>
      <c r="C48" s="491" t="s">
        <v>37</v>
      </c>
      <c r="D48" s="492"/>
      <c r="E48" s="26">
        <v>34.36</v>
      </c>
      <c r="F48" s="115">
        <v>2386</v>
      </c>
      <c r="G48" s="110">
        <f t="shared" si="56"/>
        <v>81982.959999999992</v>
      </c>
      <c r="H48" s="76" t="s">
        <v>57</v>
      </c>
      <c r="I48" s="113">
        <v>10</v>
      </c>
      <c r="J48" s="18">
        <v>3000</v>
      </c>
      <c r="K48" s="9">
        <f t="shared" si="51"/>
        <v>300</v>
      </c>
      <c r="L48" s="113">
        <v>10</v>
      </c>
      <c r="M48" s="10">
        <f t="shared" si="62"/>
        <v>2701.1320754716994</v>
      </c>
      <c r="N48" s="10">
        <f t="shared" si="58"/>
        <v>270.11320754716996</v>
      </c>
      <c r="O48" s="11">
        <f t="shared" si="59"/>
        <v>0</v>
      </c>
      <c r="P48" s="12">
        <f t="shared" si="48"/>
        <v>-29.886792452830036</v>
      </c>
      <c r="Q48" s="111">
        <f t="shared" ref="Q48:Q51" si="63">N48/K48</f>
        <v>0.90037735849056655</v>
      </c>
      <c r="R48" s="494"/>
      <c r="S48" s="24">
        <v>0.43472222222222223</v>
      </c>
      <c r="T48" s="24">
        <v>0.47152777777777777</v>
      </c>
      <c r="U48" s="110">
        <f t="shared" si="61"/>
        <v>6.9999999999999751</v>
      </c>
      <c r="V48" s="114">
        <f t="shared" si="60"/>
        <v>52.999999999999972</v>
      </c>
      <c r="W48" s="14"/>
      <c r="X48" s="14"/>
      <c r="Y48" s="473"/>
      <c r="Z48" s="474"/>
      <c r="AA48" s="11">
        <f t="shared" si="2"/>
        <v>-298.86792452830059</v>
      </c>
      <c r="AB48" s="111">
        <f t="shared" si="54"/>
        <v>0.90037735849056644</v>
      </c>
      <c r="AC48" s="494"/>
    </row>
    <row r="49" spans="1:29" ht="15.75" customHeight="1">
      <c r="A49" s="489" t="s">
        <v>9</v>
      </c>
      <c r="B49" s="26" t="s">
        <v>33</v>
      </c>
      <c r="C49" s="491" t="s">
        <v>40</v>
      </c>
      <c r="D49" s="492"/>
      <c r="E49" s="26">
        <v>35.119999999999997</v>
      </c>
      <c r="F49" s="115">
        <v>1181</v>
      </c>
      <c r="G49" s="110">
        <f t="shared" si="56"/>
        <v>41476.719999999994</v>
      </c>
      <c r="H49" s="76" t="s">
        <v>57</v>
      </c>
      <c r="I49" s="113">
        <v>14</v>
      </c>
      <c r="J49" s="18">
        <v>2000</v>
      </c>
      <c r="K49" s="9">
        <f t="shared" si="51"/>
        <v>142.85714285714286</v>
      </c>
      <c r="L49" s="113">
        <v>14</v>
      </c>
      <c r="M49" s="10">
        <f t="shared" si="62"/>
        <v>1816.923076923076</v>
      </c>
      <c r="N49" s="10">
        <f t="shared" si="58"/>
        <v>129.78021978021971</v>
      </c>
      <c r="O49" s="11">
        <f t="shared" si="59"/>
        <v>0</v>
      </c>
      <c r="P49" s="12">
        <f t="shared" si="48"/>
        <v>-13.076923076923151</v>
      </c>
      <c r="Q49" s="111">
        <f t="shared" si="63"/>
        <v>0.90846153846153799</v>
      </c>
      <c r="R49" s="494"/>
      <c r="S49" s="24">
        <v>0.4770833333333333</v>
      </c>
      <c r="T49" s="24">
        <v>0.50416666666666665</v>
      </c>
      <c r="U49" s="110">
        <f t="shared" si="61"/>
        <v>7.9999999999999716</v>
      </c>
      <c r="V49" s="114">
        <f t="shared" si="60"/>
        <v>39.000000000000021</v>
      </c>
      <c r="W49" s="14"/>
      <c r="X49" s="14"/>
      <c r="Y49" s="473"/>
      <c r="Z49" s="474"/>
      <c r="AA49" s="11">
        <f t="shared" si="2"/>
        <v>-183.076923076924</v>
      </c>
      <c r="AB49" s="111">
        <f t="shared" si="54"/>
        <v>0.90846153846153799</v>
      </c>
      <c r="AC49" s="494"/>
    </row>
    <row r="50" spans="1:29" ht="15.75" customHeight="1">
      <c r="A50" s="489" t="s">
        <v>9</v>
      </c>
      <c r="B50" s="26" t="s">
        <v>33</v>
      </c>
      <c r="C50" s="491" t="s">
        <v>34</v>
      </c>
      <c r="D50" s="492"/>
      <c r="E50" s="26">
        <v>27.17</v>
      </c>
      <c r="F50" s="115">
        <v>2434</v>
      </c>
      <c r="G50" s="110">
        <f t="shared" si="56"/>
        <v>66131.78</v>
      </c>
      <c r="H50" s="76" t="s">
        <v>57</v>
      </c>
      <c r="I50" s="113">
        <v>10</v>
      </c>
      <c r="J50" s="18">
        <v>3000</v>
      </c>
      <c r="K50" s="9">
        <f t="shared" si="51"/>
        <v>300</v>
      </c>
      <c r="L50" s="113">
        <v>10</v>
      </c>
      <c r="M50" s="10">
        <f t="shared" si="62"/>
        <v>2704.4444444444457</v>
      </c>
      <c r="N50" s="10">
        <f t="shared" si="58"/>
        <v>270.44444444444457</v>
      </c>
      <c r="O50" s="11">
        <f t="shared" si="59"/>
        <v>0</v>
      </c>
      <c r="P50" s="12">
        <f t="shared" si="48"/>
        <v>-29.555555555555429</v>
      </c>
      <c r="Q50" s="111">
        <f t="shared" si="63"/>
        <v>0.90148148148148188</v>
      </c>
      <c r="R50" s="494"/>
      <c r="S50" s="24">
        <v>0.5444444444444444</v>
      </c>
      <c r="T50" s="24">
        <v>0.58194444444444438</v>
      </c>
      <c r="U50" s="110">
        <f t="shared" si="61"/>
        <v>57.999999999999957</v>
      </c>
      <c r="V50" s="114">
        <f t="shared" si="60"/>
        <v>53.999999999999972</v>
      </c>
      <c r="W50" s="14"/>
      <c r="X50" s="14"/>
      <c r="Y50" s="473"/>
      <c r="Z50" s="474"/>
      <c r="AA50" s="11">
        <f t="shared" si="2"/>
        <v>-295.55555555555429</v>
      </c>
      <c r="AB50" s="111">
        <f t="shared" si="54"/>
        <v>0.90148148148148188</v>
      </c>
      <c r="AC50" s="494"/>
    </row>
    <row r="51" spans="1:29" ht="15.75" customHeight="1">
      <c r="A51" s="490" t="s">
        <v>9</v>
      </c>
      <c r="B51" s="26" t="s">
        <v>375</v>
      </c>
      <c r="C51" s="497"/>
      <c r="D51" s="498"/>
      <c r="E51" s="112"/>
      <c r="F51" s="115"/>
      <c r="G51" s="110"/>
      <c r="H51" s="115"/>
      <c r="I51" s="17">
        <v>10.5</v>
      </c>
      <c r="J51" s="18">
        <v>2875</v>
      </c>
      <c r="K51" s="9">
        <f>J51/I51</f>
        <v>273.8095238095238</v>
      </c>
      <c r="L51" s="17">
        <v>10.5</v>
      </c>
      <c r="M51" s="10">
        <f>AVERAGE(M43:M50)</f>
        <v>2582.2070581092448</v>
      </c>
      <c r="N51" s="9">
        <f t="shared" si="58"/>
        <v>245.92448172469</v>
      </c>
      <c r="O51" s="11">
        <f t="shared" si="59"/>
        <v>0</v>
      </c>
      <c r="P51" s="12">
        <f t="shared" si="48"/>
        <v>-27.885042084833799</v>
      </c>
      <c r="Q51" s="111">
        <f t="shared" si="63"/>
        <v>0.89815897673365042</v>
      </c>
      <c r="R51" s="495"/>
      <c r="S51" s="24"/>
      <c r="T51" s="24"/>
      <c r="U51" s="110"/>
      <c r="V51" s="114"/>
      <c r="W51" s="14"/>
      <c r="X51" s="14"/>
      <c r="Y51" s="473"/>
      <c r="Z51" s="474"/>
      <c r="AA51" s="11">
        <f t="shared" si="2"/>
        <v>-292.79294189075517</v>
      </c>
      <c r="AB51" s="111">
        <f t="shared" si="54"/>
        <v>0.89815897673365042</v>
      </c>
      <c r="AC51" s="495"/>
    </row>
    <row r="52" spans="1:29" ht="15.75" customHeight="1">
      <c r="A52" s="461" t="s">
        <v>382</v>
      </c>
      <c r="B52" s="26" t="s">
        <v>13</v>
      </c>
      <c r="C52" s="487" t="s">
        <v>65</v>
      </c>
      <c r="D52" s="487"/>
      <c r="E52" s="26">
        <v>55.56</v>
      </c>
      <c r="F52" s="27">
        <v>2067</v>
      </c>
      <c r="G52" s="110">
        <f t="shared" ref="G52:G53" si="64">E52*F52</f>
        <v>114842.52</v>
      </c>
      <c r="H52" s="76" t="s">
        <v>57</v>
      </c>
      <c r="I52" s="113">
        <v>17</v>
      </c>
      <c r="J52" s="18">
        <v>1500</v>
      </c>
      <c r="K52" s="9">
        <f t="shared" ref="K52:K53" si="65">J52/I52</f>
        <v>88.235294117647058</v>
      </c>
      <c r="L52" s="113">
        <v>17</v>
      </c>
      <c r="M52" s="10">
        <f t="shared" ref="M52:M53" si="66">F52/V52*60</f>
        <v>1348.0434782608695</v>
      </c>
      <c r="N52" s="10">
        <f>M52/L52</f>
        <v>79.296675191815851</v>
      </c>
      <c r="O52" s="11">
        <f>L52-I52</f>
        <v>0</v>
      </c>
      <c r="P52" s="12">
        <f>N52-K52</f>
        <v>-8.9386189258312072</v>
      </c>
      <c r="Q52" s="111">
        <f>N52/K52</f>
        <v>0.89869565217391301</v>
      </c>
      <c r="R52" s="470">
        <f>Q54</f>
        <v>0.89864360073484328</v>
      </c>
      <c r="S52" s="24">
        <v>0.70833333333333337</v>
      </c>
      <c r="T52" s="24">
        <v>0.77222222222222225</v>
      </c>
      <c r="U52" s="15"/>
      <c r="V52" s="114">
        <f t="shared" ref="V52:V53" si="67">(T52-S52)*24*60</f>
        <v>92</v>
      </c>
      <c r="W52" s="15"/>
      <c r="X52" s="15"/>
      <c r="Y52" s="456"/>
      <c r="Z52" s="456"/>
      <c r="AA52" s="11">
        <f t="shared" si="2"/>
        <v>-151.95652173913049</v>
      </c>
      <c r="AB52" s="111">
        <f t="shared" si="54"/>
        <v>0.89869565217391301</v>
      </c>
      <c r="AC52" s="470">
        <f>AB54</f>
        <v>0.89864360073484328</v>
      </c>
    </row>
    <row r="53" spans="1:29" ht="15.75" customHeight="1">
      <c r="A53" s="461" t="s">
        <v>10</v>
      </c>
      <c r="B53" s="26" t="s">
        <v>13</v>
      </c>
      <c r="C53" s="487" t="s">
        <v>64</v>
      </c>
      <c r="D53" s="487"/>
      <c r="E53" s="26">
        <v>55.32</v>
      </c>
      <c r="F53" s="27">
        <v>1595</v>
      </c>
      <c r="G53" s="110">
        <f t="shared" si="64"/>
        <v>88235.4</v>
      </c>
      <c r="H53" s="76" t="s">
        <v>57</v>
      </c>
      <c r="I53" s="113">
        <v>15</v>
      </c>
      <c r="J53" s="18">
        <v>1500</v>
      </c>
      <c r="K53" s="9">
        <f t="shared" si="65"/>
        <v>100</v>
      </c>
      <c r="L53" s="113">
        <v>15</v>
      </c>
      <c r="M53" s="10">
        <f t="shared" si="66"/>
        <v>1347.8873239436605</v>
      </c>
      <c r="N53" s="10">
        <f t="shared" ref="N53" si="68">M53/L53</f>
        <v>89.859154929577372</v>
      </c>
      <c r="O53" s="11">
        <f t="shared" ref="O53" si="69">L53-I53</f>
        <v>0</v>
      </c>
      <c r="P53" s="12">
        <f t="shared" ref="P53" si="70">N53-K53</f>
        <v>-10.140845070422628</v>
      </c>
      <c r="Q53" s="111">
        <f t="shared" ref="Q53" si="71">N53/K53</f>
        <v>0.89859154929577367</v>
      </c>
      <c r="R53" s="470"/>
      <c r="S53" s="24">
        <v>0.77777777777777779</v>
      </c>
      <c r="T53" s="24">
        <v>0.82708333333333339</v>
      </c>
      <c r="U53" s="110">
        <f t="shared" ref="U53" si="72">(S53-T52)*24*60</f>
        <v>7.9999999999999716</v>
      </c>
      <c r="V53" s="114">
        <f t="shared" si="67"/>
        <v>71.000000000000071</v>
      </c>
      <c r="W53" s="14"/>
      <c r="X53" s="14"/>
      <c r="Y53" s="456"/>
      <c r="Z53" s="456"/>
      <c r="AA53" s="11">
        <f t="shared" si="2"/>
        <v>-152.11267605633952</v>
      </c>
      <c r="AB53" s="111">
        <f t="shared" si="54"/>
        <v>0.89859154929577367</v>
      </c>
      <c r="AC53" s="470"/>
    </row>
    <row r="54" spans="1:29">
      <c r="A54" s="496" t="s">
        <v>10</v>
      </c>
      <c r="B54" s="26" t="s">
        <v>375</v>
      </c>
      <c r="C54" s="466"/>
      <c r="D54" s="466"/>
      <c r="E54" s="109"/>
      <c r="F54" s="16"/>
      <c r="G54" s="9"/>
      <c r="H54" s="115"/>
      <c r="I54" s="17">
        <v>16</v>
      </c>
      <c r="J54" s="18">
        <v>1500</v>
      </c>
      <c r="K54" s="9">
        <f>J54/I54</f>
        <v>93.75</v>
      </c>
      <c r="L54" s="17">
        <v>16</v>
      </c>
      <c r="M54" s="10">
        <f>AVERAGE(M52:M53)</f>
        <v>1347.9654011022649</v>
      </c>
      <c r="N54" s="9">
        <f>M54/L54</f>
        <v>84.247837568891555</v>
      </c>
      <c r="O54" s="11">
        <f>L54-I54</f>
        <v>0</v>
      </c>
      <c r="P54" s="12">
        <f>N54-K54</f>
        <v>-9.5021624311084452</v>
      </c>
      <c r="Q54" s="111">
        <f>N54/K54</f>
        <v>0.89864360073484328</v>
      </c>
      <c r="R54" s="470"/>
      <c r="S54" s="25"/>
      <c r="T54" s="24"/>
      <c r="U54" s="9"/>
      <c r="V54" s="114"/>
      <c r="W54" s="9"/>
      <c r="X54" s="9"/>
      <c r="Y54" s="456"/>
      <c r="Z54" s="456"/>
      <c r="AA54" s="11">
        <f t="shared" si="2"/>
        <v>-152.03459889773512</v>
      </c>
      <c r="AB54" s="111">
        <f t="shared" si="54"/>
        <v>0.89864360073484328</v>
      </c>
      <c r="AC54" s="470"/>
    </row>
    <row r="55" spans="1:29" ht="15.75" customHeight="1">
      <c r="A55" s="499" t="s">
        <v>383</v>
      </c>
      <c r="B55" s="115" t="s">
        <v>18</v>
      </c>
      <c r="C55" s="487" t="s">
        <v>19</v>
      </c>
      <c r="D55" s="487"/>
      <c r="E55" s="26">
        <v>41</v>
      </c>
      <c r="F55" s="27">
        <v>1567</v>
      </c>
      <c r="G55" s="110">
        <f t="shared" ref="G55:G59" si="73">E55*F55</f>
        <v>64247</v>
      </c>
      <c r="H55" s="76" t="s">
        <v>57</v>
      </c>
      <c r="I55" s="113">
        <v>21</v>
      </c>
      <c r="J55" s="18">
        <v>1286</v>
      </c>
      <c r="K55" s="9">
        <f t="shared" ref="K55:K59" si="74">J55/I55</f>
        <v>61.238095238095241</v>
      </c>
      <c r="L55" s="17">
        <v>21</v>
      </c>
      <c r="M55" s="10">
        <f t="shared" ref="M55:M59" si="75">F55/V55*60</f>
        <v>1160.7407407407411</v>
      </c>
      <c r="N55" s="9">
        <f>M55/L55</f>
        <v>55.273368606701958</v>
      </c>
      <c r="O55" s="11">
        <f t="shared" ref="O55:O59" si="76">L55-I55</f>
        <v>0</v>
      </c>
      <c r="P55" s="12">
        <f t="shared" ref="P55:P59" si="77">N55-K55</f>
        <v>-5.9647266313932832</v>
      </c>
      <c r="Q55" s="111">
        <f>N55/K55</f>
        <v>0.90259777662577068</v>
      </c>
      <c r="R55" s="470">
        <f>Q60</f>
        <v>0.90321920821032464</v>
      </c>
      <c r="S55" s="24">
        <v>0.20833333333333334</v>
      </c>
      <c r="T55" s="24">
        <v>0.26458333333333334</v>
      </c>
      <c r="U55" s="110"/>
      <c r="V55" s="114">
        <f t="shared" ref="V55:V59" si="78">(T55-S55)*24*60</f>
        <v>80.999999999999986</v>
      </c>
      <c r="W55" s="15"/>
      <c r="X55" s="15"/>
      <c r="Y55" s="456"/>
      <c r="Z55" s="456"/>
      <c r="AA55" s="11">
        <f t="shared" si="2"/>
        <v>-125.2592592592589</v>
      </c>
      <c r="AB55" s="111">
        <f t="shared" si="54"/>
        <v>0.90259777662577068</v>
      </c>
      <c r="AC55" s="470">
        <f>AB60</f>
        <v>0.90321920821032453</v>
      </c>
    </row>
    <row r="56" spans="1:29" ht="15.75" customHeight="1">
      <c r="A56" s="499" t="s">
        <v>11</v>
      </c>
      <c r="B56" s="115" t="s">
        <v>15</v>
      </c>
      <c r="C56" s="487" t="s">
        <v>39</v>
      </c>
      <c r="D56" s="487"/>
      <c r="E56" s="26">
        <v>26.97</v>
      </c>
      <c r="F56" s="27">
        <v>3240</v>
      </c>
      <c r="G56" s="110">
        <f t="shared" si="73"/>
        <v>87382.8</v>
      </c>
      <c r="H56" s="76" t="s">
        <v>57</v>
      </c>
      <c r="I56" s="113">
        <v>11</v>
      </c>
      <c r="J56" s="18">
        <v>1440</v>
      </c>
      <c r="K56" s="9">
        <f t="shared" si="74"/>
        <v>130.90909090909091</v>
      </c>
      <c r="L56" s="17">
        <v>11</v>
      </c>
      <c r="M56" s="10">
        <f t="shared" si="75"/>
        <v>1287.4172185430461</v>
      </c>
      <c r="N56" s="9">
        <f t="shared" ref="N56:N59" si="79">M56/L56</f>
        <v>117.03792895845874</v>
      </c>
      <c r="O56" s="11">
        <f t="shared" si="76"/>
        <v>0</v>
      </c>
      <c r="P56" s="12">
        <f t="shared" si="77"/>
        <v>-13.871161950632171</v>
      </c>
      <c r="Q56" s="111">
        <f t="shared" ref="Q56:Q59" si="80">N56/K56</f>
        <v>0.89403973509933754</v>
      </c>
      <c r="R56" s="470"/>
      <c r="S56" s="24">
        <v>0.27013888888888887</v>
      </c>
      <c r="T56" s="24">
        <v>0.375</v>
      </c>
      <c r="U56" s="110">
        <f>(S56-T55)*24*60</f>
        <v>7.9999999999999716</v>
      </c>
      <c r="V56" s="114">
        <f t="shared" si="78"/>
        <v>151.00000000000003</v>
      </c>
      <c r="W56" s="110"/>
      <c r="X56" s="110"/>
      <c r="Y56" s="456"/>
      <c r="Z56" s="456"/>
      <c r="AA56" s="11">
        <f t="shared" si="2"/>
        <v>-152.58278145695385</v>
      </c>
      <c r="AB56" s="111">
        <f t="shared" si="54"/>
        <v>0.89403973509933765</v>
      </c>
      <c r="AC56" s="470"/>
    </row>
    <row r="57" spans="1:29" ht="15.75" customHeight="1">
      <c r="A57" s="499" t="s">
        <v>11</v>
      </c>
      <c r="B57" s="115" t="s">
        <v>33</v>
      </c>
      <c r="C57" s="487" t="s">
        <v>41</v>
      </c>
      <c r="D57" s="487"/>
      <c r="E57" s="26">
        <v>34.35</v>
      </c>
      <c r="F57" s="27">
        <v>1266</v>
      </c>
      <c r="G57" s="110">
        <f t="shared" si="73"/>
        <v>43487.1</v>
      </c>
      <c r="H57" s="76" t="s">
        <v>57</v>
      </c>
      <c r="I57" s="113">
        <v>10</v>
      </c>
      <c r="J57" s="18">
        <v>3000</v>
      </c>
      <c r="K57" s="9">
        <f t="shared" si="74"/>
        <v>300</v>
      </c>
      <c r="L57" s="17">
        <v>10</v>
      </c>
      <c r="M57" s="10">
        <f t="shared" si="75"/>
        <v>2712.8571428571449</v>
      </c>
      <c r="N57" s="9">
        <f t="shared" si="79"/>
        <v>271.2857142857145</v>
      </c>
      <c r="O57" s="11">
        <f t="shared" si="76"/>
        <v>0</v>
      </c>
      <c r="P57" s="12">
        <f t="shared" si="77"/>
        <v>-28.714285714285495</v>
      </c>
      <c r="Q57" s="111">
        <f t="shared" si="80"/>
        <v>0.90428571428571503</v>
      </c>
      <c r="R57" s="470"/>
      <c r="S57" s="24">
        <v>0.37916666666666665</v>
      </c>
      <c r="T57" s="24">
        <v>0.39861111111111108</v>
      </c>
      <c r="U57" s="110">
        <f t="shared" ref="U57:U59" si="81">(S57-T56)*24*60</f>
        <v>5.9999999999999787</v>
      </c>
      <c r="V57" s="114">
        <f t="shared" si="78"/>
        <v>27.999999999999979</v>
      </c>
      <c r="W57" s="110"/>
      <c r="X57" s="110"/>
      <c r="Y57" s="456"/>
      <c r="Z57" s="456"/>
      <c r="AA57" s="11">
        <f t="shared" si="2"/>
        <v>-287.14285714285506</v>
      </c>
      <c r="AB57" s="111">
        <f t="shared" si="54"/>
        <v>0.90428571428571503</v>
      </c>
      <c r="AC57" s="470"/>
    </row>
    <row r="58" spans="1:29" ht="15.75" customHeight="1">
      <c r="A58" s="499" t="s">
        <v>11</v>
      </c>
      <c r="B58" s="115" t="s">
        <v>33</v>
      </c>
      <c r="C58" s="487" t="s">
        <v>73</v>
      </c>
      <c r="D58" s="487"/>
      <c r="E58" s="26">
        <v>28.5</v>
      </c>
      <c r="F58" s="27">
        <v>2035</v>
      </c>
      <c r="G58" s="110">
        <f t="shared" si="73"/>
        <v>57997.5</v>
      </c>
      <c r="H58" s="76" t="s">
        <v>57</v>
      </c>
      <c r="I58" s="113">
        <v>10</v>
      </c>
      <c r="J58" s="18">
        <v>3000</v>
      </c>
      <c r="K58" s="9">
        <f t="shared" si="74"/>
        <v>300</v>
      </c>
      <c r="L58" s="17">
        <v>10</v>
      </c>
      <c r="M58" s="10">
        <f t="shared" si="75"/>
        <v>2713.3333333333335</v>
      </c>
      <c r="N58" s="9">
        <f t="shared" si="79"/>
        <v>271.33333333333337</v>
      </c>
      <c r="O58" s="11">
        <f t="shared" si="76"/>
        <v>0</v>
      </c>
      <c r="P58" s="12">
        <f t="shared" si="77"/>
        <v>-28.666666666666629</v>
      </c>
      <c r="Q58" s="111">
        <f t="shared" si="80"/>
        <v>0.90444444444444461</v>
      </c>
      <c r="R58" s="470"/>
      <c r="S58" s="24">
        <v>0.40347222222222218</v>
      </c>
      <c r="T58" s="24">
        <v>0.43472222222222218</v>
      </c>
      <c r="U58" s="110">
        <f t="shared" si="81"/>
        <v>6.9999999999999751</v>
      </c>
      <c r="V58" s="114">
        <f t="shared" si="78"/>
        <v>45</v>
      </c>
      <c r="W58" s="110"/>
      <c r="X58" s="110"/>
      <c r="Y58" s="456"/>
      <c r="Z58" s="456"/>
      <c r="AA58" s="11">
        <f t="shared" si="2"/>
        <v>-286.66666666666652</v>
      </c>
      <c r="AB58" s="111">
        <f t="shared" si="54"/>
        <v>0.9044444444444445</v>
      </c>
      <c r="AC58" s="470"/>
    </row>
    <row r="59" spans="1:29">
      <c r="A59" s="500" t="s">
        <v>11</v>
      </c>
      <c r="B59" s="115" t="s">
        <v>33</v>
      </c>
      <c r="C59" s="487" t="s">
        <v>36</v>
      </c>
      <c r="D59" s="487"/>
      <c r="E59" s="26">
        <v>26.78</v>
      </c>
      <c r="F59" s="27">
        <v>2264</v>
      </c>
      <c r="G59" s="110">
        <f t="shared" si="73"/>
        <v>60629.920000000006</v>
      </c>
      <c r="H59" s="76" t="s">
        <v>57</v>
      </c>
      <c r="I59" s="113">
        <v>10</v>
      </c>
      <c r="J59" s="18">
        <v>3000</v>
      </c>
      <c r="K59" s="9">
        <f t="shared" si="74"/>
        <v>300</v>
      </c>
      <c r="L59" s="17">
        <v>10</v>
      </c>
      <c r="M59" s="10">
        <f t="shared" si="75"/>
        <v>2716.8000000000011</v>
      </c>
      <c r="N59" s="9">
        <f t="shared" si="79"/>
        <v>271.68000000000012</v>
      </c>
      <c r="O59" s="11">
        <f t="shared" si="76"/>
        <v>0</v>
      </c>
      <c r="P59" s="12">
        <f t="shared" si="77"/>
        <v>-28.319999999999879</v>
      </c>
      <c r="Q59" s="111">
        <f t="shared" si="80"/>
        <v>0.9056000000000004</v>
      </c>
      <c r="R59" s="470"/>
      <c r="S59" s="24">
        <v>0.43888888888888883</v>
      </c>
      <c r="T59" s="24">
        <v>0.47361111111111104</v>
      </c>
      <c r="U59" s="110">
        <f t="shared" si="81"/>
        <v>5.9999999999999787</v>
      </c>
      <c r="V59" s="114">
        <f t="shared" si="78"/>
        <v>49.999999999999986</v>
      </c>
      <c r="W59" s="14"/>
      <c r="X59" s="14"/>
      <c r="Y59" s="456"/>
      <c r="Z59" s="456"/>
      <c r="AA59" s="11">
        <f t="shared" si="2"/>
        <v>-283.19999999999891</v>
      </c>
      <c r="AB59" s="111">
        <f t="shared" si="54"/>
        <v>0.9056000000000004</v>
      </c>
      <c r="AC59" s="470"/>
    </row>
    <row r="60" spans="1:29">
      <c r="A60" s="500" t="s">
        <v>11</v>
      </c>
      <c r="B60" s="26" t="s">
        <v>375</v>
      </c>
      <c r="C60" s="466"/>
      <c r="D60" s="466"/>
      <c r="E60" s="109"/>
      <c r="F60" s="16"/>
      <c r="G60" s="9"/>
      <c r="H60" s="115"/>
      <c r="I60" s="17">
        <v>12.4</v>
      </c>
      <c r="J60" s="18">
        <v>2345.1999999999998</v>
      </c>
      <c r="K60" s="9">
        <f>J60/I60</f>
        <v>189.12903225806448</v>
      </c>
      <c r="L60" s="17">
        <v>12.4</v>
      </c>
      <c r="M60" s="10">
        <f>AVERAGE(M55:M59)</f>
        <v>2118.229687094853</v>
      </c>
      <c r="N60" s="9">
        <f>M60/L60</f>
        <v>170.82497476571396</v>
      </c>
      <c r="O60" s="11">
        <f>L60-I60</f>
        <v>0</v>
      </c>
      <c r="P60" s="12">
        <f>N60-K60</f>
        <v>-18.304057492350523</v>
      </c>
      <c r="Q60" s="111">
        <f>N60/K60</f>
        <v>0.90321920821032464</v>
      </c>
      <c r="R60" s="470"/>
      <c r="S60" s="24"/>
      <c r="T60" s="24"/>
      <c r="U60" s="9"/>
      <c r="V60" s="114"/>
      <c r="W60" s="9"/>
      <c r="X60" s="9"/>
      <c r="Y60" s="456"/>
      <c r="Z60" s="456"/>
      <c r="AA60" s="11">
        <f t="shared" si="2"/>
        <v>-226.97031290514678</v>
      </c>
      <c r="AB60" s="111">
        <f t="shared" si="54"/>
        <v>0.90321920821032453</v>
      </c>
      <c r="AC60" s="470"/>
    </row>
    <row r="61" spans="1:29" ht="15.75" customHeight="1">
      <c r="A61" s="467" t="s">
        <v>384</v>
      </c>
      <c r="B61" s="115" t="s">
        <v>24</v>
      </c>
      <c r="C61" s="487" t="s">
        <v>44</v>
      </c>
      <c r="D61" s="487"/>
      <c r="E61" s="26">
        <v>29.58</v>
      </c>
      <c r="F61" s="115">
        <v>4000</v>
      </c>
      <c r="G61" s="110">
        <f t="shared" ref="G61:G66" si="82">E61*F61</f>
        <v>118320</v>
      </c>
      <c r="H61" s="76">
        <v>2</v>
      </c>
      <c r="I61" s="113">
        <v>17</v>
      </c>
      <c r="J61" s="18">
        <v>2400</v>
      </c>
      <c r="K61" s="9">
        <f t="shared" ref="K61:K63" si="83">J61/I61</f>
        <v>141.1764705882353</v>
      </c>
      <c r="L61" s="17">
        <v>17</v>
      </c>
      <c r="M61" s="10">
        <f>F61/V61*60</f>
        <v>2142.8571428571431</v>
      </c>
      <c r="N61" s="9">
        <f t="shared" ref="N61:N66" si="84">M61/L61</f>
        <v>126.05042016806725</v>
      </c>
      <c r="O61" s="11">
        <f t="shared" ref="O61:O66" si="85">L61-I61</f>
        <v>0</v>
      </c>
      <c r="P61" s="12">
        <f t="shared" ref="P61:P66" si="86">N61-K61</f>
        <v>-15.126050420168056</v>
      </c>
      <c r="Q61" s="111">
        <f>N61/K61</f>
        <v>0.8928571428571429</v>
      </c>
      <c r="R61" s="470">
        <f>Q67</f>
        <v>0.89915218907514982</v>
      </c>
      <c r="S61" s="24">
        <v>0.16666666666666666</v>
      </c>
      <c r="T61" s="24">
        <v>0.24444444444444444</v>
      </c>
      <c r="U61" s="15"/>
      <c r="V61" s="114">
        <f t="shared" ref="V61:V66" si="87">(T61-S61)*24*60</f>
        <v>112</v>
      </c>
      <c r="W61" s="14"/>
      <c r="X61" s="14"/>
      <c r="Y61" s="456"/>
      <c r="Z61" s="456"/>
      <c r="AA61" s="11">
        <f t="shared" si="2"/>
        <v>-257.14285714285688</v>
      </c>
      <c r="AB61" s="111">
        <f>M61/J61</f>
        <v>0.89285714285714302</v>
      </c>
      <c r="AC61" s="470">
        <f>AB67</f>
        <v>0.89915218907514982</v>
      </c>
    </row>
    <row r="62" spans="1:29" ht="15.75" customHeight="1">
      <c r="A62" s="467" t="s">
        <v>12</v>
      </c>
      <c r="B62" s="115" t="s">
        <v>24</v>
      </c>
      <c r="C62" s="487" t="s">
        <v>45</v>
      </c>
      <c r="D62" s="487"/>
      <c r="E62" s="26">
        <v>19.02</v>
      </c>
      <c r="F62" s="115">
        <v>7176</v>
      </c>
      <c r="G62" s="110">
        <f t="shared" si="82"/>
        <v>136487.51999999999</v>
      </c>
      <c r="H62" s="76" t="s">
        <v>57</v>
      </c>
      <c r="I62" s="113">
        <v>16</v>
      </c>
      <c r="J62" s="18">
        <v>2400</v>
      </c>
      <c r="K62" s="9">
        <f t="shared" si="83"/>
        <v>150</v>
      </c>
      <c r="L62" s="17">
        <v>16</v>
      </c>
      <c r="M62" s="10">
        <f t="shared" ref="M62:M66" si="88">F62/V62*60</f>
        <v>2142.0895522388059</v>
      </c>
      <c r="N62" s="9">
        <f t="shared" si="84"/>
        <v>133.88059701492537</v>
      </c>
      <c r="O62" s="11">
        <f t="shared" si="85"/>
        <v>0</v>
      </c>
      <c r="P62" s="12">
        <f t="shared" si="86"/>
        <v>-16.119402985074629</v>
      </c>
      <c r="Q62" s="111">
        <f t="shared" ref="Q62:Q67" si="89">N62/K62</f>
        <v>0.89253731343283582</v>
      </c>
      <c r="R62" s="470"/>
      <c r="S62" s="24">
        <v>0.24861111111111112</v>
      </c>
      <c r="T62" s="24">
        <v>0.38819444444444445</v>
      </c>
      <c r="U62" s="110">
        <f>(S62-T61)*24*60</f>
        <v>6.0000000000000187</v>
      </c>
      <c r="V62" s="114">
        <f t="shared" si="87"/>
        <v>201</v>
      </c>
      <c r="W62" s="14"/>
      <c r="X62" s="14"/>
      <c r="Y62" s="456"/>
      <c r="Z62" s="456"/>
      <c r="AA62" s="11">
        <f t="shared" si="2"/>
        <v>-257.91044776119406</v>
      </c>
      <c r="AB62" s="111">
        <f t="shared" ref="AB62:AB67" si="90">M62/J62</f>
        <v>0.89253731343283582</v>
      </c>
      <c r="AC62" s="470"/>
    </row>
    <row r="63" spans="1:29" ht="15.75" customHeight="1">
      <c r="A63" s="467" t="s">
        <v>12</v>
      </c>
      <c r="B63" s="115" t="s">
        <v>24</v>
      </c>
      <c r="C63" s="487" t="s">
        <v>56</v>
      </c>
      <c r="D63" s="487"/>
      <c r="E63" s="26">
        <v>20.2</v>
      </c>
      <c r="F63" s="115">
        <v>2069</v>
      </c>
      <c r="G63" s="110">
        <f t="shared" si="82"/>
        <v>41793.799999999996</v>
      </c>
      <c r="H63" s="76" t="s">
        <v>57</v>
      </c>
      <c r="I63" s="113">
        <v>19</v>
      </c>
      <c r="J63" s="18">
        <v>2400</v>
      </c>
      <c r="K63" s="9">
        <f t="shared" si="83"/>
        <v>126.31578947368421</v>
      </c>
      <c r="L63" s="17">
        <v>19</v>
      </c>
      <c r="M63" s="10">
        <f t="shared" si="88"/>
        <v>2140.3448275862056</v>
      </c>
      <c r="N63" s="9">
        <f t="shared" si="84"/>
        <v>112.64972776769503</v>
      </c>
      <c r="O63" s="11">
        <f t="shared" si="85"/>
        <v>0</v>
      </c>
      <c r="P63" s="12">
        <f t="shared" si="86"/>
        <v>-13.666061705989179</v>
      </c>
      <c r="Q63" s="111">
        <f t="shared" si="89"/>
        <v>0.8918103448275857</v>
      </c>
      <c r="R63" s="470"/>
      <c r="S63" s="24">
        <v>0.39374999999999999</v>
      </c>
      <c r="T63" s="24">
        <v>0.43402777777777779</v>
      </c>
      <c r="U63" s="110">
        <f t="shared" ref="U63:U66" si="91">(S63-T62)*24*60</f>
        <v>7.9999999999999716</v>
      </c>
      <c r="V63" s="114">
        <f t="shared" si="87"/>
        <v>58.000000000000036</v>
      </c>
      <c r="W63" s="14"/>
      <c r="X63" s="14"/>
      <c r="Y63" s="456"/>
      <c r="Z63" s="456"/>
      <c r="AA63" s="11">
        <f t="shared" si="2"/>
        <v>-259.65517241379439</v>
      </c>
      <c r="AB63" s="111">
        <f t="shared" si="90"/>
        <v>0.8918103448275857</v>
      </c>
      <c r="AC63" s="470"/>
    </row>
    <row r="64" spans="1:29" ht="15.75" customHeight="1">
      <c r="A64" s="467" t="s">
        <v>12</v>
      </c>
      <c r="B64" s="115" t="s">
        <v>24</v>
      </c>
      <c r="C64" s="487" t="s">
        <v>83</v>
      </c>
      <c r="D64" s="487"/>
      <c r="E64" s="26">
        <v>32.03</v>
      </c>
      <c r="F64" s="115">
        <v>1885</v>
      </c>
      <c r="G64" s="110">
        <f t="shared" si="82"/>
        <v>60376.55</v>
      </c>
      <c r="H64" s="76" t="s">
        <v>57</v>
      </c>
      <c r="I64" s="113">
        <v>19</v>
      </c>
      <c r="J64" s="18">
        <v>2400</v>
      </c>
      <c r="K64" s="9">
        <f>J64/I64</f>
        <v>126.31578947368421</v>
      </c>
      <c r="L64" s="17">
        <v>19</v>
      </c>
      <c r="M64" s="10">
        <f t="shared" si="88"/>
        <v>2175.0000000000014</v>
      </c>
      <c r="N64" s="9">
        <f t="shared" si="84"/>
        <v>114.47368421052639</v>
      </c>
      <c r="O64" s="11">
        <f t="shared" si="85"/>
        <v>0</v>
      </c>
      <c r="P64" s="12">
        <f t="shared" si="86"/>
        <v>-11.842105263157819</v>
      </c>
      <c r="Q64" s="111">
        <f t="shared" si="89"/>
        <v>0.90625000000000056</v>
      </c>
      <c r="R64" s="470"/>
      <c r="S64" s="24">
        <v>0.43958333333333333</v>
      </c>
      <c r="T64" s="24">
        <v>0.47569444444444442</v>
      </c>
      <c r="U64" s="110">
        <f t="shared" si="91"/>
        <v>7.9999999999999716</v>
      </c>
      <c r="V64" s="114">
        <f t="shared" si="87"/>
        <v>51.999999999999972</v>
      </c>
      <c r="W64" s="14"/>
      <c r="X64" s="14"/>
      <c r="Y64" s="456"/>
      <c r="Z64" s="456"/>
      <c r="AA64" s="11">
        <f t="shared" si="2"/>
        <v>-224.99999999999864</v>
      </c>
      <c r="AB64" s="111">
        <f t="shared" si="90"/>
        <v>0.90625000000000056</v>
      </c>
      <c r="AC64" s="470"/>
    </row>
    <row r="65" spans="1:29" ht="15.75" customHeight="1">
      <c r="A65" s="467" t="s">
        <v>12</v>
      </c>
      <c r="B65" s="115" t="s">
        <v>24</v>
      </c>
      <c r="C65" s="487" t="s">
        <v>28</v>
      </c>
      <c r="D65" s="487"/>
      <c r="E65" s="26">
        <v>22.69</v>
      </c>
      <c r="F65" s="115">
        <v>1093</v>
      </c>
      <c r="G65" s="110">
        <f t="shared" si="82"/>
        <v>24800.170000000002</v>
      </c>
      <c r="H65" s="76" t="s">
        <v>57</v>
      </c>
      <c r="I65" s="113">
        <v>18</v>
      </c>
      <c r="J65" s="18">
        <v>2400</v>
      </c>
      <c r="K65" s="9">
        <f t="shared" ref="K65:K67" si="92">J65/I65</f>
        <v>133.33333333333334</v>
      </c>
      <c r="L65" s="17">
        <v>18</v>
      </c>
      <c r="M65" s="10">
        <f t="shared" si="88"/>
        <v>2186.0000000000018</v>
      </c>
      <c r="N65" s="9">
        <f t="shared" si="84"/>
        <v>121.44444444444454</v>
      </c>
      <c r="O65" s="11">
        <f t="shared" si="85"/>
        <v>0</v>
      </c>
      <c r="P65" s="12">
        <f t="shared" si="86"/>
        <v>-11.8888888888888</v>
      </c>
      <c r="Q65" s="111">
        <f t="shared" si="89"/>
        <v>0.91083333333333405</v>
      </c>
      <c r="R65" s="470"/>
      <c r="S65" s="24">
        <v>0.47916666666666663</v>
      </c>
      <c r="T65" s="24">
        <v>0.49999999999999994</v>
      </c>
      <c r="U65" s="110">
        <f t="shared" si="91"/>
        <v>4.9999999999999822</v>
      </c>
      <c r="V65" s="114">
        <f t="shared" si="87"/>
        <v>29.999999999999972</v>
      </c>
      <c r="W65" s="14"/>
      <c r="X65" s="14"/>
      <c r="Y65" s="456"/>
      <c r="Z65" s="456"/>
      <c r="AA65" s="11">
        <f t="shared" si="2"/>
        <v>-213.99999999999818</v>
      </c>
      <c r="AB65" s="111">
        <f t="shared" si="90"/>
        <v>0.91083333333333405</v>
      </c>
      <c r="AC65" s="470"/>
    </row>
    <row r="66" spans="1:29" ht="15.75" customHeight="1">
      <c r="A66" s="467" t="s">
        <v>12</v>
      </c>
      <c r="B66" s="115" t="s">
        <v>24</v>
      </c>
      <c r="C66" s="487" t="s">
        <v>44</v>
      </c>
      <c r="D66" s="487"/>
      <c r="E66" s="26">
        <v>29.58</v>
      </c>
      <c r="F66" s="115">
        <v>2882</v>
      </c>
      <c r="G66" s="110">
        <f t="shared" si="82"/>
        <v>85249.56</v>
      </c>
      <c r="H66" s="76" t="s">
        <v>57</v>
      </c>
      <c r="I66" s="113">
        <v>17</v>
      </c>
      <c r="J66" s="18">
        <v>2400</v>
      </c>
      <c r="K66" s="9">
        <f t="shared" si="92"/>
        <v>141.1764705882353</v>
      </c>
      <c r="L66" s="17">
        <v>17</v>
      </c>
      <c r="M66" s="10">
        <f t="shared" si="88"/>
        <v>2161.4999999999991</v>
      </c>
      <c r="N66" s="9">
        <f t="shared" si="84"/>
        <v>127.14705882352936</v>
      </c>
      <c r="O66" s="11">
        <f t="shared" si="85"/>
        <v>0</v>
      </c>
      <c r="P66" s="12">
        <f t="shared" si="86"/>
        <v>-14.029411764705941</v>
      </c>
      <c r="Q66" s="111">
        <f t="shared" si="89"/>
        <v>0.90062499999999956</v>
      </c>
      <c r="R66" s="470"/>
      <c r="S66" s="24">
        <v>0.54027777777777775</v>
      </c>
      <c r="T66" s="24">
        <v>0.59583333333333333</v>
      </c>
      <c r="U66" s="110">
        <f t="shared" si="91"/>
        <v>58.000000000000036</v>
      </c>
      <c r="V66" s="114">
        <f t="shared" si="87"/>
        <v>80.000000000000028</v>
      </c>
      <c r="W66" s="14"/>
      <c r="X66" s="14"/>
      <c r="Y66" s="456"/>
      <c r="Z66" s="456"/>
      <c r="AA66" s="11">
        <f t="shared" si="2"/>
        <v>-238.50000000000091</v>
      </c>
      <c r="AB66" s="111">
        <f t="shared" si="90"/>
        <v>0.90062499999999968</v>
      </c>
      <c r="AC66" s="470"/>
    </row>
    <row r="67" spans="1:29" ht="16.5" customHeight="1">
      <c r="A67" s="501" t="s">
        <v>12</v>
      </c>
      <c r="B67" s="26" t="s">
        <v>375</v>
      </c>
      <c r="C67" s="466"/>
      <c r="D67" s="466"/>
      <c r="E67" s="109"/>
      <c r="F67" s="16"/>
      <c r="G67" s="9"/>
      <c r="H67" s="115"/>
      <c r="I67" s="17">
        <v>17.666666666666668</v>
      </c>
      <c r="J67" s="18">
        <v>2400</v>
      </c>
      <c r="K67" s="9">
        <f t="shared" si="92"/>
        <v>135.84905660377356</v>
      </c>
      <c r="L67" s="17">
        <v>17.666666666666668</v>
      </c>
      <c r="M67" s="10">
        <f>AVERAGE(M61:M66)</f>
        <v>2157.9652537803595</v>
      </c>
      <c r="N67" s="9">
        <f>M67/L67</f>
        <v>122.14897662907694</v>
      </c>
      <c r="O67" s="11">
        <f>L67-I67</f>
        <v>0</v>
      </c>
      <c r="P67" s="12">
        <f>N67-K67</f>
        <v>-13.700079974696621</v>
      </c>
      <c r="Q67" s="111">
        <f t="shared" si="89"/>
        <v>0.89915218907514982</v>
      </c>
      <c r="R67" s="470"/>
      <c r="S67" s="24"/>
      <c r="T67" s="24"/>
      <c r="U67" s="9"/>
      <c r="V67" s="114"/>
      <c r="W67" s="9"/>
      <c r="X67" s="9"/>
      <c r="Y67" s="456"/>
      <c r="Z67" s="456"/>
      <c r="AA67" s="11">
        <f t="shared" si="2"/>
        <v>-242.03474621964051</v>
      </c>
      <c r="AB67" s="111">
        <f t="shared" si="90"/>
        <v>0.89915218907514982</v>
      </c>
      <c r="AC67" s="470"/>
    </row>
    <row r="68" spans="1:29">
      <c r="D68" s="19"/>
      <c r="E68" s="19"/>
    </row>
  </sheetData>
  <mergeCells count="187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C8:AC12"/>
    <mergeCell ref="C9:D9"/>
    <mergeCell ref="Y9:Z9"/>
    <mergeCell ref="C10:D10"/>
    <mergeCell ref="Y10:Z10"/>
    <mergeCell ref="C11:D11"/>
    <mergeCell ref="AC3:AC4"/>
    <mergeCell ref="A5:A7"/>
    <mergeCell ref="C5:D5"/>
    <mergeCell ref="R5:R7"/>
    <mergeCell ref="Y5:Z5"/>
    <mergeCell ref="AC5:AC7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Y11:Z11"/>
    <mergeCell ref="C12:D12"/>
    <mergeCell ref="Y12:Z12"/>
    <mergeCell ref="A13:A18"/>
    <mergeCell ref="C13:D13"/>
    <mergeCell ref="R13:R18"/>
    <mergeCell ref="Y13:Z13"/>
    <mergeCell ref="Y18:Z18"/>
    <mergeCell ref="A8:A12"/>
    <mergeCell ref="C8:D8"/>
    <mergeCell ref="R8:R12"/>
    <mergeCell ref="Y8:Z8"/>
    <mergeCell ref="AC19:AC26"/>
    <mergeCell ref="C20:D20"/>
    <mergeCell ref="Y20:Z20"/>
    <mergeCell ref="C21:D21"/>
    <mergeCell ref="Y21:Z21"/>
    <mergeCell ref="C22:D22"/>
    <mergeCell ref="AC13:AC18"/>
    <mergeCell ref="C14:D14"/>
    <mergeCell ref="Y14:Z14"/>
    <mergeCell ref="C15:D15"/>
    <mergeCell ref="Y15:Z15"/>
    <mergeCell ref="C16:D16"/>
    <mergeCell ref="Y16:Z16"/>
    <mergeCell ref="C17:D17"/>
    <mergeCell ref="Y17:Z17"/>
    <mergeCell ref="C18:D18"/>
    <mergeCell ref="Y22:Z22"/>
    <mergeCell ref="C23:D23"/>
    <mergeCell ref="Y23:Z23"/>
    <mergeCell ref="C24:D24"/>
    <mergeCell ref="Y24:Z24"/>
    <mergeCell ref="C25:D25"/>
    <mergeCell ref="Y25:Z25"/>
    <mergeCell ref="A19:A26"/>
    <mergeCell ref="C19:D19"/>
    <mergeCell ref="R19:R26"/>
    <mergeCell ref="Y19:Z19"/>
    <mergeCell ref="C26:D26"/>
    <mergeCell ref="Y26:Z26"/>
    <mergeCell ref="A27:A35"/>
    <mergeCell ref="C27:D27"/>
    <mergeCell ref="R27:R35"/>
    <mergeCell ref="Y27:Z27"/>
    <mergeCell ref="Y32:Z32"/>
    <mergeCell ref="C33:D33"/>
    <mergeCell ref="Y33:Z33"/>
    <mergeCell ref="C34:D34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34:Z34"/>
    <mergeCell ref="C35:D35"/>
    <mergeCell ref="Y35:Z35"/>
    <mergeCell ref="A36:A42"/>
    <mergeCell ref="C36:D36"/>
    <mergeCell ref="R36:R42"/>
    <mergeCell ref="Y36:Z36"/>
    <mergeCell ref="Y41:Z41"/>
    <mergeCell ref="C42:D42"/>
    <mergeCell ref="Y42:Z42"/>
    <mergeCell ref="AC43:AC51"/>
    <mergeCell ref="C44:D44"/>
    <mergeCell ref="Y44:Z44"/>
    <mergeCell ref="C45:D45"/>
    <mergeCell ref="Y45:Z45"/>
    <mergeCell ref="C46:D46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50:D50"/>
    <mergeCell ref="Y50:Z50"/>
    <mergeCell ref="C51:D51"/>
    <mergeCell ref="Y51:Z51"/>
    <mergeCell ref="A52:A54"/>
    <mergeCell ref="C52:D52"/>
    <mergeCell ref="R52:R54"/>
    <mergeCell ref="Y52:Z52"/>
    <mergeCell ref="Y46:Z46"/>
    <mergeCell ref="C47:D47"/>
    <mergeCell ref="Y47:Z47"/>
    <mergeCell ref="C48:D48"/>
    <mergeCell ref="Y48:Z48"/>
    <mergeCell ref="C49:D49"/>
    <mergeCell ref="Y49:Z49"/>
    <mergeCell ref="A43:A51"/>
    <mergeCell ref="C43:D43"/>
    <mergeCell ref="R43:R51"/>
    <mergeCell ref="Y43:Z43"/>
    <mergeCell ref="AC52:AC54"/>
    <mergeCell ref="C53:D53"/>
    <mergeCell ref="Y53:Z53"/>
    <mergeCell ref="C54:D54"/>
    <mergeCell ref="Y54:Z54"/>
    <mergeCell ref="C55:D55"/>
    <mergeCell ref="R55:R60"/>
    <mergeCell ref="Y55:Z55"/>
    <mergeCell ref="AC55:AC60"/>
    <mergeCell ref="C59:D59"/>
    <mergeCell ref="Y59:Z59"/>
    <mergeCell ref="C60:D60"/>
    <mergeCell ref="Y60:Z60"/>
    <mergeCell ref="A61:A67"/>
    <mergeCell ref="C61:D61"/>
    <mergeCell ref="R61:R67"/>
    <mergeCell ref="Y61:Z61"/>
    <mergeCell ref="Y66:Z66"/>
    <mergeCell ref="C67:D67"/>
    <mergeCell ref="A55:A60"/>
    <mergeCell ref="Y67:Z67"/>
    <mergeCell ref="AC61:AC67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C56:D56"/>
    <mergeCell ref="Y56:Z56"/>
    <mergeCell ref="C57:D57"/>
    <mergeCell ref="Y57:Z57"/>
    <mergeCell ref="C58:D58"/>
    <mergeCell ref="Y58:Z58"/>
  </mergeCells>
  <phoneticPr fontId="3" type="noConversion"/>
  <conditionalFormatting sqref="O58:O67 O5:O8 O12:O14 O51:O55 O18:O48">
    <cfRule type="cellIs" dxfId="516" priority="50" operator="greaterThan">
      <formula>0</formula>
    </cfRule>
  </conditionalFormatting>
  <conditionalFormatting sqref="P5:P6 P58:P59 AA58:AA59 P61:P66 P27:P34 P55 P8 P12:P14 P19:P25 P52:P53 P36:P48 AA5:AA55 AA61:AA67">
    <cfRule type="cellIs" dxfId="515" priority="54" operator="lessThan">
      <formula>0</formula>
    </cfRule>
  </conditionalFormatting>
  <conditionalFormatting sqref="AB58:AB59 Q58:Q67 Q5:Q8 Q12:Q14 Q51:Q55 Q18:Q48 AB5:AB55 AB61:AB67">
    <cfRule type="cellIs" dxfId="514" priority="51" operator="greaterThan">
      <formula>1</formula>
    </cfRule>
    <cfRule type="cellIs" dxfId="513" priority="52" operator="lessThan">
      <formula>0.8</formula>
    </cfRule>
  </conditionalFormatting>
  <conditionalFormatting sqref="AC13:AC14 R13:R14 AC58 R18:R24 AC18:AC24 R58:R67 AC5:AC8 R5:R8 R26:R48 AC26:AC48 AC51:AC55 R51:R55">
    <cfRule type="cellIs" dxfId="512" priority="56" operator="lessThan">
      <formula>0.8</formula>
    </cfRule>
  </conditionalFormatting>
  <conditionalFormatting sqref="AC43">
    <cfRule type="cellIs" dxfId="511" priority="58" operator="lessThan">
      <formula>0.8</formula>
    </cfRule>
  </conditionalFormatting>
  <conditionalFormatting sqref="AC19:AC24">
    <cfRule type="cellIs" dxfId="510" priority="55" operator="lessThan">
      <formula>0.8</formula>
    </cfRule>
  </conditionalFormatting>
  <conditionalFormatting sqref="AC27">
    <cfRule type="cellIs" dxfId="509" priority="57" operator="lessThan">
      <formula>0.8</formula>
    </cfRule>
  </conditionalFormatting>
  <conditionalFormatting sqref="AC36:AC41">
    <cfRule type="cellIs" dxfId="508" priority="53" operator="lessThan">
      <formula>0.8</formula>
    </cfRule>
  </conditionalFormatting>
  <conditionalFormatting sqref="AA60">
    <cfRule type="cellIs" dxfId="507" priority="49" operator="lessThan">
      <formula>0</formula>
    </cfRule>
  </conditionalFormatting>
  <conditionalFormatting sqref="AB60">
    <cfRule type="cellIs" dxfId="506" priority="47" operator="greaterThan">
      <formula>1</formula>
    </cfRule>
    <cfRule type="cellIs" dxfId="505" priority="48" operator="lessThan">
      <formula>0.8</formula>
    </cfRule>
  </conditionalFormatting>
  <conditionalFormatting sqref="O15:O16">
    <cfRule type="cellIs" dxfId="504" priority="42" operator="greaterThan">
      <formula>0</formula>
    </cfRule>
  </conditionalFormatting>
  <conditionalFormatting sqref="P15:P16">
    <cfRule type="cellIs" dxfId="503" priority="45" operator="lessThan">
      <formula>0</formula>
    </cfRule>
  </conditionalFormatting>
  <conditionalFormatting sqref="Q15:Q16">
    <cfRule type="cellIs" dxfId="502" priority="43" operator="greaterThan">
      <formula>1</formula>
    </cfRule>
    <cfRule type="cellIs" dxfId="501" priority="44" operator="lessThan">
      <formula>0.8</formula>
    </cfRule>
  </conditionalFormatting>
  <conditionalFormatting sqref="R15:R16 AC15:AC16">
    <cfRule type="cellIs" dxfId="500" priority="46" operator="lessThan">
      <formula>0.8</formula>
    </cfRule>
  </conditionalFormatting>
  <conditionalFormatting sqref="O9:O11">
    <cfRule type="cellIs" dxfId="499" priority="38" operator="greaterThan">
      <formula>0</formula>
    </cfRule>
  </conditionalFormatting>
  <conditionalFormatting sqref="P9:P11">
    <cfRule type="cellIs" dxfId="498" priority="41" operator="lessThan">
      <formula>0</formula>
    </cfRule>
  </conditionalFormatting>
  <conditionalFormatting sqref="Q9:Q11">
    <cfRule type="cellIs" dxfId="497" priority="39" operator="greaterThan">
      <formula>1</formula>
    </cfRule>
    <cfRule type="cellIs" dxfId="496" priority="40" operator="lessThan">
      <formula>0.8</formula>
    </cfRule>
  </conditionalFormatting>
  <conditionalFormatting sqref="O57">
    <cfRule type="cellIs" dxfId="495" priority="33" operator="greaterThan">
      <formula>0</formula>
    </cfRule>
  </conditionalFormatting>
  <conditionalFormatting sqref="P57 AA57">
    <cfRule type="cellIs" dxfId="494" priority="36" operator="lessThan">
      <formula>0</formula>
    </cfRule>
  </conditionalFormatting>
  <conditionalFormatting sqref="Q57 AB57">
    <cfRule type="cellIs" dxfId="493" priority="34" operator="greaterThan">
      <formula>1</formula>
    </cfRule>
    <cfRule type="cellIs" dxfId="492" priority="35" operator="lessThan">
      <formula>0.8</formula>
    </cfRule>
  </conditionalFormatting>
  <conditionalFormatting sqref="R57 AC57">
    <cfRule type="cellIs" dxfId="491" priority="37" operator="lessThan">
      <formula>0.8</formula>
    </cfRule>
  </conditionalFormatting>
  <conditionalFormatting sqref="O17">
    <cfRule type="cellIs" dxfId="490" priority="28" operator="greaterThan">
      <formula>0</formula>
    </cfRule>
  </conditionalFormatting>
  <conditionalFormatting sqref="P17">
    <cfRule type="cellIs" dxfId="489" priority="31" operator="lessThan">
      <formula>0</formula>
    </cfRule>
  </conditionalFormatting>
  <conditionalFormatting sqref="Q17">
    <cfRule type="cellIs" dxfId="488" priority="29" operator="greaterThan">
      <formula>1</formula>
    </cfRule>
    <cfRule type="cellIs" dxfId="487" priority="30" operator="lessThan">
      <formula>0.8</formula>
    </cfRule>
  </conditionalFormatting>
  <conditionalFormatting sqref="R17 AC17">
    <cfRule type="cellIs" dxfId="486" priority="32" operator="lessThan">
      <formula>0.8</formula>
    </cfRule>
  </conditionalFormatting>
  <conditionalFormatting sqref="O49">
    <cfRule type="cellIs" dxfId="485" priority="22" operator="greaterThan">
      <formula>0</formula>
    </cfRule>
  </conditionalFormatting>
  <conditionalFormatting sqref="P49">
    <cfRule type="cellIs" dxfId="484" priority="26" operator="lessThan">
      <formula>0</formula>
    </cfRule>
  </conditionalFormatting>
  <conditionalFormatting sqref="Q49">
    <cfRule type="cellIs" dxfId="483" priority="23" operator="greaterThan">
      <formula>1</formula>
    </cfRule>
    <cfRule type="cellIs" dxfId="482" priority="24" operator="lessThan">
      <formula>0.8</formula>
    </cfRule>
  </conditionalFormatting>
  <conditionalFormatting sqref="R49 AC49">
    <cfRule type="cellIs" dxfId="481" priority="27" operator="lessThan">
      <formula>0.8</formula>
    </cfRule>
  </conditionalFormatting>
  <conditionalFormatting sqref="AC49">
    <cfRule type="cellIs" dxfId="480" priority="25" operator="lessThan">
      <formula>0.8</formula>
    </cfRule>
  </conditionalFormatting>
  <conditionalFormatting sqref="O50">
    <cfRule type="cellIs" dxfId="479" priority="16" operator="greaterThan">
      <formula>0</formula>
    </cfRule>
  </conditionalFormatting>
  <conditionalFormatting sqref="P50">
    <cfRule type="cellIs" dxfId="478" priority="20" operator="lessThan">
      <formula>0</formula>
    </cfRule>
  </conditionalFormatting>
  <conditionalFormatting sqref="Q50">
    <cfRule type="cellIs" dxfId="477" priority="17" operator="greaterThan">
      <formula>1</formula>
    </cfRule>
    <cfRule type="cellIs" dxfId="476" priority="18" operator="lessThan">
      <formula>0.8</formula>
    </cfRule>
  </conditionalFormatting>
  <conditionalFormatting sqref="R50 AC50">
    <cfRule type="cellIs" dxfId="475" priority="21" operator="lessThan">
      <formula>0.8</formula>
    </cfRule>
  </conditionalFormatting>
  <conditionalFormatting sqref="AC50">
    <cfRule type="cellIs" dxfId="474" priority="19" operator="lessThan">
      <formula>0.8</formula>
    </cfRule>
  </conditionalFormatting>
  <conditionalFormatting sqref="R25 AC25">
    <cfRule type="cellIs" dxfId="473" priority="15" operator="lessThan">
      <formula>0.8</formula>
    </cfRule>
  </conditionalFormatting>
  <conditionalFormatting sqref="AC25">
    <cfRule type="cellIs" dxfId="472" priority="14" operator="lessThan">
      <formula>0.8</formula>
    </cfRule>
  </conditionalFormatting>
  <conditionalFormatting sqref="O56">
    <cfRule type="cellIs" dxfId="471" priority="9" operator="greaterThan">
      <formula>0</formula>
    </cfRule>
  </conditionalFormatting>
  <conditionalFormatting sqref="P56 AA56">
    <cfRule type="cellIs" dxfId="470" priority="12" operator="lessThan">
      <formula>0</formula>
    </cfRule>
  </conditionalFormatting>
  <conditionalFormatting sqref="Q56 AB56">
    <cfRule type="cellIs" dxfId="469" priority="10" operator="greaterThan">
      <formula>1</formula>
    </cfRule>
    <cfRule type="cellIs" dxfId="468" priority="11" operator="lessThan">
      <formula>0.8</formula>
    </cfRule>
  </conditionalFormatting>
  <conditionalFormatting sqref="R56 AC56">
    <cfRule type="cellIs" dxfId="467" priority="13" operator="lessThan">
      <formula>0.8</formula>
    </cfRule>
  </conditionalFormatting>
  <conditionalFormatting sqref="P7">
    <cfRule type="cellIs" dxfId="466" priority="8" operator="lessThan">
      <formula>0</formula>
    </cfRule>
  </conditionalFormatting>
  <conditionalFormatting sqref="P18">
    <cfRule type="cellIs" dxfId="465" priority="7" operator="lessThan">
      <formula>0</formula>
    </cfRule>
  </conditionalFormatting>
  <conditionalFormatting sqref="P26">
    <cfRule type="cellIs" dxfId="464" priority="6" operator="lessThan">
      <formula>0</formula>
    </cfRule>
  </conditionalFormatting>
  <conditionalFormatting sqref="P35">
    <cfRule type="cellIs" dxfId="463" priority="5" operator="lessThan">
      <formula>0</formula>
    </cfRule>
  </conditionalFormatting>
  <conditionalFormatting sqref="P51">
    <cfRule type="cellIs" dxfId="462" priority="4" operator="lessThan">
      <formula>0</formula>
    </cfRule>
  </conditionalFormatting>
  <conditionalFormatting sqref="P54">
    <cfRule type="cellIs" dxfId="461" priority="3" operator="lessThan">
      <formula>0</formula>
    </cfRule>
  </conditionalFormatting>
  <conditionalFormatting sqref="P60">
    <cfRule type="cellIs" dxfId="460" priority="2" operator="lessThan">
      <formula>0</formula>
    </cfRule>
  </conditionalFormatting>
  <conditionalFormatting sqref="P67">
    <cfRule type="cellIs" dxfId="459" priority="1" operator="lessThan">
      <formula>0</formula>
    </cfRule>
  </conditionalFormatting>
  <dataValidations count="1">
    <dataValidation type="list" allowBlank="1" showInputMessage="1" showErrorMessage="1" sqref="Z7 Z59 Y5:Z6 Y7:Y59 Z9:Z55 Y60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C5" sqref="C5:D5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264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98" t="s">
        <v>265</v>
      </c>
      <c r="C3" s="421" t="str">
        <f>TEXT('0704 4度C'!A2,"yyyy.mm.ddaaaa")</f>
        <v>2025.07.04星期五</v>
      </c>
      <c r="D3" s="421"/>
      <c r="E3" s="98" t="s">
        <v>127</v>
      </c>
      <c r="F3" s="422">
        <f>'0704 4度C'!D1</f>
        <v>132225</v>
      </c>
      <c r="G3" s="422"/>
      <c r="H3" s="98" t="s">
        <v>90</v>
      </c>
      <c r="I3" s="423">
        <f>'0704 4度C'!F1</f>
        <v>4349771.07</v>
      </c>
      <c r="J3" s="423"/>
      <c r="K3" s="31"/>
      <c r="L3" s="32"/>
      <c r="M3" s="33"/>
      <c r="N3" s="33"/>
    </row>
    <row r="4" spans="2:17" ht="28.5" customHeight="1">
      <c r="B4" s="424" t="s">
        <v>266</v>
      </c>
      <c r="C4" s="424" t="s">
        <v>267</v>
      </c>
      <c r="D4" s="424"/>
      <c r="E4" s="425" t="s">
        <v>268</v>
      </c>
      <c r="F4" s="425"/>
      <c r="G4" s="425" t="s">
        <v>269</v>
      </c>
      <c r="H4" s="425"/>
      <c r="I4" s="425" t="s">
        <v>270</v>
      </c>
      <c r="J4" s="425"/>
      <c r="L4" s="33"/>
      <c r="M4" s="33"/>
      <c r="N4" s="33"/>
    </row>
    <row r="5" spans="2:17" ht="28.5" customHeight="1">
      <c r="B5" s="424"/>
      <c r="C5" s="424" t="s">
        <v>249</v>
      </c>
      <c r="D5" s="424"/>
      <c r="E5" s="424" t="s">
        <v>271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132.70457264898204</v>
      </c>
      <c r="F6" s="424">
        <f>AVERAGE(D27:O27,D13:J13)</f>
        <v>134.854545110663</v>
      </c>
      <c r="G6" s="429">
        <f>AVERAGE(D13:J13)</f>
        <v>134.854545110663</v>
      </c>
      <c r="H6" s="429"/>
      <c r="I6" s="429">
        <f>AVERAGE(K13:M13)</f>
        <v>127.68797023839313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119.52530692633582</v>
      </c>
      <c r="F7" s="434">
        <f>AVERAGE(D28:O28,D14:J14)</f>
        <v>121.6208579266536</v>
      </c>
      <c r="G7" s="435">
        <f>AVERAGE(D14:J14)</f>
        <v>121.6208579266536</v>
      </c>
      <c r="H7" s="435"/>
      <c r="I7" s="435">
        <f>AVERAGE(K14:M14)</f>
        <v>114.63568792559433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0.89984216909126558</v>
      </c>
      <c r="F8" s="432">
        <f>AVERAGE(D15:J15,D29:O29)</f>
        <v>0.90076609716868039</v>
      </c>
      <c r="G8" s="437">
        <f>AVERAGE(D15:J15)</f>
        <v>0.90076609716868039</v>
      </c>
      <c r="H8" s="437"/>
      <c r="I8" s="437">
        <f>AVERAGE(K15:M15)</f>
        <v>0.89768633691063027</v>
      </c>
      <c r="J8" s="437"/>
      <c r="K8" s="34" t="s">
        <v>272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273</v>
      </c>
      <c r="E10" s="441"/>
      <c r="F10" s="441"/>
      <c r="G10" s="441"/>
      <c r="H10" s="441"/>
      <c r="I10" s="441"/>
      <c r="J10" s="442"/>
      <c r="K10" s="443" t="s">
        <v>274</v>
      </c>
      <c r="L10" s="444"/>
      <c r="M10" s="445"/>
      <c r="P10" s="37"/>
      <c r="Q10" s="37"/>
    </row>
    <row r="11" spans="2:17" ht="17.25" customHeight="1">
      <c r="B11" s="431" t="s">
        <v>275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276</v>
      </c>
      <c r="E12" s="42" t="s">
        <v>86</v>
      </c>
      <c r="F12" s="42" t="s">
        <v>277</v>
      </c>
      <c r="G12" s="42" t="s">
        <v>278</v>
      </c>
      <c r="H12" s="42" t="s">
        <v>279</v>
      </c>
      <c r="I12" s="42" t="s">
        <v>101</v>
      </c>
      <c r="J12" s="43" t="s">
        <v>280</v>
      </c>
      <c r="K12" s="41" t="s">
        <v>134</v>
      </c>
      <c r="L12" s="42" t="s">
        <v>77</v>
      </c>
      <c r="M12" s="43" t="s">
        <v>281</v>
      </c>
    </row>
    <row r="13" spans="2:17" ht="40.15" customHeight="1">
      <c r="B13" s="447" t="s">
        <v>282</v>
      </c>
      <c r="C13" s="44" t="s">
        <v>283</v>
      </c>
      <c r="D13" s="45">
        <f>SUMIFS('0704 4度C'!$K:$K,'0704 4度C'!$A:$A,"燴飯線",'0704 4度C'!$B:$B,"平均")</f>
        <v>109.09090909090909</v>
      </c>
      <c r="E13" s="46">
        <f>SUMIFS('0704 4度C'!$K:$K,'0704 4度C'!$A:$A,"沙拉線一線",'0704 4度C'!$B:$B,"平均")</f>
        <v>81.081081081081081</v>
      </c>
      <c r="F13" s="47">
        <f>SUMIFS('0704 4度C'!$K:$K,'0704 4度C'!$A:$A,"沙拉線二線",'0704 4度C'!$B:$B,"平均")</f>
        <v>88.636363636363626</v>
      </c>
      <c r="G13" s="47">
        <f>SUMIFS('0704 4度C'!$K:$K,'0704 4度C'!$A:$A,"沙拉線三線",'0704 4度C'!$B:$B,"平均")</f>
        <v>103.44827586206895</v>
      </c>
      <c r="H13" s="47">
        <f>SUMIFS('0704 4度C'!$K:$K,'0704 4度C'!$A:$A,"自動包裝線",'0704 4度C'!$B:$B,"平均")</f>
        <v>278.84615384615381</v>
      </c>
      <c r="I13" s="47">
        <f>SUMIFS('0704 4度C'!$K:$K,'0704 4度C'!$A:$A,"涼麵一線",'0704 4度C'!$B:$B,"平均")</f>
        <v>93.75</v>
      </c>
      <c r="J13" s="48">
        <f>SUMIFS('0704 4度C'!$K:$K,'0704 4度C'!$A:$A,"三明治四線",'0704 4度C'!$B:$B,"平均")</f>
        <v>189.12903225806448</v>
      </c>
      <c r="K13" s="49">
        <f>SUMIFS('0704 4度C'!$K:$K,'0704 4度C'!$A:$A,"三明治一線",'0704 4度C'!$B:$B,"平均")</f>
        <v>123.07692307692308</v>
      </c>
      <c r="L13" s="50">
        <f>SUMIFS('0704 4度C'!$K:$K,'0704 4度C'!$A:$A,"三明治二線",'0704 4度C'!$B:$B,"平均")</f>
        <v>124.13793103448276</v>
      </c>
      <c r="M13" s="48">
        <f>SUMIFS('0704 4度C'!$K:$K,'0704 4度C'!$A:$A,"自動包裝二線",'0704 4度C'!$B:$B,"平均")</f>
        <v>135.84905660377356</v>
      </c>
    </row>
    <row r="14" spans="2:17" ht="39.6" customHeight="1">
      <c r="B14" s="447"/>
      <c r="C14" s="51" t="s">
        <v>284</v>
      </c>
      <c r="D14" s="52">
        <f>SUMIFS('0704 4度C'!$N:$N,'0704 4度C'!$A:$A,"燴飯線",'0704 4度C'!$B:$B,"平均")</f>
        <v>98.175390987645414</v>
      </c>
      <c r="E14" s="53">
        <f>SUMIFS('0704 4度C'!$N:$N,'0704 4度C'!$A:$A,"沙拉線一線",'0704 4度C'!$B:$B,"平均")</f>
        <v>72.573450041814951</v>
      </c>
      <c r="F14" s="53">
        <f>SUMIFS('0704 4度C'!$N:$N,'0704 4度C'!$A:$A,"沙拉線二線",'0704 4度C'!$B:$B,"平均")</f>
        <v>79.342922615538285</v>
      </c>
      <c r="G14" s="53">
        <f>SUMIFS('0704 4度C'!$N:$N,'0704 4度C'!$A:$A,"沙拉線三線",'0704 4度C'!$B:$B,"平均")</f>
        <v>93.396010062937577</v>
      </c>
      <c r="H14" s="53">
        <f>SUMIFS('0704 4度C'!$N:$N,'0704 4度C'!$A:$A,"自動包裝線",'0704 4度C'!$B:$B,"平均")</f>
        <v>251.23908324977876</v>
      </c>
      <c r="I14" s="53">
        <f>SUMIFS('0704 4度C'!$N:$N,'0704 4度C'!$A:$A,"涼麵一線",'0704 4度C'!$B:$B,"平均")</f>
        <v>84.496159957627142</v>
      </c>
      <c r="J14" s="54">
        <f>SUMIFS('0704 4度C'!$N:$N,'0704 4度C'!$A:$A,"三明治四線",'0704 4度C'!$B:$B,"平均")</f>
        <v>172.12298857123318</v>
      </c>
      <c r="K14" s="55">
        <f>SUMIFS('0704 4度C'!$N:$N,'0704 4度C'!$A:$A,"三明治一線",'0704 4度C'!$B:$B,"平均")</f>
        <v>110.68586785246022</v>
      </c>
      <c r="L14" s="56">
        <f>SUMIFS('0704 4度C'!$N:$N,'0704 4度C'!$A:$A,"三明治二線",'0704 4度C'!$B:$B,"平均")</f>
        <v>110.83564478231682</v>
      </c>
      <c r="M14" s="54">
        <f>SUMIFS('0704 4度C'!$N:$N,'0704 4度C'!$A:$A,"自動包裝二線",'0704 4度C'!$B:$B,"平均")</f>
        <v>122.38555114200597</v>
      </c>
    </row>
    <row r="15" spans="2:17" ht="40.15" customHeight="1">
      <c r="B15" s="447"/>
      <c r="C15" s="57" t="s">
        <v>189</v>
      </c>
      <c r="D15" s="58">
        <f>D14/D13</f>
        <v>0.89994108405341633</v>
      </c>
      <c r="E15" s="59">
        <f t="shared" ref="E15:M15" si="0">E14/E13</f>
        <v>0.89507255051571777</v>
      </c>
      <c r="F15" s="59">
        <f t="shared" si="0"/>
        <v>0.89515092181632949</v>
      </c>
      <c r="G15" s="59">
        <f t="shared" si="0"/>
        <v>0.9028280972750633</v>
      </c>
      <c r="H15" s="59">
        <f>H14/H13</f>
        <v>0.9009953330336895</v>
      </c>
      <c r="I15" s="59">
        <f>I14/I13</f>
        <v>0.90129237288135622</v>
      </c>
      <c r="J15" s="60">
        <f>J14/J13</f>
        <v>0.91008232060519012</v>
      </c>
      <c r="K15" s="58">
        <f>K14/K13</f>
        <v>0.8993226763012393</v>
      </c>
      <c r="L15" s="59">
        <f>L14/L13</f>
        <v>0.89284269407977435</v>
      </c>
      <c r="M15" s="60">
        <f t="shared" si="0"/>
        <v>0.90089364035087738</v>
      </c>
    </row>
    <row r="16" spans="2:17" ht="17.25" customHeight="1">
      <c r="B16" s="430" t="s">
        <v>285</v>
      </c>
      <c r="C16" s="97" t="s">
        <v>103</v>
      </c>
      <c r="D16" s="61">
        <f>VLOOKUP("燴飯線",'0704 4度C'!$A:$T,19,0)</f>
        <v>0.70833333333333337</v>
      </c>
      <c r="E16" s="24">
        <f>VLOOKUP("沙拉線一線",'0704 4度C'!$A:$T,19,0)</f>
        <v>0.12986111111111112</v>
      </c>
      <c r="F16" s="24">
        <f>VLOOKUP("沙拉線二線",'0704 4度C'!$A:$T,19,0)</f>
        <v>0.16666666666666666</v>
      </c>
      <c r="G16" s="24">
        <f>VLOOKUP("沙拉線三線",'0704 4度C'!$A:$T,19,0)</f>
        <v>0.29166666666666669</v>
      </c>
      <c r="H16" s="24">
        <f>VLOOKUP("自動包裝線",'0704 4度C'!$A:$T,19,0)</f>
        <v>0.16666666666666666</v>
      </c>
      <c r="I16" s="24">
        <f>VLOOKUP("涼麵一線",'0704 4度C'!$A:$T,19,0)</f>
        <v>0.70833333333333337</v>
      </c>
      <c r="J16" s="62">
        <f>VLOOKUP("三明治四線",'0704 4度C'!$A:$T,19,0)</f>
        <v>0.20833333333333334</v>
      </c>
      <c r="K16" s="63">
        <f>VLOOKUP("三明治一線",'0704 4度C'!$A:$T,19,0)</f>
        <v>0.125</v>
      </c>
      <c r="L16" s="64">
        <f>VLOOKUP("三明治二線",'0704 4度C'!$A:$T,19,0)</f>
        <v>0.125</v>
      </c>
      <c r="M16" s="65">
        <f>VLOOKUP("自動包裝二線",'0704 4度C'!$A:$T,19,0)</f>
        <v>0.16666666666666666</v>
      </c>
    </row>
    <row r="17" spans="2:13" ht="17.25" customHeight="1">
      <c r="B17" s="431"/>
      <c r="C17" s="97" t="s">
        <v>137</v>
      </c>
      <c r="D17" s="63">
        <f>LOOKUP(2,1/(('0704 4度C'!$A:$A="燴飯線")*('0704 4度C'!$T:$T&lt;&gt;"")),'0704 4度C'!$T:$T)</f>
        <v>0.78472222222222232</v>
      </c>
      <c r="E17" s="24">
        <f>LOOKUP(2,1/(('0704 4度C'!$A:$A="沙拉線一線")*('0704 4度C'!$T:$T&lt;&gt;"")),'0704 4度C'!$T:$T)</f>
        <v>0.58819444444444435</v>
      </c>
      <c r="F17" s="24">
        <f>LOOKUP(2,1/(('0704 4度C'!$A:$A="沙拉線二線")*('0704 4度C'!$T:$T&lt;&gt;"")),'0704 4度C'!$T:$T)</f>
        <v>0.8222222222222223</v>
      </c>
      <c r="G17" s="24">
        <f>LOOKUP(2,1/(('0704 4度C'!$A:$A="沙拉線三線")*('0704 4度C'!$T:$T&lt;&gt;"")),'0704 4度C'!$T:$T)</f>
        <v>0.8125</v>
      </c>
      <c r="H17" s="24">
        <f>LOOKUP(2,1/(('0704 4度C'!$A:$A="自動包裝線")*('0704 4度C'!$T:$T&lt;&gt;"")),'0704 4度C'!$T:$T)</f>
        <v>0.60763888888888862</v>
      </c>
      <c r="I17" s="24">
        <f>LOOKUP(2,1/(('0704 4度C'!$A:$A="涼麵一線")*('0704 4度C'!$T:$T&lt;&gt;"")),'0704 4度C'!$T:$T)</f>
        <v>0.80972222222222223</v>
      </c>
      <c r="J17" s="62">
        <f>LOOKUP(2,1/(('0704 4度C'!$A:$A="三明治四線")*('0704 4度C'!$T:$T&lt;&gt;"")),'0704 4度C'!$T:$T)</f>
        <v>0.45624999999999999</v>
      </c>
      <c r="K17" s="61">
        <f>LOOKUP(2,1/(('0704 4度C'!$A:$A="三明治一線")*('0704 4度C'!$T:$T&lt;&gt;"")),'0704 4度C'!$T:$T)</f>
        <v>0.60694444444444451</v>
      </c>
      <c r="L17" s="24">
        <f>LOOKUP(2,1/(('0704 4度C'!$A:$A="三明治二線")*('0704 4度C'!$T:$T&lt;&gt;"")),'0704 4度C'!$T:$T)</f>
        <v>0.59513888888888877</v>
      </c>
      <c r="M17" s="62">
        <f>LOOKUP(2,1/(('0704 4度C'!$A:$A="自動包裝二線")*('0704 4度C'!$T:$T&lt;&gt;"")),'0704 4度C'!$T:$T)</f>
        <v>0.59652777777777777</v>
      </c>
    </row>
    <row r="18" spans="2:13" ht="17.25" customHeight="1">
      <c r="B18" s="431" t="s">
        <v>193</v>
      </c>
      <c r="C18" s="446"/>
      <c r="D18" s="66">
        <f>SUMIFS('0704 4度C'!$I:$I,'0704 4度C'!$A:$A,"燴飯線",'0704 4度C'!$B:$B,"平均")</f>
        <v>16.5</v>
      </c>
      <c r="E18" s="67">
        <f>SUMIFS('0704 4度C'!$I:$I,'0704 4度C'!$A:$A,"沙拉線一線",'0704 4度C'!$B:$B,"平均")</f>
        <v>18.5</v>
      </c>
      <c r="F18" s="67">
        <f>SUMIFS('0704 4度C'!$I:$I,'0704 4度C'!$A:$A,"沙拉線二線",'0704 4度C'!$B:$B,"平均")</f>
        <v>17.600000000000001</v>
      </c>
      <c r="G18" s="67">
        <f>SUMIFS('0704 4度C'!$I:$I,'0704 4度C'!$A:$A,"沙拉線三線",'0704 4度C'!$B:$B,"平均")</f>
        <v>16.571428571428573</v>
      </c>
      <c r="H18" s="67">
        <f>SUMIFS('0704 4度C'!$I:$I,'0704 4度C'!$A:$A,"自動包裝線",'0704 4度C'!$B:$B,"平均")</f>
        <v>10.4</v>
      </c>
      <c r="I18" s="67">
        <f>SUMIFS('0704 4度C'!$I:$I,'0704 4度C'!$A:$A,"涼麵一線",'0704 4度C'!$B:$B,"平均")</f>
        <v>16</v>
      </c>
      <c r="J18" s="68">
        <f>SUMIFS('0704 4度C'!$I:$I,'0704 4度C'!$A:$A,"三明治四線",'0704 4度C'!$B:$B,"平均")</f>
        <v>12.4</v>
      </c>
      <c r="K18" s="66">
        <f>SUMIFS('0704 4度C'!$I:$I,'0704 4度C'!$A:$A,"三明治一線",'0704 4度C'!$B:$B,"平均")</f>
        <v>19.5</v>
      </c>
      <c r="L18" s="67">
        <f>SUMIFS('0704 4度C'!$I:$I,'0704 4度C'!$A:$A,"三明治二線",'0704 4度C'!$B:$B,"平均")</f>
        <v>19.333333333333332</v>
      </c>
      <c r="M18" s="68">
        <f>SUMIFS('0704 4度C'!$I:$I,'0704 4度C'!$A:$A,"自動包裝二線",'0704 4度C'!$B:$B,"平均")</f>
        <v>17.666666666666668</v>
      </c>
    </row>
    <row r="19" spans="2:13" ht="17.25" customHeight="1">
      <c r="B19" s="448" t="s">
        <v>286</v>
      </c>
      <c r="C19" s="449"/>
      <c r="D19" s="69" t="s">
        <v>50</v>
      </c>
      <c r="E19" s="70" t="s">
        <v>51</v>
      </c>
      <c r="F19" s="70" t="s">
        <v>287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288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289</v>
      </c>
      <c r="C21" s="451"/>
      <c r="D21" s="72"/>
      <c r="E21" s="73" t="s">
        <v>141</v>
      </c>
      <c r="F21" s="452" t="s">
        <v>142</v>
      </c>
      <c r="G21" s="453"/>
      <c r="H21" s="73" t="s">
        <v>290</v>
      </c>
      <c r="I21" s="73" t="s">
        <v>291</v>
      </c>
      <c r="J21" s="74" t="s">
        <v>292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45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pageSetUpPr fitToPage="1"/>
  </sheetPr>
  <dimension ref="A1:AC70"/>
  <sheetViews>
    <sheetView zoomScale="80" zoomScaleNormal="80" workbookViewId="0">
      <pane ySplit="4" topLeftCell="A5" activePane="bottomLeft" state="frozen"/>
      <selection activeCell="C5" sqref="C5:D5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293</v>
      </c>
      <c r="B1" s="1"/>
      <c r="C1" s="2" t="s">
        <v>294</v>
      </c>
      <c r="D1" s="3">
        <f>SUM(F5:F69)</f>
        <v>132225</v>
      </c>
      <c r="E1" s="100" t="s">
        <v>295</v>
      </c>
      <c r="F1" s="1">
        <f>SUM(G5:G69)</f>
        <v>4349771.07</v>
      </c>
      <c r="G1" s="1" t="s">
        <v>296</v>
      </c>
      <c r="H1" s="4">
        <f>L7+L12+L53+L56+L18+L62+L35+L42+L26+L69</f>
        <v>164.47142857142859</v>
      </c>
      <c r="I1" s="454" t="s">
        <v>297</v>
      </c>
      <c r="J1" s="454"/>
      <c r="K1" s="454"/>
      <c r="L1" s="454" t="s">
        <v>298</v>
      </c>
      <c r="M1" s="454"/>
      <c r="N1" s="454"/>
      <c r="O1" s="454" t="s">
        <v>299</v>
      </c>
      <c r="P1" s="454"/>
      <c r="Q1" s="454"/>
      <c r="R1" s="454"/>
      <c r="S1" s="454" t="s">
        <v>300</v>
      </c>
      <c r="T1" s="454"/>
      <c r="U1" s="454"/>
      <c r="V1" s="454"/>
      <c r="W1" s="454"/>
      <c r="X1" s="454"/>
      <c r="Y1" s="454" t="s">
        <v>301</v>
      </c>
      <c r="Z1" s="454"/>
      <c r="AA1" s="454" t="s">
        <v>302</v>
      </c>
      <c r="AB1" s="455"/>
      <c r="AC1" s="455"/>
    </row>
    <row r="2" spans="1:29" ht="26.25" customHeight="1">
      <c r="A2" s="22">
        <v>45842</v>
      </c>
      <c r="B2" s="23" t="s">
        <v>303</v>
      </c>
      <c r="C2" s="2" t="s">
        <v>304</v>
      </c>
      <c r="D2" s="6">
        <f>AVERAGE(N7,N12,N53,N56,N18,N62,N26,N35,N42,N69)</f>
        <v>119.52530692633582</v>
      </c>
      <c r="E2" s="7" t="s">
        <v>0</v>
      </c>
      <c r="F2" s="8">
        <f>F1/D1</f>
        <v>32.896737152580833</v>
      </c>
      <c r="G2" s="1" t="s">
        <v>305</v>
      </c>
      <c r="H2" s="106">
        <f>COUNT(H5:H69)</f>
        <v>7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306</v>
      </c>
      <c r="B3" s="456" t="s">
        <v>307</v>
      </c>
      <c r="C3" s="456" t="s">
        <v>308</v>
      </c>
      <c r="D3" s="456"/>
      <c r="E3" s="457" t="s">
        <v>309</v>
      </c>
      <c r="F3" s="456" t="s">
        <v>310</v>
      </c>
      <c r="G3" s="457" t="s">
        <v>311</v>
      </c>
      <c r="H3" s="463" t="s">
        <v>312</v>
      </c>
      <c r="I3" s="464" t="s">
        <v>313</v>
      </c>
      <c r="J3" s="465" t="s">
        <v>314</v>
      </c>
      <c r="K3" s="459" t="s">
        <v>315</v>
      </c>
      <c r="L3" s="464" t="s">
        <v>313</v>
      </c>
      <c r="M3" s="465" t="s">
        <v>314</v>
      </c>
      <c r="N3" s="459" t="s">
        <v>315</v>
      </c>
      <c r="O3" s="464" t="s">
        <v>313</v>
      </c>
      <c r="P3" s="459" t="s">
        <v>315</v>
      </c>
      <c r="Q3" s="460" t="s">
        <v>316</v>
      </c>
      <c r="R3" s="461" t="s">
        <v>317</v>
      </c>
      <c r="S3" s="462" t="s">
        <v>1</v>
      </c>
      <c r="T3" s="462"/>
      <c r="U3" s="463" t="s">
        <v>2</v>
      </c>
      <c r="V3" s="463" t="s">
        <v>318</v>
      </c>
      <c r="W3" s="456" t="s">
        <v>319</v>
      </c>
      <c r="X3" s="456"/>
      <c r="Y3" s="475" t="s">
        <v>320</v>
      </c>
      <c r="Z3" s="476"/>
      <c r="AA3" s="465" t="s">
        <v>314</v>
      </c>
      <c r="AB3" s="460" t="s">
        <v>316</v>
      </c>
      <c r="AC3" s="461" t="s">
        <v>317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05" t="s">
        <v>3</v>
      </c>
      <c r="T4" s="105" t="s">
        <v>4</v>
      </c>
      <c r="U4" s="463"/>
      <c r="V4" s="463"/>
      <c r="W4" s="100" t="s">
        <v>321</v>
      </c>
      <c r="X4" s="100" t="s">
        <v>322</v>
      </c>
      <c r="Y4" s="476"/>
      <c r="Z4" s="476"/>
      <c r="AA4" s="465"/>
      <c r="AB4" s="460"/>
      <c r="AC4" s="461"/>
    </row>
    <row r="5" spans="1:29">
      <c r="A5" s="471" t="s">
        <v>323</v>
      </c>
      <c r="B5" s="26" t="s">
        <v>13</v>
      </c>
      <c r="C5" s="472" t="s">
        <v>58</v>
      </c>
      <c r="D5" s="472"/>
      <c r="E5" s="26">
        <v>46.93</v>
      </c>
      <c r="F5" s="105">
        <v>1027</v>
      </c>
      <c r="G5" s="100">
        <f>E5*F5</f>
        <v>48197.11</v>
      </c>
      <c r="H5" s="76" t="s">
        <v>57</v>
      </c>
      <c r="I5" s="103">
        <v>17</v>
      </c>
      <c r="J5" s="18">
        <v>1800</v>
      </c>
      <c r="K5" s="9">
        <f>J5/I5</f>
        <v>105.88235294117646</v>
      </c>
      <c r="L5" s="103">
        <v>17</v>
      </c>
      <c r="M5" s="10">
        <f>F5/V5*60</f>
        <v>1621.5789473684199</v>
      </c>
      <c r="N5" s="9">
        <f>M5/L5</f>
        <v>95.386996904024699</v>
      </c>
      <c r="O5" s="11">
        <f t="shared" ref="O5:O6" si="0">L5-I5</f>
        <v>0</v>
      </c>
      <c r="P5" s="12">
        <f t="shared" ref="P5:P6" si="1">N5-K5</f>
        <v>-10.495356037151765</v>
      </c>
      <c r="Q5" s="101">
        <f>N5/K5</f>
        <v>0.9008771929824555</v>
      </c>
      <c r="R5" s="470">
        <f>Q7</f>
        <v>0.89994108405341633</v>
      </c>
      <c r="S5" s="24">
        <v>0.70833333333333337</v>
      </c>
      <c r="T5" s="24">
        <v>0.73472222222222228</v>
      </c>
      <c r="U5" s="100"/>
      <c r="V5" s="104">
        <f>(T5-S5)*24*60</f>
        <v>38.000000000000028</v>
      </c>
      <c r="W5" s="13"/>
      <c r="X5" s="13"/>
      <c r="Y5" s="456"/>
      <c r="Z5" s="456"/>
      <c r="AA5" s="11">
        <f t="shared" ref="AA5:AA68" si="2">M5-J5</f>
        <v>-178.4210526315801</v>
      </c>
      <c r="AB5" s="101">
        <f t="shared" ref="AB5:AB6" si="3">M5/J5</f>
        <v>0.9008771929824555</v>
      </c>
      <c r="AC5" s="470">
        <f>AB7</f>
        <v>0.89994108405341622</v>
      </c>
    </row>
    <row r="6" spans="1:29">
      <c r="A6" s="464" t="s">
        <v>152</v>
      </c>
      <c r="B6" s="26" t="s">
        <v>13</v>
      </c>
      <c r="C6" s="472" t="s">
        <v>60</v>
      </c>
      <c r="D6" s="472"/>
      <c r="E6" s="26">
        <v>50.49</v>
      </c>
      <c r="F6" s="105">
        <v>1807</v>
      </c>
      <c r="G6" s="100">
        <f t="shared" ref="G6" si="4">E6*F6</f>
        <v>91235.430000000008</v>
      </c>
      <c r="H6" s="76" t="s">
        <v>57</v>
      </c>
      <c r="I6" s="103">
        <v>16</v>
      </c>
      <c r="J6" s="18">
        <v>1800</v>
      </c>
      <c r="K6" s="9">
        <f t="shared" ref="K6" si="5">J6/I6</f>
        <v>112.5</v>
      </c>
      <c r="L6" s="103">
        <v>16</v>
      </c>
      <c r="M6" s="10">
        <f>F6/V6*60</f>
        <v>1618.2089552238785</v>
      </c>
      <c r="N6" s="9">
        <f t="shared" ref="N6" si="6">M6/L6</f>
        <v>101.13805970149241</v>
      </c>
      <c r="O6" s="11">
        <f t="shared" si="0"/>
        <v>0</v>
      </c>
      <c r="P6" s="12">
        <f t="shared" si="1"/>
        <v>-11.361940298507591</v>
      </c>
      <c r="Q6" s="101">
        <f t="shared" ref="Q6" si="7">N6/K6</f>
        <v>0.89900497512437694</v>
      </c>
      <c r="R6" s="470"/>
      <c r="S6" s="24">
        <v>0.73819444444444449</v>
      </c>
      <c r="T6" s="24">
        <v>0.78472222222222232</v>
      </c>
      <c r="U6" s="100">
        <f>(S6-T5)*24*60</f>
        <v>4.9999999999999822</v>
      </c>
      <c r="V6" s="104">
        <f>(T6-S6)*24*60</f>
        <v>67.000000000000085</v>
      </c>
      <c r="W6" s="14"/>
      <c r="X6" s="14"/>
      <c r="Y6" s="456"/>
      <c r="Z6" s="456"/>
      <c r="AA6" s="11">
        <f t="shared" si="2"/>
        <v>-181.79104477612145</v>
      </c>
      <c r="AB6" s="101">
        <f t="shared" si="3"/>
        <v>0.89900497512437694</v>
      </c>
      <c r="AC6" s="470"/>
    </row>
    <row r="7" spans="1:29">
      <c r="A7" s="464" t="s">
        <v>324</v>
      </c>
      <c r="B7" s="26" t="s">
        <v>81</v>
      </c>
      <c r="C7" s="466"/>
      <c r="D7" s="466"/>
      <c r="E7" s="99"/>
      <c r="F7" s="16"/>
      <c r="G7" s="9"/>
      <c r="H7" s="105"/>
      <c r="I7" s="17">
        <v>16.5</v>
      </c>
      <c r="J7" s="18">
        <v>1800</v>
      </c>
      <c r="K7" s="9">
        <f>J7/I7</f>
        <v>109.09090909090909</v>
      </c>
      <c r="L7" s="17">
        <v>16.5</v>
      </c>
      <c r="M7" s="10">
        <f>AVERAGE(M5:M6)</f>
        <v>1619.8939512961492</v>
      </c>
      <c r="N7" s="9">
        <f>M7/L7</f>
        <v>98.175390987645414</v>
      </c>
      <c r="O7" s="11">
        <f>L7-I7</f>
        <v>0</v>
      </c>
      <c r="P7" s="12">
        <f>N7-K7</f>
        <v>-10.915518103263679</v>
      </c>
      <c r="Q7" s="101">
        <f>N7/K7</f>
        <v>0.89994108405341633</v>
      </c>
      <c r="R7" s="470"/>
      <c r="S7" s="24"/>
      <c r="T7" s="24"/>
      <c r="U7" s="100"/>
      <c r="V7" s="104"/>
      <c r="W7" s="9"/>
      <c r="X7" s="9"/>
      <c r="Y7" s="456"/>
      <c r="Z7" s="456"/>
      <c r="AA7" s="11">
        <f t="shared" si="2"/>
        <v>-180.10604870385077</v>
      </c>
      <c r="AB7" s="101">
        <f>M7/J7</f>
        <v>0.89994108405341622</v>
      </c>
      <c r="AC7" s="470"/>
    </row>
    <row r="8" spans="1:29" ht="15.75" customHeight="1">
      <c r="A8" s="467" t="s">
        <v>123</v>
      </c>
      <c r="B8" s="26" t="s">
        <v>15</v>
      </c>
      <c r="C8" s="468" t="s">
        <v>16</v>
      </c>
      <c r="D8" s="469"/>
      <c r="E8" s="26">
        <v>39.619999999999997</v>
      </c>
      <c r="F8" s="105">
        <v>4019</v>
      </c>
      <c r="G8" s="100">
        <f t="shared" ref="G8:G11" si="8">E8*F8</f>
        <v>159232.78</v>
      </c>
      <c r="H8" s="76" t="s">
        <v>57</v>
      </c>
      <c r="I8" s="103">
        <v>18</v>
      </c>
      <c r="J8" s="18">
        <v>1500</v>
      </c>
      <c r="K8" s="9">
        <f t="shared" ref="K8:K11" si="9">J8/I8</f>
        <v>83.333333333333329</v>
      </c>
      <c r="L8" s="103">
        <v>18</v>
      </c>
      <c r="M8" s="10">
        <f t="shared" ref="M8:M11" si="10">F8/V8*60</f>
        <v>1339.6666666666672</v>
      </c>
      <c r="N8" s="9">
        <f t="shared" ref="N8:N11" si="11">M8/L8</f>
        <v>74.425925925925952</v>
      </c>
      <c r="O8" s="11">
        <f t="shared" ref="O8:O11" si="12">L8-I8</f>
        <v>0</v>
      </c>
      <c r="P8" s="12">
        <f>N8-K8</f>
        <v>-8.9074074074073764</v>
      </c>
      <c r="Q8" s="101">
        <f>N8/K8</f>
        <v>0.89311111111111152</v>
      </c>
      <c r="R8" s="470">
        <f>Q12</f>
        <v>0.89507255051571777</v>
      </c>
      <c r="S8" s="24">
        <v>0.12986111111111112</v>
      </c>
      <c r="T8" s="24">
        <v>0.25486111111111109</v>
      </c>
      <c r="U8" s="100"/>
      <c r="V8" s="104">
        <f t="shared" ref="V8:V11" si="13">(T8-S8)*24*60</f>
        <v>179.99999999999994</v>
      </c>
      <c r="W8" s="9"/>
      <c r="X8" s="9"/>
      <c r="Y8" s="456"/>
      <c r="Z8" s="456"/>
      <c r="AA8" s="11">
        <f t="shared" si="2"/>
        <v>-160.3333333333328</v>
      </c>
      <c r="AB8" s="101">
        <f>M8/J8</f>
        <v>0.89311111111111141</v>
      </c>
      <c r="AC8" s="470">
        <f>AB12</f>
        <v>0.89507255051571777</v>
      </c>
    </row>
    <row r="9" spans="1:29" ht="15.75" customHeight="1">
      <c r="A9" s="467" t="s">
        <v>5</v>
      </c>
      <c r="B9" s="26" t="s">
        <v>15</v>
      </c>
      <c r="C9" s="468" t="s">
        <v>17</v>
      </c>
      <c r="D9" s="469"/>
      <c r="E9" s="26">
        <v>39.799999999999997</v>
      </c>
      <c r="F9" s="105">
        <v>3700</v>
      </c>
      <c r="G9" s="100">
        <f t="shared" si="8"/>
        <v>147260</v>
      </c>
      <c r="H9" s="76">
        <v>2</v>
      </c>
      <c r="I9" s="103">
        <v>19</v>
      </c>
      <c r="J9" s="18">
        <v>1500</v>
      </c>
      <c r="K9" s="9">
        <f t="shared" si="9"/>
        <v>78.94736842105263</v>
      </c>
      <c r="L9" s="103">
        <v>19</v>
      </c>
      <c r="M9" s="10">
        <f t="shared" si="10"/>
        <v>1337.3493975903616</v>
      </c>
      <c r="N9" s="9">
        <f t="shared" si="11"/>
        <v>70.386810399492717</v>
      </c>
      <c r="O9" s="11">
        <f t="shared" si="12"/>
        <v>0</v>
      </c>
      <c r="P9" s="12">
        <f t="shared" ref="P9:P11" si="14">N9-K9</f>
        <v>-8.5605580215599133</v>
      </c>
      <c r="Q9" s="101">
        <f t="shared" ref="Q9:Q11" si="15">N9/K9</f>
        <v>0.89156626506024106</v>
      </c>
      <c r="R9" s="470"/>
      <c r="S9" s="24">
        <v>0.27638888888888885</v>
      </c>
      <c r="T9" s="24">
        <v>0.39166666666666661</v>
      </c>
      <c r="U9" s="100">
        <f>(S9-T8)*24*60</f>
        <v>30.999999999999972</v>
      </c>
      <c r="V9" s="104">
        <f t="shared" si="13"/>
        <v>165.99999999999997</v>
      </c>
      <c r="W9" s="14"/>
      <c r="X9" s="14"/>
      <c r="Y9" s="456"/>
      <c r="Z9" s="456"/>
      <c r="AA9" s="11">
        <f t="shared" si="2"/>
        <v>-162.6506024096384</v>
      </c>
      <c r="AB9" s="101">
        <f t="shared" ref="AB9:AB26" si="16">M9/J9</f>
        <v>0.89156626506024106</v>
      </c>
      <c r="AC9" s="470"/>
    </row>
    <row r="10" spans="1:29" ht="15.75" customHeight="1">
      <c r="A10" s="467" t="s">
        <v>5</v>
      </c>
      <c r="B10" s="26" t="s">
        <v>15</v>
      </c>
      <c r="C10" s="468" t="s">
        <v>54</v>
      </c>
      <c r="D10" s="469"/>
      <c r="E10" s="26">
        <v>39.29</v>
      </c>
      <c r="F10" s="105">
        <v>3162</v>
      </c>
      <c r="G10" s="100">
        <f t="shared" si="8"/>
        <v>124234.98</v>
      </c>
      <c r="H10" s="76" t="s">
        <v>57</v>
      </c>
      <c r="I10" s="103">
        <v>18</v>
      </c>
      <c r="J10" s="18">
        <v>1500</v>
      </c>
      <c r="K10" s="9">
        <f t="shared" si="9"/>
        <v>83.333333333333329</v>
      </c>
      <c r="L10" s="103">
        <v>18</v>
      </c>
      <c r="M10" s="10">
        <f t="shared" si="10"/>
        <v>1345.5319148936173</v>
      </c>
      <c r="N10" s="9">
        <f t="shared" si="11"/>
        <v>74.751773049645408</v>
      </c>
      <c r="O10" s="11">
        <f t="shared" si="12"/>
        <v>0</v>
      </c>
      <c r="P10" s="12">
        <f t="shared" si="14"/>
        <v>-8.5815602836879208</v>
      </c>
      <c r="Q10" s="101">
        <f t="shared" si="15"/>
        <v>0.89702127659574493</v>
      </c>
      <c r="R10" s="470"/>
      <c r="S10" s="24">
        <v>0.40069444444444435</v>
      </c>
      <c r="T10" s="24">
        <v>0.49861111111111101</v>
      </c>
      <c r="U10" s="100">
        <f t="shared" ref="U10:U11" si="17">(S10-T9)*24*60</f>
        <v>12.999999999999954</v>
      </c>
      <c r="V10" s="104">
        <f t="shared" si="13"/>
        <v>140.99999999999997</v>
      </c>
      <c r="W10" s="14"/>
      <c r="X10" s="14"/>
      <c r="Y10" s="456"/>
      <c r="Z10" s="456"/>
      <c r="AA10" s="11">
        <f t="shared" si="2"/>
        <v>-154.46808510638266</v>
      </c>
      <c r="AB10" s="101">
        <f t="shared" si="16"/>
        <v>0.89702127659574493</v>
      </c>
      <c r="AC10" s="470"/>
    </row>
    <row r="11" spans="1:29" ht="15.75" customHeight="1">
      <c r="A11" s="467" t="s">
        <v>5</v>
      </c>
      <c r="B11" s="26" t="s">
        <v>15</v>
      </c>
      <c r="C11" s="468" t="s">
        <v>17</v>
      </c>
      <c r="D11" s="469"/>
      <c r="E11" s="26">
        <v>39.799999999999997</v>
      </c>
      <c r="F11" s="105">
        <v>1595</v>
      </c>
      <c r="G11" s="100">
        <f t="shared" si="8"/>
        <v>63480.999999999993</v>
      </c>
      <c r="H11" s="76" t="s">
        <v>57</v>
      </c>
      <c r="I11" s="103">
        <v>19</v>
      </c>
      <c r="J11" s="18">
        <v>1500</v>
      </c>
      <c r="K11" s="9">
        <f t="shared" si="9"/>
        <v>78.94736842105263</v>
      </c>
      <c r="L11" s="103">
        <v>19</v>
      </c>
      <c r="M11" s="10">
        <f t="shared" si="10"/>
        <v>1347.8873239436605</v>
      </c>
      <c r="N11" s="9">
        <f t="shared" si="11"/>
        <v>70.941438102297923</v>
      </c>
      <c r="O11" s="11">
        <f t="shared" si="12"/>
        <v>0</v>
      </c>
      <c r="P11" s="12">
        <f t="shared" si="14"/>
        <v>-8.0059303187547073</v>
      </c>
      <c r="Q11" s="101">
        <f t="shared" si="15"/>
        <v>0.89859154929577367</v>
      </c>
      <c r="R11" s="470"/>
      <c r="S11" s="24">
        <v>0.53888888888888875</v>
      </c>
      <c r="T11" s="24">
        <v>0.58819444444444435</v>
      </c>
      <c r="U11" s="100">
        <f t="shared" si="17"/>
        <v>57.999999999999957</v>
      </c>
      <c r="V11" s="104">
        <f t="shared" si="13"/>
        <v>71.000000000000071</v>
      </c>
      <c r="W11" s="14"/>
      <c r="X11" s="14"/>
      <c r="Y11" s="456"/>
      <c r="Z11" s="456"/>
      <c r="AA11" s="11">
        <f t="shared" si="2"/>
        <v>-152.11267605633952</v>
      </c>
      <c r="AB11" s="101">
        <f t="shared" si="16"/>
        <v>0.89859154929577367</v>
      </c>
      <c r="AC11" s="470"/>
    </row>
    <row r="12" spans="1:29" ht="16.5" customHeight="1">
      <c r="A12" s="467" t="s">
        <v>5</v>
      </c>
      <c r="B12" s="26" t="s">
        <v>325</v>
      </c>
      <c r="C12" s="466"/>
      <c r="D12" s="466"/>
      <c r="E12" s="99"/>
      <c r="F12" s="18"/>
      <c r="G12" s="10"/>
      <c r="H12" s="105"/>
      <c r="I12" s="17">
        <v>18.5</v>
      </c>
      <c r="J12" s="18">
        <v>1500</v>
      </c>
      <c r="K12" s="9">
        <f>J12/I12</f>
        <v>81.081081081081081</v>
      </c>
      <c r="L12" s="17">
        <v>18.5</v>
      </c>
      <c r="M12" s="10">
        <f>AVERAGE(M8:M11)</f>
        <v>1342.6088257735767</v>
      </c>
      <c r="N12" s="9">
        <f>M12/L12</f>
        <v>72.573450041814951</v>
      </c>
      <c r="O12" s="11">
        <f>L12-I12</f>
        <v>0</v>
      </c>
      <c r="P12" s="12">
        <f>N12-K12</f>
        <v>-8.5076310392661298</v>
      </c>
      <c r="Q12" s="101">
        <f>N12/K12</f>
        <v>0.89507255051571777</v>
      </c>
      <c r="R12" s="470"/>
      <c r="S12" s="24"/>
      <c r="T12" s="24"/>
      <c r="U12" s="9"/>
      <c r="V12" s="104"/>
      <c r="W12" s="9"/>
      <c r="X12" s="9"/>
      <c r="Y12" s="456"/>
      <c r="Z12" s="456"/>
      <c r="AA12" s="11">
        <f t="shared" si="2"/>
        <v>-157.39117422642335</v>
      </c>
      <c r="AB12" s="101">
        <f t="shared" si="16"/>
        <v>0.89507255051571777</v>
      </c>
      <c r="AC12" s="470"/>
    </row>
    <row r="13" spans="1:29" ht="16.5" customHeight="1">
      <c r="A13" s="480" t="s">
        <v>124</v>
      </c>
      <c r="B13" s="105" t="s">
        <v>15</v>
      </c>
      <c r="C13" s="477" t="s">
        <v>20</v>
      </c>
      <c r="D13" s="477"/>
      <c r="E13" s="26">
        <v>46</v>
      </c>
      <c r="F13" s="105">
        <v>2765</v>
      </c>
      <c r="G13" s="100">
        <f t="shared" ref="G13:G17" si="18">E13*F13</f>
        <v>127190</v>
      </c>
      <c r="H13" s="76" t="s">
        <v>57</v>
      </c>
      <c r="I13" s="103">
        <v>17</v>
      </c>
      <c r="J13" s="18">
        <v>1500</v>
      </c>
      <c r="K13" s="9">
        <f>J13/I13</f>
        <v>88.235294117647058</v>
      </c>
      <c r="L13" s="103">
        <v>17</v>
      </c>
      <c r="M13" s="10">
        <f>F13/V13*60</f>
        <v>1337.9032258064517</v>
      </c>
      <c r="N13" s="9">
        <f t="shared" ref="N13:N25" si="19">M13/L13</f>
        <v>78.700189753320686</v>
      </c>
      <c r="O13" s="11">
        <f t="shared" ref="O13" si="20">L13-I13</f>
        <v>0</v>
      </c>
      <c r="P13" s="12">
        <f t="shared" ref="P13" si="21">N13-K13</f>
        <v>-9.5351043643263722</v>
      </c>
      <c r="Q13" s="101">
        <f>N13/K13</f>
        <v>0.89193548387096777</v>
      </c>
      <c r="R13" s="470">
        <f>Q18</f>
        <v>0.89515092181632949</v>
      </c>
      <c r="S13" s="24">
        <v>0.16666666666666666</v>
      </c>
      <c r="T13" s="24">
        <v>0.25277777777777777</v>
      </c>
      <c r="U13" s="100"/>
      <c r="V13" s="104">
        <f>(T13-S13)*24*60</f>
        <v>123.99999999999999</v>
      </c>
      <c r="W13" s="15"/>
      <c r="X13" s="15"/>
      <c r="Y13" s="456"/>
      <c r="Z13" s="456"/>
      <c r="AA13" s="11">
        <f t="shared" si="2"/>
        <v>-162.0967741935483</v>
      </c>
      <c r="AB13" s="101">
        <f t="shared" si="16"/>
        <v>0.89193548387096777</v>
      </c>
      <c r="AC13" s="470">
        <f>AB18</f>
        <v>0.89515092181632949</v>
      </c>
    </row>
    <row r="14" spans="1:29" ht="16.5" customHeight="1">
      <c r="A14" s="481" t="s">
        <v>6</v>
      </c>
      <c r="B14" s="105" t="s">
        <v>15</v>
      </c>
      <c r="C14" s="477" t="s">
        <v>75</v>
      </c>
      <c r="D14" s="477"/>
      <c r="E14" s="26">
        <v>46</v>
      </c>
      <c r="F14" s="105">
        <v>3602</v>
      </c>
      <c r="G14" s="100">
        <f t="shared" si="18"/>
        <v>165692</v>
      </c>
      <c r="H14" s="76" t="s">
        <v>57</v>
      </c>
      <c r="I14" s="103">
        <v>20</v>
      </c>
      <c r="J14" s="18">
        <v>1500</v>
      </c>
      <c r="K14" s="9">
        <f>J14/I14</f>
        <v>75</v>
      </c>
      <c r="L14" s="103">
        <v>20</v>
      </c>
      <c r="M14" s="10">
        <f>F14/V14*60</f>
        <v>1342.3602484472051</v>
      </c>
      <c r="N14" s="9">
        <f t="shared" si="19"/>
        <v>67.118012422360252</v>
      </c>
      <c r="O14" s="11">
        <f>L14-I14</f>
        <v>0</v>
      </c>
      <c r="P14" s="12">
        <f>N14-K14</f>
        <v>-7.8819875776397481</v>
      </c>
      <c r="Q14" s="101">
        <f>N14/K14</f>
        <v>0.89490683229813672</v>
      </c>
      <c r="R14" s="470"/>
      <c r="S14" s="24">
        <v>0.27152777777777776</v>
      </c>
      <c r="T14" s="24">
        <v>0.3833333333333333</v>
      </c>
      <c r="U14" s="100">
        <f>(S14-T13)*24*60</f>
        <v>26.999999999999986</v>
      </c>
      <c r="V14" s="104">
        <f>(T14-S14)*24*60</f>
        <v>161</v>
      </c>
      <c r="W14" s="14"/>
      <c r="X14" s="14"/>
      <c r="Y14" s="456"/>
      <c r="Z14" s="456"/>
      <c r="AA14" s="11">
        <f t="shared" si="2"/>
        <v>-157.63975155279491</v>
      </c>
      <c r="AB14" s="101">
        <f t="shared" si="16"/>
        <v>0.89490683229813672</v>
      </c>
      <c r="AC14" s="470"/>
    </row>
    <row r="15" spans="1:29" ht="16.5" customHeight="1">
      <c r="A15" s="481" t="s">
        <v>6</v>
      </c>
      <c r="B15" s="105" t="s">
        <v>15</v>
      </c>
      <c r="C15" s="477" t="s">
        <v>68</v>
      </c>
      <c r="D15" s="477"/>
      <c r="E15" s="26">
        <v>39.29</v>
      </c>
      <c r="F15" s="105">
        <v>2348</v>
      </c>
      <c r="G15" s="100">
        <f t="shared" si="18"/>
        <v>92252.92</v>
      </c>
      <c r="H15" s="76" t="s">
        <v>57</v>
      </c>
      <c r="I15" s="103">
        <v>19</v>
      </c>
      <c r="J15" s="18">
        <v>1500</v>
      </c>
      <c r="K15" s="9">
        <f t="shared" ref="K15:K17" si="22">J15/I15</f>
        <v>78.94736842105263</v>
      </c>
      <c r="L15" s="103">
        <v>19</v>
      </c>
      <c r="M15" s="10">
        <f t="shared" ref="M15:M17" si="23">F15/V15*60</f>
        <v>1341.7142857142853</v>
      </c>
      <c r="N15" s="9">
        <f t="shared" si="19"/>
        <v>70.61654135338344</v>
      </c>
      <c r="O15" s="11">
        <f t="shared" ref="O15:O17" si="24">L15-I15</f>
        <v>0</v>
      </c>
      <c r="P15" s="12">
        <f t="shared" ref="P15:P17" si="25">N15-K15</f>
        <v>-8.3308270676691905</v>
      </c>
      <c r="Q15" s="101">
        <f t="shared" ref="Q15:Q25" si="26">N15/K15</f>
        <v>0.8944761904761902</v>
      </c>
      <c r="R15" s="470"/>
      <c r="S15" s="24">
        <v>0.39236111111111105</v>
      </c>
      <c r="T15" s="24">
        <v>0.46527777777777773</v>
      </c>
      <c r="U15" s="100">
        <f t="shared" ref="U15:U17" si="27">(S15-T14)*24*60</f>
        <v>12.999999999999954</v>
      </c>
      <c r="V15" s="104">
        <f t="shared" ref="V15:V17" si="28">(T15-S15)*24*60</f>
        <v>105.00000000000003</v>
      </c>
      <c r="W15" s="14"/>
      <c r="X15" s="14"/>
      <c r="Y15" s="456"/>
      <c r="Z15" s="456"/>
      <c r="AA15" s="11">
        <f t="shared" si="2"/>
        <v>-158.28571428571468</v>
      </c>
      <c r="AB15" s="101">
        <f t="shared" si="16"/>
        <v>0.8944761904761902</v>
      </c>
      <c r="AC15" s="470"/>
    </row>
    <row r="16" spans="1:29" ht="16.5" customHeight="1">
      <c r="A16" s="481" t="s">
        <v>6</v>
      </c>
      <c r="B16" s="105" t="s">
        <v>13</v>
      </c>
      <c r="C16" s="477" t="s">
        <v>63</v>
      </c>
      <c r="D16" s="477"/>
      <c r="E16" s="26">
        <v>50.98</v>
      </c>
      <c r="F16" s="105">
        <v>2180</v>
      </c>
      <c r="G16" s="100">
        <f t="shared" si="18"/>
        <v>111136.4</v>
      </c>
      <c r="H16" s="76" t="s">
        <v>57</v>
      </c>
      <c r="I16" s="103">
        <v>17</v>
      </c>
      <c r="J16" s="18">
        <v>1800</v>
      </c>
      <c r="K16" s="9">
        <f t="shared" si="22"/>
        <v>105.88235294117646</v>
      </c>
      <c r="L16" s="103">
        <v>17</v>
      </c>
      <c r="M16" s="10">
        <f t="shared" si="23"/>
        <v>1614.8148148148143</v>
      </c>
      <c r="N16" s="9">
        <f t="shared" si="19"/>
        <v>94.989106753812607</v>
      </c>
      <c r="O16" s="11">
        <f t="shared" si="24"/>
        <v>0</v>
      </c>
      <c r="P16" s="12">
        <f t="shared" si="25"/>
        <v>-10.893246187363857</v>
      </c>
      <c r="Q16" s="101">
        <f t="shared" si="26"/>
        <v>0.89711934156378581</v>
      </c>
      <c r="R16" s="470"/>
      <c r="S16" s="24">
        <v>0.70833333333333337</v>
      </c>
      <c r="T16" s="24">
        <v>0.76458333333333339</v>
      </c>
      <c r="U16" s="100">
        <f t="shared" si="27"/>
        <v>350.00000000000011</v>
      </c>
      <c r="V16" s="104">
        <f t="shared" si="28"/>
        <v>81.000000000000028</v>
      </c>
      <c r="W16" s="14"/>
      <c r="X16" s="14"/>
      <c r="Y16" s="456"/>
      <c r="Z16" s="456"/>
      <c r="AA16" s="11">
        <f t="shared" si="2"/>
        <v>-185.18518518518567</v>
      </c>
      <c r="AB16" s="101">
        <f t="shared" si="16"/>
        <v>0.8971193415637857</v>
      </c>
      <c r="AC16" s="470"/>
    </row>
    <row r="17" spans="1:29" ht="16.5" customHeight="1">
      <c r="A17" s="481" t="s">
        <v>6</v>
      </c>
      <c r="B17" s="105" t="s">
        <v>13</v>
      </c>
      <c r="C17" s="477" t="s">
        <v>66</v>
      </c>
      <c r="D17" s="477"/>
      <c r="E17" s="26">
        <v>57.73</v>
      </c>
      <c r="F17" s="105">
        <v>1749</v>
      </c>
      <c r="G17" s="100">
        <f t="shared" si="18"/>
        <v>100969.76999999999</v>
      </c>
      <c r="H17" s="76" t="s">
        <v>57</v>
      </c>
      <c r="I17" s="103">
        <v>15</v>
      </c>
      <c r="J17" s="18">
        <v>1500</v>
      </c>
      <c r="K17" s="9">
        <f t="shared" si="22"/>
        <v>100</v>
      </c>
      <c r="L17" s="103">
        <v>15</v>
      </c>
      <c r="M17" s="10">
        <f t="shared" si="23"/>
        <v>1345.3846153846146</v>
      </c>
      <c r="N17" s="9">
        <f t="shared" si="19"/>
        <v>89.692307692307637</v>
      </c>
      <c r="O17" s="11">
        <f t="shared" si="24"/>
        <v>0</v>
      </c>
      <c r="P17" s="12">
        <f t="shared" si="25"/>
        <v>-10.307692307692363</v>
      </c>
      <c r="Q17" s="101">
        <f t="shared" si="26"/>
        <v>0.89692307692307638</v>
      </c>
      <c r="R17" s="470"/>
      <c r="S17" s="24">
        <v>0.7680555555555556</v>
      </c>
      <c r="T17" s="24">
        <v>0.8222222222222223</v>
      </c>
      <c r="U17" s="100">
        <f t="shared" si="27"/>
        <v>4.9999999999999822</v>
      </c>
      <c r="V17" s="104">
        <f t="shared" si="28"/>
        <v>78.000000000000043</v>
      </c>
      <c r="W17" s="14"/>
      <c r="X17" s="14"/>
      <c r="Y17" s="456"/>
      <c r="Z17" s="456"/>
      <c r="AA17" s="11">
        <f t="shared" si="2"/>
        <v>-154.61538461538544</v>
      </c>
      <c r="AB17" s="101">
        <f t="shared" si="16"/>
        <v>0.89692307692307638</v>
      </c>
      <c r="AC17" s="470"/>
    </row>
    <row r="18" spans="1:29" ht="16.5" customHeight="1">
      <c r="A18" s="481" t="s">
        <v>6</v>
      </c>
      <c r="B18" s="26" t="s">
        <v>81</v>
      </c>
      <c r="C18" s="466"/>
      <c r="D18" s="466"/>
      <c r="E18" s="99"/>
      <c r="F18" s="16"/>
      <c r="G18" s="9"/>
      <c r="H18" s="105"/>
      <c r="I18" s="17">
        <v>17.600000000000001</v>
      </c>
      <c r="J18" s="18">
        <v>1560</v>
      </c>
      <c r="K18" s="9">
        <f>J18/I18</f>
        <v>88.636363636363626</v>
      </c>
      <c r="L18" s="17">
        <v>17.600000000000001</v>
      </c>
      <c r="M18" s="10">
        <f>AVERAGE(M13:M17)</f>
        <v>1396.4354380334739</v>
      </c>
      <c r="N18" s="9">
        <f t="shared" si="19"/>
        <v>79.342922615538285</v>
      </c>
      <c r="O18" s="11">
        <f>L18-I18</f>
        <v>0</v>
      </c>
      <c r="P18" s="12">
        <f>N18-K18</f>
        <v>-9.2934410208253411</v>
      </c>
      <c r="Q18" s="101">
        <f t="shared" si="26"/>
        <v>0.89515092181632949</v>
      </c>
      <c r="R18" s="470"/>
      <c r="S18" s="24"/>
      <c r="T18" s="24"/>
      <c r="U18" s="100"/>
      <c r="V18" s="104"/>
      <c r="W18" s="9"/>
      <c r="X18" s="9"/>
      <c r="Y18" s="456"/>
      <c r="Z18" s="456"/>
      <c r="AA18" s="11">
        <f t="shared" si="2"/>
        <v>-163.56456196652607</v>
      </c>
      <c r="AB18" s="101">
        <f t="shared" si="16"/>
        <v>0.89515092181632949</v>
      </c>
      <c r="AC18" s="470"/>
    </row>
    <row r="19" spans="1:29" ht="15.75" customHeight="1">
      <c r="A19" s="478" t="s">
        <v>156</v>
      </c>
      <c r="B19" s="26" t="s">
        <v>21</v>
      </c>
      <c r="C19" s="477" t="s">
        <v>22</v>
      </c>
      <c r="D19" s="477"/>
      <c r="E19" s="26">
        <v>43.14</v>
      </c>
      <c r="F19" s="105">
        <v>1113</v>
      </c>
      <c r="G19" s="100">
        <f t="shared" ref="G19:G25" si="29">E19*F19</f>
        <v>48014.82</v>
      </c>
      <c r="H19" s="76" t="s">
        <v>57</v>
      </c>
      <c r="I19" s="103">
        <v>17</v>
      </c>
      <c r="J19" s="18">
        <v>1200</v>
      </c>
      <c r="K19" s="9">
        <f t="shared" ref="K19:K26" si="30">J19/I19</f>
        <v>70.588235294117652</v>
      </c>
      <c r="L19" s="103">
        <v>17</v>
      </c>
      <c r="M19" s="10">
        <f t="shared" ref="M19:M25" si="31">F19/V19*60</f>
        <v>1077.0967741935481</v>
      </c>
      <c r="N19" s="9">
        <f t="shared" si="19"/>
        <v>63.358633776091061</v>
      </c>
      <c r="O19" s="11">
        <f t="shared" ref="O19:O25" si="32">L19-I19</f>
        <v>0</v>
      </c>
      <c r="P19" s="12">
        <f t="shared" ref="P19:P25" si="33">N19-K19</f>
        <v>-7.2296015180265911</v>
      </c>
      <c r="Q19" s="101">
        <f t="shared" si="26"/>
        <v>0.89758064516128999</v>
      </c>
      <c r="R19" s="470">
        <f>Q26</f>
        <v>0.9028280972750633</v>
      </c>
      <c r="S19" s="24">
        <v>0.29166666666666669</v>
      </c>
      <c r="T19" s="24">
        <v>0.33472222222222225</v>
      </c>
      <c r="U19" s="100"/>
      <c r="V19" s="104">
        <f>(T19-S19)*24*60</f>
        <v>62.000000000000021</v>
      </c>
      <c r="W19" s="15"/>
      <c r="X19" s="15"/>
      <c r="Y19" s="456"/>
      <c r="Z19" s="456"/>
      <c r="AA19" s="11">
        <f t="shared" si="2"/>
        <v>-122.90322580645193</v>
      </c>
      <c r="AB19" s="101">
        <f t="shared" si="16"/>
        <v>0.8975806451612901</v>
      </c>
      <c r="AC19" s="470">
        <f>AB26</f>
        <v>0.90282809727506341</v>
      </c>
    </row>
    <row r="20" spans="1:29" ht="15.75" customHeight="1">
      <c r="A20" s="479" t="s">
        <v>7</v>
      </c>
      <c r="B20" s="26" t="s">
        <v>13</v>
      </c>
      <c r="C20" s="477" t="s">
        <v>23</v>
      </c>
      <c r="D20" s="477"/>
      <c r="E20" s="26">
        <v>57.73</v>
      </c>
      <c r="F20" s="105">
        <v>2012</v>
      </c>
      <c r="G20" s="100">
        <f t="shared" si="29"/>
        <v>116152.76</v>
      </c>
      <c r="H20" s="76" t="s">
        <v>57</v>
      </c>
      <c r="I20" s="103">
        <v>16</v>
      </c>
      <c r="J20" s="18">
        <v>1800</v>
      </c>
      <c r="K20" s="9">
        <f t="shared" si="30"/>
        <v>112.5</v>
      </c>
      <c r="L20" s="103">
        <v>16</v>
      </c>
      <c r="M20" s="10">
        <f t="shared" si="31"/>
        <v>1609.6000000000006</v>
      </c>
      <c r="N20" s="9">
        <f t="shared" si="19"/>
        <v>100.60000000000004</v>
      </c>
      <c r="O20" s="11">
        <f t="shared" si="32"/>
        <v>0</v>
      </c>
      <c r="P20" s="12">
        <f t="shared" si="33"/>
        <v>-11.899999999999963</v>
      </c>
      <c r="Q20" s="101">
        <f t="shared" si="26"/>
        <v>0.89422222222222258</v>
      </c>
      <c r="R20" s="470"/>
      <c r="S20" s="24">
        <v>0.33888888888888891</v>
      </c>
      <c r="T20" s="24">
        <v>0.39097222222222222</v>
      </c>
      <c r="U20" s="100">
        <f>(S20-T19)*24*60</f>
        <v>5.9999999999999787</v>
      </c>
      <c r="V20" s="104">
        <f t="shared" ref="V20:V25" si="34">(T20-S20)*24*60</f>
        <v>74.999999999999972</v>
      </c>
      <c r="W20" s="14"/>
      <c r="X20" s="100"/>
      <c r="Y20" s="456"/>
      <c r="Z20" s="456"/>
      <c r="AA20" s="11">
        <f t="shared" si="2"/>
        <v>-190.39999999999941</v>
      </c>
      <c r="AB20" s="101">
        <f t="shared" si="16"/>
        <v>0.89422222222222258</v>
      </c>
      <c r="AC20" s="470"/>
    </row>
    <row r="21" spans="1:29" ht="15.75" customHeight="1">
      <c r="A21" s="479" t="s">
        <v>7</v>
      </c>
      <c r="B21" s="26" t="s">
        <v>13</v>
      </c>
      <c r="C21" s="477" t="s">
        <v>14</v>
      </c>
      <c r="D21" s="477"/>
      <c r="E21" s="26">
        <v>53.68</v>
      </c>
      <c r="F21" s="105">
        <v>1563</v>
      </c>
      <c r="G21" s="100">
        <f t="shared" si="29"/>
        <v>83901.84</v>
      </c>
      <c r="H21" s="76" t="s">
        <v>57</v>
      </c>
      <c r="I21" s="103">
        <v>17</v>
      </c>
      <c r="J21" s="18">
        <v>1800</v>
      </c>
      <c r="K21" s="9">
        <f t="shared" si="30"/>
        <v>105.88235294117646</v>
      </c>
      <c r="L21" s="103">
        <v>17</v>
      </c>
      <c r="M21" s="10">
        <f t="shared" si="31"/>
        <v>1616.896551724137</v>
      </c>
      <c r="N21" s="9">
        <f t="shared" si="19"/>
        <v>95.111561866125712</v>
      </c>
      <c r="O21" s="11">
        <f t="shared" si="32"/>
        <v>0</v>
      </c>
      <c r="P21" s="12">
        <f t="shared" si="33"/>
        <v>-10.770791075050752</v>
      </c>
      <c r="Q21" s="101">
        <f t="shared" si="26"/>
        <v>0.89827586206896515</v>
      </c>
      <c r="R21" s="470"/>
      <c r="S21" s="24">
        <v>0.39583333333333331</v>
      </c>
      <c r="T21" s="24">
        <v>0.43611111111111112</v>
      </c>
      <c r="U21" s="100">
        <f t="shared" ref="U21:U25" si="35">(S21-T20)*24*60</f>
        <v>6.9999999999999751</v>
      </c>
      <c r="V21" s="104">
        <f t="shared" si="34"/>
        <v>58.000000000000036</v>
      </c>
      <c r="W21" s="14"/>
      <c r="X21" s="100"/>
      <c r="Y21" s="456"/>
      <c r="Z21" s="456"/>
      <c r="AA21" s="11">
        <f t="shared" si="2"/>
        <v>-183.103448275863</v>
      </c>
      <c r="AB21" s="101">
        <f t="shared" si="16"/>
        <v>0.89827586206896504</v>
      </c>
      <c r="AC21" s="470"/>
    </row>
    <row r="22" spans="1:29" ht="15.75" customHeight="1">
      <c r="A22" s="479" t="s">
        <v>7</v>
      </c>
      <c r="B22" s="26" t="s">
        <v>13</v>
      </c>
      <c r="C22" s="477" t="s">
        <v>72</v>
      </c>
      <c r="D22" s="477"/>
      <c r="E22" s="26">
        <v>50.67</v>
      </c>
      <c r="F22" s="105">
        <v>1122</v>
      </c>
      <c r="G22" s="100">
        <f t="shared" si="29"/>
        <v>56851.740000000005</v>
      </c>
      <c r="H22" s="76" t="s">
        <v>57</v>
      </c>
      <c r="I22" s="103">
        <v>19</v>
      </c>
      <c r="J22" s="18">
        <v>1800</v>
      </c>
      <c r="K22" s="9">
        <f t="shared" si="30"/>
        <v>94.736842105263165</v>
      </c>
      <c r="L22" s="103">
        <v>19</v>
      </c>
      <c r="M22" s="10">
        <f t="shared" si="31"/>
        <v>1641.9512195121945</v>
      </c>
      <c r="N22" s="9">
        <f t="shared" si="19"/>
        <v>86.418485237483921</v>
      </c>
      <c r="O22" s="11">
        <f t="shared" si="32"/>
        <v>0</v>
      </c>
      <c r="P22" s="12">
        <f t="shared" si="33"/>
        <v>-8.3183568677792437</v>
      </c>
      <c r="Q22" s="101">
        <f t="shared" si="26"/>
        <v>0.9121951219512191</v>
      </c>
      <c r="R22" s="470"/>
      <c r="S22" s="24">
        <v>0.44097222222222221</v>
      </c>
      <c r="T22" s="24">
        <v>0.46944444444444444</v>
      </c>
      <c r="U22" s="100">
        <f t="shared" si="35"/>
        <v>6.9999999999999751</v>
      </c>
      <c r="V22" s="104">
        <f t="shared" si="34"/>
        <v>41.000000000000014</v>
      </c>
      <c r="W22" s="14"/>
      <c r="X22" s="100"/>
      <c r="Y22" s="456"/>
      <c r="Z22" s="456"/>
      <c r="AA22" s="11">
        <f t="shared" si="2"/>
        <v>-158.04878048780552</v>
      </c>
      <c r="AB22" s="101">
        <f t="shared" si="16"/>
        <v>0.91219512195121921</v>
      </c>
      <c r="AC22" s="470"/>
    </row>
    <row r="23" spans="1:29" ht="15.75" customHeight="1">
      <c r="A23" s="479" t="s">
        <v>7</v>
      </c>
      <c r="B23" s="26" t="s">
        <v>13</v>
      </c>
      <c r="C23" s="477" t="s">
        <v>59</v>
      </c>
      <c r="D23" s="477"/>
      <c r="E23" s="26">
        <v>50.92</v>
      </c>
      <c r="F23" s="105">
        <v>2405</v>
      </c>
      <c r="G23" s="100">
        <f t="shared" si="29"/>
        <v>122462.6</v>
      </c>
      <c r="H23" s="76" t="s">
        <v>57</v>
      </c>
      <c r="I23" s="103">
        <v>16</v>
      </c>
      <c r="J23" s="18">
        <v>1800</v>
      </c>
      <c r="K23" s="9">
        <f t="shared" si="30"/>
        <v>112.5</v>
      </c>
      <c r="L23" s="103">
        <v>16</v>
      </c>
      <c r="M23" s="10">
        <f t="shared" si="31"/>
        <v>1603.3333333333333</v>
      </c>
      <c r="N23" s="9">
        <f t="shared" si="19"/>
        <v>100.20833333333333</v>
      </c>
      <c r="O23" s="11">
        <f t="shared" si="32"/>
        <v>0</v>
      </c>
      <c r="P23" s="12">
        <f t="shared" si="33"/>
        <v>-12.291666666666671</v>
      </c>
      <c r="Q23" s="101">
        <f t="shared" si="26"/>
        <v>0.89074074074074072</v>
      </c>
      <c r="R23" s="470"/>
      <c r="S23" s="24">
        <v>0.70833333333333337</v>
      </c>
      <c r="T23" s="24">
        <v>0.77083333333333337</v>
      </c>
      <c r="U23" s="100">
        <f t="shared" si="35"/>
        <v>344.00000000000006</v>
      </c>
      <c r="V23" s="104">
        <f t="shared" si="34"/>
        <v>90</v>
      </c>
      <c r="W23" s="14"/>
      <c r="X23" s="100"/>
      <c r="Y23" s="456"/>
      <c r="Z23" s="456"/>
      <c r="AA23" s="11">
        <f t="shared" si="2"/>
        <v>-196.66666666666674</v>
      </c>
      <c r="AB23" s="101">
        <f t="shared" si="16"/>
        <v>0.89074074074074072</v>
      </c>
      <c r="AC23" s="470"/>
    </row>
    <row r="24" spans="1:29" ht="15.75" customHeight="1">
      <c r="A24" s="479" t="s">
        <v>7</v>
      </c>
      <c r="B24" s="26" t="s">
        <v>13</v>
      </c>
      <c r="C24" s="477" t="s">
        <v>62</v>
      </c>
      <c r="D24" s="477"/>
      <c r="E24" s="26">
        <v>53.27</v>
      </c>
      <c r="F24" s="105">
        <v>632</v>
      </c>
      <c r="G24" s="100">
        <f t="shared" si="29"/>
        <v>33666.639999999999</v>
      </c>
      <c r="H24" s="76" t="s">
        <v>57</v>
      </c>
      <c r="I24" s="103">
        <v>15</v>
      </c>
      <c r="J24" s="18">
        <v>1800</v>
      </c>
      <c r="K24" s="9">
        <f t="shared" si="30"/>
        <v>120</v>
      </c>
      <c r="L24" s="103">
        <v>15</v>
      </c>
      <c r="M24" s="10">
        <f t="shared" si="31"/>
        <v>1648.6956521739073</v>
      </c>
      <c r="N24" s="9">
        <f t="shared" si="19"/>
        <v>109.91304347826049</v>
      </c>
      <c r="O24" s="11">
        <f t="shared" si="32"/>
        <v>0</v>
      </c>
      <c r="P24" s="12">
        <f t="shared" si="33"/>
        <v>-10.086956521739509</v>
      </c>
      <c r="Q24" s="101">
        <f t="shared" si="26"/>
        <v>0.91594202898550414</v>
      </c>
      <c r="R24" s="470"/>
      <c r="S24" s="24">
        <v>0.77569444444444446</v>
      </c>
      <c r="T24" s="24">
        <v>0.79166666666666674</v>
      </c>
      <c r="U24" s="100">
        <f t="shared" si="35"/>
        <v>6.9999999999999751</v>
      </c>
      <c r="V24" s="104">
        <f t="shared" si="34"/>
        <v>23.000000000000078</v>
      </c>
      <c r="W24" s="14"/>
      <c r="X24" s="15"/>
      <c r="Y24" s="456"/>
      <c r="Z24" s="456"/>
      <c r="AA24" s="11">
        <f t="shared" si="2"/>
        <v>-151.30434782609268</v>
      </c>
      <c r="AB24" s="101">
        <f t="shared" si="16"/>
        <v>0.91594202898550403</v>
      </c>
      <c r="AC24" s="470"/>
    </row>
    <row r="25" spans="1:29" ht="15.75" customHeight="1">
      <c r="A25" s="479" t="s">
        <v>7</v>
      </c>
      <c r="B25" s="26" t="s">
        <v>13</v>
      </c>
      <c r="C25" s="477" t="s">
        <v>61</v>
      </c>
      <c r="D25" s="477"/>
      <c r="E25" s="26">
        <v>49.91</v>
      </c>
      <c r="F25" s="105">
        <v>600</v>
      </c>
      <c r="G25" s="100">
        <f t="shared" si="29"/>
        <v>29945.999999999996</v>
      </c>
      <c r="H25" s="76" t="s">
        <v>57</v>
      </c>
      <c r="I25" s="103">
        <v>16</v>
      </c>
      <c r="J25" s="18">
        <v>1800</v>
      </c>
      <c r="K25" s="9">
        <f t="shared" si="30"/>
        <v>112.5</v>
      </c>
      <c r="L25" s="103">
        <v>16</v>
      </c>
      <c r="M25" s="10">
        <f t="shared" si="31"/>
        <v>1636.3636363636422</v>
      </c>
      <c r="N25" s="9">
        <f t="shared" si="19"/>
        <v>102.27272727272764</v>
      </c>
      <c r="O25" s="11">
        <f t="shared" si="32"/>
        <v>0</v>
      </c>
      <c r="P25" s="12">
        <f t="shared" si="33"/>
        <v>-10.227272727272364</v>
      </c>
      <c r="Q25" s="101">
        <f t="shared" si="26"/>
        <v>0.90909090909091228</v>
      </c>
      <c r="R25" s="470"/>
      <c r="S25" s="24">
        <v>0.79722222222222228</v>
      </c>
      <c r="T25" s="24">
        <v>0.8125</v>
      </c>
      <c r="U25" s="100">
        <f t="shared" si="35"/>
        <v>7.9999999999999716</v>
      </c>
      <c r="V25" s="104">
        <f t="shared" si="34"/>
        <v>21.999999999999922</v>
      </c>
      <c r="W25" s="14"/>
      <c r="X25" s="15"/>
      <c r="Y25" s="473"/>
      <c r="Z25" s="474"/>
      <c r="AA25" s="11">
        <f t="shared" si="2"/>
        <v>-163.63636363635783</v>
      </c>
      <c r="AB25" s="101">
        <f t="shared" si="16"/>
        <v>0.90909090909091228</v>
      </c>
      <c r="AC25" s="470"/>
    </row>
    <row r="26" spans="1:29" ht="15.75" customHeight="1">
      <c r="A26" s="479" t="s">
        <v>7</v>
      </c>
      <c r="B26" s="26" t="s">
        <v>325</v>
      </c>
      <c r="C26" s="466"/>
      <c r="D26" s="466"/>
      <c r="E26" s="99"/>
      <c r="F26" s="105"/>
      <c r="G26" s="100"/>
      <c r="H26" s="105"/>
      <c r="I26" s="17">
        <v>16.571428571428573</v>
      </c>
      <c r="J26" s="18">
        <v>1714.2857142857142</v>
      </c>
      <c r="K26" s="9">
        <f t="shared" si="30"/>
        <v>103.44827586206895</v>
      </c>
      <c r="L26" s="17">
        <v>16.571428571428573</v>
      </c>
      <c r="M26" s="10">
        <f>AVERAGE(M19:M25)</f>
        <v>1547.7053096143943</v>
      </c>
      <c r="N26" s="9">
        <f>M26/L26</f>
        <v>93.396010062937577</v>
      </c>
      <c r="O26" s="11">
        <f>L26-I26</f>
        <v>0</v>
      </c>
      <c r="P26" s="12">
        <f>N26-K26</f>
        <v>-10.052265799131376</v>
      </c>
      <c r="Q26" s="101">
        <f>N26/K26</f>
        <v>0.9028280972750633</v>
      </c>
      <c r="R26" s="470"/>
      <c r="S26" s="24"/>
      <c r="T26" s="24"/>
      <c r="U26" s="9"/>
      <c r="V26" s="104"/>
      <c r="W26" s="9"/>
      <c r="X26" s="9"/>
      <c r="Y26" s="456"/>
      <c r="Z26" s="456"/>
      <c r="AA26" s="11">
        <f t="shared" si="2"/>
        <v>-166.58040467131991</v>
      </c>
      <c r="AB26" s="101">
        <f t="shared" si="16"/>
        <v>0.90282809727506341</v>
      </c>
      <c r="AC26" s="470"/>
    </row>
    <row r="27" spans="1:29" ht="15.75" customHeight="1">
      <c r="A27" s="484" t="s">
        <v>326</v>
      </c>
      <c r="B27" s="26" t="s">
        <v>24</v>
      </c>
      <c r="C27" s="477" t="s">
        <v>25</v>
      </c>
      <c r="D27" s="477"/>
      <c r="E27" s="26">
        <v>20.52</v>
      </c>
      <c r="F27" s="105">
        <v>3887</v>
      </c>
      <c r="G27" s="100">
        <f t="shared" ref="G27:G34" si="36">E27*F27</f>
        <v>79761.240000000005</v>
      </c>
      <c r="H27" s="76" t="s">
        <v>57</v>
      </c>
      <c r="I27" s="103">
        <v>20</v>
      </c>
      <c r="J27" s="18">
        <v>2400</v>
      </c>
      <c r="K27" s="9">
        <f>J27/I27</f>
        <v>120</v>
      </c>
      <c r="L27" s="103">
        <v>20</v>
      </c>
      <c r="M27" s="10">
        <f t="shared" ref="M27:M34" si="37">F27/V27*60</f>
        <v>2159.4444444444439</v>
      </c>
      <c r="N27" s="9">
        <f t="shared" ref="N27:N34" si="38">M27/L27</f>
        <v>107.9722222222222</v>
      </c>
      <c r="O27" s="11">
        <f t="shared" ref="O27:O34" si="39">L27-I27</f>
        <v>0</v>
      </c>
      <c r="P27" s="12">
        <f t="shared" ref="P27:P34" si="40">N27-K27</f>
        <v>-12.0277777777778</v>
      </c>
      <c r="Q27" s="101">
        <f t="shared" ref="Q27:Q34" si="41">N27/K27</f>
        <v>0.89976851851851836</v>
      </c>
      <c r="R27" s="470">
        <f>Q35</f>
        <v>0.8993226763012393</v>
      </c>
      <c r="S27" s="24">
        <v>0.125</v>
      </c>
      <c r="T27" s="24">
        <v>0.2</v>
      </c>
      <c r="U27" s="100"/>
      <c r="V27" s="104">
        <f t="shared" ref="V27:V34" si="42">(T27-S27)*24*60</f>
        <v>108.00000000000001</v>
      </c>
      <c r="W27" s="14"/>
      <c r="X27" s="14"/>
      <c r="Y27" s="456"/>
      <c r="Z27" s="456"/>
      <c r="AA27" s="11">
        <f t="shared" si="2"/>
        <v>-240.55555555555611</v>
      </c>
      <c r="AB27" s="101">
        <f>M27/J27</f>
        <v>0.89976851851851825</v>
      </c>
      <c r="AC27" s="470">
        <f>AB35</f>
        <v>0.8993226763012393</v>
      </c>
    </row>
    <row r="28" spans="1:29" ht="15.75" customHeight="1">
      <c r="A28" s="484" t="s">
        <v>8</v>
      </c>
      <c r="B28" s="26" t="s">
        <v>24</v>
      </c>
      <c r="C28" s="477" t="s">
        <v>26</v>
      </c>
      <c r="D28" s="477"/>
      <c r="E28" s="26">
        <v>26.2</v>
      </c>
      <c r="F28" s="105">
        <v>3300</v>
      </c>
      <c r="G28" s="100">
        <f t="shared" si="36"/>
        <v>86460</v>
      </c>
      <c r="H28" s="76">
        <v>2</v>
      </c>
      <c r="I28" s="103">
        <v>20</v>
      </c>
      <c r="J28" s="18">
        <v>2400</v>
      </c>
      <c r="K28" s="9">
        <f t="shared" ref="K28:K35" si="43">J28/I28</f>
        <v>120</v>
      </c>
      <c r="L28" s="103">
        <v>20</v>
      </c>
      <c r="M28" s="10">
        <f t="shared" si="37"/>
        <v>2152.1739130434776</v>
      </c>
      <c r="N28" s="9">
        <f t="shared" si="38"/>
        <v>107.60869565217388</v>
      </c>
      <c r="O28" s="11">
        <f t="shared" si="39"/>
        <v>0</v>
      </c>
      <c r="P28" s="12">
        <f t="shared" si="40"/>
        <v>-12.391304347826122</v>
      </c>
      <c r="Q28" s="101">
        <f t="shared" si="41"/>
        <v>0.89673913043478237</v>
      </c>
      <c r="R28" s="470"/>
      <c r="S28" s="24">
        <v>0.22083333333333335</v>
      </c>
      <c r="T28" s="24">
        <v>0.28472222222222227</v>
      </c>
      <c r="U28" s="100">
        <f>(S28-T27)*24*60</f>
        <v>30.000000000000014</v>
      </c>
      <c r="V28" s="104">
        <f t="shared" si="42"/>
        <v>92.000000000000028</v>
      </c>
      <c r="W28" s="14"/>
      <c r="X28" s="14"/>
      <c r="Y28" s="456"/>
      <c r="Z28" s="456"/>
      <c r="AA28" s="11">
        <f t="shared" si="2"/>
        <v>-247.82608695652243</v>
      </c>
      <c r="AB28" s="101">
        <f t="shared" ref="AB28:AB34" si="44">M28/J28</f>
        <v>0.89673913043478237</v>
      </c>
      <c r="AC28" s="470"/>
    </row>
    <row r="29" spans="1:29" ht="15.75" customHeight="1">
      <c r="A29" s="484" t="s">
        <v>8</v>
      </c>
      <c r="B29" s="26" t="s">
        <v>24</v>
      </c>
      <c r="C29" s="477" t="s">
        <v>55</v>
      </c>
      <c r="D29" s="477"/>
      <c r="E29" s="26">
        <v>26.2</v>
      </c>
      <c r="F29" s="105">
        <v>2000</v>
      </c>
      <c r="G29" s="100">
        <f t="shared" si="36"/>
        <v>52400</v>
      </c>
      <c r="H29" s="76">
        <v>2</v>
      </c>
      <c r="I29" s="103">
        <v>21</v>
      </c>
      <c r="J29" s="18">
        <v>2400</v>
      </c>
      <c r="K29" s="9">
        <f t="shared" si="43"/>
        <v>114.28571428571429</v>
      </c>
      <c r="L29" s="103">
        <v>21</v>
      </c>
      <c r="M29" s="10">
        <f t="shared" si="37"/>
        <v>2142.8571428571413</v>
      </c>
      <c r="N29" s="9">
        <f t="shared" si="38"/>
        <v>102.04081632653053</v>
      </c>
      <c r="O29" s="11">
        <f t="shared" si="39"/>
        <v>0</v>
      </c>
      <c r="P29" s="12">
        <f t="shared" si="40"/>
        <v>-12.24489795918376</v>
      </c>
      <c r="Q29" s="101">
        <f t="shared" si="41"/>
        <v>0.89285714285714213</v>
      </c>
      <c r="R29" s="470"/>
      <c r="S29" s="24">
        <v>0.28958333333333336</v>
      </c>
      <c r="T29" s="24">
        <v>0.32847222222222228</v>
      </c>
      <c r="U29" s="100">
        <f t="shared" ref="U29:U34" si="45">(S29-T28)*24*60</f>
        <v>6.9999999999999751</v>
      </c>
      <c r="V29" s="104">
        <f t="shared" si="42"/>
        <v>56.000000000000043</v>
      </c>
      <c r="W29" s="14"/>
      <c r="X29" s="14"/>
      <c r="Y29" s="456"/>
      <c r="Z29" s="456"/>
      <c r="AA29" s="11">
        <f t="shared" si="2"/>
        <v>-257.1428571428587</v>
      </c>
      <c r="AB29" s="101">
        <f t="shared" si="44"/>
        <v>0.89285714285714224</v>
      </c>
      <c r="AC29" s="470"/>
    </row>
    <row r="30" spans="1:29" ht="15.75" customHeight="1">
      <c r="A30" s="484" t="s">
        <v>8</v>
      </c>
      <c r="B30" s="26" t="s">
        <v>24</v>
      </c>
      <c r="C30" s="477" t="s">
        <v>46</v>
      </c>
      <c r="D30" s="477"/>
      <c r="E30" s="26">
        <v>25</v>
      </c>
      <c r="F30" s="105">
        <v>3718</v>
      </c>
      <c r="G30" s="100">
        <f t="shared" si="36"/>
        <v>92950</v>
      </c>
      <c r="H30" s="76" t="s">
        <v>57</v>
      </c>
      <c r="I30" s="103">
        <v>16</v>
      </c>
      <c r="J30" s="18">
        <v>2400</v>
      </c>
      <c r="K30" s="9">
        <f t="shared" si="43"/>
        <v>150</v>
      </c>
      <c r="L30" s="103">
        <v>16</v>
      </c>
      <c r="M30" s="10">
        <f t="shared" si="37"/>
        <v>2144.9999999999995</v>
      </c>
      <c r="N30" s="9">
        <f t="shared" si="38"/>
        <v>134.06249999999997</v>
      </c>
      <c r="O30" s="11">
        <f t="shared" si="39"/>
        <v>0</v>
      </c>
      <c r="P30" s="12">
        <f t="shared" si="40"/>
        <v>-15.937500000000028</v>
      </c>
      <c r="Q30" s="101">
        <f t="shared" si="41"/>
        <v>0.89374999999999982</v>
      </c>
      <c r="R30" s="470"/>
      <c r="S30" s="24">
        <v>0.33333333333333337</v>
      </c>
      <c r="T30" s="24">
        <v>0.40555555555555561</v>
      </c>
      <c r="U30" s="100">
        <f t="shared" si="45"/>
        <v>6.9999999999999751</v>
      </c>
      <c r="V30" s="104">
        <f t="shared" si="42"/>
        <v>104.00000000000003</v>
      </c>
      <c r="W30" s="14"/>
      <c r="X30" s="14"/>
      <c r="Y30" s="456"/>
      <c r="Z30" s="456"/>
      <c r="AA30" s="11">
        <f t="shared" si="2"/>
        <v>-255.00000000000045</v>
      </c>
      <c r="AB30" s="101">
        <f t="shared" si="44"/>
        <v>0.89374999999999982</v>
      </c>
      <c r="AC30" s="470"/>
    </row>
    <row r="31" spans="1:29" ht="15.75" customHeight="1">
      <c r="A31" s="484" t="s">
        <v>8</v>
      </c>
      <c r="B31" s="26" t="s">
        <v>24</v>
      </c>
      <c r="C31" s="477" t="s">
        <v>27</v>
      </c>
      <c r="D31" s="477"/>
      <c r="E31" s="26">
        <v>20.52</v>
      </c>
      <c r="F31" s="105">
        <v>2905</v>
      </c>
      <c r="G31" s="100">
        <f t="shared" si="36"/>
        <v>59610.6</v>
      </c>
      <c r="H31" s="76" t="s">
        <v>57</v>
      </c>
      <c r="I31" s="103">
        <v>18</v>
      </c>
      <c r="J31" s="18">
        <v>2400</v>
      </c>
      <c r="K31" s="9">
        <f t="shared" si="43"/>
        <v>133.33333333333334</v>
      </c>
      <c r="L31" s="103">
        <v>18</v>
      </c>
      <c r="M31" s="10">
        <f t="shared" si="37"/>
        <v>2151.8518518518508</v>
      </c>
      <c r="N31" s="9">
        <f t="shared" si="38"/>
        <v>119.54732510288061</v>
      </c>
      <c r="O31" s="11">
        <f t="shared" si="39"/>
        <v>0</v>
      </c>
      <c r="P31" s="12">
        <f t="shared" si="40"/>
        <v>-13.786008230452737</v>
      </c>
      <c r="Q31" s="101">
        <f t="shared" si="41"/>
        <v>0.89660493827160448</v>
      </c>
      <c r="R31" s="470"/>
      <c r="S31" s="24">
        <v>0.41111111111111115</v>
      </c>
      <c r="T31" s="24">
        <v>0.46736111111111117</v>
      </c>
      <c r="U31" s="100">
        <f t="shared" si="45"/>
        <v>7.9999999999999716</v>
      </c>
      <c r="V31" s="104">
        <f t="shared" si="42"/>
        <v>81.000000000000028</v>
      </c>
      <c r="W31" s="14"/>
      <c r="X31" s="14"/>
      <c r="Y31" s="456"/>
      <c r="Z31" s="456"/>
      <c r="AA31" s="11">
        <f t="shared" si="2"/>
        <v>-248.14814814814918</v>
      </c>
      <c r="AB31" s="101">
        <f t="shared" si="44"/>
        <v>0.89660493827160448</v>
      </c>
      <c r="AC31" s="470"/>
    </row>
    <row r="32" spans="1:29" ht="15.75" customHeight="1">
      <c r="A32" s="484" t="s">
        <v>8</v>
      </c>
      <c r="B32" s="26" t="s">
        <v>24</v>
      </c>
      <c r="C32" s="477" t="s">
        <v>31</v>
      </c>
      <c r="D32" s="477"/>
      <c r="E32" s="26">
        <v>24.45</v>
      </c>
      <c r="F32" s="105">
        <v>2201</v>
      </c>
      <c r="G32" s="100">
        <f t="shared" si="36"/>
        <v>53814.45</v>
      </c>
      <c r="H32" s="76" t="s">
        <v>57</v>
      </c>
      <c r="I32" s="103">
        <v>20</v>
      </c>
      <c r="J32" s="18">
        <v>2400</v>
      </c>
      <c r="K32" s="9">
        <f t="shared" si="43"/>
        <v>120</v>
      </c>
      <c r="L32" s="103">
        <v>20</v>
      </c>
      <c r="M32" s="10">
        <f t="shared" si="37"/>
        <v>2164.9180327868849</v>
      </c>
      <c r="N32" s="9">
        <f t="shared" si="38"/>
        <v>108.24590163934424</v>
      </c>
      <c r="O32" s="11">
        <f t="shared" si="39"/>
        <v>0</v>
      </c>
      <c r="P32" s="12">
        <f t="shared" si="40"/>
        <v>-11.75409836065576</v>
      </c>
      <c r="Q32" s="101">
        <f t="shared" si="41"/>
        <v>0.90204918032786863</v>
      </c>
      <c r="R32" s="470"/>
      <c r="S32" s="24">
        <v>0.47083333333333338</v>
      </c>
      <c r="T32" s="24">
        <v>0.51319444444444451</v>
      </c>
      <c r="U32" s="100">
        <f t="shared" si="45"/>
        <v>4.9999999999999822</v>
      </c>
      <c r="V32" s="104">
        <f t="shared" si="42"/>
        <v>61.000000000000021</v>
      </c>
      <c r="W32" s="14"/>
      <c r="X32" s="14"/>
      <c r="Y32" s="456"/>
      <c r="Z32" s="456"/>
      <c r="AA32" s="11">
        <f t="shared" si="2"/>
        <v>-235.08196721311515</v>
      </c>
      <c r="AB32" s="101">
        <f t="shared" si="44"/>
        <v>0.90204918032786874</v>
      </c>
      <c r="AC32" s="470"/>
    </row>
    <row r="33" spans="1:29" ht="15.75" customHeight="1">
      <c r="A33" s="484" t="s">
        <v>8</v>
      </c>
      <c r="B33" s="26" t="s">
        <v>24</v>
      </c>
      <c r="C33" s="477" t="s">
        <v>55</v>
      </c>
      <c r="D33" s="477"/>
      <c r="E33" s="26">
        <v>26.2</v>
      </c>
      <c r="F33" s="105">
        <v>1438</v>
      </c>
      <c r="G33" s="100">
        <f t="shared" si="36"/>
        <v>37675.599999999999</v>
      </c>
      <c r="H33" s="76" t="s">
        <v>57</v>
      </c>
      <c r="I33" s="103">
        <v>21</v>
      </c>
      <c r="J33" s="18">
        <v>2400</v>
      </c>
      <c r="K33" s="9">
        <f t="shared" si="43"/>
        <v>114.28571428571429</v>
      </c>
      <c r="L33" s="103">
        <v>21</v>
      </c>
      <c r="M33" s="10">
        <f t="shared" si="37"/>
        <v>2156.9999999999991</v>
      </c>
      <c r="N33" s="9">
        <f t="shared" si="38"/>
        <v>102.71428571428567</v>
      </c>
      <c r="O33" s="11">
        <f t="shared" si="39"/>
        <v>0</v>
      </c>
      <c r="P33" s="12">
        <f t="shared" si="40"/>
        <v>-11.571428571428626</v>
      </c>
      <c r="Q33" s="101">
        <f t="shared" si="41"/>
        <v>0.89874999999999949</v>
      </c>
      <c r="R33" s="470"/>
      <c r="S33" s="24">
        <v>0.55277777777777781</v>
      </c>
      <c r="T33" s="24">
        <v>0.5805555555555556</v>
      </c>
      <c r="U33" s="100">
        <f t="shared" si="45"/>
        <v>56.999999999999957</v>
      </c>
      <c r="V33" s="104">
        <f t="shared" si="42"/>
        <v>40.000000000000014</v>
      </c>
      <c r="W33" s="14"/>
      <c r="X33" s="14"/>
      <c r="Y33" s="456"/>
      <c r="Z33" s="456"/>
      <c r="AA33" s="11">
        <f t="shared" si="2"/>
        <v>-243.00000000000091</v>
      </c>
      <c r="AB33" s="101">
        <f t="shared" si="44"/>
        <v>0.8987499999999996</v>
      </c>
      <c r="AC33" s="470"/>
    </row>
    <row r="34" spans="1:29" ht="15.75" customHeight="1">
      <c r="A34" s="484" t="s">
        <v>8</v>
      </c>
      <c r="B34" s="26" t="s">
        <v>24</v>
      </c>
      <c r="C34" s="477" t="s">
        <v>26</v>
      </c>
      <c r="D34" s="477"/>
      <c r="E34" s="26">
        <v>26.2</v>
      </c>
      <c r="F34" s="105">
        <v>1170</v>
      </c>
      <c r="G34" s="100">
        <f t="shared" si="36"/>
        <v>30654</v>
      </c>
      <c r="H34" s="76" t="s">
        <v>57</v>
      </c>
      <c r="I34" s="103">
        <v>20</v>
      </c>
      <c r="J34" s="18">
        <v>2400</v>
      </c>
      <c r="K34" s="9">
        <f t="shared" si="43"/>
        <v>120</v>
      </c>
      <c r="L34" s="103">
        <v>20</v>
      </c>
      <c r="M34" s="10">
        <f t="shared" si="37"/>
        <v>2193.7499999999968</v>
      </c>
      <c r="N34" s="9">
        <f t="shared" si="38"/>
        <v>109.68749999999984</v>
      </c>
      <c r="O34" s="11">
        <f t="shared" si="39"/>
        <v>0</v>
      </c>
      <c r="P34" s="12">
        <f t="shared" si="40"/>
        <v>-10.312500000000156</v>
      </c>
      <c r="Q34" s="101">
        <f t="shared" si="41"/>
        <v>0.91406249999999867</v>
      </c>
      <c r="R34" s="470"/>
      <c r="S34" s="24">
        <v>0.58472222222222225</v>
      </c>
      <c r="T34" s="24">
        <v>0.60694444444444451</v>
      </c>
      <c r="U34" s="100">
        <f t="shared" si="45"/>
        <v>5.9999999999999787</v>
      </c>
      <c r="V34" s="104">
        <f t="shared" si="42"/>
        <v>32.000000000000043</v>
      </c>
      <c r="W34" s="14"/>
      <c r="X34" s="14"/>
      <c r="Y34" s="456"/>
      <c r="Z34" s="456"/>
      <c r="AA34" s="11">
        <f t="shared" si="2"/>
        <v>-206.25000000000318</v>
      </c>
      <c r="AB34" s="101">
        <f t="shared" si="44"/>
        <v>0.91406249999999867</v>
      </c>
      <c r="AC34" s="470"/>
    </row>
    <row r="35" spans="1:29" ht="15.75" customHeight="1">
      <c r="A35" s="484" t="s">
        <v>8</v>
      </c>
      <c r="B35" s="26" t="s">
        <v>325</v>
      </c>
      <c r="C35" s="466"/>
      <c r="D35" s="466"/>
      <c r="E35" s="99"/>
      <c r="F35" s="105"/>
      <c r="G35" s="100"/>
      <c r="H35" s="105"/>
      <c r="I35" s="17">
        <v>19.5</v>
      </c>
      <c r="J35" s="18">
        <v>2400</v>
      </c>
      <c r="K35" s="9">
        <f t="shared" si="43"/>
        <v>123.07692307692308</v>
      </c>
      <c r="L35" s="17">
        <v>19.5</v>
      </c>
      <c r="M35" s="10">
        <f>AVERAGE(M27:M34)</f>
        <v>2158.3744231229743</v>
      </c>
      <c r="N35" s="9">
        <f>M35/L35</f>
        <v>110.68586785246022</v>
      </c>
      <c r="O35" s="11">
        <f>L35-I35</f>
        <v>0</v>
      </c>
      <c r="P35" s="12">
        <f>N35-K35</f>
        <v>-12.39105522446286</v>
      </c>
      <c r="Q35" s="101">
        <f>N35/K35</f>
        <v>0.8993226763012393</v>
      </c>
      <c r="R35" s="470"/>
      <c r="S35" s="24"/>
      <c r="T35" s="24"/>
      <c r="U35" s="100"/>
      <c r="V35" s="104"/>
      <c r="W35" s="100"/>
      <c r="X35" s="100"/>
      <c r="Y35" s="456"/>
      <c r="Z35" s="456"/>
      <c r="AA35" s="11">
        <f t="shared" si="2"/>
        <v>-241.62557687702565</v>
      </c>
      <c r="AB35" s="101">
        <f>M35/J35</f>
        <v>0.8993226763012393</v>
      </c>
      <c r="AC35" s="470"/>
    </row>
    <row r="36" spans="1:29" ht="15.75" customHeight="1">
      <c r="A36" s="485" t="s">
        <v>158</v>
      </c>
      <c r="B36" s="26" t="s">
        <v>24</v>
      </c>
      <c r="C36" s="487" t="s">
        <v>32</v>
      </c>
      <c r="D36" s="487"/>
      <c r="E36" s="26">
        <v>26.2</v>
      </c>
      <c r="F36" s="105">
        <v>2327</v>
      </c>
      <c r="G36" s="100">
        <f t="shared" ref="G36:G41" si="46">E36*F36</f>
        <v>60967.4</v>
      </c>
      <c r="H36" s="76" t="s">
        <v>57</v>
      </c>
      <c r="I36" s="103">
        <v>22</v>
      </c>
      <c r="J36" s="18">
        <v>2400</v>
      </c>
      <c r="K36" s="9">
        <f>J36/I36</f>
        <v>109.09090909090909</v>
      </c>
      <c r="L36" s="103">
        <v>22</v>
      </c>
      <c r="M36" s="10">
        <f>F36/V36*60</f>
        <v>2147.9999999999995</v>
      </c>
      <c r="N36" s="9">
        <f>M36/L36</f>
        <v>97.636363636363612</v>
      </c>
      <c r="O36" s="11">
        <f t="shared" ref="O36:O41" si="47">L36-I36</f>
        <v>0</v>
      </c>
      <c r="P36" s="12">
        <f t="shared" ref="P36:P53" si="48">N36-K36</f>
        <v>-11.454545454545482</v>
      </c>
      <c r="Q36" s="101">
        <f t="shared" ref="Q36:Q46" si="49">N36/K36</f>
        <v>0.8949999999999998</v>
      </c>
      <c r="R36" s="470">
        <f>Q42</f>
        <v>0.89284269407977435</v>
      </c>
      <c r="S36" s="24">
        <v>0.125</v>
      </c>
      <c r="T36" s="24">
        <v>0.1701388888888889</v>
      </c>
      <c r="U36" s="100"/>
      <c r="V36" s="104">
        <f t="shared" ref="V36:V41" si="50">(T36-S36)*24*60</f>
        <v>65.000000000000014</v>
      </c>
      <c r="W36" s="15"/>
      <c r="X36" s="15"/>
      <c r="Y36" s="456"/>
      <c r="Z36" s="456"/>
      <c r="AA36" s="11">
        <f t="shared" si="2"/>
        <v>-252.00000000000045</v>
      </c>
      <c r="AB36" s="101">
        <f>M36/J36</f>
        <v>0.8949999999999998</v>
      </c>
      <c r="AC36" s="470">
        <f>AB42</f>
        <v>0.89284269407977435</v>
      </c>
    </row>
    <row r="37" spans="1:29" ht="15.75" customHeight="1">
      <c r="A37" s="485" t="s">
        <v>158</v>
      </c>
      <c r="B37" s="26" t="s">
        <v>24</v>
      </c>
      <c r="C37" s="487" t="s">
        <v>30</v>
      </c>
      <c r="D37" s="487"/>
      <c r="E37" s="26">
        <v>26.39</v>
      </c>
      <c r="F37" s="105">
        <v>4602</v>
      </c>
      <c r="G37" s="100">
        <f t="shared" si="46"/>
        <v>121446.78</v>
      </c>
      <c r="H37" s="76" t="s">
        <v>57</v>
      </c>
      <c r="I37" s="103">
        <v>21</v>
      </c>
      <c r="J37" s="18">
        <v>2400</v>
      </c>
      <c r="K37" s="9">
        <f t="shared" ref="K37:K52" si="51">J37/I37</f>
        <v>114.28571428571429</v>
      </c>
      <c r="L37" s="103">
        <v>21</v>
      </c>
      <c r="M37" s="10">
        <f t="shared" ref="M37:M41" si="52">F37/V37*60</f>
        <v>2140.4651162790706</v>
      </c>
      <c r="N37" s="9">
        <f t="shared" ref="N37:N41" si="53">M37/L37</f>
        <v>101.92691029900337</v>
      </c>
      <c r="O37" s="11">
        <f t="shared" si="47"/>
        <v>0</v>
      </c>
      <c r="P37" s="12">
        <f t="shared" si="48"/>
        <v>-12.358803986710925</v>
      </c>
      <c r="Q37" s="101">
        <f t="shared" si="49"/>
        <v>0.89186046511627937</v>
      </c>
      <c r="R37" s="470"/>
      <c r="S37" s="24">
        <v>0.1902777777777778</v>
      </c>
      <c r="T37" s="24">
        <v>0.27986111111111112</v>
      </c>
      <c r="U37" s="100">
        <f>(S37-T36)*24*60</f>
        <v>29.000000000000018</v>
      </c>
      <c r="V37" s="104">
        <f t="shared" si="50"/>
        <v>128.99999999999997</v>
      </c>
      <c r="W37" s="100"/>
      <c r="X37" s="100"/>
      <c r="Y37" s="456"/>
      <c r="Z37" s="456"/>
      <c r="AA37" s="11">
        <f t="shared" si="2"/>
        <v>-259.53488372092943</v>
      </c>
      <c r="AB37" s="101">
        <f t="shared" ref="AB37:AB62" si="54">M37/J37</f>
        <v>0.89186046511627937</v>
      </c>
      <c r="AC37" s="470"/>
    </row>
    <row r="38" spans="1:29">
      <c r="A38" s="486" t="s">
        <v>327</v>
      </c>
      <c r="B38" s="26" t="s">
        <v>24</v>
      </c>
      <c r="C38" s="487" t="s">
        <v>29</v>
      </c>
      <c r="D38" s="487"/>
      <c r="E38" s="26">
        <v>26.2</v>
      </c>
      <c r="F38" s="105">
        <v>5104</v>
      </c>
      <c r="G38" s="100">
        <f t="shared" si="46"/>
        <v>133724.79999999999</v>
      </c>
      <c r="H38" s="76" t="s">
        <v>57</v>
      </c>
      <c r="I38" s="103">
        <v>19</v>
      </c>
      <c r="J38" s="18">
        <v>2400</v>
      </c>
      <c r="K38" s="9">
        <f t="shared" si="51"/>
        <v>126.31578947368421</v>
      </c>
      <c r="L38" s="103">
        <v>19</v>
      </c>
      <c r="M38" s="10">
        <f t="shared" si="52"/>
        <v>2141.5384615384619</v>
      </c>
      <c r="N38" s="9">
        <f t="shared" si="53"/>
        <v>112.71255060728747</v>
      </c>
      <c r="O38" s="11">
        <f t="shared" si="47"/>
        <v>0</v>
      </c>
      <c r="P38" s="12">
        <f t="shared" si="48"/>
        <v>-13.603238866396737</v>
      </c>
      <c r="Q38" s="101">
        <f t="shared" si="49"/>
        <v>0.89230769230769247</v>
      </c>
      <c r="R38" s="470"/>
      <c r="S38" s="24">
        <v>0.28333333333333333</v>
      </c>
      <c r="T38" s="24">
        <v>0.38263888888888886</v>
      </c>
      <c r="U38" s="100">
        <f t="shared" ref="U38:U41" si="55">(S38-T37)*24*60</f>
        <v>4.9999999999999822</v>
      </c>
      <c r="V38" s="104">
        <f t="shared" si="50"/>
        <v>142.99999999999997</v>
      </c>
      <c r="W38" s="100"/>
      <c r="X38" s="100"/>
      <c r="Y38" s="456"/>
      <c r="Z38" s="456"/>
      <c r="AA38" s="11">
        <f t="shared" si="2"/>
        <v>-258.46153846153811</v>
      </c>
      <c r="AB38" s="101">
        <f t="shared" si="54"/>
        <v>0.89230769230769247</v>
      </c>
      <c r="AC38" s="470"/>
    </row>
    <row r="39" spans="1:29">
      <c r="A39" s="486" t="s">
        <v>158</v>
      </c>
      <c r="B39" s="26" t="s">
        <v>24</v>
      </c>
      <c r="C39" s="487" t="s">
        <v>69</v>
      </c>
      <c r="D39" s="487"/>
      <c r="E39" s="26">
        <v>22.35</v>
      </c>
      <c r="F39" s="105">
        <v>2890</v>
      </c>
      <c r="G39" s="100">
        <f t="shared" si="46"/>
        <v>64591.500000000007</v>
      </c>
      <c r="H39" s="76" t="s">
        <v>57</v>
      </c>
      <c r="I39" s="103">
        <v>16</v>
      </c>
      <c r="J39" s="18">
        <v>2400</v>
      </c>
      <c r="K39" s="9">
        <f t="shared" si="51"/>
        <v>150</v>
      </c>
      <c r="L39" s="103">
        <v>16</v>
      </c>
      <c r="M39" s="10">
        <f t="shared" si="52"/>
        <v>2140.74074074074</v>
      </c>
      <c r="N39" s="9">
        <f t="shared" si="53"/>
        <v>133.79629629629625</v>
      </c>
      <c r="O39" s="11">
        <f t="shared" si="47"/>
        <v>0</v>
      </c>
      <c r="P39" s="12">
        <f t="shared" si="48"/>
        <v>-16.203703703703752</v>
      </c>
      <c r="Q39" s="101">
        <f t="shared" si="49"/>
        <v>0.89197530864197494</v>
      </c>
      <c r="R39" s="470"/>
      <c r="S39" s="24">
        <v>0.3881944444444444</v>
      </c>
      <c r="T39" s="24">
        <v>0.44444444444444442</v>
      </c>
      <c r="U39" s="100">
        <f t="shared" si="55"/>
        <v>7.9999999999999716</v>
      </c>
      <c r="V39" s="104">
        <f t="shared" si="50"/>
        <v>81.000000000000028</v>
      </c>
      <c r="W39" s="14"/>
      <c r="X39" s="14"/>
      <c r="Y39" s="456"/>
      <c r="Z39" s="456"/>
      <c r="AA39" s="11">
        <f t="shared" si="2"/>
        <v>-259.25925925926003</v>
      </c>
      <c r="AB39" s="101">
        <f t="shared" si="54"/>
        <v>0.89197530864197494</v>
      </c>
      <c r="AC39" s="470"/>
    </row>
    <row r="40" spans="1:29">
      <c r="A40" s="486" t="s">
        <v>158</v>
      </c>
      <c r="B40" s="26" t="s">
        <v>24</v>
      </c>
      <c r="C40" s="487" t="s">
        <v>84</v>
      </c>
      <c r="D40" s="487"/>
      <c r="E40" s="26">
        <v>24.25</v>
      </c>
      <c r="F40" s="105">
        <v>3500</v>
      </c>
      <c r="G40" s="100">
        <f t="shared" si="46"/>
        <v>84875</v>
      </c>
      <c r="H40" s="76">
        <v>2</v>
      </c>
      <c r="I40" s="103">
        <v>19</v>
      </c>
      <c r="J40" s="18">
        <v>2400</v>
      </c>
      <c r="K40" s="9">
        <f t="shared" si="51"/>
        <v>126.31578947368421</v>
      </c>
      <c r="L40" s="103">
        <v>19</v>
      </c>
      <c r="M40" s="10">
        <f t="shared" si="52"/>
        <v>2142.8571428571431</v>
      </c>
      <c r="N40" s="9">
        <f t="shared" si="53"/>
        <v>112.78195488721806</v>
      </c>
      <c r="O40" s="11">
        <f t="shared" si="47"/>
        <v>0</v>
      </c>
      <c r="P40" s="12">
        <f t="shared" si="48"/>
        <v>-13.533834586466142</v>
      </c>
      <c r="Q40" s="101">
        <f t="shared" si="49"/>
        <v>0.89285714285714302</v>
      </c>
      <c r="R40" s="470"/>
      <c r="S40" s="24">
        <v>0.44930555555555551</v>
      </c>
      <c r="T40" s="24">
        <v>0.51736111111111105</v>
      </c>
      <c r="U40" s="100">
        <f t="shared" si="55"/>
        <v>6.9999999999999751</v>
      </c>
      <c r="V40" s="104">
        <f t="shared" si="50"/>
        <v>97.999999999999972</v>
      </c>
      <c r="W40" s="14"/>
      <c r="X40" s="14"/>
      <c r="Y40" s="456"/>
      <c r="Z40" s="456"/>
      <c r="AA40" s="11">
        <f t="shared" si="2"/>
        <v>-257.14285714285688</v>
      </c>
      <c r="AB40" s="101">
        <f t="shared" si="54"/>
        <v>0.89285714285714302</v>
      </c>
      <c r="AC40" s="470"/>
    </row>
    <row r="41" spans="1:29">
      <c r="A41" s="486" t="s">
        <v>158</v>
      </c>
      <c r="B41" s="26" t="s">
        <v>24</v>
      </c>
      <c r="C41" s="487" t="s">
        <v>84</v>
      </c>
      <c r="D41" s="487"/>
      <c r="E41" s="26">
        <v>24.25</v>
      </c>
      <c r="F41" s="105">
        <v>1929</v>
      </c>
      <c r="G41" s="100">
        <f t="shared" si="46"/>
        <v>46778.25</v>
      </c>
      <c r="H41" s="76" t="s">
        <v>57</v>
      </c>
      <c r="I41" s="103">
        <v>19</v>
      </c>
      <c r="J41" s="18">
        <v>2400</v>
      </c>
      <c r="K41" s="9">
        <f t="shared" si="51"/>
        <v>126.31578947368421</v>
      </c>
      <c r="L41" s="103">
        <v>19</v>
      </c>
      <c r="M41" s="10">
        <f t="shared" si="52"/>
        <v>2143.3333333333344</v>
      </c>
      <c r="N41" s="9">
        <f t="shared" si="53"/>
        <v>112.8070175438597</v>
      </c>
      <c r="O41" s="11">
        <f t="shared" si="47"/>
        <v>0</v>
      </c>
      <c r="P41" s="12">
        <f t="shared" si="48"/>
        <v>-13.508771929824505</v>
      </c>
      <c r="Q41" s="101">
        <f t="shared" si="49"/>
        <v>0.89305555555555605</v>
      </c>
      <c r="R41" s="470"/>
      <c r="S41" s="24">
        <v>0.5576388888888888</v>
      </c>
      <c r="T41" s="24">
        <v>0.59513888888888877</v>
      </c>
      <c r="U41" s="100">
        <f t="shared" si="55"/>
        <v>57.999999999999957</v>
      </c>
      <c r="V41" s="104">
        <f t="shared" si="50"/>
        <v>53.999999999999972</v>
      </c>
      <c r="W41" s="14"/>
      <c r="X41" s="14"/>
      <c r="Y41" s="456"/>
      <c r="Z41" s="456"/>
      <c r="AA41" s="11">
        <f t="shared" si="2"/>
        <v>-256.66666666666561</v>
      </c>
      <c r="AB41" s="101">
        <f t="shared" si="54"/>
        <v>0.89305555555555605</v>
      </c>
      <c r="AC41" s="470"/>
    </row>
    <row r="42" spans="1:29">
      <c r="A42" s="486" t="s">
        <v>158</v>
      </c>
      <c r="B42" s="16" t="s">
        <v>81</v>
      </c>
      <c r="C42" s="466"/>
      <c r="D42" s="466"/>
      <c r="E42" s="99"/>
      <c r="F42" s="16"/>
      <c r="G42" s="9"/>
      <c r="H42" s="105"/>
      <c r="I42" s="17">
        <v>19.333333333333332</v>
      </c>
      <c r="J42" s="18">
        <v>2400</v>
      </c>
      <c r="K42" s="9">
        <f t="shared" si="51"/>
        <v>124.13793103448276</v>
      </c>
      <c r="L42" s="17">
        <v>19.333333333333332</v>
      </c>
      <c r="M42" s="10">
        <f>AVERAGE(M36:M41)</f>
        <v>2142.8224657914584</v>
      </c>
      <c r="N42" s="9">
        <f>M42/L42</f>
        <v>110.83564478231682</v>
      </c>
      <c r="O42" s="11">
        <f>L42-I42</f>
        <v>0</v>
      </c>
      <c r="P42" s="12">
        <f t="shared" si="48"/>
        <v>-13.302286252165942</v>
      </c>
      <c r="Q42" s="101">
        <f t="shared" si="49"/>
        <v>0.89284269407977435</v>
      </c>
      <c r="R42" s="470"/>
      <c r="S42" s="24"/>
      <c r="T42" s="24"/>
      <c r="U42" s="9"/>
      <c r="V42" s="104"/>
      <c r="W42" s="9"/>
      <c r="X42" s="9"/>
      <c r="Y42" s="456"/>
      <c r="Z42" s="456"/>
      <c r="AA42" s="11">
        <f t="shared" si="2"/>
        <v>-257.1775342085416</v>
      </c>
      <c r="AB42" s="101">
        <f t="shared" si="54"/>
        <v>0.89284269407977435</v>
      </c>
      <c r="AC42" s="470"/>
    </row>
    <row r="43" spans="1:29" ht="15.75" customHeight="1">
      <c r="A43" s="488" t="s">
        <v>162</v>
      </c>
      <c r="B43" s="26" t="s">
        <v>33</v>
      </c>
      <c r="C43" s="491" t="s">
        <v>34</v>
      </c>
      <c r="D43" s="492"/>
      <c r="E43" s="26">
        <v>27.17</v>
      </c>
      <c r="F43" s="105">
        <v>2500</v>
      </c>
      <c r="G43" s="100">
        <f t="shared" ref="G43:G52" si="56">E43*F43</f>
        <v>67925</v>
      </c>
      <c r="H43" s="76">
        <v>2</v>
      </c>
      <c r="I43" s="103">
        <v>10</v>
      </c>
      <c r="J43" s="18">
        <v>3000</v>
      </c>
      <c r="K43" s="9">
        <f t="shared" si="51"/>
        <v>300</v>
      </c>
      <c r="L43" s="103">
        <v>10</v>
      </c>
      <c r="M43" s="10">
        <f t="shared" ref="M43:M44" si="57">F43/V43*60</f>
        <v>2678.5714285714289</v>
      </c>
      <c r="N43" s="10">
        <f t="shared" ref="N43:N53" si="58">M43/L43</f>
        <v>267.85714285714289</v>
      </c>
      <c r="O43" s="11">
        <f t="shared" ref="O43:O53" si="59">L43-I43</f>
        <v>0</v>
      </c>
      <c r="P43" s="12">
        <f t="shared" si="48"/>
        <v>-32.14285714285711</v>
      </c>
      <c r="Q43" s="101">
        <f t="shared" si="49"/>
        <v>0.89285714285714302</v>
      </c>
      <c r="R43" s="493">
        <f>Q53</f>
        <v>0.9009953330336895</v>
      </c>
      <c r="S43" s="24">
        <v>0.16666666666666666</v>
      </c>
      <c r="T43" s="24">
        <v>0.20555555555555555</v>
      </c>
      <c r="U43" s="15"/>
      <c r="V43" s="104">
        <f t="shared" ref="V43:V52" si="60">(T43-S43)*24*60</f>
        <v>56</v>
      </c>
      <c r="W43" s="100"/>
      <c r="X43" s="100"/>
      <c r="Y43" s="473"/>
      <c r="Z43" s="474"/>
      <c r="AA43" s="11">
        <f t="shared" si="2"/>
        <v>-321.4285714285711</v>
      </c>
      <c r="AB43" s="101">
        <f t="shared" si="54"/>
        <v>0.89285714285714302</v>
      </c>
      <c r="AC43" s="493">
        <f>AB53</f>
        <v>0.90099533303368939</v>
      </c>
    </row>
    <row r="44" spans="1:29" ht="15.75" customHeight="1">
      <c r="A44" s="489" t="s">
        <v>9</v>
      </c>
      <c r="B44" s="26" t="s">
        <v>33</v>
      </c>
      <c r="C44" s="491" t="s">
        <v>35</v>
      </c>
      <c r="D44" s="492"/>
      <c r="E44" s="26">
        <v>21.13</v>
      </c>
      <c r="F44" s="105">
        <v>2800</v>
      </c>
      <c r="G44" s="100">
        <f t="shared" si="56"/>
        <v>59164</v>
      </c>
      <c r="H44" s="76">
        <v>2</v>
      </c>
      <c r="I44" s="103">
        <v>10</v>
      </c>
      <c r="J44" s="18">
        <v>3000</v>
      </c>
      <c r="K44" s="9">
        <f t="shared" si="51"/>
        <v>300</v>
      </c>
      <c r="L44" s="103">
        <v>10</v>
      </c>
      <c r="M44" s="10">
        <f t="shared" si="57"/>
        <v>2709.6774193548399</v>
      </c>
      <c r="N44" s="10">
        <f t="shared" si="58"/>
        <v>270.96774193548401</v>
      </c>
      <c r="O44" s="11">
        <f t="shared" si="59"/>
        <v>0</v>
      </c>
      <c r="P44" s="12">
        <f t="shared" si="48"/>
        <v>-29.032258064515986</v>
      </c>
      <c r="Q44" s="101">
        <f t="shared" si="49"/>
        <v>0.90322580645161343</v>
      </c>
      <c r="R44" s="494"/>
      <c r="S44" s="24">
        <v>0.22569444444444445</v>
      </c>
      <c r="T44" s="24">
        <v>0.26874999999999999</v>
      </c>
      <c r="U44" s="100">
        <f>(S44-T43)*24*60</f>
        <v>29.000000000000018</v>
      </c>
      <c r="V44" s="104">
        <f t="shared" si="60"/>
        <v>61.999999999999979</v>
      </c>
      <c r="W44" s="14"/>
      <c r="X44" s="14"/>
      <c r="Y44" s="473"/>
      <c r="Z44" s="474"/>
      <c r="AA44" s="11">
        <f t="shared" si="2"/>
        <v>-290.32258064516009</v>
      </c>
      <c r="AB44" s="101">
        <f t="shared" si="54"/>
        <v>0.90322580645161332</v>
      </c>
      <c r="AC44" s="494"/>
    </row>
    <row r="45" spans="1:29" ht="15.75" customHeight="1">
      <c r="A45" s="489" t="s">
        <v>9</v>
      </c>
      <c r="B45" s="26" t="s">
        <v>33</v>
      </c>
      <c r="C45" s="491" t="s">
        <v>43</v>
      </c>
      <c r="D45" s="492"/>
      <c r="E45" s="26">
        <v>35.119999999999997</v>
      </c>
      <c r="F45" s="105">
        <v>3533</v>
      </c>
      <c r="G45" s="100">
        <f t="shared" si="56"/>
        <v>124078.95999999999</v>
      </c>
      <c r="H45" s="76" t="s">
        <v>57</v>
      </c>
      <c r="I45" s="103">
        <v>10</v>
      </c>
      <c r="J45" s="18">
        <v>3000</v>
      </c>
      <c r="K45" s="9">
        <f t="shared" si="51"/>
        <v>300</v>
      </c>
      <c r="L45" s="103">
        <v>10</v>
      </c>
      <c r="M45" s="10">
        <f>F45/V45*60</f>
        <v>2683.2911392405076</v>
      </c>
      <c r="N45" s="10">
        <f t="shared" si="58"/>
        <v>268.32911392405077</v>
      </c>
      <c r="O45" s="11">
        <f t="shared" si="59"/>
        <v>0</v>
      </c>
      <c r="P45" s="12">
        <f t="shared" si="48"/>
        <v>-31.670886075949227</v>
      </c>
      <c r="Q45" s="101">
        <f t="shared" si="49"/>
        <v>0.89443037974683592</v>
      </c>
      <c r="R45" s="494"/>
      <c r="S45" s="24">
        <v>0.27291666666666664</v>
      </c>
      <c r="T45" s="24">
        <v>0.32777777777777772</v>
      </c>
      <c r="U45" s="100">
        <f t="shared" ref="U45:U52" si="61">(S45-T44)*24*60</f>
        <v>5.9999999999999787</v>
      </c>
      <c r="V45" s="104">
        <f t="shared" si="60"/>
        <v>78.999999999999957</v>
      </c>
      <c r="W45" s="14"/>
      <c r="X45" s="14"/>
      <c r="Y45" s="473"/>
      <c r="Z45" s="474"/>
      <c r="AA45" s="11">
        <f t="shared" si="2"/>
        <v>-316.70886075949238</v>
      </c>
      <c r="AB45" s="101">
        <f t="shared" si="54"/>
        <v>0.89443037974683592</v>
      </c>
      <c r="AC45" s="494"/>
    </row>
    <row r="46" spans="1:29" ht="15.75" customHeight="1">
      <c r="A46" s="489" t="s">
        <v>9</v>
      </c>
      <c r="B46" s="26" t="s">
        <v>33</v>
      </c>
      <c r="C46" s="491" t="s">
        <v>38</v>
      </c>
      <c r="D46" s="492"/>
      <c r="E46" s="26">
        <v>34.36</v>
      </c>
      <c r="F46" s="105">
        <v>3058</v>
      </c>
      <c r="G46" s="100">
        <f t="shared" si="56"/>
        <v>105072.88</v>
      </c>
      <c r="H46" s="76" t="s">
        <v>57</v>
      </c>
      <c r="I46" s="103">
        <v>10</v>
      </c>
      <c r="J46" s="18">
        <v>3000</v>
      </c>
      <c r="K46" s="9">
        <f t="shared" si="51"/>
        <v>300</v>
      </c>
      <c r="L46" s="103">
        <v>10</v>
      </c>
      <c r="M46" s="10">
        <f t="shared" ref="M46:M52" si="62">F46/V46*60</f>
        <v>2698.2352941176468</v>
      </c>
      <c r="N46" s="10">
        <f t="shared" si="58"/>
        <v>269.8235294117647</v>
      </c>
      <c r="O46" s="11">
        <f t="shared" si="59"/>
        <v>0</v>
      </c>
      <c r="P46" s="12">
        <f t="shared" si="48"/>
        <v>-30.176470588235304</v>
      </c>
      <c r="Q46" s="101">
        <f t="shared" si="49"/>
        <v>0.89941176470588236</v>
      </c>
      <c r="R46" s="494"/>
      <c r="S46" s="24">
        <v>0.33263888888888882</v>
      </c>
      <c r="T46" s="24">
        <v>0.37986111111111104</v>
      </c>
      <c r="U46" s="100">
        <f t="shared" si="61"/>
        <v>6.9999999999999751</v>
      </c>
      <c r="V46" s="104">
        <f t="shared" si="60"/>
        <v>68</v>
      </c>
      <c r="W46" s="14"/>
      <c r="X46" s="14"/>
      <c r="Y46" s="473"/>
      <c r="Z46" s="474"/>
      <c r="AA46" s="11">
        <f t="shared" si="2"/>
        <v>-301.76470588235316</v>
      </c>
      <c r="AB46" s="101">
        <f t="shared" si="54"/>
        <v>0.89941176470588224</v>
      </c>
      <c r="AC46" s="494"/>
    </row>
    <row r="47" spans="1:29" ht="15.75" customHeight="1">
      <c r="A47" s="489" t="s">
        <v>9</v>
      </c>
      <c r="B47" s="26" t="s">
        <v>33</v>
      </c>
      <c r="C47" s="491" t="s">
        <v>67</v>
      </c>
      <c r="D47" s="492"/>
      <c r="E47" s="26">
        <v>40.18</v>
      </c>
      <c r="F47" s="105">
        <v>2386</v>
      </c>
      <c r="G47" s="100">
        <f t="shared" si="56"/>
        <v>95869.48</v>
      </c>
      <c r="H47" s="76" t="s">
        <v>57</v>
      </c>
      <c r="I47" s="103">
        <v>10</v>
      </c>
      <c r="J47" s="18">
        <v>3000</v>
      </c>
      <c r="K47" s="9">
        <f t="shared" si="51"/>
        <v>300</v>
      </c>
      <c r="L47" s="103">
        <v>10</v>
      </c>
      <c r="M47" s="10">
        <f t="shared" si="62"/>
        <v>2701.1320754716994</v>
      </c>
      <c r="N47" s="10">
        <f t="shared" si="58"/>
        <v>270.11320754716996</v>
      </c>
      <c r="O47" s="11">
        <f t="shared" si="59"/>
        <v>0</v>
      </c>
      <c r="P47" s="12">
        <f t="shared" si="48"/>
        <v>-29.886792452830036</v>
      </c>
      <c r="Q47" s="101">
        <f>N47/K47</f>
        <v>0.90037735849056655</v>
      </c>
      <c r="R47" s="494"/>
      <c r="S47" s="24">
        <v>0.38541666666666657</v>
      </c>
      <c r="T47" s="24">
        <v>0.42222222222222211</v>
      </c>
      <c r="U47" s="100">
        <f t="shared" si="61"/>
        <v>7.9999999999999716</v>
      </c>
      <c r="V47" s="104">
        <f t="shared" si="60"/>
        <v>52.999999999999972</v>
      </c>
      <c r="W47" s="14"/>
      <c r="X47" s="14"/>
      <c r="Y47" s="473"/>
      <c r="Z47" s="474"/>
      <c r="AA47" s="11">
        <f t="shared" si="2"/>
        <v>-298.86792452830059</v>
      </c>
      <c r="AB47" s="101">
        <f t="shared" si="54"/>
        <v>0.90037735849056644</v>
      </c>
      <c r="AC47" s="494"/>
    </row>
    <row r="48" spans="1:29" ht="15.75" customHeight="1">
      <c r="A48" s="489" t="s">
        <v>9</v>
      </c>
      <c r="B48" s="26" t="s">
        <v>33</v>
      </c>
      <c r="C48" s="491" t="s">
        <v>42</v>
      </c>
      <c r="D48" s="492"/>
      <c r="E48" s="26">
        <v>35.369999999999997</v>
      </c>
      <c r="F48" s="105">
        <v>1383</v>
      </c>
      <c r="G48" s="100">
        <f t="shared" si="56"/>
        <v>48916.71</v>
      </c>
      <c r="H48" s="76" t="s">
        <v>57</v>
      </c>
      <c r="I48" s="103">
        <v>10</v>
      </c>
      <c r="J48" s="18">
        <v>3000</v>
      </c>
      <c r="K48" s="9">
        <f t="shared" si="51"/>
        <v>300</v>
      </c>
      <c r="L48" s="103">
        <v>10</v>
      </c>
      <c r="M48" s="10">
        <f t="shared" si="62"/>
        <v>2676.7741935483896</v>
      </c>
      <c r="N48" s="10">
        <f t="shared" si="58"/>
        <v>267.67741935483895</v>
      </c>
      <c r="O48" s="11">
        <f t="shared" si="59"/>
        <v>0</v>
      </c>
      <c r="P48" s="12">
        <f t="shared" si="48"/>
        <v>-32.322580645161054</v>
      </c>
      <c r="Q48" s="101">
        <f t="shared" ref="Q48:Q53" si="63">N48/K48</f>
        <v>0.89225806451612977</v>
      </c>
      <c r="R48" s="494"/>
      <c r="S48" s="24">
        <v>0.42638888888888876</v>
      </c>
      <c r="T48" s="24">
        <v>0.44791666666666652</v>
      </c>
      <c r="U48" s="100">
        <f t="shared" si="61"/>
        <v>5.9999999999999787</v>
      </c>
      <c r="V48" s="104">
        <f t="shared" si="60"/>
        <v>30.999999999999972</v>
      </c>
      <c r="W48" s="14"/>
      <c r="X48" s="14"/>
      <c r="Y48" s="473"/>
      <c r="Z48" s="474"/>
      <c r="AA48" s="11">
        <f t="shared" si="2"/>
        <v>-323.22580645161042</v>
      </c>
      <c r="AB48" s="101">
        <f t="shared" si="54"/>
        <v>0.89225806451612988</v>
      </c>
      <c r="AC48" s="494"/>
    </row>
    <row r="49" spans="1:29" ht="15.75" customHeight="1">
      <c r="A49" s="489" t="s">
        <v>9</v>
      </c>
      <c r="B49" s="26" t="s">
        <v>33</v>
      </c>
      <c r="C49" s="491" t="s">
        <v>37</v>
      </c>
      <c r="D49" s="492"/>
      <c r="E49" s="26">
        <v>34.36</v>
      </c>
      <c r="F49" s="105">
        <v>2116</v>
      </c>
      <c r="G49" s="100">
        <f t="shared" si="56"/>
        <v>72705.759999999995</v>
      </c>
      <c r="H49" s="76" t="s">
        <v>57</v>
      </c>
      <c r="I49" s="103">
        <v>10</v>
      </c>
      <c r="J49" s="18">
        <v>3000</v>
      </c>
      <c r="K49" s="9">
        <f t="shared" si="51"/>
        <v>300</v>
      </c>
      <c r="L49" s="103">
        <v>10</v>
      </c>
      <c r="M49" s="10">
        <f t="shared" si="62"/>
        <v>2701.2765957446813</v>
      </c>
      <c r="N49" s="10">
        <f t="shared" si="58"/>
        <v>270.12765957446811</v>
      </c>
      <c r="O49" s="11">
        <f t="shared" si="59"/>
        <v>0</v>
      </c>
      <c r="P49" s="12">
        <f t="shared" si="48"/>
        <v>-29.872340425531888</v>
      </c>
      <c r="Q49" s="101">
        <f t="shared" si="63"/>
        <v>0.90042553191489372</v>
      </c>
      <c r="R49" s="494"/>
      <c r="S49" s="24">
        <v>0.45277777777777761</v>
      </c>
      <c r="T49" s="24">
        <v>0.4854166666666665</v>
      </c>
      <c r="U49" s="100">
        <f t="shared" si="61"/>
        <v>6.9999999999999751</v>
      </c>
      <c r="V49" s="104">
        <f t="shared" si="60"/>
        <v>46.999999999999993</v>
      </c>
      <c r="W49" s="14"/>
      <c r="X49" s="14"/>
      <c r="Y49" s="473"/>
      <c r="Z49" s="474"/>
      <c r="AA49" s="11">
        <f t="shared" si="2"/>
        <v>-298.72340425531866</v>
      </c>
      <c r="AB49" s="101">
        <f t="shared" si="54"/>
        <v>0.90042553191489383</v>
      </c>
      <c r="AC49" s="494"/>
    </row>
    <row r="50" spans="1:29" ht="15.75" customHeight="1">
      <c r="A50" s="489" t="s">
        <v>9</v>
      </c>
      <c r="B50" s="26" t="s">
        <v>33</v>
      </c>
      <c r="C50" s="491" t="s">
        <v>40</v>
      </c>
      <c r="D50" s="492"/>
      <c r="E50" s="26">
        <v>35.119999999999997</v>
      </c>
      <c r="F50" s="105">
        <v>1069</v>
      </c>
      <c r="G50" s="100">
        <f t="shared" si="56"/>
        <v>37543.279999999999</v>
      </c>
      <c r="H50" s="76" t="s">
        <v>57</v>
      </c>
      <c r="I50" s="103">
        <v>14</v>
      </c>
      <c r="J50" s="18">
        <v>2000</v>
      </c>
      <c r="K50" s="9">
        <f t="shared" si="51"/>
        <v>142.85714285714286</v>
      </c>
      <c r="L50" s="103">
        <v>14</v>
      </c>
      <c r="M50" s="10">
        <f t="shared" si="62"/>
        <v>1781.6666666666654</v>
      </c>
      <c r="N50" s="10">
        <f t="shared" si="58"/>
        <v>127.26190476190467</v>
      </c>
      <c r="O50" s="11">
        <f t="shared" si="59"/>
        <v>0</v>
      </c>
      <c r="P50" s="12">
        <f t="shared" si="48"/>
        <v>-15.595238095238187</v>
      </c>
      <c r="Q50" s="101">
        <f t="shared" si="63"/>
        <v>0.8908333333333327</v>
      </c>
      <c r="R50" s="494"/>
      <c r="S50" s="24">
        <v>0.49097222222222203</v>
      </c>
      <c r="T50" s="24">
        <v>0.51597222222222205</v>
      </c>
      <c r="U50" s="100">
        <f t="shared" si="61"/>
        <v>7.9999999999999716</v>
      </c>
      <c r="V50" s="104">
        <f t="shared" si="60"/>
        <v>36.000000000000028</v>
      </c>
      <c r="W50" s="14"/>
      <c r="X50" s="14"/>
      <c r="Y50" s="473"/>
      <c r="Z50" s="474"/>
      <c r="AA50" s="11">
        <f t="shared" si="2"/>
        <v>-218.33333333333462</v>
      </c>
      <c r="AB50" s="101">
        <f t="shared" si="54"/>
        <v>0.8908333333333327</v>
      </c>
      <c r="AC50" s="494"/>
    </row>
    <row r="51" spans="1:29" ht="15.75" customHeight="1">
      <c r="A51" s="489" t="s">
        <v>9</v>
      </c>
      <c r="B51" s="26" t="s">
        <v>33</v>
      </c>
      <c r="C51" s="491" t="s">
        <v>34</v>
      </c>
      <c r="D51" s="492"/>
      <c r="E51" s="26">
        <v>27.17</v>
      </c>
      <c r="F51" s="105">
        <v>2130</v>
      </c>
      <c r="G51" s="100">
        <f t="shared" si="56"/>
        <v>57872.100000000006</v>
      </c>
      <c r="H51" s="76" t="s">
        <v>57</v>
      </c>
      <c r="I51" s="103">
        <v>10</v>
      </c>
      <c r="J51" s="18">
        <v>3000</v>
      </c>
      <c r="K51" s="9">
        <f t="shared" si="51"/>
        <v>300</v>
      </c>
      <c r="L51" s="103">
        <v>10</v>
      </c>
      <c r="M51" s="10">
        <f t="shared" si="62"/>
        <v>2719.1489361702133</v>
      </c>
      <c r="N51" s="10">
        <f t="shared" si="58"/>
        <v>271.91489361702133</v>
      </c>
      <c r="O51" s="11">
        <f t="shared" si="59"/>
        <v>0</v>
      </c>
      <c r="P51" s="12">
        <f t="shared" si="48"/>
        <v>-28.085106382978665</v>
      </c>
      <c r="Q51" s="101">
        <f t="shared" si="63"/>
        <v>0.90638297872340445</v>
      </c>
      <c r="R51" s="494"/>
      <c r="S51" s="24">
        <v>0.55416666666666647</v>
      </c>
      <c r="T51" s="24">
        <v>0.58680555555555536</v>
      </c>
      <c r="U51" s="100">
        <f t="shared" si="61"/>
        <v>54.999999999999964</v>
      </c>
      <c r="V51" s="104">
        <f t="shared" si="60"/>
        <v>46.999999999999993</v>
      </c>
      <c r="W51" s="14"/>
      <c r="X51" s="14"/>
      <c r="Y51" s="473"/>
      <c r="Z51" s="474"/>
      <c r="AA51" s="11">
        <f t="shared" si="2"/>
        <v>-280.85106382978665</v>
      </c>
      <c r="AB51" s="101">
        <f t="shared" si="54"/>
        <v>0.90638297872340445</v>
      </c>
      <c r="AC51" s="494"/>
    </row>
    <row r="52" spans="1:29" ht="15.75" customHeight="1">
      <c r="A52" s="489" t="s">
        <v>9</v>
      </c>
      <c r="B52" s="26" t="s">
        <v>33</v>
      </c>
      <c r="C52" s="491" t="s">
        <v>35</v>
      </c>
      <c r="D52" s="492"/>
      <c r="E52" s="26">
        <v>21.13</v>
      </c>
      <c r="F52" s="105">
        <v>1019</v>
      </c>
      <c r="G52" s="100">
        <f t="shared" si="56"/>
        <v>21531.469999999998</v>
      </c>
      <c r="H52" s="76" t="s">
        <v>57</v>
      </c>
      <c r="I52" s="103">
        <v>10</v>
      </c>
      <c r="J52" s="18">
        <v>3000</v>
      </c>
      <c r="K52" s="9">
        <f t="shared" si="51"/>
        <v>300</v>
      </c>
      <c r="L52" s="103">
        <v>10</v>
      </c>
      <c r="M52" s="10">
        <f t="shared" si="62"/>
        <v>2779.090909090919</v>
      </c>
      <c r="N52" s="10">
        <f t="shared" si="58"/>
        <v>277.9090909090919</v>
      </c>
      <c r="O52" s="11">
        <f t="shared" si="59"/>
        <v>0</v>
      </c>
      <c r="P52" s="12">
        <f t="shared" si="48"/>
        <v>-22.090909090908099</v>
      </c>
      <c r="Q52" s="101">
        <f t="shared" si="63"/>
        <v>0.92636363636363972</v>
      </c>
      <c r="R52" s="494"/>
      <c r="S52" s="24">
        <v>0.59236111111111089</v>
      </c>
      <c r="T52" s="24">
        <v>0.60763888888888862</v>
      </c>
      <c r="U52" s="100">
        <f t="shared" si="61"/>
        <v>7.9999999999999716</v>
      </c>
      <c r="V52" s="104">
        <f t="shared" si="60"/>
        <v>21.999999999999922</v>
      </c>
      <c r="W52" s="14"/>
      <c r="X52" s="14"/>
      <c r="Y52" s="473"/>
      <c r="Z52" s="474"/>
      <c r="AA52" s="11">
        <f t="shared" si="2"/>
        <v>-220.90909090908099</v>
      </c>
      <c r="AB52" s="101">
        <f t="shared" si="54"/>
        <v>0.92636363636363972</v>
      </c>
      <c r="AC52" s="494"/>
    </row>
    <row r="53" spans="1:29" ht="15.75" customHeight="1">
      <c r="A53" s="490" t="s">
        <v>9</v>
      </c>
      <c r="B53" s="26" t="s">
        <v>81</v>
      </c>
      <c r="C53" s="497"/>
      <c r="D53" s="498"/>
      <c r="E53" s="102"/>
      <c r="F53" s="105"/>
      <c r="G53" s="100"/>
      <c r="H53" s="105"/>
      <c r="I53" s="17">
        <v>10.4</v>
      </c>
      <c r="J53" s="18">
        <v>2900</v>
      </c>
      <c r="K53" s="9">
        <f>J53/I53</f>
        <v>278.84615384615381</v>
      </c>
      <c r="L53" s="17">
        <v>10.4</v>
      </c>
      <c r="M53" s="10">
        <f>AVERAGE(M43:M52)</f>
        <v>2612.8864657976992</v>
      </c>
      <c r="N53" s="9">
        <f t="shared" si="58"/>
        <v>251.23908324977876</v>
      </c>
      <c r="O53" s="11">
        <f t="shared" si="59"/>
        <v>0</v>
      </c>
      <c r="P53" s="12">
        <f t="shared" si="48"/>
        <v>-27.607070596375053</v>
      </c>
      <c r="Q53" s="101">
        <f t="shared" si="63"/>
        <v>0.9009953330336895</v>
      </c>
      <c r="R53" s="495"/>
      <c r="S53" s="24"/>
      <c r="T53" s="24"/>
      <c r="U53" s="100"/>
      <c r="V53" s="104"/>
      <c r="W53" s="14"/>
      <c r="X53" s="14"/>
      <c r="Y53" s="473"/>
      <c r="Z53" s="474"/>
      <c r="AA53" s="11">
        <f t="shared" si="2"/>
        <v>-287.1135342023008</v>
      </c>
      <c r="AB53" s="101">
        <f t="shared" si="54"/>
        <v>0.90099533303368939</v>
      </c>
      <c r="AC53" s="495"/>
    </row>
    <row r="54" spans="1:29" ht="15.75" customHeight="1">
      <c r="A54" s="461" t="s">
        <v>125</v>
      </c>
      <c r="B54" s="26" t="s">
        <v>13</v>
      </c>
      <c r="C54" s="487" t="s">
        <v>65</v>
      </c>
      <c r="D54" s="487"/>
      <c r="E54" s="26">
        <v>55.56</v>
      </c>
      <c r="F54" s="27">
        <v>1795</v>
      </c>
      <c r="G54" s="100">
        <f t="shared" ref="G54:G55" si="64">E54*F54</f>
        <v>99730.2</v>
      </c>
      <c r="H54" s="76" t="s">
        <v>57</v>
      </c>
      <c r="I54" s="103">
        <v>17</v>
      </c>
      <c r="J54" s="18">
        <v>1500</v>
      </c>
      <c r="K54" s="9">
        <f t="shared" ref="K54:K55" si="65">J54/I54</f>
        <v>88.235294117647058</v>
      </c>
      <c r="L54" s="103">
        <v>17</v>
      </c>
      <c r="M54" s="10">
        <f t="shared" ref="M54:M55" si="66">F54/V54*60</f>
        <v>1346.2499999999995</v>
      </c>
      <c r="N54" s="10">
        <f>M54/L54</f>
        <v>79.191176470588204</v>
      </c>
      <c r="O54" s="11">
        <f>L54-I54</f>
        <v>0</v>
      </c>
      <c r="P54" s="12">
        <f>N54-K54</f>
        <v>-9.0441176470588545</v>
      </c>
      <c r="Q54" s="101">
        <f>N54/K54</f>
        <v>0.89749999999999963</v>
      </c>
      <c r="R54" s="470">
        <f>Q56</f>
        <v>0.90129237288135622</v>
      </c>
      <c r="S54" s="24">
        <v>0.70833333333333337</v>
      </c>
      <c r="T54" s="24">
        <v>0.76388888888888895</v>
      </c>
      <c r="U54" s="15"/>
      <c r="V54" s="104">
        <f t="shared" ref="V54:V55" si="67">(T54-S54)*24*60</f>
        <v>80.000000000000028</v>
      </c>
      <c r="W54" s="15"/>
      <c r="X54" s="15"/>
      <c r="Y54" s="456"/>
      <c r="Z54" s="456"/>
      <c r="AA54" s="11">
        <f t="shared" si="2"/>
        <v>-153.75000000000045</v>
      </c>
      <c r="AB54" s="101">
        <f t="shared" si="54"/>
        <v>0.89749999999999974</v>
      </c>
      <c r="AC54" s="470">
        <f>AB56</f>
        <v>0.90129237288135622</v>
      </c>
    </row>
    <row r="55" spans="1:29" ht="15.75" customHeight="1">
      <c r="A55" s="461" t="s">
        <v>10</v>
      </c>
      <c r="B55" s="26" t="s">
        <v>13</v>
      </c>
      <c r="C55" s="487" t="s">
        <v>64</v>
      </c>
      <c r="D55" s="487"/>
      <c r="E55" s="26">
        <v>55.32</v>
      </c>
      <c r="F55" s="27">
        <v>1335</v>
      </c>
      <c r="G55" s="100">
        <f t="shared" si="64"/>
        <v>73852.2</v>
      </c>
      <c r="H55" s="76" t="s">
        <v>57</v>
      </c>
      <c r="I55" s="103">
        <v>15</v>
      </c>
      <c r="J55" s="18">
        <v>1500</v>
      </c>
      <c r="K55" s="9">
        <f t="shared" si="65"/>
        <v>100</v>
      </c>
      <c r="L55" s="103">
        <v>15</v>
      </c>
      <c r="M55" s="10">
        <f t="shared" si="66"/>
        <v>1357.627118644069</v>
      </c>
      <c r="N55" s="10">
        <f t="shared" ref="N55" si="68">M55/L55</f>
        <v>90.508474576271269</v>
      </c>
      <c r="O55" s="11">
        <f t="shared" ref="O55" si="69">L55-I55</f>
        <v>0</v>
      </c>
      <c r="P55" s="12">
        <f t="shared" ref="P55" si="70">N55-K55</f>
        <v>-9.4915254237287314</v>
      </c>
      <c r="Q55" s="101">
        <f t="shared" ref="Q55" si="71">N55/K55</f>
        <v>0.90508474576271269</v>
      </c>
      <c r="R55" s="470"/>
      <c r="S55" s="24">
        <v>0.76875000000000004</v>
      </c>
      <c r="T55" s="24">
        <v>0.80972222222222223</v>
      </c>
      <c r="U55" s="100">
        <f t="shared" ref="U55" si="72">(S55-T54)*24*60</f>
        <v>6.9999999999999751</v>
      </c>
      <c r="V55" s="104">
        <f t="shared" si="67"/>
        <v>58.99999999999995</v>
      </c>
      <c r="W55" s="14"/>
      <c r="X55" s="14"/>
      <c r="Y55" s="456"/>
      <c r="Z55" s="456"/>
      <c r="AA55" s="11">
        <f t="shared" si="2"/>
        <v>-142.37288135593099</v>
      </c>
      <c r="AB55" s="101">
        <f t="shared" si="54"/>
        <v>0.90508474576271269</v>
      </c>
      <c r="AC55" s="470"/>
    </row>
    <row r="56" spans="1:29">
      <c r="A56" s="496" t="s">
        <v>10</v>
      </c>
      <c r="B56" s="26" t="s">
        <v>81</v>
      </c>
      <c r="C56" s="466"/>
      <c r="D56" s="466"/>
      <c r="E56" s="99"/>
      <c r="F56" s="16"/>
      <c r="G56" s="9"/>
      <c r="H56" s="105"/>
      <c r="I56" s="17">
        <v>16</v>
      </c>
      <c r="J56" s="18">
        <v>1500</v>
      </c>
      <c r="K56" s="9">
        <f>J56/I56</f>
        <v>93.75</v>
      </c>
      <c r="L56" s="17">
        <v>16</v>
      </c>
      <c r="M56" s="10">
        <f>AVERAGE(M54:M55)</f>
        <v>1351.9385593220343</v>
      </c>
      <c r="N56" s="9">
        <f>M56/L56</f>
        <v>84.496159957627142</v>
      </c>
      <c r="O56" s="11">
        <f>L56-I56</f>
        <v>0</v>
      </c>
      <c r="P56" s="12">
        <f>N56-K56</f>
        <v>-9.2538400423728575</v>
      </c>
      <c r="Q56" s="101">
        <f>N56/K56</f>
        <v>0.90129237288135622</v>
      </c>
      <c r="R56" s="470"/>
      <c r="S56" s="25"/>
      <c r="T56" s="24"/>
      <c r="U56" s="9"/>
      <c r="V56" s="104"/>
      <c r="W56" s="9"/>
      <c r="X56" s="9"/>
      <c r="Y56" s="456"/>
      <c r="Z56" s="456"/>
      <c r="AA56" s="11">
        <f t="shared" si="2"/>
        <v>-148.06144067796572</v>
      </c>
      <c r="AB56" s="101">
        <f t="shared" si="54"/>
        <v>0.90129237288135622</v>
      </c>
      <c r="AC56" s="470"/>
    </row>
    <row r="57" spans="1:29" ht="15.75" customHeight="1">
      <c r="A57" s="499" t="s">
        <v>328</v>
      </c>
      <c r="B57" s="105" t="s">
        <v>18</v>
      </c>
      <c r="C57" s="487" t="s">
        <v>19</v>
      </c>
      <c r="D57" s="487"/>
      <c r="E57" s="26">
        <v>41</v>
      </c>
      <c r="F57" s="27">
        <v>1460</v>
      </c>
      <c r="G57" s="100">
        <f t="shared" ref="G57:G61" si="73">E57*F57</f>
        <v>59860</v>
      </c>
      <c r="H57" s="76" t="s">
        <v>57</v>
      </c>
      <c r="I57" s="103">
        <v>21</v>
      </c>
      <c r="J57" s="18">
        <v>1286</v>
      </c>
      <c r="K57" s="9">
        <f t="shared" ref="K57:K61" si="74">J57/I57</f>
        <v>61.238095238095241</v>
      </c>
      <c r="L57" s="17">
        <v>21</v>
      </c>
      <c r="M57" s="10">
        <f t="shared" ref="M57:M61" si="75">F57/V57*60</f>
        <v>1152.6315789473681</v>
      </c>
      <c r="N57" s="9">
        <f>M57/L57</f>
        <v>54.887218045112768</v>
      </c>
      <c r="O57" s="11">
        <f t="shared" ref="O57:O61" si="76">L57-I57</f>
        <v>0</v>
      </c>
      <c r="P57" s="12">
        <f t="shared" ref="P57:P61" si="77">N57-K57</f>
        <v>-6.3508771929824732</v>
      </c>
      <c r="Q57" s="101">
        <f>N57/K57</f>
        <v>0.89629205205860663</v>
      </c>
      <c r="R57" s="470">
        <f>Q62</f>
        <v>0.91008232060519012</v>
      </c>
      <c r="S57" s="24">
        <v>0.20833333333333334</v>
      </c>
      <c r="T57" s="24">
        <v>0.26111111111111113</v>
      </c>
      <c r="U57" s="100"/>
      <c r="V57" s="104">
        <f t="shared" ref="V57:V61" si="78">(T57-S57)*24*60</f>
        <v>76.000000000000014</v>
      </c>
      <c r="W57" s="15"/>
      <c r="X57" s="15"/>
      <c r="Y57" s="456"/>
      <c r="Z57" s="456"/>
      <c r="AA57" s="11">
        <f t="shared" si="2"/>
        <v>-133.3684210526319</v>
      </c>
      <c r="AB57" s="101">
        <f t="shared" si="54"/>
        <v>0.89629205205860663</v>
      </c>
      <c r="AC57" s="470">
        <f>AB62</f>
        <v>0.91008232060519012</v>
      </c>
    </row>
    <row r="58" spans="1:29" ht="15.75" customHeight="1">
      <c r="A58" s="499" t="s">
        <v>11</v>
      </c>
      <c r="B58" s="105" t="s">
        <v>15</v>
      </c>
      <c r="C58" s="487" t="s">
        <v>39</v>
      </c>
      <c r="D58" s="487"/>
      <c r="E58" s="26">
        <v>26.97</v>
      </c>
      <c r="F58" s="27">
        <v>3209</v>
      </c>
      <c r="G58" s="100">
        <f t="shared" si="73"/>
        <v>86546.73</v>
      </c>
      <c r="H58" s="76" t="s">
        <v>57</v>
      </c>
      <c r="I58" s="103">
        <v>11</v>
      </c>
      <c r="J58" s="18">
        <v>1440</v>
      </c>
      <c r="K58" s="9">
        <f t="shared" si="74"/>
        <v>130.90909090909091</v>
      </c>
      <c r="L58" s="17">
        <v>11</v>
      </c>
      <c r="M58" s="10">
        <f t="shared" si="75"/>
        <v>1292.214765100671</v>
      </c>
      <c r="N58" s="9">
        <f t="shared" ref="N58:N61" si="79">M58/L58</f>
        <v>117.47406955460646</v>
      </c>
      <c r="O58" s="11">
        <f t="shared" si="76"/>
        <v>0</v>
      </c>
      <c r="P58" s="12">
        <f t="shared" si="77"/>
        <v>-13.435021354484448</v>
      </c>
      <c r="Q58" s="101">
        <f t="shared" ref="Q58:Q61" si="80">N58/K58</f>
        <v>0.89737136465324385</v>
      </c>
      <c r="R58" s="470"/>
      <c r="S58" s="24">
        <v>0.26527777777777778</v>
      </c>
      <c r="T58" s="24">
        <v>0.36875000000000002</v>
      </c>
      <c r="U58" s="100">
        <f>(S58-T57)*24*60</f>
        <v>5.9999999999999787</v>
      </c>
      <c r="V58" s="104">
        <f t="shared" si="78"/>
        <v>149.00000000000003</v>
      </c>
      <c r="W58" s="100"/>
      <c r="X58" s="100"/>
      <c r="Y58" s="456"/>
      <c r="Z58" s="456"/>
      <c r="AA58" s="11">
        <f t="shared" si="2"/>
        <v>-147.785234899329</v>
      </c>
      <c r="AB58" s="101">
        <f t="shared" si="54"/>
        <v>0.89737136465324374</v>
      </c>
      <c r="AC58" s="470"/>
    </row>
    <row r="59" spans="1:29" ht="15.75" customHeight="1">
      <c r="A59" s="499" t="s">
        <v>11</v>
      </c>
      <c r="B59" s="105" t="s">
        <v>33</v>
      </c>
      <c r="C59" s="487" t="s">
        <v>41</v>
      </c>
      <c r="D59" s="487"/>
      <c r="E59" s="26">
        <v>34.35</v>
      </c>
      <c r="F59" s="27">
        <v>1158</v>
      </c>
      <c r="G59" s="100">
        <f t="shared" si="73"/>
        <v>39777.300000000003</v>
      </c>
      <c r="H59" s="76" t="s">
        <v>57</v>
      </c>
      <c r="I59" s="103">
        <v>10</v>
      </c>
      <c r="J59" s="18">
        <v>3000</v>
      </c>
      <c r="K59" s="9">
        <f t="shared" si="74"/>
        <v>300</v>
      </c>
      <c r="L59" s="17">
        <v>10</v>
      </c>
      <c r="M59" s="10">
        <f t="shared" si="75"/>
        <v>2779.2000000000007</v>
      </c>
      <c r="N59" s="9">
        <f t="shared" si="79"/>
        <v>277.92000000000007</v>
      </c>
      <c r="O59" s="11">
        <f t="shared" si="76"/>
        <v>0</v>
      </c>
      <c r="P59" s="12">
        <f t="shared" si="77"/>
        <v>-22.079999999999927</v>
      </c>
      <c r="Q59" s="101">
        <f t="shared" si="80"/>
        <v>0.92640000000000022</v>
      </c>
      <c r="R59" s="470"/>
      <c r="S59" s="24">
        <v>0.37361111111111112</v>
      </c>
      <c r="T59" s="24">
        <v>0.39097222222222222</v>
      </c>
      <c r="U59" s="100">
        <f t="shared" ref="U59:U61" si="81">(S59-T58)*24*60</f>
        <v>6.9999999999999751</v>
      </c>
      <c r="V59" s="104">
        <f t="shared" si="78"/>
        <v>24.999999999999993</v>
      </c>
      <c r="W59" s="100"/>
      <c r="X59" s="100"/>
      <c r="Y59" s="456"/>
      <c r="Z59" s="456"/>
      <c r="AA59" s="11">
        <f t="shared" si="2"/>
        <v>-220.79999999999927</v>
      </c>
      <c r="AB59" s="101">
        <f t="shared" si="54"/>
        <v>0.92640000000000022</v>
      </c>
      <c r="AC59" s="470"/>
    </row>
    <row r="60" spans="1:29" ht="15.75" customHeight="1">
      <c r="A60" s="499" t="s">
        <v>11</v>
      </c>
      <c r="B60" s="105" t="s">
        <v>33</v>
      </c>
      <c r="C60" s="487" t="s">
        <v>73</v>
      </c>
      <c r="D60" s="487"/>
      <c r="E60" s="26">
        <v>28.5</v>
      </c>
      <c r="F60" s="27">
        <v>1730</v>
      </c>
      <c r="G60" s="100">
        <f t="shared" si="73"/>
        <v>49305</v>
      </c>
      <c r="H60" s="76" t="s">
        <v>57</v>
      </c>
      <c r="I60" s="103">
        <v>10</v>
      </c>
      <c r="J60" s="18">
        <v>3000</v>
      </c>
      <c r="K60" s="9">
        <f t="shared" si="74"/>
        <v>300</v>
      </c>
      <c r="L60" s="17">
        <v>10</v>
      </c>
      <c r="M60" s="10">
        <f t="shared" si="75"/>
        <v>2731.578947368419</v>
      </c>
      <c r="N60" s="9">
        <f t="shared" si="79"/>
        <v>273.15789473684191</v>
      </c>
      <c r="O60" s="11">
        <f t="shared" si="76"/>
        <v>0</v>
      </c>
      <c r="P60" s="12">
        <f t="shared" si="77"/>
        <v>-26.842105263158089</v>
      </c>
      <c r="Q60" s="101">
        <f t="shared" si="80"/>
        <v>0.91052631578947307</v>
      </c>
      <c r="R60" s="470"/>
      <c r="S60" s="24">
        <v>0.39444444444444443</v>
      </c>
      <c r="T60" s="24">
        <v>0.42083333333333334</v>
      </c>
      <c r="U60" s="100">
        <f t="shared" si="81"/>
        <v>4.9999999999999822</v>
      </c>
      <c r="V60" s="104">
        <f t="shared" si="78"/>
        <v>38.000000000000028</v>
      </c>
      <c r="W60" s="100"/>
      <c r="X60" s="100"/>
      <c r="Y60" s="456"/>
      <c r="Z60" s="456"/>
      <c r="AA60" s="11">
        <f t="shared" si="2"/>
        <v>-268.42105263158101</v>
      </c>
      <c r="AB60" s="101">
        <f t="shared" si="54"/>
        <v>0.91052631578947296</v>
      </c>
      <c r="AC60" s="470"/>
    </row>
    <row r="61" spans="1:29">
      <c r="A61" s="500" t="s">
        <v>11</v>
      </c>
      <c r="B61" s="105" t="s">
        <v>33</v>
      </c>
      <c r="C61" s="487" t="s">
        <v>36</v>
      </c>
      <c r="D61" s="487"/>
      <c r="E61" s="26">
        <v>26.78</v>
      </c>
      <c r="F61" s="27">
        <v>2037</v>
      </c>
      <c r="G61" s="100">
        <f t="shared" si="73"/>
        <v>54550.86</v>
      </c>
      <c r="H61" s="76" t="s">
        <v>57</v>
      </c>
      <c r="I61" s="103">
        <v>10</v>
      </c>
      <c r="J61" s="18">
        <v>3000</v>
      </c>
      <c r="K61" s="9">
        <f t="shared" si="74"/>
        <v>300</v>
      </c>
      <c r="L61" s="17">
        <v>10</v>
      </c>
      <c r="M61" s="10">
        <f t="shared" si="75"/>
        <v>2716</v>
      </c>
      <c r="N61" s="9">
        <f t="shared" si="79"/>
        <v>271.60000000000002</v>
      </c>
      <c r="O61" s="11">
        <f t="shared" si="76"/>
        <v>0</v>
      </c>
      <c r="P61" s="12">
        <f t="shared" si="77"/>
        <v>-28.399999999999977</v>
      </c>
      <c r="Q61" s="101">
        <f t="shared" si="80"/>
        <v>0.90533333333333343</v>
      </c>
      <c r="R61" s="470"/>
      <c r="S61" s="24">
        <v>0.42499999999999999</v>
      </c>
      <c r="T61" s="24">
        <v>0.45624999999999999</v>
      </c>
      <c r="U61" s="100">
        <f t="shared" si="81"/>
        <v>5.9999999999999787</v>
      </c>
      <c r="V61" s="104">
        <f t="shared" si="78"/>
        <v>45</v>
      </c>
      <c r="W61" s="14"/>
      <c r="X61" s="14"/>
      <c r="Y61" s="456"/>
      <c r="Z61" s="456"/>
      <c r="AA61" s="11">
        <f t="shared" si="2"/>
        <v>-284</v>
      </c>
      <c r="AB61" s="101">
        <f t="shared" si="54"/>
        <v>0.90533333333333332</v>
      </c>
      <c r="AC61" s="470"/>
    </row>
    <row r="62" spans="1:29">
      <c r="A62" s="500" t="s">
        <v>11</v>
      </c>
      <c r="B62" s="26" t="s">
        <v>81</v>
      </c>
      <c r="C62" s="466"/>
      <c r="D62" s="466"/>
      <c r="E62" s="99"/>
      <c r="F62" s="16"/>
      <c r="G62" s="9"/>
      <c r="H62" s="105"/>
      <c r="I62" s="17">
        <v>12.4</v>
      </c>
      <c r="J62" s="18">
        <v>2345.1999999999998</v>
      </c>
      <c r="K62" s="9">
        <f>J62/I62</f>
        <v>189.12903225806448</v>
      </c>
      <c r="L62" s="17">
        <v>12.4</v>
      </c>
      <c r="M62" s="10">
        <f>AVERAGE(M57:M61)</f>
        <v>2134.3250582832916</v>
      </c>
      <c r="N62" s="9">
        <f>M62/L62</f>
        <v>172.12298857123318</v>
      </c>
      <c r="O62" s="11">
        <f>L62-I62</f>
        <v>0</v>
      </c>
      <c r="P62" s="12">
        <f>N62-K62</f>
        <v>-17.006043686831305</v>
      </c>
      <c r="Q62" s="101">
        <f>N62/K62</f>
        <v>0.91008232060519012</v>
      </c>
      <c r="R62" s="470"/>
      <c r="S62" s="24"/>
      <c r="T62" s="24"/>
      <c r="U62" s="9"/>
      <c r="V62" s="104"/>
      <c r="W62" s="9"/>
      <c r="X62" s="9"/>
      <c r="Y62" s="456"/>
      <c r="Z62" s="456"/>
      <c r="AA62" s="11">
        <f t="shared" si="2"/>
        <v>-210.87494171670824</v>
      </c>
      <c r="AB62" s="101">
        <f t="shared" si="54"/>
        <v>0.91008232060519012</v>
      </c>
      <c r="AC62" s="470"/>
    </row>
    <row r="63" spans="1:29" ht="15.75" customHeight="1">
      <c r="A63" s="467" t="s">
        <v>164</v>
      </c>
      <c r="B63" s="105" t="s">
        <v>24</v>
      </c>
      <c r="C63" s="487" t="s">
        <v>44</v>
      </c>
      <c r="D63" s="487"/>
      <c r="E63" s="26">
        <v>29.58</v>
      </c>
      <c r="F63" s="105">
        <v>4000</v>
      </c>
      <c r="G63" s="100">
        <f t="shared" ref="G63:G68" si="82">E63*F63</f>
        <v>118320</v>
      </c>
      <c r="H63" s="76">
        <v>2</v>
      </c>
      <c r="I63" s="103">
        <v>17</v>
      </c>
      <c r="J63" s="18">
        <v>2400</v>
      </c>
      <c r="K63" s="9">
        <f t="shared" ref="K63:K65" si="83">J63/I63</f>
        <v>141.1764705882353</v>
      </c>
      <c r="L63" s="17">
        <v>17</v>
      </c>
      <c r="M63" s="10">
        <f>F63/V63*60</f>
        <v>2142.8571428571431</v>
      </c>
      <c r="N63" s="9">
        <f t="shared" ref="N63:N68" si="84">M63/L63</f>
        <v>126.05042016806725</v>
      </c>
      <c r="O63" s="11">
        <f t="shared" ref="O63:O68" si="85">L63-I63</f>
        <v>0</v>
      </c>
      <c r="P63" s="12">
        <f t="shared" ref="P63:P68" si="86">N63-K63</f>
        <v>-15.126050420168056</v>
      </c>
      <c r="Q63" s="101">
        <f>N63/K63</f>
        <v>0.8928571428571429</v>
      </c>
      <c r="R63" s="470">
        <f>Q69</f>
        <v>0.90089364035087738</v>
      </c>
      <c r="S63" s="24">
        <v>0.16666666666666666</v>
      </c>
      <c r="T63" s="24">
        <v>0.24444444444444444</v>
      </c>
      <c r="U63" s="15"/>
      <c r="V63" s="104">
        <f t="shared" ref="V63:V68" si="87">(T63-S63)*24*60</f>
        <v>112</v>
      </c>
      <c r="W63" s="14"/>
      <c r="X63" s="14"/>
      <c r="Y63" s="456"/>
      <c r="Z63" s="456"/>
      <c r="AA63" s="11">
        <f t="shared" si="2"/>
        <v>-257.14285714285688</v>
      </c>
      <c r="AB63" s="101">
        <f>M63/J63</f>
        <v>0.89285714285714302</v>
      </c>
      <c r="AC63" s="470">
        <f>AB69</f>
        <v>0.90089364035087727</v>
      </c>
    </row>
    <row r="64" spans="1:29" ht="15.75" customHeight="1">
      <c r="A64" s="467" t="s">
        <v>12</v>
      </c>
      <c r="B64" s="105" t="s">
        <v>24</v>
      </c>
      <c r="C64" s="487" t="s">
        <v>45</v>
      </c>
      <c r="D64" s="487"/>
      <c r="E64" s="26">
        <v>19.02</v>
      </c>
      <c r="F64" s="105">
        <v>7165</v>
      </c>
      <c r="G64" s="100">
        <f t="shared" si="82"/>
        <v>136278.29999999999</v>
      </c>
      <c r="H64" s="76" t="s">
        <v>57</v>
      </c>
      <c r="I64" s="103">
        <v>16</v>
      </c>
      <c r="J64" s="18">
        <v>2400</v>
      </c>
      <c r="K64" s="9">
        <f t="shared" si="83"/>
        <v>150</v>
      </c>
      <c r="L64" s="17">
        <v>16</v>
      </c>
      <c r="M64" s="10">
        <f t="shared" ref="M64:M68" si="88">F64/V64*60</f>
        <v>2149.5</v>
      </c>
      <c r="N64" s="9">
        <f t="shared" si="84"/>
        <v>134.34375</v>
      </c>
      <c r="O64" s="11">
        <f t="shared" si="85"/>
        <v>0</v>
      </c>
      <c r="P64" s="12">
        <f t="shared" si="86"/>
        <v>-15.65625</v>
      </c>
      <c r="Q64" s="101">
        <f t="shared" ref="Q64:Q69" si="89">N64/K64</f>
        <v>0.895625</v>
      </c>
      <c r="R64" s="470"/>
      <c r="S64" s="24">
        <v>0.24930555555555556</v>
      </c>
      <c r="T64" s="24">
        <v>0.38819444444444445</v>
      </c>
      <c r="U64" s="100">
        <f>(S64-T63)*24*60</f>
        <v>7.0000000000000151</v>
      </c>
      <c r="V64" s="104">
        <f t="shared" si="87"/>
        <v>200</v>
      </c>
      <c r="W64" s="14"/>
      <c r="X64" s="14"/>
      <c r="Y64" s="456"/>
      <c r="Z64" s="456"/>
      <c r="AA64" s="11">
        <f t="shared" si="2"/>
        <v>-250.5</v>
      </c>
      <c r="AB64" s="101">
        <f t="shared" ref="AB64:AB69" si="90">M64/J64</f>
        <v>0.895625</v>
      </c>
      <c r="AC64" s="470"/>
    </row>
    <row r="65" spans="1:29" ht="15.75" customHeight="1">
      <c r="A65" s="467" t="s">
        <v>12</v>
      </c>
      <c r="B65" s="105" t="s">
        <v>24</v>
      </c>
      <c r="C65" s="487" t="s">
        <v>56</v>
      </c>
      <c r="D65" s="487"/>
      <c r="E65" s="26">
        <v>20.2</v>
      </c>
      <c r="F65" s="105">
        <v>2059</v>
      </c>
      <c r="G65" s="100">
        <f t="shared" si="82"/>
        <v>41591.799999999996</v>
      </c>
      <c r="H65" s="76" t="s">
        <v>57</v>
      </c>
      <c r="I65" s="103">
        <v>19</v>
      </c>
      <c r="J65" s="18">
        <v>2400</v>
      </c>
      <c r="K65" s="9">
        <f t="shared" si="83"/>
        <v>126.31578947368421</v>
      </c>
      <c r="L65" s="17">
        <v>19</v>
      </c>
      <c r="M65" s="10">
        <f t="shared" si="88"/>
        <v>2167.3684210526299</v>
      </c>
      <c r="N65" s="9">
        <f t="shared" si="84"/>
        <v>114.07202216066473</v>
      </c>
      <c r="O65" s="11">
        <f t="shared" si="85"/>
        <v>0</v>
      </c>
      <c r="P65" s="12">
        <f t="shared" si="86"/>
        <v>-12.243767313019475</v>
      </c>
      <c r="Q65" s="101">
        <f t="shared" si="89"/>
        <v>0.9030701754385958</v>
      </c>
      <c r="R65" s="470"/>
      <c r="S65" s="24">
        <v>0.39374999999999999</v>
      </c>
      <c r="T65" s="24">
        <v>0.43333333333333335</v>
      </c>
      <c r="U65" s="100">
        <f t="shared" ref="U65:U68" si="91">(S65-T64)*24*60</f>
        <v>7.9999999999999716</v>
      </c>
      <c r="V65" s="104">
        <f t="shared" si="87"/>
        <v>57.000000000000036</v>
      </c>
      <c r="W65" s="14"/>
      <c r="X65" s="14"/>
      <c r="Y65" s="456"/>
      <c r="Z65" s="456"/>
      <c r="AA65" s="11">
        <f t="shared" si="2"/>
        <v>-232.63157894737014</v>
      </c>
      <c r="AB65" s="101">
        <f t="shared" si="90"/>
        <v>0.9030701754385958</v>
      </c>
      <c r="AC65" s="470"/>
    </row>
    <row r="66" spans="1:29" ht="15.75" customHeight="1">
      <c r="A66" s="467" t="s">
        <v>12</v>
      </c>
      <c r="B66" s="105" t="s">
        <v>24</v>
      </c>
      <c r="C66" s="487" t="s">
        <v>83</v>
      </c>
      <c r="D66" s="487"/>
      <c r="E66" s="26">
        <v>32.03</v>
      </c>
      <c r="F66" s="105">
        <v>1805</v>
      </c>
      <c r="G66" s="100">
        <f t="shared" si="82"/>
        <v>57814.15</v>
      </c>
      <c r="H66" s="76" t="s">
        <v>57</v>
      </c>
      <c r="I66" s="103">
        <v>19</v>
      </c>
      <c r="J66" s="18">
        <v>2400</v>
      </c>
      <c r="K66" s="9">
        <f>J66/I66</f>
        <v>126.31578947368421</v>
      </c>
      <c r="L66" s="17">
        <v>19</v>
      </c>
      <c r="M66" s="10">
        <f t="shared" si="88"/>
        <v>2166.0000000000005</v>
      </c>
      <c r="N66" s="9">
        <f t="shared" si="84"/>
        <v>114.00000000000003</v>
      </c>
      <c r="O66" s="11">
        <f t="shared" si="85"/>
        <v>0</v>
      </c>
      <c r="P66" s="12">
        <f t="shared" si="86"/>
        <v>-12.315789473684177</v>
      </c>
      <c r="Q66" s="101">
        <f t="shared" si="89"/>
        <v>0.9025000000000003</v>
      </c>
      <c r="R66" s="470"/>
      <c r="S66" s="24">
        <v>0.43888888888888888</v>
      </c>
      <c r="T66" s="24">
        <v>0.47361111111111109</v>
      </c>
      <c r="U66" s="100">
        <f t="shared" si="91"/>
        <v>7.9999999999999716</v>
      </c>
      <c r="V66" s="104">
        <f t="shared" si="87"/>
        <v>49.999999999999986</v>
      </c>
      <c r="W66" s="14"/>
      <c r="X66" s="14"/>
      <c r="Y66" s="456"/>
      <c r="Z66" s="456"/>
      <c r="AA66" s="11">
        <f t="shared" si="2"/>
        <v>-233.99999999999955</v>
      </c>
      <c r="AB66" s="101">
        <f t="shared" si="90"/>
        <v>0.90250000000000019</v>
      </c>
      <c r="AC66" s="470"/>
    </row>
    <row r="67" spans="1:29" ht="15.75" customHeight="1">
      <c r="A67" s="467" t="s">
        <v>12</v>
      </c>
      <c r="B67" s="105" t="s">
        <v>24</v>
      </c>
      <c r="C67" s="487" t="s">
        <v>28</v>
      </c>
      <c r="D67" s="487"/>
      <c r="E67" s="26">
        <v>22.69</v>
      </c>
      <c r="F67" s="105">
        <v>1100</v>
      </c>
      <c r="G67" s="100">
        <f t="shared" si="82"/>
        <v>24959</v>
      </c>
      <c r="H67" s="76" t="s">
        <v>57</v>
      </c>
      <c r="I67" s="103">
        <v>18</v>
      </c>
      <c r="J67" s="18">
        <v>2400</v>
      </c>
      <c r="K67" s="9">
        <f t="shared" ref="K67:K69" si="92">J67/I67</f>
        <v>133.33333333333334</v>
      </c>
      <c r="L67" s="17">
        <v>18</v>
      </c>
      <c r="M67" s="10">
        <f t="shared" si="88"/>
        <v>2200.0000000000018</v>
      </c>
      <c r="N67" s="9">
        <f t="shared" si="84"/>
        <v>122.22222222222233</v>
      </c>
      <c r="O67" s="11">
        <f t="shared" si="85"/>
        <v>0</v>
      </c>
      <c r="P67" s="12">
        <f t="shared" si="86"/>
        <v>-11.111111111111015</v>
      </c>
      <c r="Q67" s="101">
        <f t="shared" si="89"/>
        <v>0.91666666666666741</v>
      </c>
      <c r="R67" s="470"/>
      <c r="S67" s="24">
        <v>0.4770833333333333</v>
      </c>
      <c r="T67" s="24">
        <v>0.49791666666666662</v>
      </c>
      <c r="U67" s="100">
        <f t="shared" si="91"/>
        <v>4.9999999999999822</v>
      </c>
      <c r="V67" s="104">
        <f t="shared" si="87"/>
        <v>29.999999999999972</v>
      </c>
      <c r="W67" s="14"/>
      <c r="X67" s="14"/>
      <c r="Y67" s="456"/>
      <c r="Z67" s="456"/>
      <c r="AA67" s="11">
        <f t="shared" si="2"/>
        <v>-199.99999999999818</v>
      </c>
      <c r="AB67" s="101">
        <f t="shared" si="90"/>
        <v>0.91666666666666741</v>
      </c>
      <c r="AC67" s="470"/>
    </row>
    <row r="68" spans="1:29" ht="15.75" customHeight="1">
      <c r="A68" s="467" t="s">
        <v>12</v>
      </c>
      <c r="B68" s="105" t="s">
        <v>24</v>
      </c>
      <c r="C68" s="487" t="s">
        <v>44</v>
      </c>
      <c r="D68" s="487"/>
      <c r="E68" s="26">
        <v>29.58</v>
      </c>
      <c r="F68" s="105">
        <v>3006</v>
      </c>
      <c r="G68" s="100">
        <f t="shared" si="82"/>
        <v>88917.48</v>
      </c>
      <c r="H68" s="76" t="s">
        <v>57</v>
      </c>
      <c r="I68" s="103">
        <v>17</v>
      </c>
      <c r="J68" s="18">
        <v>2400</v>
      </c>
      <c r="K68" s="9">
        <f t="shared" si="92"/>
        <v>141.1764705882353</v>
      </c>
      <c r="L68" s="17">
        <v>17</v>
      </c>
      <c r="M68" s="10">
        <f t="shared" si="88"/>
        <v>2147.1428571428564</v>
      </c>
      <c r="N68" s="9">
        <f t="shared" si="84"/>
        <v>126.30252100840332</v>
      </c>
      <c r="O68" s="11">
        <f t="shared" si="85"/>
        <v>0</v>
      </c>
      <c r="P68" s="12">
        <f t="shared" si="86"/>
        <v>-14.873949579831987</v>
      </c>
      <c r="Q68" s="101">
        <f t="shared" si="89"/>
        <v>0.89464285714285674</v>
      </c>
      <c r="R68" s="470"/>
      <c r="S68" s="24">
        <v>0.53819444444444442</v>
      </c>
      <c r="T68" s="24">
        <v>0.59652777777777777</v>
      </c>
      <c r="U68" s="100">
        <f t="shared" si="91"/>
        <v>58.000000000000036</v>
      </c>
      <c r="V68" s="104">
        <f t="shared" si="87"/>
        <v>84.000000000000028</v>
      </c>
      <c r="W68" s="14"/>
      <c r="X68" s="14"/>
      <c r="Y68" s="456"/>
      <c r="Z68" s="456"/>
      <c r="AA68" s="11">
        <f t="shared" si="2"/>
        <v>-252.85714285714357</v>
      </c>
      <c r="AB68" s="101">
        <f t="shared" si="90"/>
        <v>0.89464285714285685</v>
      </c>
      <c r="AC68" s="470"/>
    </row>
    <row r="69" spans="1:29" ht="16.5" customHeight="1">
      <c r="A69" s="501" t="s">
        <v>12</v>
      </c>
      <c r="B69" s="26" t="s">
        <v>325</v>
      </c>
      <c r="C69" s="466"/>
      <c r="D69" s="466"/>
      <c r="E69" s="99"/>
      <c r="F69" s="16"/>
      <c r="G69" s="9"/>
      <c r="H69" s="105"/>
      <c r="I69" s="17">
        <v>17.666666666666668</v>
      </c>
      <c r="J69" s="18">
        <v>2400</v>
      </c>
      <c r="K69" s="9">
        <f t="shared" si="92"/>
        <v>135.84905660377356</v>
      </c>
      <c r="L69" s="17">
        <v>17.666666666666668</v>
      </c>
      <c r="M69" s="10">
        <f>AVERAGE(M63:M68)</f>
        <v>2162.1447368421054</v>
      </c>
      <c r="N69" s="9">
        <f>M69/L69</f>
        <v>122.38555114200597</v>
      </c>
      <c r="O69" s="11">
        <f>L69-I69</f>
        <v>0</v>
      </c>
      <c r="P69" s="12">
        <f>N69-K69</f>
        <v>-13.463505461767596</v>
      </c>
      <c r="Q69" s="101">
        <f t="shared" si="89"/>
        <v>0.90089364035087738</v>
      </c>
      <c r="R69" s="470"/>
      <c r="S69" s="24"/>
      <c r="T69" s="24"/>
      <c r="U69" s="9"/>
      <c r="V69" s="104"/>
      <c r="W69" s="9"/>
      <c r="X69" s="9"/>
      <c r="Y69" s="456"/>
      <c r="Z69" s="456"/>
      <c r="AA69" s="11">
        <f t="shared" ref="AA69" si="93">M69-J69</f>
        <v>-237.85526315789457</v>
      </c>
      <c r="AB69" s="101">
        <f t="shared" si="90"/>
        <v>0.90089364035087727</v>
      </c>
      <c r="AC69" s="470"/>
    </row>
    <row r="70" spans="1:29">
      <c r="D70" s="19"/>
      <c r="E70" s="19"/>
    </row>
  </sheetData>
  <mergeCells count="191">
    <mergeCell ref="A63:A69"/>
    <mergeCell ref="C63:D63"/>
    <mergeCell ref="R63:R69"/>
    <mergeCell ref="Y63:Z63"/>
    <mergeCell ref="Y68:Z68"/>
    <mergeCell ref="C69:D69"/>
    <mergeCell ref="A57:A62"/>
    <mergeCell ref="Y69:Z69"/>
    <mergeCell ref="AC63:AC69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C58:D58"/>
    <mergeCell ref="Y58:Z58"/>
    <mergeCell ref="C59:D59"/>
    <mergeCell ref="Y59:Z59"/>
    <mergeCell ref="C60:D60"/>
    <mergeCell ref="Y60:Z60"/>
    <mergeCell ref="AC54:AC56"/>
    <mergeCell ref="C55:D55"/>
    <mergeCell ref="Y55:Z55"/>
    <mergeCell ref="C56:D56"/>
    <mergeCell ref="Y56:Z56"/>
    <mergeCell ref="C57:D57"/>
    <mergeCell ref="R57:R62"/>
    <mergeCell ref="Y57:Z57"/>
    <mergeCell ref="AC57:AC62"/>
    <mergeCell ref="C61:D61"/>
    <mergeCell ref="Y61:Z61"/>
    <mergeCell ref="C62:D62"/>
    <mergeCell ref="Y62:Z62"/>
    <mergeCell ref="A54:A56"/>
    <mergeCell ref="C54:D54"/>
    <mergeCell ref="R54:R56"/>
    <mergeCell ref="Y54:Z54"/>
    <mergeCell ref="C50:D50"/>
    <mergeCell ref="Y50:Z50"/>
    <mergeCell ref="C51:D51"/>
    <mergeCell ref="Y51:Z51"/>
    <mergeCell ref="C52:D52"/>
    <mergeCell ref="Y52:Z52"/>
    <mergeCell ref="C47:D47"/>
    <mergeCell ref="Y47:Z47"/>
    <mergeCell ref="C48:D48"/>
    <mergeCell ref="Y48:Z48"/>
    <mergeCell ref="C49:D49"/>
    <mergeCell ref="Y49:Z49"/>
    <mergeCell ref="A43:A53"/>
    <mergeCell ref="C43:D43"/>
    <mergeCell ref="R43:R53"/>
    <mergeCell ref="Y43:Z43"/>
    <mergeCell ref="C53:D53"/>
    <mergeCell ref="Y53:Z53"/>
    <mergeCell ref="A36:A42"/>
    <mergeCell ref="C36:D36"/>
    <mergeCell ref="R36:R42"/>
    <mergeCell ref="Y36:Z36"/>
    <mergeCell ref="Y41:Z41"/>
    <mergeCell ref="C42:D42"/>
    <mergeCell ref="Y42:Z42"/>
    <mergeCell ref="AC43:AC53"/>
    <mergeCell ref="C44:D44"/>
    <mergeCell ref="Y44:Z44"/>
    <mergeCell ref="C45:D45"/>
    <mergeCell ref="Y45:Z45"/>
    <mergeCell ref="C46:D46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6:Z46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34:Z34"/>
    <mergeCell ref="C35:D35"/>
    <mergeCell ref="Y35:Z35"/>
    <mergeCell ref="A19:A26"/>
    <mergeCell ref="C19:D19"/>
    <mergeCell ref="R19:R26"/>
    <mergeCell ref="Y19:Z19"/>
    <mergeCell ref="C26:D26"/>
    <mergeCell ref="Y26:Z26"/>
    <mergeCell ref="A27:A35"/>
    <mergeCell ref="C27:D27"/>
    <mergeCell ref="R27:R35"/>
    <mergeCell ref="Y27:Z27"/>
    <mergeCell ref="Y32:Z32"/>
    <mergeCell ref="C33:D33"/>
    <mergeCell ref="Y33:Z33"/>
    <mergeCell ref="C34:D34"/>
    <mergeCell ref="AC19:AC26"/>
    <mergeCell ref="C20:D20"/>
    <mergeCell ref="Y20:Z20"/>
    <mergeCell ref="C21:D21"/>
    <mergeCell ref="Y21:Z21"/>
    <mergeCell ref="C22:D22"/>
    <mergeCell ref="AC13:AC18"/>
    <mergeCell ref="C14:D14"/>
    <mergeCell ref="Y14:Z14"/>
    <mergeCell ref="C15:D15"/>
    <mergeCell ref="Y15:Z15"/>
    <mergeCell ref="C16:D16"/>
    <mergeCell ref="Y16:Z16"/>
    <mergeCell ref="C17:D17"/>
    <mergeCell ref="Y17:Z17"/>
    <mergeCell ref="C18:D18"/>
    <mergeCell ref="Y22:Z22"/>
    <mergeCell ref="C23:D23"/>
    <mergeCell ref="Y23:Z23"/>
    <mergeCell ref="C24:D24"/>
    <mergeCell ref="Y24:Z24"/>
    <mergeCell ref="C25:D25"/>
    <mergeCell ref="Y25:Z25"/>
    <mergeCell ref="Y11:Z11"/>
    <mergeCell ref="C12:D12"/>
    <mergeCell ref="Y12:Z12"/>
    <mergeCell ref="A13:A18"/>
    <mergeCell ref="C13:D13"/>
    <mergeCell ref="R13:R18"/>
    <mergeCell ref="Y13:Z13"/>
    <mergeCell ref="Y18:Z18"/>
    <mergeCell ref="A8:A12"/>
    <mergeCell ref="C8:D8"/>
    <mergeCell ref="R8:R12"/>
    <mergeCell ref="Y8:Z8"/>
    <mergeCell ref="AC8:AC12"/>
    <mergeCell ref="C9:D9"/>
    <mergeCell ref="Y9:Z9"/>
    <mergeCell ref="C10:D10"/>
    <mergeCell ref="Y10:Z10"/>
    <mergeCell ref="C11:D11"/>
    <mergeCell ref="AC3:AC4"/>
    <mergeCell ref="A5:A7"/>
    <mergeCell ref="C5:D5"/>
    <mergeCell ref="R5:R7"/>
    <mergeCell ref="Y5:Z5"/>
    <mergeCell ref="AC5:AC7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69 O5:O8 O12:O14 O53:O57 O18:O48">
    <cfRule type="cellIs" dxfId="457" priority="62" operator="greaterThan">
      <formula>0</formula>
    </cfRule>
  </conditionalFormatting>
  <conditionalFormatting sqref="P5:P6 P60:P61 AA60:AA61 P63:P68 P27:P34 P57 P8 P12:P14 P19:P25 P54:P55 P36:P48 AA5:AA57 AA63:AA69">
    <cfRule type="cellIs" dxfId="456" priority="66" operator="lessThan">
      <formula>0</formula>
    </cfRule>
  </conditionalFormatting>
  <conditionalFormatting sqref="AB60:AB61 Q60:Q69 Q5:Q8 Q12:Q14 Q53:Q57 Q18:Q48 AB5:AB57 AB63:AB69">
    <cfRule type="cellIs" dxfId="455" priority="63" operator="greaterThan">
      <formula>1</formula>
    </cfRule>
    <cfRule type="cellIs" dxfId="454" priority="64" operator="lessThan">
      <formula>0.8</formula>
    </cfRule>
  </conditionalFormatting>
  <conditionalFormatting sqref="AC13:AC14 R13:R14 AC60 R18:R24 AC18:AC24 R60:R69 AC5:AC8 R5:R8 R26:R48 AC26:AC48 AC53:AC57 R53:R57">
    <cfRule type="cellIs" dxfId="453" priority="68" operator="lessThan">
      <formula>0.8</formula>
    </cfRule>
  </conditionalFormatting>
  <conditionalFormatting sqref="AC43">
    <cfRule type="cellIs" dxfId="452" priority="70" operator="lessThan">
      <formula>0.8</formula>
    </cfRule>
  </conditionalFormatting>
  <conditionalFormatting sqref="AC19:AC24">
    <cfRule type="cellIs" dxfId="451" priority="67" operator="lessThan">
      <formula>0.8</formula>
    </cfRule>
  </conditionalFormatting>
  <conditionalFormatting sqref="AC27">
    <cfRule type="cellIs" dxfId="450" priority="69" operator="lessThan">
      <formula>0.8</formula>
    </cfRule>
  </conditionalFormatting>
  <conditionalFormatting sqref="AC36:AC41">
    <cfRule type="cellIs" dxfId="449" priority="65" operator="lessThan">
      <formula>0.8</formula>
    </cfRule>
  </conditionalFormatting>
  <conditionalFormatting sqref="AA62">
    <cfRule type="cellIs" dxfId="448" priority="61" operator="lessThan">
      <formula>0</formula>
    </cfRule>
  </conditionalFormatting>
  <conditionalFormatting sqref="AB62">
    <cfRule type="cellIs" dxfId="447" priority="59" operator="greaterThan">
      <formula>1</formula>
    </cfRule>
    <cfRule type="cellIs" dxfId="446" priority="60" operator="lessThan">
      <formula>0.8</formula>
    </cfRule>
  </conditionalFormatting>
  <conditionalFormatting sqref="O15:O16">
    <cfRule type="cellIs" dxfId="445" priority="54" operator="greaterThan">
      <formula>0</formula>
    </cfRule>
  </conditionalFormatting>
  <conditionalFormatting sqref="P15:P16">
    <cfRule type="cellIs" dxfId="444" priority="57" operator="lessThan">
      <formula>0</formula>
    </cfRule>
  </conditionalFormatting>
  <conditionalFormatting sqref="Q15:Q16">
    <cfRule type="cellIs" dxfId="443" priority="55" operator="greaterThan">
      <formula>1</formula>
    </cfRule>
    <cfRule type="cellIs" dxfId="442" priority="56" operator="lessThan">
      <formula>0.8</formula>
    </cfRule>
  </conditionalFormatting>
  <conditionalFormatting sqref="R15:R16 AC15:AC16">
    <cfRule type="cellIs" dxfId="441" priority="58" operator="lessThan">
      <formula>0.8</formula>
    </cfRule>
  </conditionalFormatting>
  <conditionalFormatting sqref="O9:O11">
    <cfRule type="cellIs" dxfId="440" priority="50" operator="greaterThan">
      <formula>0</formula>
    </cfRule>
  </conditionalFormatting>
  <conditionalFormatting sqref="P9:P11">
    <cfRule type="cellIs" dxfId="439" priority="53" operator="lessThan">
      <formula>0</formula>
    </cfRule>
  </conditionalFormatting>
  <conditionalFormatting sqref="Q9:Q11">
    <cfRule type="cellIs" dxfId="438" priority="51" operator="greaterThan">
      <formula>1</formula>
    </cfRule>
    <cfRule type="cellIs" dxfId="437" priority="52" operator="lessThan">
      <formula>0.8</formula>
    </cfRule>
  </conditionalFormatting>
  <conditionalFormatting sqref="O59">
    <cfRule type="cellIs" dxfId="436" priority="45" operator="greaterThan">
      <formula>0</formula>
    </cfRule>
  </conditionalFormatting>
  <conditionalFormatting sqref="P59 AA59">
    <cfRule type="cellIs" dxfId="435" priority="48" operator="lessThan">
      <formula>0</formula>
    </cfRule>
  </conditionalFormatting>
  <conditionalFormatting sqref="Q59 AB59">
    <cfRule type="cellIs" dxfId="434" priority="46" operator="greaterThan">
      <formula>1</formula>
    </cfRule>
    <cfRule type="cellIs" dxfId="433" priority="47" operator="lessThan">
      <formula>0.8</formula>
    </cfRule>
  </conditionalFormatting>
  <conditionalFormatting sqref="R59 AC59">
    <cfRule type="cellIs" dxfId="432" priority="49" operator="lessThan">
      <formula>0.8</formula>
    </cfRule>
  </conditionalFormatting>
  <conditionalFormatting sqref="O17">
    <cfRule type="cellIs" dxfId="431" priority="40" operator="greaterThan">
      <formula>0</formula>
    </cfRule>
  </conditionalFormatting>
  <conditionalFormatting sqref="P17">
    <cfRule type="cellIs" dxfId="430" priority="43" operator="lessThan">
      <formula>0</formula>
    </cfRule>
  </conditionalFormatting>
  <conditionalFormatting sqref="Q17">
    <cfRule type="cellIs" dxfId="429" priority="41" operator="greaterThan">
      <formula>1</formula>
    </cfRule>
    <cfRule type="cellIs" dxfId="428" priority="42" operator="lessThan">
      <formula>0.8</formula>
    </cfRule>
  </conditionalFormatting>
  <conditionalFormatting sqref="R17 AC17">
    <cfRule type="cellIs" dxfId="427" priority="44" operator="lessThan">
      <formula>0.8</formula>
    </cfRule>
  </conditionalFormatting>
  <conditionalFormatting sqref="O49">
    <cfRule type="cellIs" dxfId="426" priority="34" operator="greaterThan">
      <formula>0</formula>
    </cfRule>
  </conditionalFormatting>
  <conditionalFormatting sqref="P49">
    <cfRule type="cellIs" dxfId="425" priority="38" operator="lessThan">
      <formula>0</formula>
    </cfRule>
  </conditionalFormatting>
  <conditionalFormatting sqref="Q49">
    <cfRule type="cellIs" dxfId="424" priority="35" operator="greaterThan">
      <formula>1</formula>
    </cfRule>
    <cfRule type="cellIs" dxfId="423" priority="36" operator="lessThan">
      <formula>0.8</formula>
    </cfRule>
  </conditionalFormatting>
  <conditionalFormatting sqref="R49 AC49">
    <cfRule type="cellIs" dxfId="422" priority="39" operator="lessThan">
      <formula>0.8</formula>
    </cfRule>
  </conditionalFormatting>
  <conditionalFormatting sqref="AC49">
    <cfRule type="cellIs" dxfId="421" priority="37" operator="lessThan">
      <formula>0.8</formula>
    </cfRule>
  </conditionalFormatting>
  <conditionalFormatting sqref="O50">
    <cfRule type="cellIs" dxfId="420" priority="28" operator="greaterThan">
      <formula>0</formula>
    </cfRule>
  </conditionalFormatting>
  <conditionalFormatting sqref="P50">
    <cfRule type="cellIs" dxfId="419" priority="32" operator="lessThan">
      <formula>0</formula>
    </cfRule>
  </conditionalFormatting>
  <conditionalFormatting sqref="Q50">
    <cfRule type="cellIs" dxfId="418" priority="29" operator="greaterThan">
      <formula>1</formula>
    </cfRule>
    <cfRule type="cellIs" dxfId="417" priority="30" operator="lessThan">
      <formula>0.8</formula>
    </cfRule>
  </conditionalFormatting>
  <conditionalFormatting sqref="R50 AC50">
    <cfRule type="cellIs" dxfId="416" priority="33" operator="lessThan">
      <formula>0.8</formula>
    </cfRule>
  </conditionalFormatting>
  <conditionalFormatting sqref="AC50">
    <cfRule type="cellIs" dxfId="415" priority="31" operator="lessThan">
      <formula>0.8</formula>
    </cfRule>
  </conditionalFormatting>
  <conditionalFormatting sqref="R25 AC25">
    <cfRule type="cellIs" dxfId="414" priority="27" operator="lessThan">
      <formula>0.8</formula>
    </cfRule>
  </conditionalFormatting>
  <conditionalFormatting sqref="AC25">
    <cfRule type="cellIs" dxfId="413" priority="26" operator="lessThan">
      <formula>0.8</formula>
    </cfRule>
  </conditionalFormatting>
  <conditionalFormatting sqref="O51">
    <cfRule type="cellIs" dxfId="412" priority="20" operator="greaterThan">
      <formula>0</formula>
    </cfRule>
  </conditionalFormatting>
  <conditionalFormatting sqref="P51">
    <cfRule type="cellIs" dxfId="411" priority="24" operator="lessThan">
      <formula>0</formula>
    </cfRule>
  </conditionalFormatting>
  <conditionalFormatting sqref="Q51">
    <cfRule type="cellIs" dxfId="410" priority="21" operator="greaterThan">
      <formula>1</formula>
    </cfRule>
    <cfRule type="cellIs" dxfId="409" priority="22" operator="lessThan">
      <formula>0.8</formula>
    </cfRule>
  </conditionalFormatting>
  <conditionalFormatting sqref="R51 AC51">
    <cfRule type="cellIs" dxfId="408" priority="25" operator="lessThan">
      <formula>0.8</formula>
    </cfRule>
  </conditionalFormatting>
  <conditionalFormatting sqref="AC51">
    <cfRule type="cellIs" dxfId="407" priority="23" operator="lessThan">
      <formula>0.8</formula>
    </cfRule>
  </conditionalFormatting>
  <conditionalFormatting sqref="O52">
    <cfRule type="cellIs" dxfId="406" priority="14" operator="greaterThan">
      <formula>0</formula>
    </cfRule>
  </conditionalFormatting>
  <conditionalFormatting sqref="P52">
    <cfRule type="cellIs" dxfId="405" priority="18" operator="lessThan">
      <formula>0</formula>
    </cfRule>
  </conditionalFormatting>
  <conditionalFormatting sqref="Q52">
    <cfRule type="cellIs" dxfId="404" priority="15" operator="greaterThan">
      <formula>1</formula>
    </cfRule>
    <cfRule type="cellIs" dxfId="403" priority="16" operator="lessThan">
      <formula>0.8</formula>
    </cfRule>
  </conditionalFormatting>
  <conditionalFormatting sqref="R52 AC52">
    <cfRule type="cellIs" dxfId="402" priority="19" operator="lessThan">
      <formula>0.8</formula>
    </cfRule>
  </conditionalFormatting>
  <conditionalFormatting sqref="AC52">
    <cfRule type="cellIs" dxfId="401" priority="17" operator="lessThan">
      <formula>0.8</formula>
    </cfRule>
  </conditionalFormatting>
  <conditionalFormatting sqref="O58">
    <cfRule type="cellIs" dxfId="400" priority="9" operator="greaterThan">
      <formula>0</formula>
    </cfRule>
  </conditionalFormatting>
  <conditionalFormatting sqref="P58 AA58">
    <cfRule type="cellIs" dxfId="399" priority="12" operator="lessThan">
      <formula>0</formula>
    </cfRule>
  </conditionalFormatting>
  <conditionalFormatting sqref="Q58 AB58">
    <cfRule type="cellIs" dxfId="398" priority="10" operator="greaterThan">
      <formula>1</formula>
    </cfRule>
    <cfRule type="cellIs" dxfId="397" priority="11" operator="lessThan">
      <formula>0.8</formula>
    </cfRule>
  </conditionalFormatting>
  <conditionalFormatting sqref="R58 AC58">
    <cfRule type="cellIs" dxfId="396" priority="13" operator="lessThan">
      <formula>0.8</formula>
    </cfRule>
  </conditionalFormatting>
  <conditionalFormatting sqref="P7">
    <cfRule type="cellIs" dxfId="395" priority="8" operator="lessThan">
      <formula>0</formula>
    </cfRule>
  </conditionalFormatting>
  <conditionalFormatting sqref="P18">
    <cfRule type="cellIs" dxfId="394" priority="7" operator="lessThan">
      <formula>0</formula>
    </cfRule>
  </conditionalFormatting>
  <conditionalFormatting sqref="P26">
    <cfRule type="cellIs" dxfId="393" priority="6" operator="lessThan">
      <formula>0</formula>
    </cfRule>
  </conditionalFormatting>
  <conditionalFormatting sqref="P35">
    <cfRule type="cellIs" dxfId="392" priority="5" operator="lessThan">
      <formula>0</formula>
    </cfRule>
  </conditionalFormatting>
  <conditionalFormatting sqref="P53">
    <cfRule type="cellIs" dxfId="391" priority="4" operator="lessThan">
      <formula>0</formula>
    </cfRule>
  </conditionalFormatting>
  <conditionalFormatting sqref="P56">
    <cfRule type="cellIs" dxfId="390" priority="3" operator="lessThan">
      <formula>0</formula>
    </cfRule>
  </conditionalFormatting>
  <conditionalFormatting sqref="P62">
    <cfRule type="cellIs" dxfId="389" priority="2" operator="lessThan">
      <formula>0</formula>
    </cfRule>
  </conditionalFormatting>
  <conditionalFormatting sqref="P69">
    <cfRule type="cellIs" dxfId="388" priority="1" operator="lessThan">
      <formula>0</formula>
    </cfRule>
  </conditionalFormatting>
  <dataValidations count="1">
    <dataValidation type="list" allowBlank="1" showInputMessage="1" showErrorMessage="1" sqref="Z7 Z61 Y5:Z6 Y7:Y61 Z9:Z57 Y62:Z6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Q28"/>
  <sheetViews>
    <sheetView zoomScale="80" zoomScaleNormal="80" workbookViewId="0">
      <selection activeCell="C5" sqref="C5:D5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98" t="s">
        <v>166</v>
      </c>
      <c r="C3" s="421" t="str">
        <f>TEXT('0703 4度C'!A2,"yyyy.mm.ddaaaa")</f>
        <v>2025.07.03星期四</v>
      </c>
      <c r="D3" s="421"/>
      <c r="E3" s="98" t="s">
        <v>248</v>
      </c>
      <c r="F3" s="422">
        <f>'0703 4度C'!D1</f>
        <v>159145</v>
      </c>
      <c r="G3" s="422"/>
      <c r="H3" s="98" t="s">
        <v>90</v>
      </c>
      <c r="I3" s="423">
        <f>'0703 4度C'!F1</f>
        <v>5159642.620000001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128</v>
      </c>
      <c r="D4" s="424"/>
      <c r="E4" s="425" t="s">
        <v>92</v>
      </c>
      <c r="F4" s="425"/>
      <c r="G4" s="425" t="s">
        <v>129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249</v>
      </c>
      <c r="D5" s="424"/>
      <c r="E5" s="424" t="s">
        <v>130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133.361622560368</v>
      </c>
      <c r="F6" s="424">
        <f>AVERAGE(D27:O27,D13:J13)</f>
        <v>135.40491207056715</v>
      </c>
      <c r="G6" s="429">
        <f>AVERAGE(D13:J13)</f>
        <v>135.40491207056715</v>
      </c>
      <c r="H6" s="429"/>
      <c r="I6" s="429">
        <f>AVERAGE(K13:M13)</f>
        <v>128.59394703657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119.76148067865748</v>
      </c>
      <c r="F7" s="434">
        <f>AVERAGE(D28:O28,D14:J14)</f>
        <v>121.7238280518187</v>
      </c>
      <c r="G7" s="435">
        <f>AVERAGE(D14:J14)</f>
        <v>121.7238280518187</v>
      </c>
      <c r="H7" s="435"/>
      <c r="I7" s="435">
        <f>AVERAGE(K14:M14)</f>
        <v>115.18267014128124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0.89743389687781772</v>
      </c>
      <c r="F8" s="432">
        <f>AVERAGE(D15:J15,D29:O29)</f>
        <v>0.89815147331740242</v>
      </c>
      <c r="G8" s="437">
        <f>AVERAGE(D15:J15)</f>
        <v>0.89815147331740242</v>
      </c>
      <c r="H8" s="437"/>
      <c r="I8" s="437">
        <f>AVERAGE(K15:M15)</f>
        <v>0.89575955185212042</v>
      </c>
      <c r="J8" s="437"/>
      <c r="K8" s="34" t="s">
        <v>250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251</v>
      </c>
      <c r="C10" s="439"/>
      <c r="D10" s="440" t="s">
        <v>252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253</v>
      </c>
      <c r="I12" s="42" t="s">
        <v>101</v>
      </c>
      <c r="J12" s="43" t="s">
        <v>133</v>
      </c>
      <c r="K12" s="41" t="s">
        <v>254</v>
      </c>
      <c r="L12" s="42" t="s">
        <v>77</v>
      </c>
      <c r="M12" s="43" t="s">
        <v>135</v>
      </c>
    </row>
    <row r="13" spans="2:17" ht="40.15" customHeight="1">
      <c r="B13" s="447" t="s">
        <v>255</v>
      </c>
      <c r="C13" s="44" t="s">
        <v>187</v>
      </c>
      <c r="D13" s="45">
        <f>SUMIFS('0703 4度C'!$K:$K,'0703 4度C'!$A:$A,"燴飯線",'0703 4度C'!$B:$B,"平均")</f>
        <v>109.09090909090909</v>
      </c>
      <c r="E13" s="46">
        <f>SUMIFS('0703 4度C'!$K:$K,'0703 4度C'!$A:$A,"沙拉線一線",'0703 4度C'!$B:$B,"平均")</f>
        <v>81.521739130434796</v>
      </c>
      <c r="F13" s="47">
        <f>SUMIFS('0703 4度C'!$K:$K,'0703 4度C'!$A:$A,"沙拉線二線",'0703 4度C'!$B:$B,"平均")</f>
        <v>88.636363636363626</v>
      </c>
      <c r="G13" s="47">
        <f>SUMIFS('0703 4度C'!$K:$K,'0703 4度C'!$A:$A,"沙拉線三線",'0703 4度C'!$B:$B,"平均")</f>
        <v>103.44827586206895</v>
      </c>
      <c r="H13" s="47">
        <f>SUMIFS('0703 4度C'!$K:$K,'0703 4度C'!$A:$A,"自動包裝線",'0703 4度C'!$B:$B,"平均")</f>
        <v>282.25806451612902</v>
      </c>
      <c r="I13" s="47">
        <f>SUMIFS('0703 4度C'!$K:$K,'0703 4度C'!$A:$A,"涼麵一線",'0703 4度C'!$B:$B,"平均")</f>
        <v>93.75</v>
      </c>
      <c r="J13" s="48">
        <f>SUMIFS('0703 4度C'!$K:$K,'0703 4度C'!$A:$A,"三明治四線",'0703 4度C'!$B:$B,"平均")</f>
        <v>189.12903225806448</v>
      </c>
      <c r="K13" s="49">
        <f>SUMIFS('0703 4度C'!$K:$K,'0703 4度C'!$A:$A,"三明治一線",'0703 4度C'!$B:$B,"平均")</f>
        <v>125</v>
      </c>
      <c r="L13" s="50">
        <f>SUMIFS('0703 4度C'!$K:$K,'0703 4度C'!$A:$A,"三明治二線",'0703 4度C'!$B:$B,"平均")</f>
        <v>123.07692307692308</v>
      </c>
      <c r="M13" s="48">
        <f>SUMIFS('0703 4度C'!$K:$K,'0703 4度C'!$A:$A,"自動包裝二線",'0703 4度C'!$B:$B,"平均")</f>
        <v>137.70491803278691</v>
      </c>
    </row>
    <row r="14" spans="2:17" ht="39.6" customHeight="1">
      <c r="B14" s="447"/>
      <c r="C14" s="51" t="s">
        <v>256</v>
      </c>
      <c r="D14" s="52">
        <f>SUMIFS('0703 4度C'!$N:$N,'0703 4度C'!$A:$A,"燴飯線",'0703 4度C'!$B:$B,"平均")</f>
        <v>97.930475321779696</v>
      </c>
      <c r="E14" s="53">
        <f>SUMIFS('0703 4度C'!$N:$N,'0703 4度C'!$A:$A,"沙拉線一線",'0703 4度C'!$B:$B,"平均")</f>
        <v>72.839658707312608</v>
      </c>
      <c r="F14" s="53">
        <f>SUMIFS('0703 4度C'!$N:$N,'0703 4度C'!$A:$A,"沙拉線二線",'0703 4度C'!$B:$B,"平均")</f>
        <v>79.532427186756252</v>
      </c>
      <c r="G14" s="53">
        <f>SUMIFS('0703 4度C'!$N:$N,'0703 4度C'!$A:$A,"沙拉線三線",'0703 4度C'!$B:$B,"平均")</f>
        <v>92.833261598707097</v>
      </c>
      <c r="H14" s="53">
        <f>SUMIFS('0703 4度C'!$N:$N,'0703 4度C'!$A:$A,"自動包裝線",'0703 4度C'!$B:$B,"平均")</f>
        <v>254.56299422788217</v>
      </c>
      <c r="I14" s="53">
        <f>SUMIFS('0703 4度C'!$N:$N,'0703 4度C'!$A:$A,"涼麵一線",'0703 4度C'!$B:$B,"平均")</f>
        <v>84.465517241379359</v>
      </c>
      <c r="J14" s="54">
        <f>SUMIFS('0703 4度C'!$N:$N,'0703 4度C'!$A:$A,"三明治四線",'0703 4度C'!$B:$B,"平均")</f>
        <v>169.90246207891374</v>
      </c>
      <c r="K14" s="55">
        <f>SUMIFS('0703 4度C'!$N:$N,'0703 4度C'!$A:$A,"三明治一線",'0703 4度C'!$B:$B,"平均")</f>
        <v>112.13141853416964</v>
      </c>
      <c r="L14" s="56">
        <f>SUMIFS('0703 4度C'!$N:$N,'0703 4度C'!$A:$A,"三明治二線",'0703 4度C'!$B:$B,"平均")</f>
        <v>110.27548633201644</v>
      </c>
      <c r="M14" s="54">
        <f>SUMIFS('0703 4度C'!$N:$N,'0703 4度C'!$A:$A,"自動包裝二線",'0703 4度C'!$B:$B,"平均")</f>
        <v>123.14110555765762</v>
      </c>
    </row>
    <row r="15" spans="2:17" ht="40.15" customHeight="1">
      <c r="B15" s="447"/>
      <c r="C15" s="57" t="s">
        <v>257</v>
      </c>
      <c r="D15" s="58">
        <f>D14/D13</f>
        <v>0.89769602378298052</v>
      </c>
      <c r="E15" s="59">
        <f t="shared" ref="E15:M15" si="0">E14/E13</f>
        <v>0.89349981347636787</v>
      </c>
      <c r="F15" s="59">
        <f t="shared" si="0"/>
        <v>0.89728892210699374</v>
      </c>
      <c r="G15" s="59">
        <f t="shared" si="0"/>
        <v>0.8973881954541687</v>
      </c>
      <c r="H15" s="59">
        <f>H14/H13</f>
        <v>0.90188032240735405</v>
      </c>
      <c r="I15" s="59">
        <f>I14/I13</f>
        <v>0.90096551724137985</v>
      </c>
      <c r="J15" s="60">
        <f>J14/J13</f>
        <v>0.89834151875257151</v>
      </c>
      <c r="K15" s="58">
        <f>K14/K13</f>
        <v>0.89705134827335709</v>
      </c>
      <c r="L15" s="59">
        <f>L14/L13</f>
        <v>0.8959883264476336</v>
      </c>
      <c r="M15" s="60">
        <f t="shared" si="0"/>
        <v>0.89423898083537068</v>
      </c>
    </row>
    <row r="16" spans="2:17" ht="17.25" customHeight="1">
      <c r="B16" s="430" t="s">
        <v>136</v>
      </c>
      <c r="C16" s="97" t="s">
        <v>103</v>
      </c>
      <c r="D16" s="61">
        <f>VLOOKUP("燴飯線",'0703 4度C'!$A:$T,19,0)</f>
        <v>0.70833333333333337</v>
      </c>
      <c r="E16" s="24">
        <f>VLOOKUP("沙拉線一線",'0703 4度C'!$A:$T,19,0)</f>
        <v>0.12986111111111112</v>
      </c>
      <c r="F16" s="24">
        <f>VLOOKUP("沙拉線二線",'0703 4度C'!$A:$T,19,0)</f>
        <v>0.16666666666666666</v>
      </c>
      <c r="G16" s="24">
        <f>VLOOKUP("沙拉線三線",'0703 4度C'!$A:$T,19,0)</f>
        <v>0.29166666666666669</v>
      </c>
      <c r="H16" s="24">
        <f>VLOOKUP("自動包裝線",'0703 4度C'!$A:$T,19,0)</f>
        <v>0.16666666666666666</v>
      </c>
      <c r="I16" s="24">
        <f>VLOOKUP("涼麵一線",'0703 4度C'!$A:$T,19,0)</f>
        <v>0.70833333333333337</v>
      </c>
      <c r="J16" s="62">
        <f>VLOOKUP("三明治四線",'0703 4度C'!$A:$T,19,0)</f>
        <v>0.20833333333333334</v>
      </c>
      <c r="K16" s="63">
        <f>VLOOKUP("三明治一線",'0703 4度C'!$A:$T,19,0)</f>
        <v>0.125</v>
      </c>
      <c r="L16" s="64">
        <f>VLOOKUP("三明治二線",'0703 4度C'!$A:$T,19,0)</f>
        <v>0.125</v>
      </c>
      <c r="M16" s="65">
        <f>VLOOKUP("自動包裝二線",'0703 4度C'!$A:$T,19,0)</f>
        <v>0.16666666666666666</v>
      </c>
    </row>
    <row r="17" spans="2:13" ht="17.25" customHeight="1">
      <c r="B17" s="431"/>
      <c r="C17" s="97" t="s">
        <v>137</v>
      </c>
      <c r="D17" s="63">
        <f>LOOKUP(2,1/(('0703 4度C'!$A:$A="燴飯線")*('0703 4度C'!$T:$T&lt;&gt;"")),'0703 4度C'!$T:$T)</f>
        <v>0.78680555555555554</v>
      </c>
      <c r="E17" s="24">
        <f>LOOKUP(2,1/(('0703 4度C'!$A:$A="沙拉線一線")*('0703 4度C'!$T:$T&lt;&gt;"")),'0703 4度C'!$T:$T)</f>
        <v>0.65624999999999978</v>
      </c>
      <c r="F17" s="24">
        <f>LOOKUP(2,1/(('0703 4度C'!$A:$A="沙拉線二線")*('0703 4度C'!$T:$T&lt;&gt;"")),'0703 4度C'!$T:$T)</f>
        <v>0.83125000000000004</v>
      </c>
      <c r="G17" s="24">
        <f>LOOKUP(2,1/(('0703 4度C'!$A:$A="沙拉線三線")*('0703 4度C'!$T:$T&lt;&gt;"")),'0703 4度C'!$T:$T)</f>
        <v>0.82083333333333341</v>
      </c>
      <c r="H17" s="24">
        <f>LOOKUP(2,1/(('0703 4度C'!$A:$A="自動包裝線")*('0703 4度C'!$T:$T&lt;&gt;"")),'0703 4度C'!$T:$T)</f>
        <v>0.67638888888888882</v>
      </c>
      <c r="I17" s="24">
        <f>LOOKUP(2,1/(('0703 4度C'!$A:$A="涼麵一線")*('0703 4度C'!$T:$T&lt;&gt;"")),'0703 4度C'!$T:$T)</f>
        <v>0.81944444444444442</v>
      </c>
      <c r="J17" s="62">
        <f>LOOKUP(2,1/(('0703 4度C'!$A:$A="三明治四線")*('0703 4度C'!$T:$T&lt;&gt;"")),'0703 4度C'!$T:$T)</f>
        <v>0.48611111111111099</v>
      </c>
      <c r="K17" s="61">
        <f>LOOKUP(2,1/(('0703 4度C'!$A:$A="三明治一線")*('0703 4度C'!$T:$T&lt;&gt;"")),'0703 4度C'!$T:$T)</f>
        <v>0.71736111111111101</v>
      </c>
      <c r="L17" s="24">
        <f>LOOKUP(2,1/(('0703 4度C'!$A:$A="三明治二線")*('0703 4度C'!$T:$T&lt;&gt;"")),'0703 4度C'!$T:$T)</f>
        <v>0.7090277777777777</v>
      </c>
      <c r="M17" s="62">
        <f>LOOKUP(2,1/(('0703 4度C'!$A:$A="自動包裝二線")*('0703 4度C'!$T:$T&lt;&gt;"")),'0703 4度C'!$T:$T)</f>
        <v>0.71319444444444435</v>
      </c>
    </row>
    <row r="18" spans="2:13" ht="17.25" customHeight="1">
      <c r="B18" s="431" t="s">
        <v>193</v>
      </c>
      <c r="C18" s="446"/>
      <c r="D18" s="66">
        <f>SUMIFS('0703 4度C'!$I:$I,'0703 4度C'!$A:$A,"燴飯線",'0703 4度C'!$B:$B,"平均")</f>
        <v>16.5</v>
      </c>
      <c r="E18" s="67">
        <f>SUMIFS('0703 4度C'!$I:$I,'0703 4度C'!$A:$A,"沙拉線一線",'0703 4度C'!$B:$B,"平均")</f>
        <v>18.399999999999999</v>
      </c>
      <c r="F18" s="67">
        <f>SUMIFS('0703 4度C'!$I:$I,'0703 4度C'!$A:$A,"沙拉線二線",'0703 4度C'!$B:$B,"平均")</f>
        <v>17.600000000000001</v>
      </c>
      <c r="G18" s="67">
        <f>SUMIFS('0703 4度C'!$I:$I,'0703 4度C'!$A:$A,"沙拉線三線",'0703 4度C'!$B:$B,"平均")</f>
        <v>16.571428571428573</v>
      </c>
      <c r="H18" s="67">
        <f>SUMIFS('0703 4度C'!$I:$I,'0703 4度C'!$A:$A,"自動包裝線",'0703 4度C'!$B:$B,"平均")</f>
        <v>10.333333333333334</v>
      </c>
      <c r="I18" s="67">
        <f>SUMIFS('0703 4度C'!$I:$I,'0703 4度C'!$A:$A,"涼麵一線",'0703 4度C'!$B:$B,"平均")</f>
        <v>16</v>
      </c>
      <c r="J18" s="68">
        <f>SUMIFS('0703 4度C'!$I:$I,'0703 4度C'!$A:$A,"三明治四線",'0703 4度C'!$B:$B,"平均")</f>
        <v>12.4</v>
      </c>
      <c r="K18" s="66">
        <f>SUMIFS('0703 4度C'!$I:$I,'0703 4度C'!$A:$A,"三明治一線",'0703 4度C'!$B:$B,"平均")</f>
        <v>19.2</v>
      </c>
      <c r="L18" s="67">
        <f>SUMIFS('0703 4度C'!$I:$I,'0703 4度C'!$A:$A,"三明治二線",'0703 4度C'!$B:$B,"平均")</f>
        <v>19.5</v>
      </c>
      <c r="M18" s="68">
        <f>SUMIFS('0703 4度C'!$I:$I,'0703 4度C'!$A:$A,"自動包裝二線",'0703 4度C'!$B:$B,"平均")</f>
        <v>17.428571428571427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258</v>
      </c>
      <c r="G19" s="70" t="s">
        <v>258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259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260</v>
      </c>
      <c r="G21" s="453"/>
      <c r="H21" s="73" t="s">
        <v>107</v>
      </c>
      <c r="I21" s="73" t="s">
        <v>108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3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5" activePane="bottomLeft" state="frozen"/>
      <selection activeCell="C5" sqref="C5:D5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SUM(F5:F77)</f>
        <v>159145</v>
      </c>
      <c r="E1" s="100" t="s">
        <v>206</v>
      </c>
      <c r="F1" s="1">
        <f>SUM(G5:G77)</f>
        <v>5159642.620000001</v>
      </c>
      <c r="G1" s="1" t="s">
        <v>111</v>
      </c>
      <c r="H1" s="4">
        <f>L7+L13+L60+L63+L19+L69+L38+L47+L27+L77</f>
        <v>163.93333333333334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45841</v>
      </c>
      <c r="B2" s="23" t="s">
        <v>261</v>
      </c>
      <c r="C2" s="2" t="s">
        <v>114</v>
      </c>
      <c r="D2" s="6">
        <f>AVERAGE(N7,N13,N60,N63,N19,N69,N27,N38,N47,N77)</f>
        <v>119.76148067865742</v>
      </c>
      <c r="E2" s="7" t="s">
        <v>0</v>
      </c>
      <c r="F2" s="8">
        <f>F1/D1</f>
        <v>32.421016180213023</v>
      </c>
      <c r="G2" s="1" t="s">
        <v>216</v>
      </c>
      <c r="H2" s="106">
        <f>COUNT(H5:H77)</f>
        <v>15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262</v>
      </c>
      <c r="B3" s="456" t="s">
        <v>116</v>
      </c>
      <c r="C3" s="456" t="s">
        <v>147</v>
      </c>
      <c r="D3" s="456"/>
      <c r="E3" s="457" t="s">
        <v>117</v>
      </c>
      <c r="F3" s="456" t="s">
        <v>221</v>
      </c>
      <c r="G3" s="457" t="s">
        <v>148</v>
      </c>
      <c r="H3" s="463" t="s">
        <v>263</v>
      </c>
      <c r="I3" s="464" t="s">
        <v>226</v>
      </c>
      <c r="J3" s="465" t="s">
        <v>149</v>
      </c>
      <c r="K3" s="459" t="s">
        <v>114</v>
      </c>
      <c r="L3" s="464" t="s">
        <v>226</v>
      </c>
      <c r="M3" s="465" t="s">
        <v>149</v>
      </c>
      <c r="N3" s="459" t="s">
        <v>114</v>
      </c>
      <c r="O3" s="464" t="s">
        <v>226</v>
      </c>
      <c r="P3" s="459" t="s">
        <v>114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230</v>
      </c>
      <c r="X3" s="456"/>
      <c r="Y3" s="475" t="s">
        <v>120</v>
      </c>
      <c r="Z3" s="476"/>
      <c r="AA3" s="465" t="s">
        <v>149</v>
      </c>
      <c r="AB3" s="460" t="s">
        <v>121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105" t="s">
        <v>3</v>
      </c>
      <c r="T4" s="105" t="s">
        <v>4</v>
      </c>
      <c r="U4" s="463"/>
      <c r="V4" s="463"/>
      <c r="W4" s="100" t="s">
        <v>151</v>
      </c>
      <c r="X4" s="100" t="s">
        <v>122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105">
        <v>1051</v>
      </c>
      <c r="G5" s="100">
        <f>E5*F5</f>
        <v>49323.43</v>
      </c>
      <c r="H5" s="76" t="s">
        <v>57</v>
      </c>
      <c r="I5" s="103">
        <v>17</v>
      </c>
      <c r="J5" s="18">
        <v>1800</v>
      </c>
      <c r="K5" s="9">
        <f>J5/I5</f>
        <v>105.88235294117646</v>
      </c>
      <c r="L5" s="103">
        <v>17</v>
      </c>
      <c r="M5" s="10">
        <f>F5/V5*60</f>
        <v>1616.923076923076</v>
      </c>
      <c r="N5" s="9">
        <f>M5/L5</f>
        <v>95.113122171945648</v>
      </c>
      <c r="O5" s="11">
        <f t="shared" ref="O5:O6" si="0">L5-I5</f>
        <v>0</v>
      </c>
      <c r="P5" s="12">
        <f t="shared" ref="P5:P6" si="1">N5-K5</f>
        <v>-10.769230769230816</v>
      </c>
      <c r="Q5" s="101">
        <f>N5/K5</f>
        <v>0.89829059829059787</v>
      </c>
      <c r="R5" s="470">
        <f>Q7</f>
        <v>0.89769602378298052</v>
      </c>
      <c r="S5" s="24">
        <v>0.70833333333333337</v>
      </c>
      <c r="T5" s="24">
        <v>0.73541666666666672</v>
      </c>
      <c r="U5" s="100"/>
      <c r="V5" s="104">
        <f>(T5-S5)*24*60</f>
        <v>39.000000000000021</v>
      </c>
      <c r="W5" s="13"/>
      <c r="X5" s="13"/>
      <c r="Y5" s="456"/>
      <c r="Z5" s="456"/>
      <c r="AA5" s="11">
        <f t="shared" ref="AA5:AA68" si="2">M5-J5</f>
        <v>-183.076923076924</v>
      </c>
      <c r="AB5" s="101">
        <f t="shared" ref="AB5:AB6" si="3">M5/J5</f>
        <v>0.89829059829059776</v>
      </c>
      <c r="AC5" s="470">
        <f>AB7</f>
        <v>0.89769602378298052</v>
      </c>
    </row>
    <row r="6" spans="1:29">
      <c r="A6" s="464" t="s">
        <v>152</v>
      </c>
      <c r="B6" s="26" t="s">
        <v>13</v>
      </c>
      <c r="C6" s="472" t="s">
        <v>60</v>
      </c>
      <c r="D6" s="472"/>
      <c r="E6" s="26">
        <v>50.49</v>
      </c>
      <c r="F6" s="105">
        <v>1857</v>
      </c>
      <c r="G6" s="100">
        <f t="shared" ref="G6" si="4">E6*F6</f>
        <v>93759.930000000008</v>
      </c>
      <c r="H6" s="76" t="s">
        <v>57</v>
      </c>
      <c r="I6" s="103">
        <v>16</v>
      </c>
      <c r="J6" s="18">
        <v>1800</v>
      </c>
      <c r="K6" s="9">
        <f t="shared" ref="K6" si="5">J6/I6</f>
        <v>112.5</v>
      </c>
      <c r="L6" s="103">
        <v>16</v>
      </c>
      <c r="M6" s="10">
        <f>F6/V6*60</f>
        <v>1614.7826086956543</v>
      </c>
      <c r="N6" s="9">
        <f t="shared" ref="N6" si="6">M6/L6</f>
        <v>100.92391304347839</v>
      </c>
      <c r="O6" s="11">
        <f t="shared" si="0"/>
        <v>0</v>
      </c>
      <c r="P6" s="12">
        <f t="shared" si="1"/>
        <v>-11.576086956521607</v>
      </c>
      <c r="Q6" s="101">
        <f t="shared" ref="Q6" si="7">N6/K6</f>
        <v>0.89710144927536351</v>
      </c>
      <c r="R6" s="470"/>
      <c r="S6" s="24">
        <v>0.73888888888888893</v>
      </c>
      <c r="T6" s="24">
        <v>0.78680555555555554</v>
      </c>
      <c r="U6" s="100">
        <f>(S6-T5)*24*60</f>
        <v>4.9999999999999822</v>
      </c>
      <c r="V6" s="104">
        <f>(T6-S6)*24*60</f>
        <v>68.999999999999915</v>
      </c>
      <c r="W6" s="14"/>
      <c r="X6" s="14"/>
      <c r="Y6" s="456"/>
      <c r="Z6" s="456"/>
      <c r="AA6" s="11">
        <f t="shared" si="2"/>
        <v>-185.21739130434571</v>
      </c>
      <c r="AB6" s="101">
        <f t="shared" si="3"/>
        <v>0.89710144927536351</v>
      </c>
      <c r="AC6" s="470"/>
    </row>
    <row r="7" spans="1:29">
      <c r="A7" s="464" t="s">
        <v>152</v>
      </c>
      <c r="B7" s="26" t="s">
        <v>81</v>
      </c>
      <c r="C7" s="466"/>
      <c r="D7" s="466"/>
      <c r="E7" s="99"/>
      <c r="F7" s="16"/>
      <c r="G7" s="9"/>
      <c r="H7" s="105"/>
      <c r="I7" s="17">
        <v>16.5</v>
      </c>
      <c r="J7" s="18">
        <v>1800</v>
      </c>
      <c r="K7" s="9">
        <f>J7/I7</f>
        <v>109.09090909090909</v>
      </c>
      <c r="L7" s="17">
        <v>16.5</v>
      </c>
      <c r="M7" s="10">
        <f>AVERAGE(M5:M6)</f>
        <v>1615.852842809365</v>
      </c>
      <c r="N7" s="9">
        <f>M7/L7</f>
        <v>97.930475321779696</v>
      </c>
      <c r="O7" s="11">
        <f>L7-I7</f>
        <v>0</v>
      </c>
      <c r="P7" s="12">
        <f>N7-K7</f>
        <v>-11.160433769129398</v>
      </c>
      <c r="Q7" s="101">
        <f>N7/K7</f>
        <v>0.89769602378298052</v>
      </c>
      <c r="R7" s="470"/>
      <c r="S7" s="24"/>
      <c r="T7" s="24"/>
      <c r="U7" s="100"/>
      <c r="V7" s="104"/>
      <c r="W7" s="9"/>
      <c r="X7" s="9"/>
      <c r="Y7" s="456"/>
      <c r="Z7" s="456"/>
      <c r="AA7" s="11">
        <f t="shared" si="2"/>
        <v>-184.14715719063497</v>
      </c>
      <c r="AB7" s="101">
        <f>M7/J7</f>
        <v>0.89769602378298052</v>
      </c>
      <c r="AC7" s="470"/>
    </row>
    <row r="8" spans="1:29" ht="15.75" customHeight="1">
      <c r="A8" s="467" t="s">
        <v>123</v>
      </c>
      <c r="B8" s="26" t="s">
        <v>15</v>
      </c>
      <c r="C8" s="468" t="s">
        <v>16</v>
      </c>
      <c r="D8" s="469"/>
      <c r="E8" s="26">
        <v>39.619999999999997</v>
      </c>
      <c r="F8" s="105">
        <v>3000</v>
      </c>
      <c r="G8" s="100">
        <f t="shared" ref="G8:G12" si="8">E8*F8</f>
        <v>118859.99999999999</v>
      </c>
      <c r="H8" s="76">
        <v>2</v>
      </c>
      <c r="I8" s="103">
        <v>18</v>
      </c>
      <c r="J8" s="18">
        <v>1500</v>
      </c>
      <c r="K8" s="9">
        <f t="shared" ref="K8:K12" si="9">J8/I8</f>
        <v>83.333333333333329</v>
      </c>
      <c r="L8" s="103">
        <v>18</v>
      </c>
      <c r="M8" s="10">
        <f t="shared" ref="M8:M12" si="10">F8/V8*60</f>
        <v>1343.2835820895523</v>
      </c>
      <c r="N8" s="9">
        <f t="shared" ref="N8:N12" si="11">M8/L8</f>
        <v>74.626865671641795</v>
      </c>
      <c r="O8" s="11">
        <f t="shared" ref="O8:O12" si="12">L8-I8</f>
        <v>0</v>
      </c>
      <c r="P8" s="12">
        <f>N8-K8</f>
        <v>-8.7064676616915335</v>
      </c>
      <c r="Q8" s="101">
        <f>N8/K8</f>
        <v>0.89552238805970164</v>
      </c>
      <c r="R8" s="470">
        <f>Q13</f>
        <v>0.89349981347636787</v>
      </c>
      <c r="S8" s="24">
        <v>0.12986111111111112</v>
      </c>
      <c r="T8" s="24">
        <v>0.22291666666666668</v>
      </c>
      <c r="U8" s="100"/>
      <c r="V8" s="104">
        <f t="shared" ref="V8:V12" si="13">(T8-S8)*24*60</f>
        <v>134</v>
      </c>
      <c r="W8" s="9"/>
      <c r="X8" s="9"/>
      <c r="Y8" s="456"/>
      <c r="Z8" s="456"/>
      <c r="AA8" s="11">
        <f t="shared" si="2"/>
        <v>-156.71641791044772</v>
      </c>
      <c r="AB8" s="101">
        <f>M8/J8</f>
        <v>0.89552238805970152</v>
      </c>
      <c r="AC8" s="470">
        <f>AB13</f>
        <v>0.89349981347636787</v>
      </c>
    </row>
    <row r="9" spans="1:29" ht="15.75" customHeight="1">
      <c r="A9" s="467" t="s">
        <v>5</v>
      </c>
      <c r="B9" s="26" t="s">
        <v>15</v>
      </c>
      <c r="C9" s="468" t="s">
        <v>17</v>
      </c>
      <c r="D9" s="469"/>
      <c r="E9" s="26">
        <v>39.799999999999997</v>
      </c>
      <c r="F9" s="105">
        <v>3700</v>
      </c>
      <c r="G9" s="100">
        <f t="shared" si="8"/>
        <v>147260</v>
      </c>
      <c r="H9" s="76">
        <v>2</v>
      </c>
      <c r="I9" s="103">
        <v>19</v>
      </c>
      <c r="J9" s="18">
        <v>1500</v>
      </c>
      <c r="K9" s="9">
        <f t="shared" si="9"/>
        <v>78.94736842105263</v>
      </c>
      <c r="L9" s="103">
        <v>19</v>
      </c>
      <c r="M9" s="10">
        <f t="shared" si="10"/>
        <v>1337.3493975903614</v>
      </c>
      <c r="N9" s="9">
        <f t="shared" si="11"/>
        <v>70.386810399492703</v>
      </c>
      <c r="O9" s="11">
        <f t="shared" si="12"/>
        <v>0</v>
      </c>
      <c r="P9" s="12">
        <f t="shared" ref="P9:P12" si="14">N9-K9</f>
        <v>-8.5605580215599275</v>
      </c>
      <c r="Q9" s="101">
        <f t="shared" ref="Q9:Q12" si="15">N9/K9</f>
        <v>0.89156626506024095</v>
      </c>
      <c r="R9" s="470"/>
      <c r="S9" s="24">
        <v>0.24722222222222226</v>
      </c>
      <c r="T9" s="24">
        <v>0.36250000000000004</v>
      </c>
      <c r="U9" s="100">
        <f>(S9-T8)*24*60</f>
        <v>35.000000000000036</v>
      </c>
      <c r="V9" s="104">
        <f t="shared" si="13"/>
        <v>166</v>
      </c>
      <c r="W9" s="14"/>
      <c r="X9" s="14"/>
      <c r="Y9" s="456"/>
      <c r="Z9" s="456"/>
      <c r="AA9" s="11">
        <f t="shared" si="2"/>
        <v>-162.65060240963862</v>
      </c>
      <c r="AB9" s="101">
        <f t="shared" ref="AB9:AB27" si="16">M9/J9</f>
        <v>0.89156626506024095</v>
      </c>
      <c r="AC9" s="470"/>
    </row>
    <row r="10" spans="1:29" ht="15.75" customHeight="1">
      <c r="A10" s="467" t="s">
        <v>5</v>
      </c>
      <c r="B10" s="26" t="s">
        <v>15</v>
      </c>
      <c r="C10" s="468" t="s">
        <v>54</v>
      </c>
      <c r="D10" s="469"/>
      <c r="E10" s="26">
        <v>39.29</v>
      </c>
      <c r="F10" s="105">
        <v>3598</v>
      </c>
      <c r="G10" s="100">
        <f t="shared" si="8"/>
        <v>141365.41999999998</v>
      </c>
      <c r="H10" s="76" t="s">
        <v>57</v>
      </c>
      <c r="I10" s="103">
        <v>18</v>
      </c>
      <c r="J10" s="18">
        <v>1500</v>
      </c>
      <c r="K10" s="9">
        <f t="shared" si="9"/>
        <v>83.333333333333329</v>
      </c>
      <c r="L10" s="103">
        <v>18</v>
      </c>
      <c r="M10" s="10">
        <f t="shared" si="10"/>
        <v>1340.8695652173915</v>
      </c>
      <c r="N10" s="9">
        <f t="shared" si="11"/>
        <v>74.49275362318842</v>
      </c>
      <c r="O10" s="11">
        <f t="shared" si="12"/>
        <v>0</v>
      </c>
      <c r="P10" s="12">
        <f t="shared" si="14"/>
        <v>-8.8405797101449082</v>
      </c>
      <c r="Q10" s="101">
        <f t="shared" si="15"/>
        <v>0.89391304347826106</v>
      </c>
      <c r="R10" s="470"/>
      <c r="S10" s="24">
        <v>0.37222222222222223</v>
      </c>
      <c r="T10" s="24">
        <v>0.48402777777777778</v>
      </c>
      <c r="U10" s="100">
        <f t="shared" ref="U10:U12" si="17">(S10-T9)*24*60</f>
        <v>13.99999999999995</v>
      </c>
      <c r="V10" s="104">
        <f t="shared" si="13"/>
        <v>161</v>
      </c>
      <c r="W10" s="14"/>
      <c r="X10" s="14"/>
      <c r="Y10" s="456"/>
      <c r="Z10" s="456"/>
      <c r="AA10" s="11">
        <f t="shared" si="2"/>
        <v>-159.13043478260852</v>
      </c>
      <c r="AB10" s="101">
        <f t="shared" si="16"/>
        <v>0.89391304347826095</v>
      </c>
      <c r="AC10" s="470"/>
    </row>
    <row r="11" spans="1:29" ht="15.75" customHeight="1">
      <c r="A11" s="467" t="s">
        <v>5</v>
      </c>
      <c r="B11" s="26" t="s">
        <v>15</v>
      </c>
      <c r="C11" s="468" t="s">
        <v>16</v>
      </c>
      <c r="D11" s="469"/>
      <c r="E11" s="26">
        <v>39.619999999999997</v>
      </c>
      <c r="F11" s="105">
        <v>1546</v>
      </c>
      <c r="G11" s="100">
        <f t="shared" si="8"/>
        <v>61252.52</v>
      </c>
      <c r="H11" s="76" t="s">
        <v>57</v>
      </c>
      <c r="I11" s="103">
        <v>18</v>
      </c>
      <c r="J11" s="18">
        <v>1500</v>
      </c>
      <c r="K11" s="9">
        <f t="shared" si="9"/>
        <v>83.333333333333329</v>
      </c>
      <c r="L11" s="103">
        <v>18</v>
      </c>
      <c r="M11" s="10">
        <f t="shared" si="10"/>
        <v>1344.3478260869581</v>
      </c>
      <c r="N11" s="9">
        <f t="shared" si="11"/>
        <v>74.685990338164345</v>
      </c>
      <c r="O11" s="11">
        <f t="shared" si="12"/>
        <v>0</v>
      </c>
      <c r="P11" s="12">
        <f t="shared" si="14"/>
        <v>-8.6473429951689837</v>
      </c>
      <c r="Q11" s="101">
        <f t="shared" si="15"/>
        <v>0.89623188405797216</v>
      </c>
      <c r="R11" s="470"/>
      <c r="S11" s="24">
        <v>0.52499999999999991</v>
      </c>
      <c r="T11" s="24">
        <v>0.57291666666666652</v>
      </c>
      <c r="U11" s="100">
        <f t="shared" si="17"/>
        <v>58.999999999999872</v>
      </c>
      <c r="V11" s="104">
        <f t="shared" si="13"/>
        <v>68.999999999999915</v>
      </c>
      <c r="W11" s="14"/>
      <c r="X11" s="14"/>
      <c r="Y11" s="456"/>
      <c r="Z11" s="456"/>
      <c r="AA11" s="11">
        <f t="shared" si="2"/>
        <v>-155.65217391304191</v>
      </c>
      <c r="AB11" s="101">
        <f t="shared" si="16"/>
        <v>0.89623188405797205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105">
        <v>2515</v>
      </c>
      <c r="G12" s="100">
        <f t="shared" si="8"/>
        <v>100097</v>
      </c>
      <c r="H12" s="76" t="s">
        <v>57</v>
      </c>
      <c r="I12" s="103">
        <v>19</v>
      </c>
      <c r="J12" s="18">
        <v>1500</v>
      </c>
      <c r="K12" s="9">
        <f t="shared" si="9"/>
        <v>78.94736842105263</v>
      </c>
      <c r="L12" s="103">
        <v>19</v>
      </c>
      <c r="M12" s="10">
        <f t="shared" si="10"/>
        <v>1335.3982300884966</v>
      </c>
      <c r="N12" s="9">
        <f t="shared" si="11"/>
        <v>70.284117373078772</v>
      </c>
      <c r="O12" s="11">
        <f t="shared" si="12"/>
        <v>0</v>
      </c>
      <c r="P12" s="12">
        <f t="shared" si="14"/>
        <v>-8.6632510479738585</v>
      </c>
      <c r="Q12" s="101">
        <f t="shared" si="15"/>
        <v>0.89026548672566441</v>
      </c>
      <c r="R12" s="470"/>
      <c r="S12" s="24">
        <v>0.57777777777777761</v>
      </c>
      <c r="T12" s="24">
        <v>0.65624999999999978</v>
      </c>
      <c r="U12" s="100">
        <f t="shared" si="17"/>
        <v>6.9999999999999751</v>
      </c>
      <c r="V12" s="104">
        <f t="shared" si="13"/>
        <v>112.99999999999991</v>
      </c>
      <c r="W12" s="14"/>
      <c r="X12" s="14"/>
      <c r="Y12" s="456"/>
      <c r="Z12" s="456"/>
      <c r="AA12" s="11">
        <f t="shared" si="2"/>
        <v>-164.60176991150342</v>
      </c>
      <c r="AB12" s="101">
        <f t="shared" si="16"/>
        <v>0.89026548672566441</v>
      </c>
      <c r="AC12" s="470"/>
    </row>
    <row r="13" spans="1:29" ht="16.5" customHeight="1">
      <c r="A13" s="467" t="s">
        <v>5</v>
      </c>
      <c r="B13" s="26" t="s">
        <v>81</v>
      </c>
      <c r="C13" s="466"/>
      <c r="D13" s="466"/>
      <c r="E13" s="99"/>
      <c r="F13" s="18"/>
      <c r="G13" s="10"/>
      <c r="H13" s="105"/>
      <c r="I13" s="17">
        <v>18.399999999999999</v>
      </c>
      <c r="J13" s="18">
        <v>1500</v>
      </c>
      <c r="K13" s="9">
        <f>J13/I13</f>
        <v>81.521739130434796</v>
      </c>
      <c r="L13" s="17">
        <v>18.399999999999999</v>
      </c>
      <c r="M13" s="10">
        <f>AVERAGE(M8:M12)</f>
        <v>1340.2497202145519</v>
      </c>
      <c r="N13" s="9">
        <f>M13/L13</f>
        <v>72.839658707312608</v>
      </c>
      <c r="O13" s="11">
        <f>L13-I13</f>
        <v>0</v>
      </c>
      <c r="P13" s="12">
        <f>N13-K13</f>
        <v>-8.6820804231221871</v>
      </c>
      <c r="Q13" s="101">
        <f>N13/K13</f>
        <v>0.89349981347636787</v>
      </c>
      <c r="R13" s="470"/>
      <c r="S13" s="24"/>
      <c r="T13" s="24"/>
      <c r="U13" s="9"/>
      <c r="V13" s="104"/>
      <c r="W13" s="9"/>
      <c r="X13" s="9"/>
      <c r="Y13" s="456"/>
      <c r="Z13" s="456"/>
      <c r="AA13" s="11">
        <f t="shared" si="2"/>
        <v>-159.75027978544813</v>
      </c>
      <c r="AB13" s="101">
        <f t="shared" si="16"/>
        <v>0.89349981347636787</v>
      </c>
      <c r="AC13" s="470"/>
    </row>
    <row r="14" spans="1:29" ht="16.5" customHeight="1">
      <c r="A14" s="480" t="s">
        <v>124</v>
      </c>
      <c r="B14" s="105" t="s">
        <v>15</v>
      </c>
      <c r="C14" s="477" t="s">
        <v>20</v>
      </c>
      <c r="D14" s="477"/>
      <c r="E14" s="26">
        <v>46</v>
      </c>
      <c r="F14" s="105">
        <v>3249</v>
      </c>
      <c r="G14" s="100">
        <f t="shared" ref="G14:G18" si="18">E14*F14</f>
        <v>149454</v>
      </c>
      <c r="H14" s="76" t="s">
        <v>57</v>
      </c>
      <c r="I14" s="103">
        <v>17</v>
      </c>
      <c r="J14" s="18">
        <v>1500</v>
      </c>
      <c r="K14" s="9">
        <f>J14/I14</f>
        <v>88.235294117647058</v>
      </c>
      <c r="L14" s="103">
        <v>17</v>
      </c>
      <c r="M14" s="10">
        <f>F14/V14*60</f>
        <v>1344.4137931034481</v>
      </c>
      <c r="N14" s="9">
        <f t="shared" ref="N14:N26" si="19">M14/L14</f>
        <v>79.083164300202839</v>
      </c>
      <c r="O14" s="11">
        <f t="shared" ref="O14" si="20">L14-I14</f>
        <v>0</v>
      </c>
      <c r="P14" s="12">
        <f t="shared" ref="P14" si="21">N14-K14</f>
        <v>-9.1521298174442194</v>
      </c>
      <c r="Q14" s="101">
        <f>N14/K14</f>
        <v>0.89627586206896548</v>
      </c>
      <c r="R14" s="470">
        <f>Q19</f>
        <v>0.89728892210699374</v>
      </c>
      <c r="S14" s="24">
        <v>0.16666666666666666</v>
      </c>
      <c r="T14" s="24">
        <v>0.2673611111111111</v>
      </c>
      <c r="U14" s="100"/>
      <c r="V14" s="104">
        <f>(T14-S14)*24*60</f>
        <v>145.00000000000003</v>
      </c>
      <c r="W14" s="15"/>
      <c r="X14" s="15"/>
      <c r="Y14" s="456"/>
      <c r="Z14" s="456"/>
      <c r="AA14" s="11">
        <f t="shared" si="2"/>
        <v>-155.58620689655186</v>
      </c>
      <c r="AB14" s="101">
        <f t="shared" si="16"/>
        <v>0.89627586206896548</v>
      </c>
      <c r="AC14" s="470">
        <f>AB19</f>
        <v>0.89728892210699374</v>
      </c>
    </row>
    <row r="15" spans="1:29" ht="16.5" customHeight="1">
      <c r="A15" s="481" t="s">
        <v>6</v>
      </c>
      <c r="B15" s="105" t="s">
        <v>15</v>
      </c>
      <c r="C15" s="477" t="s">
        <v>75</v>
      </c>
      <c r="D15" s="477"/>
      <c r="E15" s="26">
        <v>46</v>
      </c>
      <c r="F15" s="105">
        <v>4117</v>
      </c>
      <c r="G15" s="100">
        <f t="shared" si="18"/>
        <v>189382</v>
      </c>
      <c r="H15" s="76" t="s">
        <v>57</v>
      </c>
      <c r="I15" s="103">
        <v>20</v>
      </c>
      <c r="J15" s="18">
        <v>1500</v>
      </c>
      <c r="K15" s="9">
        <f>J15/I15</f>
        <v>75</v>
      </c>
      <c r="L15" s="103">
        <v>20</v>
      </c>
      <c r="M15" s="10">
        <f>F15/V15*60</f>
        <v>1342.5</v>
      </c>
      <c r="N15" s="9">
        <f t="shared" si="19"/>
        <v>67.125</v>
      </c>
      <c r="O15" s="11">
        <f>L15-I15</f>
        <v>0</v>
      </c>
      <c r="P15" s="12">
        <f>N15-K15</f>
        <v>-7.875</v>
      </c>
      <c r="Q15" s="101">
        <f>N15/K15</f>
        <v>0.89500000000000002</v>
      </c>
      <c r="R15" s="470"/>
      <c r="S15" s="24">
        <v>0.28680555555555554</v>
      </c>
      <c r="T15" s="24">
        <v>0.4145833333333333</v>
      </c>
      <c r="U15" s="100">
        <f>(S15-T14)*24*60</f>
        <v>27.999999999999979</v>
      </c>
      <c r="V15" s="104">
        <f>(T15-S15)*24*60</f>
        <v>184</v>
      </c>
      <c r="W15" s="14"/>
      <c r="X15" s="14"/>
      <c r="Y15" s="456"/>
      <c r="Z15" s="456"/>
      <c r="AA15" s="11">
        <f t="shared" si="2"/>
        <v>-157.5</v>
      </c>
      <c r="AB15" s="101">
        <f t="shared" si="16"/>
        <v>0.89500000000000002</v>
      </c>
      <c r="AC15" s="470"/>
    </row>
    <row r="16" spans="1:29" ht="16.5" customHeight="1">
      <c r="A16" s="481" t="s">
        <v>6</v>
      </c>
      <c r="B16" s="105" t="s">
        <v>15</v>
      </c>
      <c r="C16" s="477" t="s">
        <v>68</v>
      </c>
      <c r="D16" s="477"/>
      <c r="E16" s="26">
        <v>39.29</v>
      </c>
      <c r="F16" s="105">
        <v>2570</v>
      </c>
      <c r="G16" s="100">
        <f t="shared" si="18"/>
        <v>100975.3</v>
      </c>
      <c r="H16" s="76" t="s">
        <v>57</v>
      </c>
      <c r="I16" s="103">
        <v>19</v>
      </c>
      <c r="J16" s="18">
        <v>1500</v>
      </c>
      <c r="K16" s="9">
        <f t="shared" ref="K16:K18" si="22">J16/I16</f>
        <v>78.94736842105263</v>
      </c>
      <c r="L16" s="103">
        <v>19</v>
      </c>
      <c r="M16" s="10">
        <f t="shared" ref="M16:M18" si="23">F16/V16*60</f>
        <v>1340.8695652173906</v>
      </c>
      <c r="N16" s="9">
        <f t="shared" si="19"/>
        <v>70.572082379862664</v>
      </c>
      <c r="O16" s="11">
        <f t="shared" ref="O16:O18" si="24">L16-I16</f>
        <v>0</v>
      </c>
      <c r="P16" s="12">
        <f t="shared" ref="P16:P18" si="25">N16-K16</f>
        <v>-8.3752860411899661</v>
      </c>
      <c r="Q16" s="101">
        <f t="shared" ref="Q16:Q26" si="26">N16/K16</f>
        <v>0.89391304347826039</v>
      </c>
      <c r="R16" s="470"/>
      <c r="S16" s="24">
        <v>0.42291666666666661</v>
      </c>
      <c r="T16" s="24">
        <v>0.50277777777777777</v>
      </c>
      <c r="U16" s="100">
        <f t="shared" ref="U16:U18" si="27">(S16-T15)*24*60</f>
        <v>11.999999999999957</v>
      </c>
      <c r="V16" s="104">
        <f t="shared" ref="V16:V18" si="28">(T16-S16)*24*60</f>
        <v>115.00000000000007</v>
      </c>
      <c r="W16" s="14"/>
      <c r="X16" s="14"/>
      <c r="Y16" s="456"/>
      <c r="Z16" s="456"/>
      <c r="AA16" s="11">
        <f t="shared" si="2"/>
        <v>-159.13043478260943</v>
      </c>
      <c r="AB16" s="101">
        <f t="shared" si="16"/>
        <v>0.89391304347826039</v>
      </c>
      <c r="AC16" s="470"/>
    </row>
    <row r="17" spans="1:29" ht="16.5" customHeight="1">
      <c r="A17" s="481" t="s">
        <v>6</v>
      </c>
      <c r="B17" s="105" t="s">
        <v>13</v>
      </c>
      <c r="C17" s="477" t="s">
        <v>63</v>
      </c>
      <c r="D17" s="477"/>
      <c r="E17" s="26">
        <v>50.98</v>
      </c>
      <c r="F17" s="105">
        <v>2488</v>
      </c>
      <c r="G17" s="100">
        <f t="shared" si="18"/>
        <v>126838.23999999999</v>
      </c>
      <c r="H17" s="76" t="s">
        <v>57</v>
      </c>
      <c r="I17" s="103">
        <v>17</v>
      </c>
      <c r="J17" s="18">
        <v>1800</v>
      </c>
      <c r="K17" s="9">
        <f t="shared" si="22"/>
        <v>105.88235294117646</v>
      </c>
      <c r="L17" s="103">
        <v>17</v>
      </c>
      <c r="M17" s="10">
        <f t="shared" si="23"/>
        <v>1622.608695652174</v>
      </c>
      <c r="N17" s="9">
        <f t="shared" si="19"/>
        <v>95.447570332480822</v>
      </c>
      <c r="O17" s="11">
        <f t="shared" si="24"/>
        <v>0</v>
      </c>
      <c r="P17" s="12">
        <f t="shared" si="25"/>
        <v>-10.434782608695642</v>
      </c>
      <c r="Q17" s="101">
        <f t="shared" si="26"/>
        <v>0.90144927536231889</v>
      </c>
      <c r="R17" s="470"/>
      <c r="S17" s="24">
        <v>0.70833333333333337</v>
      </c>
      <c r="T17" s="24">
        <v>0.77222222222222225</v>
      </c>
      <c r="U17" s="100">
        <f t="shared" si="27"/>
        <v>296.00000000000006</v>
      </c>
      <c r="V17" s="104">
        <f t="shared" si="28"/>
        <v>92</v>
      </c>
      <c r="W17" s="14"/>
      <c r="X17" s="14"/>
      <c r="Y17" s="456"/>
      <c r="Z17" s="456"/>
      <c r="AA17" s="11">
        <f t="shared" si="2"/>
        <v>-177.39130434782601</v>
      </c>
      <c r="AB17" s="101">
        <f t="shared" si="16"/>
        <v>0.90144927536231889</v>
      </c>
      <c r="AC17" s="470"/>
    </row>
    <row r="18" spans="1:29" ht="16.5" customHeight="1">
      <c r="A18" s="481" t="s">
        <v>6</v>
      </c>
      <c r="B18" s="105" t="s">
        <v>13</v>
      </c>
      <c r="C18" s="477" t="s">
        <v>66</v>
      </c>
      <c r="D18" s="477"/>
      <c r="E18" s="26">
        <v>57.73</v>
      </c>
      <c r="F18" s="105">
        <v>1753</v>
      </c>
      <c r="G18" s="100">
        <f t="shared" si="18"/>
        <v>101200.68999999999</v>
      </c>
      <c r="H18" s="76" t="s">
        <v>57</v>
      </c>
      <c r="I18" s="103">
        <v>15</v>
      </c>
      <c r="J18" s="18">
        <v>1500</v>
      </c>
      <c r="K18" s="9">
        <f t="shared" si="22"/>
        <v>100</v>
      </c>
      <c r="L18" s="103">
        <v>15</v>
      </c>
      <c r="M18" s="10">
        <f t="shared" si="23"/>
        <v>1348.4615384615379</v>
      </c>
      <c r="N18" s="9">
        <f t="shared" si="19"/>
        <v>89.897435897435855</v>
      </c>
      <c r="O18" s="11">
        <f t="shared" si="24"/>
        <v>0</v>
      </c>
      <c r="P18" s="12">
        <f t="shared" si="25"/>
        <v>-10.102564102564145</v>
      </c>
      <c r="Q18" s="101">
        <f t="shared" si="26"/>
        <v>0.89897435897435851</v>
      </c>
      <c r="R18" s="470"/>
      <c r="S18" s="24">
        <v>0.77708333333333335</v>
      </c>
      <c r="T18" s="24">
        <v>0.83125000000000004</v>
      </c>
      <c r="U18" s="100">
        <f t="shared" si="27"/>
        <v>6.9999999999999751</v>
      </c>
      <c r="V18" s="104">
        <f t="shared" si="28"/>
        <v>78.000000000000043</v>
      </c>
      <c r="W18" s="14"/>
      <c r="X18" s="14"/>
      <c r="Y18" s="456"/>
      <c r="Z18" s="456"/>
      <c r="AA18" s="11">
        <f t="shared" si="2"/>
        <v>-151.53846153846212</v>
      </c>
      <c r="AB18" s="101">
        <f t="shared" si="16"/>
        <v>0.89897435897435862</v>
      </c>
      <c r="AC18" s="470"/>
    </row>
    <row r="19" spans="1:29" ht="16.5" customHeight="1">
      <c r="A19" s="481" t="s">
        <v>6</v>
      </c>
      <c r="B19" s="26" t="s">
        <v>81</v>
      </c>
      <c r="C19" s="466"/>
      <c r="D19" s="466"/>
      <c r="E19" s="99"/>
      <c r="F19" s="16"/>
      <c r="G19" s="9"/>
      <c r="H19" s="105"/>
      <c r="I19" s="17">
        <v>17.600000000000001</v>
      </c>
      <c r="J19" s="18">
        <v>1560</v>
      </c>
      <c r="K19" s="9">
        <f>J19/I19</f>
        <v>88.636363636363626</v>
      </c>
      <c r="L19" s="17">
        <v>17.600000000000001</v>
      </c>
      <c r="M19" s="10">
        <f>AVERAGE(M14:M18)</f>
        <v>1399.7707184869103</v>
      </c>
      <c r="N19" s="9">
        <f t="shared" si="19"/>
        <v>79.532427186756252</v>
      </c>
      <c r="O19" s="11">
        <f>L19-I19</f>
        <v>0</v>
      </c>
      <c r="P19" s="12">
        <f>N19-K19</f>
        <v>-9.1039364496073745</v>
      </c>
      <c r="Q19" s="101">
        <f t="shared" si="26"/>
        <v>0.89728892210699374</v>
      </c>
      <c r="R19" s="470"/>
      <c r="S19" s="24"/>
      <c r="T19" s="24"/>
      <c r="U19" s="100"/>
      <c r="V19" s="104"/>
      <c r="W19" s="9"/>
      <c r="X19" s="9"/>
      <c r="Y19" s="456"/>
      <c r="Z19" s="456"/>
      <c r="AA19" s="11">
        <f t="shared" si="2"/>
        <v>-160.22928151308975</v>
      </c>
      <c r="AB19" s="101">
        <f t="shared" si="16"/>
        <v>0.89728892210699374</v>
      </c>
      <c r="AC19" s="470"/>
    </row>
    <row r="20" spans="1:29" ht="15.75" customHeight="1">
      <c r="A20" s="478" t="s">
        <v>156</v>
      </c>
      <c r="B20" s="26" t="s">
        <v>21</v>
      </c>
      <c r="C20" s="477" t="s">
        <v>22</v>
      </c>
      <c r="D20" s="477"/>
      <c r="E20" s="26">
        <v>43.14</v>
      </c>
      <c r="F20" s="105">
        <v>1413</v>
      </c>
      <c r="G20" s="100">
        <f t="shared" ref="G20:G26" si="29">E20*F20</f>
        <v>60956.82</v>
      </c>
      <c r="H20" s="76" t="s">
        <v>57</v>
      </c>
      <c r="I20" s="103">
        <v>17</v>
      </c>
      <c r="J20" s="18">
        <v>1200</v>
      </c>
      <c r="K20" s="9">
        <f t="shared" ref="K20:K27" si="30">J20/I20</f>
        <v>70.588235294117652</v>
      </c>
      <c r="L20" s="103">
        <v>17</v>
      </c>
      <c r="M20" s="10">
        <f t="shared" ref="M20:M26" si="31">F20/V20*60</f>
        <v>1073.1645569620259</v>
      </c>
      <c r="N20" s="9">
        <f t="shared" si="19"/>
        <v>63.12732688011917</v>
      </c>
      <c r="O20" s="11">
        <f t="shared" ref="O20:O26" si="32">L20-I20</f>
        <v>0</v>
      </c>
      <c r="P20" s="12">
        <f t="shared" ref="P20:P26" si="33">N20-K20</f>
        <v>-7.4609084139984816</v>
      </c>
      <c r="Q20" s="101">
        <f t="shared" si="26"/>
        <v>0.89430379746835487</v>
      </c>
      <c r="R20" s="470">
        <f>Q27</f>
        <v>0.8973881954541687</v>
      </c>
      <c r="S20" s="24">
        <v>0.29166666666666669</v>
      </c>
      <c r="T20" s="24">
        <v>0.34652777777777777</v>
      </c>
      <c r="U20" s="100"/>
      <c r="V20" s="104">
        <f>(T20-S20)*24*60</f>
        <v>78.999999999999957</v>
      </c>
      <c r="W20" s="15"/>
      <c r="X20" s="15"/>
      <c r="Y20" s="456"/>
      <c r="Z20" s="456"/>
      <c r="AA20" s="11">
        <f t="shared" si="2"/>
        <v>-126.83544303797407</v>
      </c>
      <c r="AB20" s="101">
        <f t="shared" si="16"/>
        <v>0.89430379746835498</v>
      </c>
      <c r="AC20" s="470">
        <f>AB27</f>
        <v>0.89738819545416881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105">
        <v>2598</v>
      </c>
      <c r="G21" s="100">
        <f t="shared" si="29"/>
        <v>149982.53999999998</v>
      </c>
      <c r="H21" s="76" t="s">
        <v>57</v>
      </c>
      <c r="I21" s="103">
        <v>16</v>
      </c>
      <c r="J21" s="18">
        <v>1800</v>
      </c>
      <c r="K21" s="9">
        <f t="shared" si="30"/>
        <v>112.5</v>
      </c>
      <c r="L21" s="103">
        <v>16</v>
      </c>
      <c r="M21" s="10">
        <f t="shared" si="31"/>
        <v>1607.0103092783511</v>
      </c>
      <c r="N21" s="9">
        <f t="shared" si="19"/>
        <v>100.43814432989694</v>
      </c>
      <c r="O21" s="11">
        <f t="shared" si="32"/>
        <v>0</v>
      </c>
      <c r="P21" s="12">
        <f t="shared" si="33"/>
        <v>-12.061855670103057</v>
      </c>
      <c r="Q21" s="101">
        <f t="shared" si="26"/>
        <v>0.89278350515463945</v>
      </c>
      <c r="R21" s="470"/>
      <c r="S21" s="24">
        <v>0.35069444444444442</v>
      </c>
      <c r="T21" s="24">
        <v>0.41805555555555551</v>
      </c>
      <c r="U21" s="100">
        <f>(S21-T20)*24*60</f>
        <v>5.9999999999999787</v>
      </c>
      <c r="V21" s="104">
        <f t="shared" ref="V21:V26" si="34">(T21-S21)*24*60</f>
        <v>96.999999999999972</v>
      </c>
      <c r="W21" s="14"/>
      <c r="X21" s="100"/>
      <c r="Y21" s="456"/>
      <c r="Z21" s="456"/>
      <c r="AA21" s="11">
        <f t="shared" si="2"/>
        <v>-192.98969072164891</v>
      </c>
      <c r="AB21" s="101">
        <f t="shared" si="16"/>
        <v>0.89278350515463945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105">
        <v>1933</v>
      </c>
      <c r="G22" s="100">
        <f t="shared" si="29"/>
        <v>103763.44</v>
      </c>
      <c r="H22" s="76" t="s">
        <v>57</v>
      </c>
      <c r="I22" s="103">
        <v>17</v>
      </c>
      <c r="J22" s="18">
        <v>1800</v>
      </c>
      <c r="K22" s="9">
        <f t="shared" si="30"/>
        <v>105.88235294117646</v>
      </c>
      <c r="L22" s="103">
        <v>17</v>
      </c>
      <c r="M22" s="10">
        <f t="shared" si="31"/>
        <v>1610.8333333333337</v>
      </c>
      <c r="N22" s="9">
        <f t="shared" si="19"/>
        <v>94.754901960784338</v>
      </c>
      <c r="O22" s="11">
        <f t="shared" si="32"/>
        <v>0</v>
      </c>
      <c r="P22" s="12">
        <f t="shared" si="33"/>
        <v>-11.127450980392126</v>
      </c>
      <c r="Q22" s="101">
        <f t="shared" si="26"/>
        <v>0.89490740740740771</v>
      </c>
      <c r="R22" s="470"/>
      <c r="S22" s="24">
        <v>0.42152777777777772</v>
      </c>
      <c r="T22" s="24">
        <v>0.47152777777777771</v>
      </c>
      <c r="U22" s="100">
        <f t="shared" ref="U22:U26" si="35">(S22-T21)*24*60</f>
        <v>4.9999999999999822</v>
      </c>
      <c r="V22" s="104">
        <f t="shared" si="34"/>
        <v>71.999999999999986</v>
      </c>
      <c r="W22" s="14"/>
      <c r="X22" s="100"/>
      <c r="Y22" s="456"/>
      <c r="Z22" s="456"/>
      <c r="AA22" s="11">
        <f t="shared" si="2"/>
        <v>-189.16666666666629</v>
      </c>
      <c r="AB22" s="101">
        <f t="shared" si="16"/>
        <v>0.8949074074074076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105">
        <v>1266</v>
      </c>
      <c r="G23" s="100">
        <f t="shared" si="29"/>
        <v>64148.22</v>
      </c>
      <c r="H23" s="76" t="s">
        <v>57</v>
      </c>
      <c r="I23" s="103">
        <v>19</v>
      </c>
      <c r="J23" s="18">
        <v>1800</v>
      </c>
      <c r="K23" s="9">
        <f t="shared" si="30"/>
        <v>94.736842105263165</v>
      </c>
      <c r="L23" s="103">
        <v>19</v>
      </c>
      <c r="M23" s="10">
        <f t="shared" si="31"/>
        <v>1616.1702127659551</v>
      </c>
      <c r="N23" s="9">
        <f t="shared" si="19"/>
        <v>85.061590145576588</v>
      </c>
      <c r="O23" s="11">
        <f t="shared" si="32"/>
        <v>0</v>
      </c>
      <c r="P23" s="12">
        <f t="shared" si="33"/>
        <v>-9.6752519596865767</v>
      </c>
      <c r="Q23" s="101">
        <f t="shared" si="26"/>
        <v>0.89787234042553055</v>
      </c>
      <c r="R23" s="470"/>
      <c r="S23" s="24">
        <v>0.47708333333333325</v>
      </c>
      <c r="T23" s="24">
        <v>0.50972222222222219</v>
      </c>
      <c r="U23" s="100">
        <f t="shared" si="35"/>
        <v>7.9999999999999716</v>
      </c>
      <c r="V23" s="104">
        <f t="shared" si="34"/>
        <v>47.000000000000071</v>
      </c>
      <c r="W23" s="14"/>
      <c r="X23" s="100"/>
      <c r="Y23" s="456"/>
      <c r="Z23" s="456"/>
      <c r="AA23" s="11">
        <f t="shared" si="2"/>
        <v>-183.82978723404494</v>
      </c>
      <c r="AB23" s="101">
        <f t="shared" si="16"/>
        <v>0.89787234042553055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105">
        <v>2797</v>
      </c>
      <c r="G24" s="100">
        <f t="shared" si="29"/>
        <v>142423.24</v>
      </c>
      <c r="H24" s="76" t="s">
        <v>57</v>
      </c>
      <c r="I24" s="103">
        <v>16</v>
      </c>
      <c r="J24" s="18">
        <v>1800</v>
      </c>
      <c r="K24" s="9">
        <f t="shared" si="30"/>
        <v>112.5</v>
      </c>
      <c r="L24" s="103">
        <v>16</v>
      </c>
      <c r="M24" s="10">
        <f t="shared" si="31"/>
        <v>1613.6538461538471</v>
      </c>
      <c r="N24" s="9">
        <f t="shared" si="19"/>
        <v>100.85336538461544</v>
      </c>
      <c r="O24" s="11">
        <f t="shared" si="32"/>
        <v>0</v>
      </c>
      <c r="P24" s="12">
        <f t="shared" si="33"/>
        <v>-11.646634615384556</v>
      </c>
      <c r="Q24" s="101">
        <f t="shared" si="26"/>
        <v>0.89647435897435945</v>
      </c>
      <c r="R24" s="470"/>
      <c r="S24" s="24">
        <v>0.70833333333333337</v>
      </c>
      <c r="T24" s="24">
        <v>0.78055555555555556</v>
      </c>
      <c r="U24" s="100">
        <f t="shared" si="35"/>
        <v>286.00000000000011</v>
      </c>
      <c r="V24" s="104">
        <f t="shared" si="34"/>
        <v>103.99999999999994</v>
      </c>
      <c r="W24" s="14"/>
      <c r="X24" s="100"/>
      <c r="Y24" s="456"/>
      <c r="Z24" s="456"/>
      <c r="AA24" s="11">
        <f t="shared" si="2"/>
        <v>-186.3461538461529</v>
      </c>
      <c r="AB24" s="101">
        <f t="shared" si="16"/>
        <v>0.89647435897435945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105">
        <v>624</v>
      </c>
      <c r="G25" s="100">
        <f t="shared" si="29"/>
        <v>33240.480000000003</v>
      </c>
      <c r="H25" s="76" t="s">
        <v>57</v>
      </c>
      <c r="I25" s="103">
        <v>15</v>
      </c>
      <c r="J25" s="18">
        <v>1800</v>
      </c>
      <c r="K25" s="9">
        <f t="shared" si="30"/>
        <v>120</v>
      </c>
      <c r="L25" s="103">
        <v>15</v>
      </c>
      <c r="M25" s="10">
        <f t="shared" si="31"/>
        <v>1627.8260869565161</v>
      </c>
      <c r="N25" s="9">
        <f t="shared" si="19"/>
        <v>108.5217391304344</v>
      </c>
      <c r="O25" s="11">
        <f t="shared" si="32"/>
        <v>0</v>
      </c>
      <c r="P25" s="12">
        <f t="shared" si="33"/>
        <v>-11.478260869565602</v>
      </c>
      <c r="Q25" s="101">
        <f t="shared" si="26"/>
        <v>0.9043478260869533</v>
      </c>
      <c r="R25" s="470"/>
      <c r="S25" s="24">
        <v>0.78402777777777777</v>
      </c>
      <c r="T25" s="24">
        <v>0.8</v>
      </c>
      <c r="U25" s="100">
        <f t="shared" si="35"/>
        <v>4.9999999999999822</v>
      </c>
      <c r="V25" s="104">
        <f t="shared" si="34"/>
        <v>23.000000000000078</v>
      </c>
      <c r="W25" s="14"/>
      <c r="X25" s="15"/>
      <c r="Y25" s="456"/>
      <c r="Z25" s="456"/>
      <c r="AA25" s="11">
        <f t="shared" si="2"/>
        <v>-172.17391304348394</v>
      </c>
      <c r="AB25" s="101">
        <f t="shared" si="16"/>
        <v>0.90434782608695341</v>
      </c>
      <c r="AC25" s="470"/>
    </row>
    <row r="26" spans="1:29" ht="15.75" customHeight="1">
      <c r="A26" s="479" t="s">
        <v>7</v>
      </c>
      <c r="B26" s="26" t="s">
        <v>13</v>
      </c>
      <c r="C26" s="477" t="s">
        <v>61</v>
      </c>
      <c r="D26" s="477"/>
      <c r="E26" s="26">
        <v>49.91</v>
      </c>
      <c r="F26" s="105">
        <v>621</v>
      </c>
      <c r="G26" s="100">
        <f t="shared" si="29"/>
        <v>30994.109999999997</v>
      </c>
      <c r="H26" s="76" t="s">
        <v>57</v>
      </c>
      <c r="I26" s="103">
        <v>16</v>
      </c>
      <c r="J26" s="18">
        <v>1800</v>
      </c>
      <c r="K26" s="9">
        <f t="shared" si="30"/>
        <v>112.5</v>
      </c>
      <c r="L26" s="103">
        <v>16</v>
      </c>
      <c r="M26" s="10">
        <f t="shared" si="31"/>
        <v>1619.9999999999945</v>
      </c>
      <c r="N26" s="9">
        <f t="shared" si="19"/>
        <v>101.24999999999966</v>
      </c>
      <c r="O26" s="11">
        <f t="shared" si="32"/>
        <v>0</v>
      </c>
      <c r="P26" s="12">
        <f t="shared" si="33"/>
        <v>-11.250000000000341</v>
      </c>
      <c r="Q26" s="101">
        <f t="shared" si="26"/>
        <v>0.89999999999999691</v>
      </c>
      <c r="R26" s="470"/>
      <c r="S26" s="24">
        <v>0.80486111111111114</v>
      </c>
      <c r="T26" s="24">
        <v>0.82083333333333341</v>
      </c>
      <c r="U26" s="100">
        <f t="shared" si="35"/>
        <v>6.9999999999999751</v>
      </c>
      <c r="V26" s="104">
        <f t="shared" si="34"/>
        <v>23.000000000000078</v>
      </c>
      <c r="W26" s="14"/>
      <c r="X26" s="15"/>
      <c r="Y26" s="473"/>
      <c r="Z26" s="474"/>
      <c r="AA26" s="11">
        <f t="shared" si="2"/>
        <v>-180.00000000000546</v>
      </c>
      <c r="AB26" s="101">
        <f t="shared" si="16"/>
        <v>0.89999999999999691</v>
      </c>
      <c r="AC26" s="470"/>
    </row>
    <row r="27" spans="1:29" ht="15.75" customHeight="1">
      <c r="A27" s="479" t="s">
        <v>7</v>
      </c>
      <c r="B27" s="26" t="s">
        <v>81</v>
      </c>
      <c r="C27" s="466"/>
      <c r="D27" s="466"/>
      <c r="E27" s="99"/>
      <c r="F27" s="105"/>
      <c r="G27" s="100"/>
      <c r="H27" s="105"/>
      <c r="I27" s="17">
        <v>16.571428571428573</v>
      </c>
      <c r="J27" s="18">
        <v>1714.2857142857142</v>
      </c>
      <c r="K27" s="9">
        <f t="shared" si="30"/>
        <v>103.44827586206895</v>
      </c>
      <c r="L27" s="17">
        <v>16.571428571428573</v>
      </c>
      <c r="M27" s="10">
        <f>AVERAGE(M20:M26)</f>
        <v>1538.3797636357178</v>
      </c>
      <c r="N27" s="9">
        <f>M27/L27</f>
        <v>92.833261598707097</v>
      </c>
      <c r="O27" s="11">
        <f>L27-I27</f>
        <v>0</v>
      </c>
      <c r="P27" s="12">
        <f>N27-K27</f>
        <v>-10.615014263361857</v>
      </c>
      <c r="Q27" s="101">
        <f>N27/K27</f>
        <v>0.8973881954541687</v>
      </c>
      <c r="R27" s="470"/>
      <c r="S27" s="24"/>
      <c r="T27" s="24"/>
      <c r="U27" s="9"/>
      <c r="V27" s="104"/>
      <c r="W27" s="9"/>
      <c r="X27" s="9"/>
      <c r="Y27" s="456"/>
      <c r="Z27" s="456"/>
      <c r="AA27" s="11">
        <f t="shared" si="2"/>
        <v>-175.90595064999638</v>
      </c>
      <c r="AB27" s="101">
        <f t="shared" si="16"/>
        <v>0.89738819545416881</v>
      </c>
      <c r="AC27" s="470"/>
    </row>
    <row r="28" spans="1:29" ht="15.75" customHeight="1">
      <c r="A28" s="484" t="s">
        <v>157</v>
      </c>
      <c r="B28" s="26" t="s">
        <v>24</v>
      </c>
      <c r="C28" s="477" t="s">
        <v>25</v>
      </c>
      <c r="D28" s="477"/>
      <c r="E28" s="26">
        <v>20.52</v>
      </c>
      <c r="F28" s="105">
        <v>3400</v>
      </c>
      <c r="G28" s="100">
        <f t="shared" ref="G28:G37" si="36">E28*F28</f>
        <v>69768</v>
      </c>
      <c r="H28" s="76">
        <v>2</v>
      </c>
      <c r="I28" s="103">
        <v>20</v>
      </c>
      <c r="J28" s="18">
        <v>2400</v>
      </c>
      <c r="K28" s="9">
        <f>J28/I28</f>
        <v>120</v>
      </c>
      <c r="L28" s="103">
        <v>20</v>
      </c>
      <c r="M28" s="10">
        <f t="shared" ref="M28:M37" si="37">F28/V28*60</f>
        <v>2147.3684210526321</v>
      </c>
      <c r="N28" s="9">
        <f t="shared" ref="N28:N37" si="38">M28/L28</f>
        <v>107.3684210526316</v>
      </c>
      <c r="O28" s="11">
        <f t="shared" ref="O28:O37" si="39">L28-I28</f>
        <v>0</v>
      </c>
      <c r="P28" s="12">
        <f t="shared" ref="P28:P37" si="40">N28-K28</f>
        <v>-12.631578947368396</v>
      </c>
      <c r="Q28" s="101">
        <f t="shared" ref="Q28:Q37" si="41">N28/K28</f>
        <v>0.89473684210526339</v>
      </c>
      <c r="R28" s="470">
        <f>Q38</f>
        <v>0.89705134827335709</v>
      </c>
      <c r="S28" s="24">
        <v>0.125</v>
      </c>
      <c r="T28" s="24">
        <v>0.19097222222222221</v>
      </c>
      <c r="U28" s="100"/>
      <c r="V28" s="104">
        <f t="shared" ref="V28:V37" si="42">(T28-S28)*24*60</f>
        <v>94.999999999999986</v>
      </c>
      <c r="W28" s="14"/>
      <c r="X28" s="14"/>
      <c r="Y28" s="456"/>
      <c r="Z28" s="456"/>
      <c r="AA28" s="11">
        <f t="shared" si="2"/>
        <v>-252.63157894736787</v>
      </c>
      <c r="AB28" s="101">
        <f>M28/J28</f>
        <v>0.89473684210526339</v>
      </c>
      <c r="AC28" s="470">
        <f>AB38</f>
        <v>0.89705134827335709</v>
      </c>
    </row>
    <row r="29" spans="1:29" ht="15.75" customHeight="1">
      <c r="A29" s="484" t="s">
        <v>8</v>
      </c>
      <c r="B29" s="26" t="s">
        <v>24</v>
      </c>
      <c r="C29" s="477" t="s">
        <v>26</v>
      </c>
      <c r="D29" s="477"/>
      <c r="E29" s="26">
        <v>26.2</v>
      </c>
      <c r="F29" s="105">
        <v>3300</v>
      </c>
      <c r="G29" s="100">
        <f t="shared" si="36"/>
        <v>86460</v>
      </c>
      <c r="H29" s="76">
        <v>2</v>
      </c>
      <c r="I29" s="103">
        <v>20</v>
      </c>
      <c r="J29" s="18">
        <v>2400</v>
      </c>
      <c r="K29" s="9">
        <f t="shared" ref="K29:K38" si="43">J29/I29</f>
        <v>120</v>
      </c>
      <c r="L29" s="103">
        <v>20</v>
      </c>
      <c r="M29" s="10">
        <f t="shared" si="37"/>
        <v>2152.1739130434776</v>
      </c>
      <c r="N29" s="9">
        <f t="shared" si="38"/>
        <v>107.60869565217388</v>
      </c>
      <c r="O29" s="11">
        <f t="shared" si="39"/>
        <v>0</v>
      </c>
      <c r="P29" s="12">
        <f t="shared" si="40"/>
        <v>-12.391304347826122</v>
      </c>
      <c r="Q29" s="101">
        <f t="shared" si="41"/>
        <v>0.89673913043478237</v>
      </c>
      <c r="R29" s="470"/>
      <c r="S29" s="24">
        <v>0.21180555555555555</v>
      </c>
      <c r="T29" s="24">
        <v>0.27569444444444446</v>
      </c>
      <c r="U29" s="100">
        <f>(S29-T28)*24*60</f>
        <v>30.000000000000014</v>
      </c>
      <c r="V29" s="104">
        <f t="shared" si="42"/>
        <v>92.000000000000028</v>
      </c>
      <c r="W29" s="14"/>
      <c r="X29" s="14"/>
      <c r="Y29" s="456"/>
      <c r="Z29" s="456"/>
      <c r="AA29" s="11">
        <f t="shared" si="2"/>
        <v>-247.82608695652243</v>
      </c>
      <c r="AB29" s="101">
        <f t="shared" ref="AB29:AB37" si="44">M29/J29</f>
        <v>0.89673913043478237</v>
      </c>
      <c r="AC29" s="470"/>
    </row>
    <row r="30" spans="1:29" ht="15.75" customHeight="1">
      <c r="A30" s="484" t="s">
        <v>8</v>
      </c>
      <c r="B30" s="26" t="s">
        <v>24</v>
      </c>
      <c r="C30" s="477" t="s">
        <v>55</v>
      </c>
      <c r="D30" s="477"/>
      <c r="E30" s="26">
        <v>26.2</v>
      </c>
      <c r="F30" s="105">
        <v>2000</v>
      </c>
      <c r="G30" s="100">
        <f t="shared" si="36"/>
        <v>52400</v>
      </c>
      <c r="H30" s="76">
        <v>2</v>
      </c>
      <c r="I30" s="103">
        <v>21</v>
      </c>
      <c r="J30" s="18">
        <v>2400</v>
      </c>
      <c r="K30" s="9">
        <f t="shared" si="43"/>
        <v>114.28571428571429</v>
      </c>
      <c r="L30" s="103">
        <v>21</v>
      </c>
      <c r="M30" s="10">
        <f t="shared" si="37"/>
        <v>2142.8571428571445</v>
      </c>
      <c r="N30" s="9">
        <f t="shared" si="38"/>
        <v>102.04081632653069</v>
      </c>
      <c r="O30" s="11">
        <f t="shared" si="39"/>
        <v>0</v>
      </c>
      <c r="P30" s="12">
        <f t="shared" si="40"/>
        <v>-12.244897959183604</v>
      </c>
      <c r="Q30" s="101">
        <f t="shared" si="41"/>
        <v>0.89285714285714346</v>
      </c>
      <c r="R30" s="470"/>
      <c r="S30" s="24">
        <v>0.27916666666666667</v>
      </c>
      <c r="T30" s="24">
        <v>0.31805555555555554</v>
      </c>
      <c r="U30" s="100">
        <f t="shared" ref="U30:U37" si="45">(S30-T29)*24*60</f>
        <v>4.9999999999999822</v>
      </c>
      <c r="V30" s="104">
        <f t="shared" si="42"/>
        <v>55.999999999999957</v>
      </c>
      <c r="W30" s="14"/>
      <c r="X30" s="14"/>
      <c r="Y30" s="456"/>
      <c r="Z30" s="456"/>
      <c r="AA30" s="11">
        <f t="shared" si="2"/>
        <v>-257.14285714285552</v>
      </c>
      <c r="AB30" s="101">
        <f t="shared" si="44"/>
        <v>0.89285714285714357</v>
      </c>
      <c r="AC30" s="470"/>
    </row>
    <row r="31" spans="1:29" ht="15.75" customHeight="1">
      <c r="A31" s="484" t="s">
        <v>8</v>
      </c>
      <c r="B31" s="26" t="s">
        <v>24</v>
      </c>
      <c r="C31" s="477" t="s">
        <v>46</v>
      </c>
      <c r="D31" s="477"/>
      <c r="E31" s="26">
        <v>25</v>
      </c>
      <c r="F31" s="105">
        <v>3000</v>
      </c>
      <c r="G31" s="100">
        <f t="shared" si="36"/>
        <v>75000</v>
      </c>
      <c r="H31" s="76">
        <v>2</v>
      </c>
      <c r="I31" s="103">
        <v>16</v>
      </c>
      <c r="J31" s="18">
        <v>2400</v>
      </c>
      <c r="K31" s="9">
        <f t="shared" si="43"/>
        <v>150</v>
      </c>
      <c r="L31" s="103">
        <v>16</v>
      </c>
      <c r="M31" s="10">
        <f t="shared" si="37"/>
        <v>2142.8571428571422</v>
      </c>
      <c r="N31" s="9">
        <f t="shared" si="38"/>
        <v>133.92857142857139</v>
      </c>
      <c r="O31" s="11">
        <f t="shared" si="39"/>
        <v>0</v>
      </c>
      <c r="P31" s="12">
        <f t="shared" si="40"/>
        <v>-16.071428571428612</v>
      </c>
      <c r="Q31" s="101">
        <f t="shared" si="41"/>
        <v>0.89285714285714257</v>
      </c>
      <c r="R31" s="470"/>
      <c r="S31" s="24">
        <v>0.32291666666666663</v>
      </c>
      <c r="T31" s="24">
        <v>0.38124999999999998</v>
      </c>
      <c r="U31" s="100">
        <f t="shared" si="45"/>
        <v>6.9999999999999751</v>
      </c>
      <c r="V31" s="104">
        <f t="shared" si="42"/>
        <v>84.000000000000028</v>
      </c>
      <c r="W31" s="14"/>
      <c r="X31" s="14"/>
      <c r="Y31" s="456"/>
      <c r="Z31" s="456"/>
      <c r="AA31" s="11">
        <f t="shared" si="2"/>
        <v>-257.14285714285779</v>
      </c>
      <c r="AB31" s="101">
        <f t="shared" si="44"/>
        <v>0.89285714285714257</v>
      </c>
      <c r="AC31" s="470"/>
    </row>
    <row r="32" spans="1:29" ht="15.75" customHeight="1">
      <c r="A32" s="484" t="s">
        <v>8</v>
      </c>
      <c r="B32" s="26" t="s">
        <v>24</v>
      </c>
      <c r="C32" s="477" t="s">
        <v>27</v>
      </c>
      <c r="D32" s="477"/>
      <c r="E32" s="26">
        <v>20.52</v>
      </c>
      <c r="F32" s="105">
        <v>3501</v>
      </c>
      <c r="G32" s="100">
        <f t="shared" si="36"/>
        <v>71840.52</v>
      </c>
      <c r="H32" s="76" t="s">
        <v>57</v>
      </c>
      <c r="I32" s="103">
        <v>18</v>
      </c>
      <c r="J32" s="18">
        <v>2400</v>
      </c>
      <c r="K32" s="9">
        <f t="shared" si="43"/>
        <v>133.33333333333334</v>
      </c>
      <c r="L32" s="103">
        <v>18</v>
      </c>
      <c r="M32" s="10">
        <f t="shared" si="37"/>
        <v>2143.4693877551026</v>
      </c>
      <c r="N32" s="9">
        <f t="shared" si="38"/>
        <v>119.08163265306126</v>
      </c>
      <c r="O32" s="11">
        <f t="shared" si="39"/>
        <v>0</v>
      </c>
      <c r="P32" s="12">
        <f t="shared" si="40"/>
        <v>-14.25170068027208</v>
      </c>
      <c r="Q32" s="101">
        <f t="shared" si="41"/>
        <v>0.89311224489795937</v>
      </c>
      <c r="R32" s="470"/>
      <c r="S32" s="24">
        <v>0.38611111111111107</v>
      </c>
      <c r="T32" s="24">
        <v>0.45416666666666661</v>
      </c>
      <c r="U32" s="100">
        <f t="shared" si="45"/>
        <v>6.9999999999999751</v>
      </c>
      <c r="V32" s="104">
        <f t="shared" si="42"/>
        <v>97.999999999999972</v>
      </c>
      <c r="W32" s="14"/>
      <c r="X32" s="14"/>
      <c r="Y32" s="456"/>
      <c r="Z32" s="456"/>
      <c r="AA32" s="11">
        <f t="shared" si="2"/>
        <v>-256.53061224489738</v>
      </c>
      <c r="AB32" s="101">
        <f t="shared" si="44"/>
        <v>0.89311224489795937</v>
      </c>
      <c r="AC32" s="470"/>
    </row>
    <row r="33" spans="1:29" ht="15.75" customHeight="1">
      <c r="A33" s="484" t="s">
        <v>8</v>
      </c>
      <c r="B33" s="26" t="s">
        <v>24</v>
      </c>
      <c r="C33" s="477" t="s">
        <v>31</v>
      </c>
      <c r="D33" s="477"/>
      <c r="E33" s="26">
        <v>24.45</v>
      </c>
      <c r="F33" s="105">
        <v>2667</v>
      </c>
      <c r="G33" s="100">
        <f t="shared" si="36"/>
        <v>65208.15</v>
      </c>
      <c r="H33" s="76" t="s">
        <v>57</v>
      </c>
      <c r="I33" s="103">
        <v>20</v>
      </c>
      <c r="J33" s="18">
        <v>2400</v>
      </c>
      <c r="K33" s="9">
        <f t="shared" si="43"/>
        <v>120</v>
      </c>
      <c r="L33" s="103">
        <v>20</v>
      </c>
      <c r="M33" s="10">
        <f t="shared" si="37"/>
        <v>2162.4324324324307</v>
      </c>
      <c r="N33" s="9">
        <f t="shared" si="38"/>
        <v>108.12162162162153</v>
      </c>
      <c r="O33" s="11">
        <f t="shared" si="39"/>
        <v>0</v>
      </c>
      <c r="P33" s="12">
        <f t="shared" si="40"/>
        <v>-11.878378378378471</v>
      </c>
      <c r="Q33" s="101">
        <f t="shared" si="41"/>
        <v>0.90101351351351278</v>
      </c>
      <c r="R33" s="470"/>
      <c r="S33" s="24">
        <v>0.45833333333333326</v>
      </c>
      <c r="T33" s="24">
        <v>0.50972222222222219</v>
      </c>
      <c r="U33" s="100">
        <f t="shared" si="45"/>
        <v>5.9999999999999787</v>
      </c>
      <c r="V33" s="104">
        <f t="shared" si="42"/>
        <v>74.000000000000057</v>
      </c>
      <c r="W33" s="14"/>
      <c r="X33" s="14"/>
      <c r="Y33" s="456"/>
      <c r="Z33" s="456"/>
      <c r="AA33" s="11">
        <f t="shared" si="2"/>
        <v>-237.56756756756931</v>
      </c>
      <c r="AB33" s="101">
        <f t="shared" si="44"/>
        <v>0.90101351351351278</v>
      </c>
      <c r="AC33" s="470"/>
    </row>
    <row r="34" spans="1:29" ht="15.75" customHeight="1">
      <c r="A34" s="484" t="s">
        <v>8</v>
      </c>
      <c r="B34" s="26" t="s">
        <v>24</v>
      </c>
      <c r="C34" s="477" t="s">
        <v>55</v>
      </c>
      <c r="D34" s="477"/>
      <c r="E34" s="26">
        <v>26.2</v>
      </c>
      <c r="F34" s="105">
        <v>2381</v>
      </c>
      <c r="G34" s="100">
        <f t="shared" si="36"/>
        <v>62382.2</v>
      </c>
      <c r="H34" s="76" t="s">
        <v>57</v>
      </c>
      <c r="I34" s="103">
        <v>21</v>
      </c>
      <c r="J34" s="18">
        <v>2400</v>
      </c>
      <c r="K34" s="9">
        <f t="shared" si="43"/>
        <v>114.28571428571429</v>
      </c>
      <c r="L34" s="103">
        <v>21</v>
      </c>
      <c r="M34" s="10">
        <f t="shared" si="37"/>
        <v>2164.5454545454518</v>
      </c>
      <c r="N34" s="9">
        <f t="shared" si="38"/>
        <v>103.07359307359295</v>
      </c>
      <c r="O34" s="11">
        <f t="shared" si="39"/>
        <v>0</v>
      </c>
      <c r="P34" s="12">
        <f t="shared" si="40"/>
        <v>-11.212121212121346</v>
      </c>
      <c r="Q34" s="101">
        <f t="shared" si="41"/>
        <v>0.90189393939393825</v>
      </c>
      <c r="R34" s="470"/>
      <c r="S34" s="24">
        <v>0.55208333333333326</v>
      </c>
      <c r="T34" s="24">
        <v>0.59791666666666665</v>
      </c>
      <c r="U34" s="100">
        <f t="shared" si="45"/>
        <v>60.999999999999943</v>
      </c>
      <c r="V34" s="104">
        <f t="shared" si="42"/>
        <v>66.000000000000085</v>
      </c>
      <c r="W34" s="14"/>
      <c r="X34" s="14"/>
      <c r="Y34" s="456"/>
      <c r="Z34" s="456"/>
      <c r="AA34" s="11">
        <f t="shared" si="2"/>
        <v>-235.45454545454822</v>
      </c>
      <c r="AB34" s="101">
        <f t="shared" si="44"/>
        <v>0.90189393939393825</v>
      </c>
      <c r="AC34" s="470"/>
    </row>
    <row r="35" spans="1:29" ht="15.75" customHeight="1">
      <c r="A35" s="484" t="s">
        <v>8</v>
      </c>
      <c r="B35" s="26" t="s">
        <v>24</v>
      </c>
      <c r="C35" s="477" t="s">
        <v>46</v>
      </c>
      <c r="D35" s="477"/>
      <c r="E35" s="26">
        <v>25</v>
      </c>
      <c r="F35" s="105">
        <v>1716</v>
      </c>
      <c r="G35" s="100">
        <f t="shared" si="36"/>
        <v>42900</v>
      </c>
      <c r="H35" s="76" t="s">
        <v>57</v>
      </c>
      <c r="I35" s="103">
        <v>16</v>
      </c>
      <c r="J35" s="18">
        <v>2400</v>
      </c>
      <c r="K35" s="9">
        <f t="shared" si="43"/>
        <v>150</v>
      </c>
      <c r="L35" s="103">
        <v>16</v>
      </c>
      <c r="M35" s="10">
        <f t="shared" si="37"/>
        <v>2145.0000000000005</v>
      </c>
      <c r="N35" s="9">
        <f t="shared" si="38"/>
        <v>134.06250000000003</v>
      </c>
      <c r="O35" s="11">
        <f t="shared" si="39"/>
        <v>0</v>
      </c>
      <c r="P35" s="12">
        <f t="shared" si="40"/>
        <v>-15.937499999999972</v>
      </c>
      <c r="Q35" s="101">
        <f t="shared" si="41"/>
        <v>0.89375000000000016</v>
      </c>
      <c r="R35" s="470"/>
      <c r="S35" s="24">
        <v>0.60138888888888886</v>
      </c>
      <c r="T35" s="24">
        <v>0.63472222222222219</v>
      </c>
      <c r="U35" s="100">
        <f t="shared" si="45"/>
        <v>4.9999999999999822</v>
      </c>
      <c r="V35" s="104">
        <f t="shared" si="42"/>
        <v>47.999999999999986</v>
      </c>
      <c r="W35" s="14"/>
      <c r="X35" s="14"/>
      <c r="Y35" s="456"/>
      <c r="Z35" s="456"/>
      <c r="AA35" s="11">
        <f t="shared" si="2"/>
        <v>-254.99999999999955</v>
      </c>
      <c r="AB35" s="101">
        <f t="shared" si="44"/>
        <v>0.89375000000000016</v>
      </c>
      <c r="AC35" s="470"/>
    </row>
    <row r="36" spans="1:29" ht="15.75" customHeight="1">
      <c r="A36" s="484" t="s">
        <v>8</v>
      </c>
      <c r="B36" s="26" t="s">
        <v>24</v>
      </c>
      <c r="C36" s="482" t="s">
        <v>26</v>
      </c>
      <c r="D36" s="483"/>
      <c r="E36" s="26">
        <v>26.2</v>
      </c>
      <c r="F36" s="105">
        <v>2038</v>
      </c>
      <c r="G36" s="100">
        <f t="shared" si="36"/>
        <v>53395.6</v>
      </c>
      <c r="H36" s="76" t="s">
        <v>57</v>
      </c>
      <c r="I36" s="103">
        <v>20</v>
      </c>
      <c r="J36" s="18">
        <v>2400</v>
      </c>
      <c r="K36" s="9">
        <f t="shared" si="43"/>
        <v>120</v>
      </c>
      <c r="L36" s="103">
        <v>20</v>
      </c>
      <c r="M36" s="10">
        <f t="shared" si="37"/>
        <v>2145.2631578947385</v>
      </c>
      <c r="N36" s="9">
        <f t="shared" si="38"/>
        <v>107.26315789473692</v>
      </c>
      <c r="O36" s="11">
        <f t="shared" si="39"/>
        <v>0</v>
      </c>
      <c r="P36" s="12">
        <f t="shared" si="40"/>
        <v>-12.736842105263079</v>
      </c>
      <c r="Q36" s="101">
        <f t="shared" si="41"/>
        <v>0.89385964912280769</v>
      </c>
      <c r="R36" s="470"/>
      <c r="S36" s="24">
        <v>0.6381944444444444</v>
      </c>
      <c r="T36" s="24">
        <v>0.6777777777777777</v>
      </c>
      <c r="U36" s="100">
        <f t="shared" si="45"/>
        <v>4.9999999999999822</v>
      </c>
      <c r="V36" s="104">
        <f t="shared" si="42"/>
        <v>56.999999999999957</v>
      </c>
      <c r="W36" s="14"/>
      <c r="X36" s="14"/>
      <c r="Y36" s="473"/>
      <c r="Z36" s="474"/>
      <c r="AA36" s="11">
        <f t="shared" si="2"/>
        <v>-254.73684210526153</v>
      </c>
      <c r="AB36" s="101">
        <f t="shared" si="44"/>
        <v>0.89385964912280769</v>
      </c>
      <c r="AC36" s="470"/>
    </row>
    <row r="37" spans="1:29" ht="15.75" customHeight="1">
      <c r="A37" s="484" t="s">
        <v>8</v>
      </c>
      <c r="B37" s="26" t="s">
        <v>24</v>
      </c>
      <c r="C37" s="482" t="s">
        <v>25</v>
      </c>
      <c r="D37" s="483"/>
      <c r="E37" s="26">
        <v>20.52</v>
      </c>
      <c r="F37" s="105">
        <v>1783</v>
      </c>
      <c r="G37" s="100">
        <f t="shared" si="36"/>
        <v>36587.159999999996</v>
      </c>
      <c r="H37" s="76" t="s">
        <v>57</v>
      </c>
      <c r="I37" s="103">
        <v>20</v>
      </c>
      <c r="J37" s="18">
        <v>2400</v>
      </c>
      <c r="K37" s="9">
        <f t="shared" si="43"/>
        <v>120</v>
      </c>
      <c r="L37" s="103">
        <v>20</v>
      </c>
      <c r="M37" s="10">
        <f t="shared" si="37"/>
        <v>2183.2653061224496</v>
      </c>
      <c r="N37" s="9">
        <f t="shared" si="38"/>
        <v>109.16326530612248</v>
      </c>
      <c r="O37" s="11">
        <f t="shared" si="39"/>
        <v>0</v>
      </c>
      <c r="P37" s="12">
        <f t="shared" si="40"/>
        <v>-10.836734693877517</v>
      </c>
      <c r="Q37" s="101">
        <f t="shared" si="41"/>
        <v>0.90969387755102071</v>
      </c>
      <c r="R37" s="470"/>
      <c r="S37" s="24">
        <v>0.68333333333333324</v>
      </c>
      <c r="T37" s="24">
        <v>0.71736111111111101</v>
      </c>
      <c r="U37" s="100">
        <f t="shared" si="45"/>
        <v>7.9999999999999716</v>
      </c>
      <c r="V37" s="104">
        <f t="shared" si="42"/>
        <v>48.999999999999986</v>
      </c>
      <c r="W37" s="14"/>
      <c r="X37" s="14"/>
      <c r="Y37" s="473"/>
      <c r="Z37" s="474"/>
      <c r="AA37" s="11">
        <f t="shared" si="2"/>
        <v>-216.7346938775504</v>
      </c>
      <c r="AB37" s="101">
        <f t="shared" si="44"/>
        <v>0.90969387755102071</v>
      </c>
      <c r="AC37" s="470"/>
    </row>
    <row r="38" spans="1:29" ht="15.75" customHeight="1">
      <c r="A38" s="484" t="s">
        <v>8</v>
      </c>
      <c r="B38" s="26" t="s">
        <v>81</v>
      </c>
      <c r="C38" s="466"/>
      <c r="D38" s="466"/>
      <c r="E38" s="99"/>
      <c r="F38" s="105"/>
      <c r="G38" s="100"/>
      <c r="H38" s="105"/>
      <c r="I38" s="17">
        <v>19.2</v>
      </c>
      <c r="J38" s="18">
        <v>2400</v>
      </c>
      <c r="K38" s="9">
        <f t="shared" si="43"/>
        <v>125</v>
      </c>
      <c r="L38" s="17">
        <v>19.2</v>
      </c>
      <c r="M38" s="10">
        <f>AVERAGE(M28:M37)</f>
        <v>2152.9232358560571</v>
      </c>
      <c r="N38" s="9">
        <f>M38/L38</f>
        <v>112.13141853416964</v>
      </c>
      <c r="O38" s="11">
        <f>L38-I38</f>
        <v>0</v>
      </c>
      <c r="P38" s="12">
        <f>N38-K38</f>
        <v>-12.86858146583036</v>
      </c>
      <c r="Q38" s="101">
        <f>N38/K38</f>
        <v>0.89705134827335709</v>
      </c>
      <c r="R38" s="470"/>
      <c r="S38" s="24"/>
      <c r="T38" s="24"/>
      <c r="U38" s="100"/>
      <c r="V38" s="104"/>
      <c r="W38" s="100"/>
      <c r="X38" s="100"/>
      <c r="Y38" s="456"/>
      <c r="Z38" s="456"/>
      <c r="AA38" s="11">
        <f t="shared" si="2"/>
        <v>-247.07676414394291</v>
      </c>
      <c r="AB38" s="101">
        <f>M38/J38</f>
        <v>0.89705134827335709</v>
      </c>
      <c r="AC38" s="470"/>
    </row>
    <row r="39" spans="1:29" ht="15.75" customHeight="1">
      <c r="A39" s="485" t="s">
        <v>158</v>
      </c>
      <c r="B39" s="26" t="s">
        <v>24</v>
      </c>
      <c r="C39" s="487" t="s">
        <v>32</v>
      </c>
      <c r="D39" s="487"/>
      <c r="E39" s="26">
        <v>26.2</v>
      </c>
      <c r="F39" s="105">
        <v>2977</v>
      </c>
      <c r="G39" s="100">
        <f t="shared" ref="G39:G46" si="46">E39*F39</f>
        <v>77997.399999999994</v>
      </c>
      <c r="H39" s="76" t="s">
        <v>57</v>
      </c>
      <c r="I39" s="103">
        <v>22</v>
      </c>
      <c r="J39" s="18">
        <v>2400</v>
      </c>
      <c r="K39" s="9">
        <f>J39/I39</f>
        <v>109.09090909090909</v>
      </c>
      <c r="L39" s="103">
        <v>22</v>
      </c>
      <c r="M39" s="10">
        <f>F39/V39*60</f>
        <v>2152.0481927710844</v>
      </c>
      <c r="N39" s="9">
        <f>M39/L39</f>
        <v>97.820372398685649</v>
      </c>
      <c r="O39" s="11">
        <f t="shared" ref="O39:O46" si="47">L39-I39</f>
        <v>0</v>
      </c>
      <c r="P39" s="12">
        <f t="shared" ref="P39:P60" si="48">N39-K39</f>
        <v>-11.270536692223445</v>
      </c>
      <c r="Q39" s="101">
        <f t="shared" ref="Q39:Q51" si="49">N39/K39</f>
        <v>0.89668674698795181</v>
      </c>
      <c r="R39" s="470">
        <f>Q47</f>
        <v>0.8959883264476336</v>
      </c>
      <c r="S39" s="24">
        <v>0.125</v>
      </c>
      <c r="T39" s="24">
        <v>0.18263888888888888</v>
      </c>
      <c r="U39" s="100"/>
      <c r="V39" s="104">
        <f t="shared" ref="V39:V46" si="50">(T39-S39)*24*60</f>
        <v>82.999999999999986</v>
      </c>
      <c r="W39" s="15"/>
      <c r="X39" s="15"/>
      <c r="Y39" s="456"/>
      <c r="Z39" s="456"/>
      <c r="AA39" s="11">
        <f t="shared" si="2"/>
        <v>-247.95180722891564</v>
      </c>
      <c r="AB39" s="101">
        <f>M39/J39</f>
        <v>0.89668674698795181</v>
      </c>
      <c r="AC39" s="470">
        <f>AB47</f>
        <v>0.8959883264476336</v>
      </c>
    </row>
    <row r="40" spans="1:29" ht="15.75" customHeight="1">
      <c r="A40" s="485" t="s">
        <v>158</v>
      </c>
      <c r="B40" s="26" t="s">
        <v>24</v>
      </c>
      <c r="C40" s="487" t="s">
        <v>30</v>
      </c>
      <c r="D40" s="487"/>
      <c r="E40" s="26">
        <v>26.39</v>
      </c>
      <c r="F40" s="105">
        <v>3600</v>
      </c>
      <c r="G40" s="100">
        <f t="shared" si="46"/>
        <v>95004</v>
      </c>
      <c r="H40" s="76">
        <v>2</v>
      </c>
      <c r="I40" s="103">
        <v>21</v>
      </c>
      <c r="J40" s="18">
        <v>2400</v>
      </c>
      <c r="K40" s="9">
        <f t="shared" ref="K40:K59" si="51">J40/I40</f>
        <v>114.28571428571429</v>
      </c>
      <c r="L40" s="103">
        <v>21</v>
      </c>
      <c r="M40" s="10">
        <f t="shared" ref="M40:M46" si="52">F40/V40*60</f>
        <v>2138.6138613861376</v>
      </c>
      <c r="N40" s="9">
        <f t="shared" ref="N40:N46" si="53">M40/L40</f>
        <v>101.8387553041018</v>
      </c>
      <c r="O40" s="11">
        <f t="shared" si="47"/>
        <v>0</v>
      </c>
      <c r="P40" s="12">
        <f t="shared" si="48"/>
        <v>-12.446958981612497</v>
      </c>
      <c r="Q40" s="101">
        <f t="shared" si="49"/>
        <v>0.89108910891089066</v>
      </c>
      <c r="R40" s="470"/>
      <c r="S40" s="24">
        <v>0.20416666666666666</v>
      </c>
      <c r="T40" s="24">
        <v>0.27430555555555558</v>
      </c>
      <c r="U40" s="100">
        <f>(S40-T39)*24*60</f>
        <v>31.000000000000011</v>
      </c>
      <c r="V40" s="104">
        <f t="shared" si="50"/>
        <v>101.00000000000004</v>
      </c>
      <c r="W40" s="100"/>
      <c r="X40" s="100"/>
      <c r="Y40" s="456"/>
      <c r="Z40" s="456"/>
      <c r="AA40" s="11">
        <f t="shared" si="2"/>
        <v>-261.38613861386239</v>
      </c>
      <c r="AB40" s="101">
        <f t="shared" ref="AB40:AB69" si="54">M40/J40</f>
        <v>0.89108910891089066</v>
      </c>
      <c r="AC40" s="470"/>
    </row>
    <row r="41" spans="1:29">
      <c r="A41" s="486" t="s">
        <v>158</v>
      </c>
      <c r="B41" s="26" t="s">
        <v>24</v>
      </c>
      <c r="C41" s="487" t="s">
        <v>29</v>
      </c>
      <c r="D41" s="487"/>
      <c r="E41" s="26">
        <v>26.2</v>
      </c>
      <c r="F41" s="105">
        <v>4200</v>
      </c>
      <c r="G41" s="100">
        <f t="shared" si="46"/>
        <v>110040</v>
      </c>
      <c r="H41" s="76">
        <v>2</v>
      </c>
      <c r="I41" s="103">
        <v>19</v>
      </c>
      <c r="J41" s="18">
        <v>2400</v>
      </c>
      <c r="K41" s="9">
        <f t="shared" si="51"/>
        <v>126.31578947368421</v>
      </c>
      <c r="L41" s="103">
        <v>19</v>
      </c>
      <c r="M41" s="10">
        <f t="shared" si="52"/>
        <v>2153.8461538461543</v>
      </c>
      <c r="N41" s="9">
        <f t="shared" si="53"/>
        <v>113.3603238866397</v>
      </c>
      <c r="O41" s="11">
        <f t="shared" si="47"/>
        <v>0</v>
      </c>
      <c r="P41" s="12">
        <f t="shared" si="48"/>
        <v>-12.9554655870445</v>
      </c>
      <c r="Q41" s="101">
        <f t="shared" si="49"/>
        <v>0.89743589743589769</v>
      </c>
      <c r="R41" s="470"/>
      <c r="S41" s="24">
        <v>0.27916666666666667</v>
      </c>
      <c r="T41" s="24">
        <v>0.36041666666666666</v>
      </c>
      <c r="U41" s="100">
        <f t="shared" ref="U41:U46" si="55">(S41-T40)*24*60</f>
        <v>6.9999999999999751</v>
      </c>
      <c r="V41" s="104">
        <f t="shared" si="50"/>
        <v>116.99999999999999</v>
      </c>
      <c r="W41" s="100"/>
      <c r="X41" s="100"/>
      <c r="Y41" s="456"/>
      <c r="Z41" s="456"/>
      <c r="AA41" s="11">
        <f t="shared" si="2"/>
        <v>-246.15384615384573</v>
      </c>
      <c r="AB41" s="101">
        <f t="shared" si="54"/>
        <v>0.89743589743589758</v>
      </c>
      <c r="AC41" s="470"/>
    </row>
    <row r="42" spans="1:29">
      <c r="A42" s="486" t="s">
        <v>158</v>
      </c>
      <c r="B42" s="26" t="s">
        <v>24</v>
      </c>
      <c r="C42" s="487" t="s">
        <v>69</v>
      </c>
      <c r="D42" s="487"/>
      <c r="E42" s="26">
        <v>22.35</v>
      </c>
      <c r="F42" s="105">
        <v>3444</v>
      </c>
      <c r="G42" s="100">
        <f t="shared" si="46"/>
        <v>76973.400000000009</v>
      </c>
      <c r="H42" s="76" t="s">
        <v>57</v>
      </c>
      <c r="I42" s="103">
        <v>16</v>
      </c>
      <c r="J42" s="18">
        <v>2400</v>
      </c>
      <c r="K42" s="9">
        <f t="shared" si="51"/>
        <v>150</v>
      </c>
      <c r="L42" s="103">
        <v>16</v>
      </c>
      <c r="M42" s="10">
        <f t="shared" si="52"/>
        <v>2152.5000000000005</v>
      </c>
      <c r="N42" s="9">
        <f t="shared" si="53"/>
        <v>134.53125000000003</v>
      </c>
      <c r="O42" s="11">
        <f t="shared" si="47"/>
        <v>0</v>
      </c>
      <c r="P42" s="12">
        <f t="shared" si="48"/>
        <v>-15.468749999999972</v>
      </c>
      <c r="Q42" s="101">
        <f t="shared" si="49"/>
        <v>0.8968750000000002</v>
      </c>
      <c r="R42" s="470"/>
      <c r="S42" s="24">
        <v>0.36458333333333331</v>
      </c>
      <c r="T42" s="24">
        <v>0.43124999999999997</v>
      </c>
      <c r="U42" s="100">
        <f t="shared" si="55"/>
        <v>5.9999999999999787</v>
      </c>
      <c r="V42" s="104">
        <f t="shared" si="50"/>
        <v>95.999999999999972</v>
      </c>
      <c r="W42" s="14"/>
      <c r="X42" s="14"/>
      <c r="Y42" s="456"/>
      <c r="Z42" s="456"/>
      <c r="AA42" s="11">
        <f t="shared" si="2"/>
        <v>-247.49999999999955</v>
      </c>
      <c r="AB42" s="101">
        <f t="shared" si="54"/>
        <v>0.8968750000000002</v>
      </c>
      <c r="AC42" s="470"/>
    </row>
    <row r="43" spans="1:29">
      <c r="A43" s="486" t="s">
        <v>158</v>
      </c>
      <c r="B43" s="26" t="s">
        <v>24</v>
      </c>
      <c r="C43" s="487" t="s">
        <v>84</v>
      </c>
      <c r="D43" s="487"/>
      <c r="E43" s="26">
        <v>24.25</v>
      </c>
      <c r="F43" s="105">
        <v>3500</v>
      </c>
      <c r="G43" s="100">
        <f t="shared" si="46"/>
        <v>84875</v>
      </c>
      <c r="H43" s="76">
        <v>2</v>
      </c>
      <c r="I43" s="103">
        <v>19</v>
      </c>
      <c r="J43" s="18">
        <v>2400</v>
      </c>
      <c r="K43" s="9">
        <f t="shared" si="51"/>
        <v>126.31578947368421</v>
      </c>
      <c r="L43" s="103">
        <v>19</v>
      </c>
      <c r="M43" s="10">
        <f t="shared" si="52"/>
        <v>2142.8571428571418</v>
      </c>
      <c r="N43" s="9">
        <f t="shared" si="53"/>
        <v>112.78195488721799</v>
      </c>
      <c r="O43" s="11">
        <f t="shared" si="47"/>
        <v>0</v>
      </c>
      <c r="P43" s="12">
        <f t="shared" si="48"/>
        <v>-13.533834586466213</v>
      </c>
      <c r="Q43" s="101">
        <f t="shared" si="49"/>
        <v>0.89285714285714246</v>
      </c>
      <c r="R43" s="470"/>
      <c r="S43" s="24">
        <v>0.43611111111111106</v>
      </c>
      <c r="T43" s="24">
        <v>0.50416666666666665</v>
      </c>
      <c r="U43" s="100">
        <f t="shared" si="55"/>
        <v>6.9999999999999751</v>
      </c>
      <c r="V43" s="104">
        <f t="shared" si="50"/>
        <v>98.000000000000057</v>
      </c>
      <c r="W43" s="14"/>
      <c r="X43" s="14"/>
      <c r="Y43" s="456"/>
      <c r="Z43" s="456"/>
      <c r="AA43" s="11">
        <f t="shared" si="2"/>
        <v>-257.14285714285825</v>
      </c>
      <c r="AB43" s="101">
        <f t="shared" si="54"/>
        <v>0.89285714285714235</v>
      </c>
      <c r="AC43" s="470"/>
    </row>
    <row r="44" spans="1:29">
      <c r="A44" s="486" t="s">
        <v>158</v>
      </c>
      <c r="B44" s="26" t="s">
        <v>24</v>
      </c>
      <c r="C44" s="487" t="s">
        <v>84</v>
      </c>
      <c r="D44" s="487"/>
      <c r="E44" s="26">
        <v>24.25</v>
      </c>
      <c r="F44" s="105">
        <v>3035</v>
      </c>
      <c r="G44" s="100">
        <f t="shared" si="46"/>
        <v>73598.75</v>
      </c>
      <c r="H44" s="76" t="s">
        <v>57</v>
      </c>
      <c r="I44" s="103">
        <v>19</v>
      </c>
      <c r="J44" s="18">
        <v>2400</v>
      </c>
      <c r="K44" s="9">
        <f t="shared" si="51"/>
        <v>126.31578947368421</v>
      </c>
      <c r="L44" s="103">
        <v>19</v>
      </c>
      <c r="M44" s="10">
        <f t="shared" si="52"/>
        <v>2142.3529411764703</v>
      </c>
      <c r="N44" s="9">
        <f t="shared" si="53"/>
        <v>112.75541795665633</v>
      </c>
      <c r="O44" s="11">
        <f t="shared" si="47"/>
        <v>0</v>
      </c>
      <c r="P44" s="12">
        <f t="shared" si="48"/>
        <v>-13.560371517027875</v>
      </c>
      <c r="Q44" s="101">
        <f t="shared" si="49"/>
        <v>0.89264705882352935</v>
      </c>
      <c r="R44" s="470"/>
      <c r="S44" s="24">
        <v>0.54513888888888884</v>
      </c>
      <c r="T44" s="24">
        <v>0.60416666666666663</v>
      </c>
      <c r="U44" s="100">
        <f t="shared" si="55"/>
        <v>58.99999999999995</v>
      </c>
      <c r="V44" s="104">
        <f t="shared" si="50"/>
        <v>85.000000000000014</v>
      </c>
      <c r="W44" s="14"/>
      <c r="X44" s="14"/>
      <c r="Y44" s="456"/>
      <c r="Z44" s="456"/>
      <c r="AA44" s="11">
        <f t="shared" si="2"/>
        <v>-257.64705882352973</v>
      </c>
      <c r="AB44" s="101">
        <f t="shared" si="54"/>
        <v>0.89264705882352924</v>
      </c>
      <c r="AC44" s="470"/>
    </row>
    <row r="45" spans="1:29">
      <c r="A45" s="486" t="s">
        <v>158</v>
      </c>
      <c r="B45" s="26" t="s">
        <v>24</v>
      </c>
      <c r="C45" s="487" t="s">
        <v>30</v>
      </c>
      <c r="D45" s="487"/>
      <c r="E45" s="26">
        <v>26.39</v>
      </c>
      <c r="F45" s="105">
        <v>2386</v>
      </c>
      <c r="G45" s="100">
        <f t="shared" si="46"/>
        <v>62966.54</v>
      </c>
      <c r="H45" s="76" t="s">
        <v>57</v>
      </c>
      <c r="I45" s="103">
        <v>21</v>
      </c>
      <c r="J45" s="18">
        <v>2400</v>
      </c>
      <c r="K45" s="9">
        <f t="shared" si="51"/>
        <v>114.28571428571429</v>
      </c>
      <c r="L45" s="103">
        <v>21</v>
      </c>
      <c r="M45" s="10">
        <f t="shared" si="52"/>
        <v>2169.0909090909113</v>
      </c>
      <c r="N45" s="9">
        <f t="shared" si="53"/>
        <v>103.2900432900434</v>
      </c>
      <c r="O45" s="11">
        <f t="shared" si="47"/>
        <v>0</v>
      </c>
      <c r="P45" s="12">
        <f t="shared" si="48"/>
        <v>-10.995670995670892</v>
      </c>
      <c r="Q45" s="101">
        <f t="shared" si="49"/>
        <v>0.90378787878787969</v>
      </c>
      <c r="R45" s="470"/>
      <c r="S45" s="24">
        <v>0.60833333333333328</v>
      </c>
      <c r="T45" s="24">
        <v>0.65416666666666656</v>
      </c>
      <c r="U45" s="100">
        <f t="shared" si="55"/>
        <v>5.9999999999999787</v>
      </c>
      <c r="V45" s="104">
        <f t="shared" si="50"/>
        <v>65.999999999999929</v>
      </c>
      <c r="W45" s="14"/>
      <c r="X45" s="14"/>
      <c r="Y45" s="473"/>
      <c r="Z45" s="502"/>
      <c r="AA45" s="11">
        <f t="shared" si="2"/>
        <v>-230.90909090908872</v>
      </c>
      <c r="AB45" s="101">
        <f t="shared" si="54"/>
        <v>0.90378787878787969</v>
      </c>
      <c r="AC45" s="470"/>
    </row>
    <row r="46" spans="1:29">
      <c r="A46" s="486" t="s">
        <v>158</v>
      </c>
      <c r="B46" s="26" t="s">
        <v>24</v>
      </c>
      <c r="C46" s="487" t="s">
        <v>29</v>
      </c>
      <c r="D46" s="487"/>
      <c r="E46" s="26">
        <v>26.2</v>
      </c>
      <c r="F46" s="105">
        <v>2582</v>
      </c>
      <c r="G46" s="100">
        <f t="shared" si="46"/>
        <v>67648.399999999994</v>
      </c>
      <c r="H46" s="76" t="s">
        <v>57</v>
      </c>
      <c r="I46" s="103">
        <v>19</v>
      </c>
      <c r="J46" s="18">
        <v>2400</v>
      </c>
      <c r="K46" s="9">
        <f t="shared" si="51"/>
        <v>126.31578947368421</v>
      </c>
      <c r="L46" s="103">
        <v>19</v>
      </c>
      <c r="M46" s="10">
        <f t="shared" si="52"/>
        <v>2151.6666666666652</v>
      </c>
      <c r="N46" s="9">
        <f t="shared" si="53"/>
        <v>113.24561403508764</v>
      </c>
      <c r="O46" s="11">
        <f t="shared" si="47"/>
        <v>0</v>
      </c>
      <c r="P46" s="12">
        <f t="shared" si="48"/>
        <v>-13.070175438596564</v>
      </c>
      <c r="Q46" s="101">
        <f t="shared" si="49"/>
        <v>0.89652777777777715</v>
      </c>
      <c r="R46" s="470"/>
      <c r="S46" s="24">
        <v>0.65902777777777766</v>
      </c>
      <c r="T46" s="24">
        <v>0.7090277777777777</v>
      </c>
      <c r="U46" s="100">
        <f t="shared" si="55"/>
        <v>6.9999999999999751</v>
      </c>
      <c r="V46" s="104">
        <f t="shared" si="50"/>
        <v>72.000000000000057</v>
      </c>
      <c r="W46" s="14"/>
      <c r="X46" s="14"/>
      <c r="Y46" s="473"/>
      <c r="Z46" s="474"/>
      <c r="AA46" s="11">
        <f t="shared" si="2"/>
        <v>-248.33333333333485</v>
      </c>
      <c r="AB46" s="101">
        <f t="shared" si="54"/>
        <v>0.89652777777777715</v>
      </c>
      <c r="AC46" s="470"/>
    </row>
    <row r="47" spans="1:29">
      <c r="A47" s="486" t="s">
        <v>158</v>
      </c>
      <c r="B47" s="16" t="s">
        <v>81</v>
      </c>
      <c r="C47" s="466"/>
      <c r="D47" s="466"/>
      <c r="E47" s="99"/>
      <c r="F47" s="16"/>
      <c r="G47" s="9"/>
      <c r="H47" s="105"/>
      <c r="I47" s="17">
        <v>19.5</v>
      </c>
      <c r="J47" s="18">
        <v>2400</v>
      </c>
      <c r="K47" s="9">
        <f t="shared" si="51"/>
        <v>123.07692307692308</v>
      </c>
      <c r="L47" s="17">
        <v>19.5</v>
      </c>
      <c r="M47" s="10">
        <f>AVERAGE(M39:M46)</f>
        <v>2150.3719834743206</v>
      </c>
      <c r="N47" s="9">
        <f>M47/L47</f>
        <v>110.27548633201644</v>
      </c>
      <c r="O47" s="11">
        <f>L47-I47</f>
        <v>0</v>
      </c>
      <c r="P47" s="12">
        <f t="shared" si="48"/>
        <v>-12.801436744906638</v>
      </c>
      <c r="Q47" s="101">
        <f t="shared" si="49"/>
        <v>0.8959883264476336</v>
      </c>
      <c r="R47" s="470"/>
      <c r="S47" s="24"/>
      <c r="T47" s="24"/>
      <c r="U47" s="9"/>
      <c r="V47" s="104"/>
      <c r="W47" s="9"/>
      <c r="X47" s="9"/>
      <c r="Y47" s="456"/>
      <c r="Z47" s="456"/>
      <c r="AA47" s="11">
        <f t="shared" si="2"/>
        <v>-249.62801652567941</v>
      </c>
      <c r="AB47" s="101">
        <f t="shared" si="54"/>
        <v>0.8959883264476336</v>
      </c>
      <c r="AC47" s="470"/>
    </row>
    <row r="48" spans="1:29" ht="15.75" customHeight="1">
      <c r="A48" s="488" t="s">
        <v>162</v>
      </c>
      <c r="B48" s="26" t="s">
        <v>33</v>
      </c>
      <c r="C48" s="491" t="s">
        <v>34</v>
      </c>
      <c r="D48" s="492"/>
      <c r="E48" s="26">
        <v>27.17</v>
      </c>
      <c r="F48" s="105">
        <v>2500</v>
      </c>
      <c r="G48" s="100">
        <f t="shared" ref="G48:G59" si="56">E48*F48</f>
        <v>67925</v>
      </c>
      <c r="H48" s="76">
        <v>2</v>
      </c>
      <c r="I48" s="103">
        <v>10</v>
      </c>
      <c r="J48" s="18">
        <v>3000</v>
      </c>
      <c r="K48" s="9">
        <f t="shared" si="51"/>
        <v>300</v>
      </c>
      <c r="L48" s="103">
        <v>10</v>
      </c>
      <c r="M48" s="10">
        <f t="shared" ref="M48:M49" si="57">F48/V48*60</f>
        <v>2678.5714285714289</v>
      </c>
      <c r="N48" s="10">
        <f t="shared" ref="N48:N60" si="58">M48/L48</f>
        <v>267.85714285714289</v>
      </c>
      <c r="O48" s="11">
        <f t="shared" ref="O48:O60" si="59">L48-I48</f>
        <v>0</v>
      </c>
      <c r="P48" s="12">
        <f t="shared" si="48"/>
        <v>-32.14285714285711</v>
      </c>
      <c r="Q48" s="101">
        <f t="shared" si="49"/>
        <v>0.89285714285714302</v>
      </c>
      <c r="R48" s="493">
        <f>Q60</f>
        <v>0.90188032240735405</v>
      </c>
      <c r="S48" s="24">
        <v>0.16666666666666666</v>
      </c>
      <c r="T48" s="24">
        <v>0.20555555555555555</v>
      </c>
      <c r="U48" s="15"/>
      <c r="V48" s="104">
        <f t="shared" ref="V48:V59" si="60">(T48-S48)*24*60</f>
        <v>56</v>
      </c>
      <c r="W48" s="100"/>
      <c r="X48" s="100"/>
      <c r="Y48" s="473"/>
      <c r="Z48" s="474"/>
      <c r="AA48" s="11">
        <f t="shared" si="2"/>
        <v>-321.4285714285711</v>
      </c>
      <c r="AB48" s="101">
        <f t="shared" si="54"/>
        <v>0.89285714285714302</v>
      </c>
      <c r="AC48" s="493">
        <f>AB60</f>
        <v>0.90188032240735405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105">
        <v>2800</v>
      </c>
      <c r="G49" s="100">
        <f t="shared" si="56"/>
        <v>59164</v>
      </c>
      <c r="H49" s="76">
        <v>2</v>
      </c>
      <c r="I49" s="103">
        <v>10</v>
      </c>
      <c r="J49" s="18">
        <v>3000</v>
      </c>
      <c r="K49" s="9">
        <f t="shared" si="51"/>
        <v>300</v>
      </c>
      <c r="L49" s="103">
        <v>10</v>
      </c>
      <c r="M49" s="10">
        <f t="shared" si="57"/>
        <v>2709.6774193548399</v>
      </c>
      <c r="N49" s="10">
        <f t="shared" si="58"/>
        <v>270.96774193548401</v>
      </c>
      <c r="O49" s="11">
        <f t="shared" si="59"/>
        <v>0</v>
      </c>
      <c r="P49" s="12">
        <f t="shared" si="48"/>
        <v>-29.032258064515986</v>
      </c>
      <c r="Q49" s="101">
        <f t="shared" si="49"/>
        <v>0.90322580645161343</v>
      </c>
      <c r="R49" s="494"/>
      <c r="S49" s="24">
        <v>0.22430555555555556</v>
      </c>
      <c r="T49" s="24">
        <v>0.2673611111111111</v>
      </c>
      <c r="U49" s="100">
        <f>(S49-T48)*24*60</f>
        <v>27.000000000000025</v>
      </c>
      <c r="V49" s="104">
        <f t="shared" si="60"/>
        <v>61.999999999999979</v>
      </c>
      <c r="W49" s="14"/>
      <c r="X49" s="14"/>
      <c r="Y49" s="473"/>
      <c r="Z49" s="474"/>
      <c r="AA49" s="11">
        <f t="shared" si="2"/>
        <v>-290.32258064516009</v>
      </c>
      <c r="AB49" s="101">
        <f t="shared" si="54"/>
        <v>0.90322580645161332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105">
        <v>2600</v>
      </c>
      <c r="G50" s="100">
        <f t="shared" si="56"/>
        <v>91312</v>
      </c>
      <c r="H50" s="76">
        <v>2</v>
      </c>
      <c r="I50" s="103">
        <v>10</v>
      </c>
      <c r="J50" s="18">
        <v>3000</v>
      </c>
      <c r="K50" s="9">
        <f t="shared" si="51"/>
        <v>300</v>
      </c>
      <c r="L50" s="103">
        <v>10</v>
      </c>
      <c r="M50" s="10">
        <f>F50/V50*60</f>
        <v>2689.6551724137917</v>
      </c>
      <c r="N50" s="10">
        <f t="shared" si="58"/>
        <v>268.96551724137919</v>
      </c>
      <c r="O50" s="11">
        <f t="shared" si="59"/>
        <v>0</v>
      </c>
      <c r="P50" s="12">
        <f t="shared" si="48"/>
        <v>-31.034482758620811</v>
      </c>
      <c r="Q50" s="101">
        <f t="shared" si="49"/>
        <v>0.89655172413793061</v>
      </c>
      <c r="R50" s="494"/>
      <c r="S50" s="24">
        <v>0.27291666666666664</v>
      </c>
      <c r="T50" s="24">
        <v>0.31319444444444444</v>
      </c>
      <c r="U50" s="100">
        <f t="shared" ref="U50:U59" si="61">(S50-T49)*24*60</f>
        <v>7.9999999999999716</v>
      </c>
      <c r="V50" s="104">
        <f t="shared" si="60"/>
        <v>58.000000000000036</v>
      </c>
      <c r="W50" s="14"/>
      <c r="X50" s="14"/>
      <c r="Y50" s="473"/>
      <c r="Z50" s="474"/>
      <c r="AA50" s="11">
        <f t="shared" si="2"/>
        <v>-310.34482758620834</v>
      </c>
      <c r="AB50" s="101">
        <f t="shared" si="54"/>
        <v>0.89655172413793061</v>
      </c>
      <c r="AC50" s="494"/>
    </row>
    <row r="51" spans="1:29" ht="15.75" customHeight="1">
      <c r="A51" s="489" t="s">
        <v>9</v>
      </c>
      <c r="B51" s="26" t="s">
        <v>33</v>
      </c>
      <c r="C51" s="491" t="s">
        <v>38</v>
      </c>
      <c r="D51" s="492"/>
      <c r="E51" s="26">
        <v>34.36</v>
      </c>
      <c r="F51" s="105">
        <v>2300</v>
      </c>
      <c r="G51" s="100">
        <f t="shared" si="56"/>
        <v>79028</v>
      </c>
      <c r="H51" s="76">
        <v>2</v>
      </c>
      <c r="I51" s="103">
        <v>10</v>
      </c>
      <c r="J51" s="18">
        <v>3000</v>
      </c>
      <c r="K51" s="9">
        <f t="shared" si="51"/>
        <v>300</v>
      </c>
      <c r="L51" s="103">
        <v>10</v>
      </c>
      <c r="M51" s="10">
        <f t="shared" ref="M51:M59" si="62">F51/V51*60</f>
        <v>2705.8823529411775</v>
      </c>
      <c r="N51" s="10">
        <f t="shared" si="58"/>
        <v>270.58823529411774</v>
      </c>
      <c r="O51" s="11">
        <f t="shared" si="59"/>
        <v>0</v>
      </c>
      <c r="P51" s="12">
        <f t="shared" si="48"/>
        <v>-29.411764705882263</v>
      </c>
      <c r="Q51" s="101">
        <f t="shared" si="49"/>
        <v>0.90196078431372584</v>
      </c>
      <c r="R51" s="494"/>
      <c r="S51" s="24">
        <v>0.31805555555555554</v>
      </c>
      <c r="T51" s="24">
        <v>0.35347222222222219</v>
      </c>
      <c r="U51" s="100">
        <f t="shared" si="61"/>
        <v>6.9999999999999751</v>
      </c>
      <c r="V51" s="104">
        <f t="shared" si="60"/>
        <v>50.999999999999979</v>
      </c>
      <c r="W51" s="14"/>
      <c r="X51" s="14"/>
      <c r="Y51" s="473"/>
      <c r="Z51" s="474"/>
      <c r="AA51" s="11">
        <f t="shared" si="2"/>
        <v>-294.11764705882251</v>
      </c>
      <c r="AB51" s="101">
        <f t="shared" si="54"/>
        <v>0.90196078431372584</v>
      </c>
      <c r="AC51" s="494"/>
    </row>
    <row r="52" spans="1:29" ht="15.75" customHeight="1">
      <c r="A52" s="489" t="s">
        <v>9</v>
      </c>
      <c r="B52" s="26" t="s">
        <v>33</v>
      </c>
      <c r="C52" s="491" t="s">
        <v>67</v>
      </c>
      <c r="D52" s="492"/>
      <c r="E52" s="26">
        <v>40.18</v>
      </c>
      <c r="F52" s="105">
        <v>2528</v>
      </c>
      <c r="G52" s="100">
        <f t="shared" si="56"/>
        <v>101575.03999999999</v>
      </c>
      <c r="H52" s="76" t="s">
        <v>57</v>
      </c>
      <c r="I52" s="103">
        <v>10</v>
      </c>
      <c r="J52" s="18">
        <v>3000</v>
      </c>
      <c r="K52" s="9">
        <f t="shared" si="51"/>
        <v>300</v>
      </c>
      <c r="L52" s="103">
        <v>10</v>
      </c>
      <c r="M52" s="10">
        <f t="shared" si="62"/>
        <v>2708.5714285714303</v>
      </c>
      <c r="N52" s="10">
        <f t="shared" si="58"/>
        <v>270.857142857143</v>
      </c>
      <c r="O52" s="11">
        <f t="shared" si="59"/>
        <v>0</v>
      </c>
      <c r="P52" s="12">
        <f t="shared" si="48"/>
        <v>-29.142857142856997</v>
      </c>
      <c r="Q52" s="101">
        <f>N52/K52</f>
        <v>0.90285714285714336</v>
      </c>
      <c r="R52" s="494"/>
      <c r="S52" s="24">
        <v>0.35833333333333328</v>
      </c>
      <c r="T52" s="24">
        <v>0.39722222222222214</v>
      </c>
      <c r="U52" s="100">
        <f t="shared" si="61"/>
        <v>6.9999999999999751</v>
      </c>
      <c r="V52" s="104">
        <f t="shared" si="60"/>
        <v>55.999999999999957</v>
      </c>
      <c r="W52" s="14"/>
      <c r="X52" s="14"/>
      <c r="Y52" s="473"/>
      <c r="Z52" s="474"/>
      <c r="AA52" s="11">
        <f t="shared" si="2"/>
        <v>-291.42857142856974</v>
      </c>
      <c r="AB52" s="101">
        <f t="shared" si="54"/>
        <v>0.90285714285714347</v>
      </c>
      <c r="AC52" s="494"/>
    </row>
    <row r="53" spans="1:29" ht="15.75" customHeight="1">
      <c r="A53" s="489" t="s">
        <v>9</v>
      </c>
      <c r="B53" s="26" t="s">
        <v>33</v>
      </c>
      <c r="C53" s="491" t="s">
        <v>42</v>
      </c>
      <c r="D53" s="492"/>
      <c r="E53" s="26">
        <v>35.369999999999997</v>
      </c>
      <c r="F53" s="105">
        <v>1584</v>
      </c>
      <c r="G53" s="100">
        <f t="shared" si="56"/>
        <v>56026.079999999994</v>
      </c>
      <c r="H53" s="76" t="s">
        <v>57</v>
      </c>
      <c r="I53" s="103">
        <v>10</v>
      </c>
      <c r="J53" s="18">
        <v>3000</v>
      </c>
      <c r="K53" s="9">
        <f t="shared" si="51"/>
        <v>300</v>
      </c>
      <c r="L53" s="103">
        <v>10</v>
      </c>
      <c r="M53" s="10">
        <f t="shared" si="62"/>
        <v>2715.4285714285688</v>
      </c>
      <c r="N53" s="10">
        <f t="shared" si="58"/>
        <v>271.54285714285686</v>
      </c>
      <c r="O53" s="11">
        <f t="shared" si="59"/>
        <v>0</v>
      </c>
      <c r="P53" s="12">
        <f t="shared" si="48"/>
        <v>-28.45714285714314</v>
      </c>
      <c r="Q53" s="101">
        <f t="shared" ref="Q53:Q60" si="63">N53/K53</f>
        <v>0.90514285714285625</v>
      </c>
      <c r="R53" s="494"/>
      <c r="S53" s="24">
        <v>0.40208333333333324</v>
      </c>
      <c r="T53" s="24">
        <v>0.42638888888888882</v>
      </c>
      <c r="U53" s="100">
        <f t="shared" si="61"/>
        <v>6.9999999999999751</v>
      </c>
      <c r="V53" s="104">
        <f t="shared" si="60"/>
        <v>35.000000000000036</v>
      </c>
      <c r="W53" s="14"/>
      <c r="X53" s="14"/>
      <c r="Y53" s="473"/>
      <c r="Z53" s="474"/>
      <c r="AA53" s="11">
        <f t="shared" si="2"/>
        <v>-284.57142857143117</v>
      </c>
      <c r="AB53" s="101">
        <f t="shared" si="54"/>
        <v>0.90514285714285625</v>
      </c>
      <c r="AC53" s="494"/>
    </row>
    <row r="54" spans="1:29" ht="15.75" customHeight="1">
      <c r="A54" s="489" t="s">
        <v>9</v>
      </c>
      <c r="B54" s="26" t="s">
        <v>33</v>
      </c>
      <c r="C54" s="491" t="s">
        <v>37</v>
      </c>
      <c r="D54" s="492"/>
      <c r="E54" s="26">
        <v>34.36</v>
      </c>
      <c r="F54" s="105">
        <v>2392</v>
      </c>
      <c r="G54" s="100">
        <f t="shared" si="56"/>
        <v>82189.119999999995</v>
      </c>
      <c r="H54" s="76" t="s">
        <v>57</v>
      </c>
      <c r="I54" s="103">
        <v>10</v>
      </c>
      <c r="J54" s="18">
        <v>3000</v>
      </c>
      <c r="K54" s="9">
        <f t="shared" si="51"/>
        <v>300</v>
      </c>
      <c r="L54" s="103">
        <v>10</v>
      </c>
      <c r="M54" s="10">
        <f t="shared" si="62"/>
        <v>2707.9245283018881</v>
      </c>
      <c r="N54" s="10">
        <f t="shared" si="58"/>
        <v>270.79245283018884</v>
      </c>
      <c r="O54" s="11">
        <f t="shared" si="59"/>
        <v>0</v>
      </c>
      <c r="P54" s="12">
        <f t="shared" si="48"/>
        <v>-29.207547169811164</v>
      </c>
      <c r="Q54" s="101">
        <f t="shared" si="63"/>
        <v>0.90264150943396282</v>
      </c>
      <c r="R54" s="494"/>
      <c r="S54" s="24">
        <v>0.43194444444444435</v>
      </c>
      <c r="T54" s="24">
        <v>0.46874999999999989</v>
      </c>
      <c r="U54" s="100">
        <f t="shared" si="61"/>
        <v>7.9999999999999716</v>
      </c>
      <c r="V54" s="104">
        <f t="shared" si="60"/>
        <v>52.999999999999972</v>
      </c>
      <c r="W54" s="14"/>
      <c r="X54" s="14"/>
      <c r="Y54" s="473"/>
      <c r="Z54" s="474"/>
      <c r="AA54" s="11">
        <f t="shared" si="2"/>
        <v>-292.07547169811187</v>
      </c>
      <c r="AB54" s="101">
        <f t="shared" si="54"/>
        <v>0.90264150943396271</v>
      </c>
      <c r="AC54" s="494"/>
    </row>
    <row r="55" spans="1:29" ht="15.75" customHeight="1">
      <c r="A55" s="489" t="s">
        <v>9</v>
      </c>
      <c r="B55" s="26" t="s">
        <v>33</v>
      </c>
      <c r="C55" s="491" t="s">
        <v>40</v>
      </c>
      <c r="D55" s="492"/>
      <c r="E55" s="26">
        <v>35.119999999999997</v>
      </c>
      <c r="F55" s="105">
        <v>1142</v>
      </c>
      <c r="G55" s="100">
        <f t="shared" si="56"/>
        <v>40107.039999999994</v>
      </c>
      <c r="H55" s="76" t="s">
        <v>57</v>
      </c>
      <c r="I55" s="103">
        <v>14</v>
      </c>
      <c r="J55" s="18">
        <v>2000</v>
      </c>
      <c r="K55" s="9">
        <f t="shared" si="51"/>
        <v>142.85714285714286</v>
      </c>
      <c r="L55" s="103">
        <v>14</v>
      </c>
      <c r="M55" s="10">
        <f t="shared" si="62"/>
        <v>1803.1578947368407</v>
      </c>
      <c r="N55" s="10">
        <f t="shared" si="58"/>
        <v>128.79699248120292</v>
      </c>
      <c r="O55" s="11">
        <f t="shared" si="59"/>
        <v>0</v>
      </c>
      <c r="P55" s="12">
        <f t="shared" si="48"/>
        <v>-14.060150375939941</v>
      </c>
      <c r="Q55" s="101">
        <f t="shared" si="63"/>
        <v>0.90157894736842037</v>
      </c>
      <c r="R55" s="494"/>
      <c r="S55" s="24">
        <v>0.47430555555555542</v>
      </c>
      <c r="T55" s="24">
        <v>0.50069444444444433</v>
      </c>
      <c r="U55" s="100">
        <f t="shared" si="61"/>
        <v>7.9999999999999716</v>
      </c>
      <c r="V55" s="104">
        <f t="shared" si="60"/>
        <v>38.000000000000028</v>
      </c>
      <c r="W55" s="14"/>
      <c r="X55" s="14"/>
      <c r="Y55" s="473"/>
      <c r="Z55" s="474"/>
      <c r="AA55" s="11">
        <f t="shared" si="2"/>
        <v>-196.84210526315928</v>
      </c>
      <c r="AB55" s="101">
        <f t="shared" si="54"/>
        <v>0.90157894736842037</v>
      </c>
      <c r="AC55" s="494"/>
    </row>
    <row r="56" spans="1:29" ht="15.75" customHeight="1">
      <c r="A56" s="489" t="s">
        <v>9</v>
      </c>
      <c r="B56" s="26" t="s">
        <v>33</v>
      </c>
      <c r="C56" s="491" t="s">
        <v>34</v>
      </c>
      <c r="D56" s="492"/>
      <c r="E56" s="26">
        <v>27.17</v>
      </c>
      <c r="F56" s="105">
        <v>3270</v>
      </c>
      <c r="G56" s="100">
        <f t="shared" si="56"/>
        <v>88845.900000000009</v>
      </c>
      <c r="H56" s="76" t="s">
        <v>57</v>
      </c>
      <c r="I56" s="103">
        <v>10</v>
      </c>
      <c r="J56" s="18">
        <v>3000</v>
      </c>
      <c r="K56" s="9">
        <f t="shared" si="51"/>
        <v>300</v>
      </c>
      <c r="L56" s="103">
        <v>10</v>
      </c>
      <c r="M56" s="10">
        <f t="shared" si="62"/>
        <v>2687.6712328767103</v>
      </c>
      <c r="N56" s="10">
        <f t="shared" si="58"/>
        <v>268.76712328767104</v>
      </c>
      <c r="O56" s="11">
        <f t="shared" si="59"/>
        <v>0</v>
      </c>
      <c r="P56" s="12">
        <f t="shared" si="48"/>
        <v>-31.232876712328959</v>
      </c>
      <c r="Q56" s="101">
        <f t="shared" si="63"/>
        <v>0.89589041095890343</v>
      </c>
      <c r="R56" s="494"/>
      <c r="S56" s="24">
        <v>0.54097222222222208</v>
      </c>
      <c r="T56" s="24">
        <v>0.59166666666666656</v>
      </c>
      <c r="U56" s="100">
        <f t="shared" si="61"/>
        <v>57.999999999999957</v>
      </c>
      <c r="V56" s="104">
        <f t="shared" si="60"/>
        <v>73.000000000000057</v>
      </c>
      <c r="W56" s="14"/>
      <c r="X56" s="14"/>
      <c r="Y56" s="473"/>
      <c r="Z56" s="474"/>
      <c r="AA56" s="11">
        <f t="shared" si="2"/>
        <v>-312.32876712328971</v>
      </c>
      <c r="AB56" s="101">
        <f t="shared" si="54"/>
        <v>0.89589041095890343</v>
      </c>
      <c r="AC56" s="494"/>
    </row>
    <row r="57" spans="1:29" ht="15.75" customHeight="1">
      <c r="A57" s="489" t="s">
        <v>9</v>
      </c>
      <c r="B57" s="26" t="s">
        <v>33</v>
      </c>
      <c r="C57" s="491" t="s">
        <v>35</v>
      </c>
      <c r="D57" s="492"/>
      <c r="E57" s="26">
        <v>21.13</v>
      </c>
      <c r="F57" s="105">
        <v>1728</v>
      </c>
      <c r="G57" s="100">
        <f t="shared" si="56"/>
        <v>36512.639999999999</v>
      </c>
      <c r="H57" s="76" t="s">
        <v>57</v>
      </c>
      <c r="I57" s="103">
        <v>10</v>
      </c>
      <c r="J57" s="18">
        <v>3000</v>
      </c>
      <c r="K57" s="9">
        <f t="shared" si="51"/>
        <v>300</v>
      </c>
      <c r="L57" s="103">
        <v>10</v>
      </c>
      <c r="M57" s="10">
        <f t="shared" si="62"/>
        <v>2728.4210526315769</v>
      </c>
      <c r="N57" s="10">
        <f t="shared" si="58"/>
        <v>272.84210526315769</v>
      </c>
      <c r="O57" s="11">
        <f t="shared" si="59"/>
        <v>0</v>
      </c>
      <c r="P57" s="12">
        <f t="shared" si="48"/>
        <v>-27.157894736842309</v>
      </c>
      <c r="Q57" s="101">
        <f t="shared" si="63"/>
        <v>0.90947368421052566</v>
      </c>
      <c r="R57" s="494"/>
      <c r="S57" s="24">
        <v>0.5972222222222221</v>
      </c>
      <c r="T57" s="24">
        <v>0.62361111111111101</v>
      </c>
      <c r="U57" s="100">
        <f t="shared" si="61"/>
        <v>7.9999999999999716</v>
      </c>
      <c r="V57" s="104">
        <f t="shared" si="60"/>
        <v>38.000000000000028</v>
      </c>
      <c r="W57" s="14"/>
      <c r="X57" s="14"/>
      <c r="Y57" s="473"/>
      <c r="Z57" s="474"/>
      <c r="AA57" s="11">
        <f t="shared" si="2"/>
        <v>-271.57894736842309</v>
      </c>
      <c r="AB57" s="101">
        <f t="shared" si="54"/>
        <v>0.90947368421052566</v>
      </c>
      <c r="AC57" s="494"/>
    </row>
    <row r="58" spans="1:29" ht="15.75" customHeight="1">
      <c r="A58" s="489" t="s">
        <v>9</v>
      </c>
      <c r="B58" s="26" t="s">
        <v>33</v>
      </c>
      <c r="C58" s="491" t="s">
        <v>43</v>
      </c>
      <c r="D58" s="492"/>
      <c r="E58" s="26">
        <v>35.119999999999997</v>
      </c>
      <c r="F58" s="105">
        <v>1731</v>
      </c>
      <c r="G58" s="100">
        <f t="shared" si="56"/>
        <v>60792.719999999994</v>
      </c>
      <c r="H58" s="76" t="s">
        <v>57</v>
      </c>
      <c r="I58" s="103">
        <v>10</v>
      </c>
      <c r="J58" s="18">
        <v>3000</v>
      </c>
      <c r="K58" s="9">
        <f t="shared" si="51"/>
        <v>300</v>
      </c>
      <c r="L58" s="103">
        <v>10</v>
      </c>
      <c r="M58" s="10">
        <f t="shared" si="62"/>
        <v>2733.1578947368403</v>
      </c>
      <c r="N58" s="10">
        <f t="shared" si="58"/>
        <v>273.31578947368405</v>
      </c>
      <c r="O58" s="11">
        <f t="shared" si="59"/>
        <v>0</v>
      </c>
      <c r="P58" s="12">
        <f t="shared" si="48"/>
        <v>-26.684210526315951</v>
      </c>
      <c r="Q58" s="101">
        <f t="shared" si="63"/>
        <v>0.91105263157894678</v>
      </c>
      <c r="R58" s="494"/>
      <c r="S58" s="24">
        <v>0.62777777777777766</v>
      </c>
      <c r="T58" s="24">
        <v>0.65416666666666656</v>
      </c>
      <c r="U58" s="100">
        <f t="shared" si="61"/>
        <v>5.9999999999999787</v>
      </c>
      <c r="V58" s="104">
        <f t="shared" si="60"/>
        <v>38.000000000000028</v>
      </c>
      <c r="W58" s="14"/>
      <c r="X58" s="14"/>
      <c r="Y58" s="473"/>
      <c r="Z58" s="474"/>
      <c r="AA58" s="11">
        <f t="shared" si="2"/>
        <v>-266.84210526315974</v>
      </c>
      <c r="AB58" s="101">
        <f t="shared" si="54"/>
        <v>0.91105263157894678</v>
      </c>
      <c r="AC58" s="494"/>
    </row>
    <row r="59" spans="1:29" ht="15.75" customHeight="1">
      <c r="A59" s="489" t="s">
        <v>9</v>
      </c>
      <c r="B59" s="26" t="s">
        <v>33</v>
      </c>
      <c r="C59" s="491" t="s">
        <v>38</v>
      </c>
      <c r="D59" s="492"/>
      <c r="E59" s="26">
        <v>34.36</v>
      </c>
      <c r="F59" s="105">
        <v>1169</v>
      </c>
      <c r="G59" s="100">
        <f t="shared" si="56"/>
        <v>40166.839999999997</v>
      </c>
      <c r="H59" s="76" t="s">
        <v>57</v>
      </c>
      <c r="I59" s="103">
        <v>10</v>
      </c>
      <c r="J59" s="18">
        <v>3000</v>
      </c>
      <c r="K59" s="9">
        <f t="shared" si="51"/>
        <v>300</v>
      </c>
      <c r="L59" s="103">
        <v>10</v>
      </c>
      <c r="M59" s="10">
        <f t="shared" si="62"/>
        <v>2697.6923076923008</v>
      </c>
      <c r="N59" s="10">
        <f t="shared" si="58"/>
        <v>269.76923076923009</v>
      </c>
      <c r="O59" s="11">
        <f t="shared" si="59"/>
        <v>0</v>
      </c>
      <c r="P59" s="12">
        <f t="shared" si="48"/>
        <v>-30.230769230769909</v>
      </c>
      <c r="Q59" s="101">
        <f t="shared" si="63"/>
        <v>0.89923076923076695</v>
      </c>
      <c r="R59" s="494"/>
      <c r="S59" s="24">
        <v>0.65833333333333321</v>
      </c>
      <c r="T59" s="24">
        <v>0.67638888888888882</v>
      </c>
      <c r="U59" s="100">
        <f t="shared" si="61"/>
        <v>5.9999999999999787</v>
      </c>
      <c r="V59" s="104">
        <f t="shared" si="60"/>
        <v>26.000000000000068</v>
      </c>
      <c r="W59" s="14"/>
      <c r="X59" s="14"/>
      <c r="Y59" s="473"/>
      <c r="Z59" s="474"/>
      <c r="AA59" s="11">
        <f t="shared" si="2"/>
        <v>-302.3076923076992</v>
      </c>
      <c r="AB59" s="101">
        <f t="shared" si="54"/>
        <v>0.89923076923076695</v>
      </c>
      <c r="AC59" s="494"/>
    </row>
    <row r="60" spans="1:29" ht="15.75" customHeight="1">
      <c r="A60" s="490" t="s">
        <v>9</v>
      </c>
      <c r="B60" s="26" t="s">
        <v>81</v>
      </c>
      <c r="C60" s="497"/>
      <c r="D60" s="498"/>
      <c r="E60" s="102"/>
      <c r="F60" s="105"/>
      <c r="G60" s="100"/>
      <c r="H60" s="105"/>
      <c r="I60" s="17">
        <v>10.333333333333334</v>
      </c>
      <c r="J60" s="18">
        <v>2916.6666666666665</v>
      </c>
      <c r="K60" s="9">
        <f>J60/I60</f>
        <v>282.25806451612902</v>
      </c>
      <c r="L60" s="17">
        <v>10.333333333333334</v>
      </c>
      <c r="M60" s="10">
        <f>AVERAGE(M48:M59)</f>
        <v>2630.484273688116</v>
      </c>
      <c r="N60" s="9">
        <f t="shared" si="58"/>
        <v>254.56299422788217</v>
      </c>
      <c r="O60" s="11">
        <f t="shared" si="59"/>
        <v>0</v>
      </c>
      <c r="P60" s="12">
        <f t="shared" si="48"/>
        <v>-27.695070288246853</v>
      </c>
      <c r="Q60" s="101">
        <f t="shared" si="63"/>
        <v>0.90188032240735405</v>
      </c>
      <c r="R60" s="495"/>
      <c r="S60" s="24"/>
      <c r="T60" s="24"/>
      <c r="U60" s="100"/>
      <c r="V60" s="104"/>
      <c r="W60" s="14"/>
      <c r="X60" s="14"/>
      <c r="Y60" s="473"/>
      <c r="Z60" s="474"/>
      <c r="AA60" s="11">
        <f t="shared" si="2"/>
        <v>-286.18239297855052</v>
      </c>
      <c r="AB60" s="101">
        <f t="shared" si="54"/>
        <v>0.90188032240735405</v>
      </c>
      <c r="AC60" s="495"/>
    </row>
    <row r="61" spans="1:29" ht="15.75" customHeight="1">
      <c r="A61" s="461" t="s">
        <v>125</v>
      </c>
      <c r="B61" s="26" t="s">
        <v>13</v>
      </c>
      <c r="C61" s="487" t="s">
        <v>65</v>
      </c>
      <c r="D61" s="487"/>
      <c r="E61" s="26">
        <v>55.56</v>
      </c>
      <c r="F61" s="27">
        <v>1953</v>
      </c>
      <c r="G61" s="100">
        <f t="shared" ref="G61:G62" si="64">E61*F61</f>
        <v>108508.68000000001</v>
      </c>
      <c r="H61" s="76" t="s">
        <v>57</v>
      </c>
      <c r="I61" s="103">
        <v>17</v>
      </c>
      <c r="J61" s="18">
        <v>1500</v>
      </c>
      <c r="K61" s="9">
        <f t="shared" ref="K61:K62" si="65">J61/I61</f>
        <v>88.235294117647058</v>
      </c>
      <c r="L61" s="103">
        <v>17</v>
      </c>
      <c r="M61" s="10">
        <f t="shared" ref="M61:M62" si="66">F61/V61*60</f>
        <v>1346.8965517241377</v>
      </c>
      <c r="N61" s="10">
        <f>M61/L61</f>
        <v>79.229208924949276</v>
      </c>
      <c r="O61" s="11">
        <f>L61-I61</f>
        <v>0</v>
      </c>
      <c r="P61" s="12">
        <f>N61-K61</f>
        <v>-9.0060851926977818</v>
      </c>
      <c r="Q61" s="101">
        <f>N61/K61</f>
        <v>0.89793103448275846</v>
      </c>
      <c r="R61" s="470">
        <f>Q63</f>
        <v>0.90096551724137985</v>
      </c>
      <c r="S61" s="24">
        <v>0.70833333333333337</v>
      </c>
      <c r="T61" s="24">
        <v>0.76875000000000004</v>
      </c>
      <c r="U61" s="15"/>
      <c r="V61" s="104">
        <f t="shared" ref="V61:V62" si="67">(T61-S61)*24*60</f>
        <v>87.000000000000014</v>
      </c>
      <c r="W61" s="15"/>
      <c r="X61" s="15"/>
      <c r="Y61" s="456"/>
      <c r="Z61" s="456"/>
      <c r="AA61" s="11">
        <f t="shared" si="2"/>
        <v>-153.10344827586232</v>
      </c>
      <c r="AB61" s="101">
        <f t="shared" si="54"/>
        <v>0.89793103448275846</v>
      </c>
      <c r="AC61" s="470">
        <f>AB63</f>
        <v>0.90096551724137985</v>
      </c>
    </row>
    <row r="62" spans="1:29" ht="15.75" customHeight="1">
      <c r="A62" s="461" t="s">
        <v>10</v>
      </c>
      <c r="B62" s="26" t="s">
        <v>13</v>
      </c>
      <c r="C62" s="487" t="s">
        <v>64</v>
      </c>
      <c r="D62" s="487"/>
      <c r="E62" s="26">
        <v>55.32</v>
      </c>
      <c r="F62" s="27">
        <v>1469</v>
      </c>
      <c r="G62" s="100">
        <f t="shared" si="64"/>
        <v>81265.08</v>
      </c>
      <c r="H62" s="76" t="s">
        <v>57</v>
      </c>
      <c r="I62" s="103">
        <v>15</v>
      </c>
      <c r="J62" s="18">
        <v>1500</v>
      </c>
      <c r="K62" s="9">
        <f t="shared" si="65"/>
        <v>100</v>
      </c>
      <c r="L62" s="103">
        <v>15</v>
      </c>
      <c r="M62" s="10">
        <f t="shared" si="66"/>
        <v>1356.0000000000016</v>
      </c>
      <c r="N62" s="10">
        <f t="shared" ref="N62" si="68">M62/L62</f>
        <v>90.400000000000105</v>
      </c>
      <c r="O62" s="11">
        <f t="shared" ref="O62" si="69">L62-I62</f>
        <v>0</v>
      </c>
      <c r="P62" s="12">
        <f t="shared" ref="P62" si="70">N62-K62</f>
        <v>-9.5999999999998948</v>
      </c>
      <c r="Q62" s="101">
        <f t="shared" ref="Q62" si="71">N62/K62</f>
        <v>0.90400000000000102</v>
      </c>
      <c r="R62" s="470"/>
      <c r="S62" s="24">
        <v>0.77430555555555558</v>
      </c>
      <c r="T62" s="24">
        <v>0.81944444444444442</v>
      </c>
      <c r="U62" s="100">
        <f t="shared" ref="U62" si="72">(S62-T61)*24*60</f>
        <v>7.9999999999999716</v>
      </c>
      <c r="V62" s="104">
        <f t="shared" si="67"/>
        <v>64.999999999999929</v>
      </c>
      <c r="W62" s="14"/>
      <c r="X62" s="14"/>
      <c r="Y62" s="456"/>
      <c r="Z62" s="456"/>
      <c r="AA62" s="11">
        <f t="shared" si="2"/>
        <v>-143.99999999999841</v>
      </c>
      <c r="AB62" s="101">
        <f t="shared" si="54"/>
        <v>0.90400000000000102</v>
      </c>
      <c r="AC62" s="470"/>
    </row>
    <row r="63" spans="1:29">
      <c r="A63" s="496" t="s">
        <v>10</v>
      </c>
      <c r="B63" s="26" t="s">
        <v>81</v>
      </c>
      <c r="C63" s="466"/>
      <c r="D63" s="466"/>
      <c r="E63" s="99"/>
      <c r="F63" s="16"/>
      <c r="G63" s="9"/>
      <c r="H63" s="105"/>
      <c r="I63" s="17">
        <v>16</v>
      </c>
      <c r="J63" s="18">
        <v>1500</v>
      </c>
      <c r="K63" s="9">
        <f>J63/I63</f>
        <v>93.75</v>
      </c>
      <c r="L63" s="17">
        <v>16</v>
      </c>
      <c r="M63" s="10">
        <f>AVERAGE(M61:M62)</f>
        <v>1351.4482758620697</v>
      </c>
      <c r="N63" s="9">
        <f>M63/L63</f>
        <v>84.465517241379359</v>
      </c>
      <c r="O63" s="11">
        <f>L63-I63</f>
        <v>0</v>
      </c>
      <c r="P63" s="12">
        <f>N63-K63</f>
        <v>-9.2844827586206407</v>
      </c>
      <c r="Q63" s="101">
        <f>N63/K63</f>
        <v>0.90096551724137985</v>
      </c>
      <c r="R63" s="470"/>
      <c r="S63" s="25"/>
      <c r="T63" s="24"/>
      <c r="U63" s="9"/>
      <c r="V63" s="104"/>
      <c r="W63" s="9"/>
      <c r="X63" s="9"/>
      <c r="Y63" s="456"/>
      <c r="Z63" s="456"/>
      <c r="AA63" s="11">
        <f t="shared" si="2"/>
        <v>-148.55172413793025</v>
      </c>
      <c r="AB63" s="101">
        <f t="shared" si="54"/>
        <v>0.90096551724137985</v>
      </c>
      <c r="AC63" s="470"/>
    </row>
    <row r="64" spans="1:29" ht="15.75" customHeight="1">
      <c r="A64" s="499" t="s">
        <v>163</v>
      </c>
      <c r="B64" s="105" t="s">
        <v>18</v>
      </c>
      <c r="C64" s="487" t="s">
        <v>19</v>
      </c>
      <c r="D64" s="487"/>
      <c r="E64" s="26">
        <v>41</v>
      </c>
      <c r="F64" s="27">
        <v>1534</v>
      </c>
      <c r="G64" s="100">
        <f t="shared" ref="G64:G68" si="73">E64*F64</f>
        <v>62894</v>
      </c>
      <c r="H64" s="76" t="s">
        <v>57</v>
      </c>
      <c r="I64" s="103">
        <v>21</v>
      </c>
      <c r="J64" s="18">
        <v>1286</v>
      </c>
      <c r="K64" s="9">
        <f t="shared" ref="K64:K68" si="74">J64/I64</f>
        <v>61.238095238095241</v>
      </c>
      <c r="L64" s="17">
        <v>21</v>
      </c>
      <c r="M64" s="10">
        <f t="shared" ref="M64:M68" si="75">F64/V64*60</f>
        <v>1150.5</v>
      </c>
      <c r="N64" s="9">
        <f>M64/L64</f>
        <v>54.785714285714285</v>
      </c>
      <c r="O64" s="11">
        <f t="shared" ref="O64:O68" si="76">L64-I64</f>
        <v>0</v>
      </c>
      <c r="P64" s="12">
        <f t="shared" ref="P64:P68" si="77">N64-K64</f>
        <v>-6.4523809523809561</v>
      </c>
      <c r="Q64" s="101">
        <f>N64/K64</f>
        <v>0.89463452566096413</v>
      </c>
      <c r="R64" s="470">
        <f>Q69</f>
        <v>0.89834151875257151</v>
      </c>
      <c r="S64" s="24">
        <v>0.20833333333333334</v>
      </c>
      <c r="T64" s="24">
        <v>0.2638888888888889</v>
      </c>
      <c r="U64" s="100"/>
      <c r="V64" s="104">
        <f t="shared" ref="V64:V68" si="78">(T64-S64)*24*60</f>
        <v>80</v>
      </c>
      <c r="W64" s="15"/>
      <c r="X64" s="15"/>
      <c r="Y64" s="456"/>
      <c r="Z64" s="456"/>
      <c r="AA64" s="11">
        <f t="shared" si="2"/>
        <v>-135.5</v>
      </c>
      <c r="AB64" s="101">
        <f t="shared" si="54"/>
        <v>0.89463452566096424</v>
      </c>
      <c r="AC64" s="470">
        <f>AB69</f>
        <v>0.89834151875257151</v>
      </c>
    </row>
    <row r="65" spans="1:29" ht="15.75" customHeight="1">
      <c r="A65" s="499" t="s">
        <v>11</v>
      </c>
      <c r="B65" s="105" t="s">
        <v>15</v>
      </c>
      <c r="C65" s="487" t="s">
        <v>39</v>
      </c>
      <c r="D65" s="487"/>
      <c r="E65" s="26">
        <v>26.97</v>
      </c>
      <c r="F65" s="27">
        <v>3585</v>
      </c>
      <c r="G65" s="100">
        <f t="shared" si="73"/>
        <v>96687.45</v>
      </c>
      <c r="H65" s="76" t="s">
        <v>57</v>
      </c>
      <c r="I65" s="103">
        <v>11</v>
      </c>
      <c r="J65" s="18">
        <v>1440</v>
      </c>
      <c r="K65" s="9">
        <f t="shared" si="74"/>
        <v>130.90909090909091</v>
      </c>
      <c r="L65" s="17">
        <v>11</v>
      </c>
      <c r="M65" s="10">
        <f t="shared" si="75"/>
        <v>1288.0239520958085</v>
      </c>
      <c r="N65" s="9">
        <f t="shared" ref="N65:N68" si="79">M65/L65</f>
        <v>117.0930865541644</v>
      </c>
      <c r="O65" s="11">
        <f t="shared" si="76"/>
        <v>0</v>
      </c>
      <c r="P65" s="12">
        <f t="shared" si="77"/>
        <v>-13.816004354926505</v>
      </c>
      <c r="Q65" s="101">
        <f t="shared" ref="Q65:Q68" si="80">N65/K65</f>
        <v>0.89446107784431139</v>
      </c>
      <c r="R65" s="470"/>
      <c r="S65" s="24">
        <v>0.2673611111111111</v>
      </c>
      <c r="T65" s="24">
        <v>0.3833333333333333</v>
      </c>
      <c r="U65" s="100">
        <f>(S65-T64)*24*60</f>
        <v>4.9999999999999822</v>
      </c>
      <c r="V65" s="104">
        <f t="shared" si="78"/>
        <v>166.99999999999997</v>
      </c>
      <c r="W65" s="100"/>
      <c r="X65" s="100"/>
      <c r="Y65" s="456"/>
      <c r="Z65" s="456"/>
      <c r="AA65" s="11">
        <f t="shared" si="2"/>
        <v>-151.97604790419155</v>
      </c>
      <c r="AB65" s="101">
        <f t="shared" si="54"/>
        <v>0.89446107784431139</v>
      </c>
      <c r="AC65" s="470"/>
    </row>
    <row r="66" spans="1:29" ht="15.75" customHeight="1">
      <c r="A66" s="499" t="s">
        <v>11</v>
      </c>
      <c r="B66" s="105" t="s">
        <v>33</v>
      </c>
      <c r="C66" s="487" t="s">
        <v>41</v>
      </c>
      <c r="D66" s="487"/>
      <c r="E66" s="26">
        <v>34.35</v>
      </c>
      <c r="F66" s="27">
        <v>1339</v>
      </c>
      <c r="G66" s="100">
        <f t="shared" si="73"/>
        <v>45994.65</v>
      </c>
      <c r="H66" s="76" t="s">
        <v>57</v>
      </c>
      <c r="I66" s="103">
        <v>10</v>
      </c>
      <c r="J66" s="18">
        <v>3000</v>
      </c>
      <c r="K66" s="9">
        <f t="shared" si="74"/>
        <v>300</v>
      </c>
      <c r="L66" s="17">
        <v>10</v>
      </c>
      <c r="M66" s="10">
        <f t="shared" si="75"/>
        <v>2678.0000000000027</v>
      </c>
      <c r="N66" s="9">
        <f t="shared" si="79"/>
        <v>267.8000000000003</v>
      </c>
      <c r="O66" s="11">
        <f t="shared" si="76"/>
        <v>0</v>
      </c>
      <c r="P66" s="12">
        <f t="shared" si="77"/>
        <v>-32.199999999999704</v>
      </c>
      <c r="Q66" s="101">
        <f t="shared" si="80"/>
        <v>0.89266666666666761</v>
      </c>
      <c r="R66" s="470"/>
      <c r="S66" s="24">
        <v>0.3881944444444444</v>
      </c>
      <c r="T66" s="24">
        <v>0.40902777777777771</v>
      </c>
      <c r="U66" s="100">
        <f t="shared" ref="U66:U68" si="81">(S66-T65)*24*60</f>
        <v>6.9999999999999751</v>
      </c>
      <c r="V66" s="104">
        <f t="shared" si="78"/>
        <v>29.999999999999972</v>
      </c>
      <c r="W66" s="100"/>
      <c r="X66" s="100"/>
      <c r="Y66" s="456"/>
      <c r="Z66" s="456"/>
      <c r="AA66" s="11">
        <f t="shared" si="2"/>
        <v>-321.99999999999727</v>
      </c>
      <c r="AB66" s="101">
        <f t="shared" si="54"/>
        <v>0.89266666666666761</v>
      </c>
      <c r="AC66" s="470"/>
    </row>
    <row r="67" spans="1:29" ht="15.75" customHeight="1">
      <c r="A67" s="499" t="s">
        <v>11</v>
      </c>
      <c r="B67" s="105" t="s">
        <v>33</v>
      </c>
      <c r="C67" s="487" t="s">
        <v>73</v>
      </c>
      <c r="D67" s="487"/>
      <c r="E67" s="26">
        <v>28.5</v>
      </c>
      <c r="F67" s="27">
        <v>1941</v>
      </c>
      <c r="G67" s="100">
        <f t="shared" si="73"/>
        <v>55318.5</v>
      </c>
      <c r="H67" s="76" t="s">
        <v>57</v>
      </c>
      <c r="I67" s="103">
        <v>10</v>
      </c>
      <c r="J67" s="18">
        <v>3000</v>
      </c>
      <c r="K67" s="9">
        <f t="shared" si="74"/>
        <v>300</v>
      </c>
      <c r="L67" s="17">
        <v>10</v>
      </c>
      <c r="M67" s="10">
        <f t="shared" si="75"/>
        <v>2708.3720930232553</v>
      </c>
      <c r="N67" s="9">
        <f t="shared" si="79"/>
        <v>270.8372093023255</v>
      </c>
      <c r="O67" s="11">
        <f t="shared" si="76"/>
        <v>0</v>
      </c>
      <c r="P67" s="12">
        <f t="shared" si="77"/>
        <v>-29.162790697674495</v>
      </c>
      <c r="Q67" s="101">
        <f t="shared" si="80"/>
        <v>0.90279069767441833</v>
      </c>
      <c r="R67" s="470"/>
      <c r="S67" s="24">
        <v>0.41458333333333325</v>
      </c>
      <c r="T67" s="24">
        <v>0.44444444444444436</v>
      </c>
      <c r="U67" s="100">
        <f t="shared" si="81"/>
        <v>7.9999999999999716</v>
      </c>
      <c r="V67" s="104">
        <f t="shared" si="78"/>
        <v>43.000000000000007</v>
      </c>
      <c r="W67" s="100"/>
      <c r="X67" s="100"/>
      <c r="Y67" s="456"/>
      <c r="Z67" s="456"/>
      <c r="AA67" s="11">
        <f t="shared" si="2"/>
        <v>-291.62790697674473</v>
      </c>
      <c r="AB67" s="101">
        <f t="shared" si="54"/>
        <v>0.90279069767441844</v>
      </c>
      <c r="AC67" s="470"/>
    </row>
    <row r="68" spans="1:29">
      <c r="A68" s="500" t="s">
        <v>11</v>
      </c>
      <c r="B68" s="105" t="s">
        <v>33</v>
      </c>
      <c r="C68" s="487" t="s">
        <v>36</v>
      </c>
      <c r="D68" s="487"/>
      <c r="E68" s="26">
        <v>26.78</v>
      </c>
      <c r="F68" s="27">
        <v>2393</v>
      </c>
      <c r="G68" s="100">
        <f t="shared" si="73"/>
        <v>64084.54</v>
      </c>
      <c r="H68" s="76" t="s">
        <v>57</v>
      </c>
      <c r="I68" s="103">
        <v>10</v>
      </c>
      <c r="J68" s="18">
        <v>3000</v>
      </c>
      <c r="K68" s="9">
        <f t="shared" si="74"/>
        <v>300</v>
      </c>
      <c r="L68" s="17">
        <v>10</v>
      </c>
      <c r="M68" s="10">
        <f t="shared" si="75"/>
        <v>2709.0566037735862</v>
      </c>
      <c r="N68" s="9">
        <f t="shared" si="79"/>
        <v>270.90566037735863</v>
      </c>
      <c r="O68" s="11">
        <f t="shared" si="76"/>
        <v>0</v>
      </c>
      <c r="P68" s="12">
        <f t="shared" si="77"/>
        <v>-29.094339622641371</v>
      </c>
      <c r="Q68" s="101">
        <f t="shared" si="80"/>
        <v>0.90301886792452879</v>
      </c>
      <c r="R68" s="470"/>
      <c r="S68" s="24">
        <v>0.44930555555555546</v>
      </c>
      <c r="T68" s="24">
        <v>0.48611111111111099</v>
      </c>
      <c r="U68" s="100">
        <f t="shared" si="81"/>
        <v>6.9999999999999751</v>
      </c>
      <c r="V68" s="104">
        <f t="shared" si="78"/>
        <v>52.999999999999972</v>
      </c>
      <c r="W68" s="14"/>
      <c r="X68" s="14"/>
      <c r="Y68" s="456"/>
      <c r="Z68" s="456"/>
      <c r="AA68" s="11">
        <f t="shared" si="2"/>
        <v>-290.94339622641382</v>
      </c>
      <c r="AB68" s="101">
        <f t="shared" si="54"/>
        <v>0.90301886792452868</v>
      </c>
      <c r="AC68" s="470"/>
    </row>
    <row r="69" spans="1:29">
      <c r="A69" s="500" t="s">
        <v>11</v>
      </c>
      <c r="B69" s="26" t="s">
        <v>81</v>
      </c>
      <c r="C69" s="466"/>
      <c r="D69" s="466"/>
      <c r="E69" s="99"/>
      <c r="F69" s="16"/>
      <c r="G69" s="9"/>
      <c r="H69" s="105"/>
      <c r="I69" s="17">
        <v>12.4</v>
      </c>
      <c r="J69" s="18">
        <v>2345.1999999999998</v>
      </c>
      <c r="K69" s="9">
        <f>J69/I69</f>
        <v>189.12903225806448</v>
      </c>
      <c r="L69" s="17">
        <v>12.4</v>
      </c>
      <c r="M69" s="10">
        <f>AVERAGE(M64:M68)</f>
        <v>2106.7905297785305</v>
      </c>
      <c r="N69" s="9">
        <f>M69/L69</f>
        <v>169.90246207891374</v>
      </c>
      <c r="O69" s="11">
        <f>L69-I69</f>
        <v>0</v>
      </c>
      <c r="P69" s="12">
        <f>N69-K69</f>
        <v>-19.226570179150741</v>
      </c>
      <c r="Q69" s="101">
        <f>N69/K69</f>
        <v>0.89834151875257151</v>
      </c>
      <c r="R69" s="470"/>
      <c r="S69" s="24"/>
      <c r="T69" s="24"/>
      <c r="U69" s="9"/>
      <c r="V69" s="104"/>
      <c r="W69" s="9"/>
      <c r="X69" s="9"/>
      <c r="Y69" s="456"/>
      <c r="Z69" s="456"/>
      <c r="AA69" s="11">
        <f t="shared" ref="AA69:AA77" si="82">M69-J69</f>
        <v>-238.40947022146929</v>
      </c>
      <c r="AB69" s="101">
        <f t="shared" si="54"/>
        <v>0.89834151875257151</v>
      </c>
      <c r="AC69" s="470"/>
    </row>
    <row r="70" spans="1:29" ht="15.75" customHeight="1">
      <c r="A70" s="467" t="s">
        <v>164</v>
      </c>
      <c r="B70" s="105" t="s">
        <v>24</v>
      </c>
      <c r="C70" s="487" t="s">
        <v>44</v>
      </c>
      <c r="D70" s="487"/>
      <c r="E70" s="26">
        <v>29.58</v>
      </c>
      <c r="F70" s="105">
        <v>4000</v>
      </c>
      <c r="G70" s="100">
        <f t="shared" ref="G70:G76" si="83">E70*F70</f>
        <v>118320</v>
      </c>
      <c r="H70" s="76">
        <v>2</v>
      </c>
      <c r="I70" s="103">
        <v>17</v>
      </c>
      <c r="J70" s="18">
        <v>2400</v>
      </c>
      <c r="K70" s="9">
        <f t="shared" ref="K70:K72" si="84">J70/I70</f>
        <v>141.1764705882353</v>
      </c>
      <c r="L70" s="17">
        <v>17</v>
      </c>
      <c r="M70" s="10">
        <f>F70/V70*60</f>
        <v>2142.8571428571431</v>
      </c>
      <c r="N70" s="9">
        <f t="shared" ref="N70:N76" si="85">M70/L70</f>
        <v>126.05042016806725</v>
      </c>
      <c r="O70" s="11">
        <f t="shared" ref="O70:O76" si="86">L70-I70</f>
        <v>0</v>
      </c>
      <c r="P70" s="12">
        <f t="shared" ref="P70:P76" si="87">N70-K70</f>
        <v>-15.126050420168056</v>
      </c>
      <c r="Q70" s="101">
        <f>N70/K70</f>
        <v>0.8928571428571429</v>
      </c>
      <c r="R70" s="470">
        <f>Q77</f>
        <v>0.89423898083537068</v>
      </c>
      <c r="S70" s="24">
        <v>0.16666666666666666</v>
      </c>
      <c r="T70" s="24">
        <v>0.24444444444444444</v>
      </c>
      <c r="U70" s="15"/>
      <c r="V70" s="104">
        <f t="shared" ref="V70:V76" si="88">(T70-S70)*24*60</f>
        <v>112</v>
      </c>
      <c r="W70" s="14"/>
      <c r="X70" s="14"/>
      <c r="Y70" s="456"/>
      <c r="Z70" s="456"/>
      <c r="AA70" s="11">
        <f t="shared" si="82"/>
        <v>-257.14285714285688</v>
      </c>
      <c r="AB70" s="101">
        <f>M70/J70</f>
        <v>0.89285714285714302</v>
      </c>
      <c r="AC70" s="470">
        <f>AB77</f>
        <v>0.89423898083537079</v>
      </c>
    </row>
    <row r="71" spans="1:29" ht="15.75" customHeight="1">
      <c r="A71" s="467" t="s">
        <v>12</v>
      </c>
      <c r="B71" s="105" t="s">
        <v>24</v>
      </c>
      <c r="C71" s="487" t="s">
        <v>45</v>
      </c>
      <c r="D71" s="487"/>
      <c r="E71" s="26">
        <v>19.02</v>
      </c>
      <c r="F71" s="105">
        <v>5600</v>
      </c>
      <c r="G71" s="100">
        <f t="shared" si="83"/>
        <v>106512</v>
      </c>
      <c r="H71" s="76">
        <v>2</v>
      </c>
      <c r="I71" s="103">
        <v>16</v>
      </c>
      <c r="J71" s="18">
        <v>2400</v>
      </c>
      <c r="K71" s="9">
        <f t="shared" si="84"/>
        <v>150</v>
      </c>
      <c r="L71" s="17">
        <v>16</v>
      </c>
      <c r="M71" s="10">
        <f t="shared" ref="M71:M76" si="89">F71/V71*60</f>
        <v>2140.127388535032</v>
      </c>
      <c r="N71" s="9">
        <f t="shared" si="85"/>
        <v>133.7579617834395</v>
      </c>
      <c r="O71" s="11">
        <f t="shared" si="86"/>
        <v>0</v>
      </c>
      <c r="P71" s="12">
        <f t="shared" si="87"/>
        <v>-16.242038216560502</v>
      </c>
      <c r="Q71" s="101">
        <f t="shared" ref="Q71:Q77" si="90">N71/K71</f>
        <v>0.89171974522292996</v>
      </c>
      <c r="R71" s="470"/>
      <c r="S71" s="24">
        <v>0.24930555555555556</v>
      </c>
      <c r="T71" s="24">
        <v>0.35833333333333334</v>
      </c>
      <c r="U71" s="100">
        <f>(S71-T70)*24*60</f>
        <v>7.0000000000000151</v>
      </c>
      <c r="V71" s="104">
        <f t="shared" si="88"/>
        <v>157</v>
      </c>
      <c r="W71" s="14"/>
      <c r="X71" s="14"/>
      <c r="Y71" s="456"/>
      <c r="Z71" s="456"/>
      <c r="AA71" s="11">
        <f t="shared" si="82"/>
        <v>-259.87261146496803</v>
      </c>
      <c r="AB71" s="101">
        <f t="shared" ref="AB71:AB77" si="91">M71/J71</f>
        <v>0.89171974522292996</v>
      </c>
      <c r="AC71" s="470"/>
    </row>
    <row r="72" spans="1:29" ht="15.75" customHeight="1">
      <c r="A72" s="467" t="s">
        <v>12</v>
      </c>
      <c r="B72" s="105" t="s">
        <v>24</v>
      </c>
      <c r="C72" s="487" t="s">
        <v>56</v>
      </c>
      <c r="D72" s="487"/>
      <c r="E72" s="26">
        <v>20.2</v>
      </c>
      <c r="F72" s="105">
        <v>2639</v>
      </c>
      <c r="G72" s="100">
        <f t="shared" si="83"/>
        <v>53307.799999999996</v>
      </c>
      <c r="H72" s="76" t="s">
        <v>57</v>
      </c>
      <c r="I72" s="103">
        <v>19</v>
      </c>
      <c r="J72" s="18">
        <v>2400</v>
      </c>
      <c r="K72" s="9">
        <f t="shared" si="84"/>
        <v>126.31578947368421</v>
      </c>
      <c r="L72" s="17">
        <v>19</v>
      </c>
      <c r="M72" s="10">
        <f t="shared" si="89"/>
        <v>2139.7297297297305</v>
      </c>
      <c r="N72" s="9">
        <f t="shared" si="85"/>
        <v>112.6173541963016</v>
      </c>
      <c r="O72" s="11">
        <f t="shared" si="86"/>
        <v>0</v>
      </c>
      <c r="P72" s="12">
        <f t="shared" si="87"/>
        <v>-13.6984352773826</v>
      </c>
      <c r="Q72" s="101">
        <f t="shared" si="90"/>
        <v>0.89155405405405441</v>
      </c>
      <c r="R72" s="470"/>
      <c r="S72" s="24">
        <v>0.36180555555555555</v>
      </c>
      <c r="T72" s="24">
        <v>0.41319444444444442</v>
      </c>
      <c r="U72" s="100">
        <f t="shared" ref="U72:U76" si="92">(S72-T71)*24*60</f>
        <v>4.9999999999999822</v>
      </c>
      <c r="V72" s="104">
        <f t="shared" si="88"/>
        <v>73.999999999999972</v>
      </c>
      <c r="W72" s="14"/>
      <c r="X72" s="14"/>
      <c r="Y72" s="456"/>
      <c r="Z72" s="456"/>
      <c r="AA72" s="11">
        <f t="shared" si="82"/>
        <v>-260.27027027026952</v>
      </c>
      <c r="AB72" s="101">
        <f t="shared" si="91"/>
        <v>0.89155405405405441</v>
      </c>
      <c r="AC72" s="470"/>
    </row>
    <row r="73" spans="1:29" ht="15.75" customHeight="1">
      <c r="A73" s="467" t="s">
        <v>12</v>
      </c>
      <c r="B73" s="105" t="s">
        <v>24</v>
      </c>
      <c r="C73" s="487" t="s">
        <v>83</v>
      </c>
      <c r="D73" s="487"/>
      <c r="E73" s="26">
        <v>32.03</v>
      </c>
      <c r="F73" s="105">
        <v>2266</v>
      </c>
      <c r="G73" s="100">
        <f t="shared" si="83"/>
        <v>72579.98</v>
      </c>
      <c r="H73" s="76" t="s">
        <v>57</v>
      </c>
      <c r="I73" s="103">
        <v>19</v>
      </c>
      <c r="J73" s="18">
        <v>2400</v>
      </c>
      <c r="K73" s="9">
        <f>J73/I73</f>
        <v>126.31578947368421</v>
      </c>
      <c r="L73" s="17">
        <v>19</v>
      </c>
      <c r="M73" s="10">
        <f t="shared" si="89"/>
        <v>2158.0952380952376</v>
      </c>
      <c r="N73" s="9">
        <f t="shared" si="85"/>
        <v>113.58395989974935</v>
      </c>
      <c r="O73" s="11">
        <f t="shared" si="86"/>
        <v>0</v>
      </c>
      <c r="P73" s="12">
        <f t="shared" si="87"/>
        <v>-12.73182957393486</v>
      </c>
      <c r="Q73" s="101">
        <f t="shared" si="90"/>
        <v>0.89920634920634901</v>
      </c>
      <c r="R73" s="470"/>
      <c r="S73" s="24">
        <v>0.41805555555555551</v>
      </c>
      <c r="T73" s="24">
        <v>0.46180555555555552</v>
      </c>
      <c r="U73" s="100">
        <f t="shared" si="92"/>
        <v>6.9999999999999751</v>
      </c>
      <c r="V73" s="104">
        <f t="shared" si="88"/>
        <v>63.000000000000014</v>
      </c>
      <c r="W73" s="14"/>
      <c r="X73" s="14"/>
      <c r="Y73" s="456"/>
      <c r="Z73" s="456"/>
      <c r="AA73" s="11">
        <f t="shared" si="82"/>
        <v>-241.90476190476238</v>
      </c>
      <c r="AB73" s="101">
        <f t="shared" si="91"/>
        <v>0.89920634920634901</v>
      </c>
      <c r="AC73" s="470"/>
    </row>
    <row r="74" spans="1:29" ht="15.75" customHeight="1">
      <c r="A74" s="467" t="s">
        <v>12</v>
      </c>
      <c r="B74" s="105" t="s">
        <v>24</v>
      </c>
      <c r="C74" s="487" t="s">
        <v>28</v>
      </c>
      <c r="D74" s="487"/>
      <c r="E74" s="26">
        <v>22.69</v>
      </c>
      <c r="F74" s="105">
        <v>1366</v>
      </c>
      <c r="G74" s="100">
        <f t="shared" si="83"/>
        <v>30994.54</v>
      </c>
      <c r="H74" s="76" t="s">
        <v>57</v>
      </c>
      <c r="I74" s="103">
        <v>18</v>
      </c>
      <c r="J74" s="18">
        <v>2400</v>
      </c>
      <c r="K74" s="9">
        <f t="shared" ref="K74:K77" si="93">J74/I74</f>
        <v>133.33333333333334</v>
      </c>
      <c r="L74" s="17">
        <v>18</v>
      </c>
      <c r="M74" s="10">
        <f t="shared" si="89"/>
        <v>2156.8421052631561</v>
      </c>
      <c r="N74" s="9">
        <f t="shared" si="85"/>
        <v>119.82456140350867</v>
      </c>
      <c r="O74" s="11">
        <f t="shared" si="86"/>
        <v>0</v>
      </c>
      <c r="P74" s="12">
        <f t="shared" si="87"/>
        <v>-13.508771929824675</v>
      </c>
      <c r="Q74" s="101">
        <f t="shared" si="90"/>
        <v>0.89868421052631497</v>
      </c>
      <c r="R74" s="470"/>
      <c r="S74" s="24">
        <v>0.46597222222222218</v>
      </c>
      <c r="T74" s="24">
        <v>0.49236111111111108</v>
      </c>
      <c r="U74" s="100">
        <f t="shared" si="92"/>
        <v>5.9999999999999787</v>
      </c>
      <c r="V74" s="104">
        <f t="shared" si="88"/>
        <v>38.000000000000028</v>
      </c>
      <c r="W74" s="14"/>
      <c r="X74" s="14"/>
      <c r="Y74" s="456"/>
      <c r="Z74" s="456"/>
      <c r="AA74" s="11">
        <f t="shared" si="82"/>
        <v>-243.1578947368439</v>
      </c>
      <c r="AB74" s="101">
        <f t="shared" si="91"/>
        <v>0.89868421052631509</v>
      </c>
      <c r="AC74" s="470"/>
    </row>
    <row r="75" spans="1:29" ht="15.75" customHeight="1">
      <c r="A75" s="467" t="s">
        <v>12</v>
      </c>
      <c r="B75" s="105" t="s">
        <v>24</v>
      </c>
      <c r="C75" s="487" t="s">
        <v>44</v>
      </c>
      <c r="D75" s="487"/>
      <c r="E75" s="26">
        <v>29.58</v>
      </c>
      <c r="F75" s="105">
        <v>5297</v>
      </c>
      <c r="G75" s="100">
        <f t="shared" si="83"/>
        <v>156685.25999999998</v>
      </c>
      <c r="H75" s="76" t="s">
        <v>57</v>
      </c>
      <c r="I75" s="103">
        <v>17</v>
      </c>
      <c r="J75" s="18">
        <v>2400</v>
      </c>
      <c r="K75" s="9">
        <f t="shared" si="93"/>
        <v>141.1764705882353</v>
      </c>
      <c r="L75" s="17">
        <v>17</v>
      </c>
      <c r="M75" s="10">
        <f t="shared" si="89"/>
        <v>2147.4324324324334</v>
      </c>
      <c r="N75" s="9">
        <f t="shared" si="85"/>
        <v>126.31955484896667</v>
      </c>
      <c r="O75" s="11">
        <f t="shared" si="86"/>
        <v>0</v>
      </c>
      <c r="P75" s="12">
        <f t="shared" si="87"/>
        <v>-14.856915739268629</v>
      </c>
      <c r="Q75" s="101">
        <f t="shared" si="90"/>
        <v>0.89476351351351391</v>
      </c>
      <c r="R75" s="470"/>
      <c r="S75" s="24">
        <v>0.53125</v>
      </c>
      <c r="T75" s="24">
        <v>0.63402777777777775</v>
      </c>
      <c r="U75" s="100">
        <f t="shared" si="92"/>
        <v>56.000000000000043</v>
      </c>
      <c r="V75" s="104">
        <f t="shared" si="88"/>
        <v>147.99999999999994</v>
      </c>
      <c r="W75" s="14"/>
      <c r="X75" s="14"/>
      <c r="Y75" s="456"/>
      <c r="Z75" s="456"/>
      <c r="AA75" s="11">
        <f t="shared" si="82"/>
        <v>-252.56756756756658</v>
      </c>
      <c r="AB75" s="101">
        <f t="shared" si="91"/>
        <v>0.89476351351351391</v>
      </c>
      <c r="AC75" s="470"/>
    </row>
    <row r="76" spans="1:29" ht="15.75" customHeight="1">
      <c r="A76" s="467" t="s">
        <v>12</v>
      </c>
      <c r="B76" s="105" t="s">
        <v>24</v>
      </c>
      <c r="C76" s="491" t="s">
        <v>45</v>
      </c>
      <c r="D76" s="492"/>
      <c r="E76" s="26">
        <v>19.02</v>
      </c>
      <c r="F76" s="105">
        <v>3813</v>
      </c>
      <c r="G76" s="100">
        <f t="shared" si="83"/>
        <v>72523.259999999995</v>
      </c>
      <c r="H76" s="76" t="s">
        <v>57</v>
      </c>
      <c r="I76" s="103">
        <v>16</v>
      </c>
      <c r="J76" s="18">
        <v>2400</v>
      </c>
      <c r="K76" s="9">
        <f t="shared" si="93"/>
        <v>150</v>
      </c>
      <c r="L76" s="17">
        <v>16</v>
      </c>
      <c r="M76" s="10">
        <f t="shared" si="89"/>
        <v>2138.1308411214964</v>
      </c>
      <c r="N76" s="9">
        <f t="shared" si="85"/>
        <v>133.63317757009352</v>
      </c>
      <c r="O76" s="11">
        <f t="shared" si="86"/>
        <v>0</v>
      </c>
      <c r="P76" s="12">
        <f t="shared" si="87"/>
        <v>-16.366822429906478</v>
      </c>
      <c r="Q76" s="101">
        <f t="shared" si="90"/>
        <v>0.89088785046729013</v>
      </c>
      <c r="R76" s="470"/>
      <c r="S76" s="24">
        <v>0.63888888888888884</v>
      </c>
      <c r="T76" s="24">
        <v>0.71319444444444435</v>
      </c>
      <c r="U76" s="100">
        <f t="shared" si="92"/>
        <v>6.9999999999999751</v>
      </c>
      <c r="V76" s="104">
        <f t="shared" si="88"/>
        <v>106.99999999999994</v>
      </c>
      <c r="W76" s="14"/>
      <c r="X76" s="14"/>
      <c r="Y76" s="473"/>
      <c r="Z76" s="474"/>
      <c r="AA76" s="11">
        <f t="shared" si="82"/>
        <v>-261.86915887850364</v>
      </c>
      <c r="AB76" s="101">
        <f t="shared" si="91"/>
        <v>0.89088785046729013</v>
      </c>
      <c r="AC76" s="470"/>
    </row>
    <row r="77" spans="1:29" ht="16.5" customHeight="1">
      <c r="A77" s="501" t="s">
        <v>12</v>
      </c>
      <c r="B77" s="26" t="s">
        <v>81</v>
      </c>
      <c r="C77" s="466"/>
      <c r="D77" s="466"/>
      <c r="E77" s="99"/>
      <c r="F77" s="16"/>
      <c r="G77" s="9"/>
      <c r="H77" s="105"/>
      <c r="I77" s="17">
        <v>17.428571428571427</v>
      </c>
      <c r="J77" s="18">
        <v>2400</v>
      </c>
      <c r="K77" s="9">
        <f t="shared" si="93"/>
        <v>137.70491803278691</v>
      </c>
      <c r="L77" s="17">
        <v>17.428571428571427</v>
      </c>
      <c r="M77" s="10">
        <f>AVERAGE(M70:M76)</f>
        <v>2146.1735540048899</v>
      </c>
      <c r="N77" s="9">
        <f>M77/L77</f>
        <v>123.14110555765762</v>
      </c>
      <c r="O77" s="11">
        <f>L77-I77</f>
        <v>0</v>
      </c>
      <c r="P77" s="12">
        <f>N77-K77</f>
        <v>-14.563812475129282</v>
      </c>
      <c r="Q77" s="101">
        <f t="shared" si="90"/>
        <v>0.89423898083537068</v>
      </c>
      <c r="R77" s="470"/>
      <c r="S77" s="24"/>
      <c r="T77" s="24"/>
      <c r="U77" s="9"/>
      <c r="V77" s="104"/>
      <c r="W77" s="9"/>
      <c r="X77" s="9"/>
      <c r="Y77" s="456"/>
      <c r="Z77" s="456"/>
      <c r="AA77" s="11">
        <f t="shared" si="82"/>
        <v>-253.82644599511013</v>
      </c>
      <c r="AB77" s="101">
        <f t="shared" si="91"/>
        <v>0.89423898083537079</v>
      </c>
      <c r="AC77" s="470"/>
    </row>
    <row r="78" spans="1:29">
      <c r="D78" s="19"/>
      <c r="E78" s="19"/>
    </row>
  </sheetData>
  <mergeCells count="207">
    <mergeCell ref="AC70:AC77"/>
    <mergeCell ref="C71:D71"/>
    <mergeCell ref="Y71:Z71"/>
    <mergeCell ref="C72:D72"/>
    <mergeCell ref="Y72:Z72"/>
    <mergeCell ref="C73:D73"/>
    <mergeCell ref="Y73:Z73"/>
    <mergeCell ref="C74:D74"/>
    <mergeCell ref="Y74:Z74"/>
    <mergeCell ref="C75:D75"/>
    <mergeCell ref="A70:A77"/>
    <mergeCell ref="C70:D70"/>
    <mergeCell ref="R70:R77"/>
    <mergeCell ref="Y70:Z70"/>
    <mergeCell ref="Y75:Z75"/>
    <mergeCell ref="A64:A69"/>
    <mergeCell ref="C64:D64"/>
    <mergeCell ref="R64:R69"/>
    <mergeCell ref="Y64:Z64"/>
    <mergeCell ref="C76:D76"/>
    <mergeCell ref="Y76:Z76"/>
    <mergeCell ref="C77:D77"/>
    <mergeCell ref="Y77:Z77"/>
    <mergeCell ref="A61:A63"/>
    <mergeCell ref="C61:D61"/>
    <mergeCell ref="R61:R63"/>
    <mergeCell ref="Y61:Z61"/>
    <mergeCell ref="AC61:AC63"/>
    <mergeCell ref="C62:D62"/>
    <mergeCell ref="Y62:Z62"/>
    <mergeCell ref="C63:D63"/>
    <mergeCell ref="Y63:Z63"/>
    <mergeCell ref="Y55:Z55"/>
    <mergeCell ref="C56:D56"/>
    <mergeCell ref="Y56:Z56"/>
    <mergeCell ref="C57:D57"/>
    <mergeCell ref="Y57:Z57"/>
    <mergeCell ref="AC64:AC69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  <mergeCell ref="Y69:Z69"/>
    <mergeCell ref="A48:A60"/>
    <mergeCell ref="C48:D48"/>
    <mergeCell ref="R48:R60"/>
    <mergeCell ref="Y48:Z48"/>
    <mergeCell ref="Y53:Z53"/>
    <mergeCell ref="C54:D54"/>
    <mergeCell ref="AC48:AC60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C58:D58"/>
    <mergeCell ref="Y58:Z58"/>
    <mergeCell ref="C59:D59"/>
    <mergeCell ref="Y59:Z59"/>
    <mergeCell ref="C60:D60"/>
    <mergeCell ref="Y60:Z60"/>
    <mergeCell ref="Y54:Z54"/>
    <mergeCell ref="C55:D55"/>
    <mergeCell ref="C43:D43"/>
    <mergeCell ref="Y43:Z43"/>
    <mergeCell ref="C44:D44"/>
    <mergeCell ref="Y44:Z44"/>
    <mergeCell ref="C45:D45"/>
    <mergeCell ref="Y45:Z45"/>
    <mergeCell ref="A39:A47"/>
    <mergeCell ref="C39:D39"/>
    <mergeCell ref="R39:R47"/>
    <mergeCell ref="Y39:Z39"/>
    <mergeCell ref="C46:D46"/>
    <mergeCell ref="Y46:Z46"/>
    <mergeCell ref="C47:D47"/>
    <mergeCell ref="Y47:Z47"/>
    <mergeCell ref="AC39:AC47"/>
    <mergeCell ref="C40:D40"/>
    <mergeCell ref="Y40:Z40"/>
    <mergeCell ref="C41:D41"/>
    <mergeCell ref="Y41:Z41"/>
    <mergeCell ref="C42:D42"/>
    <mergeCell ref="Y35:Z35"/>
    <mergeCell ref="C36:D36"/>
    <mergeCell ref="Y36:Z36"/>
    <mergeCell ref="C37:D37"/>
    <mergeCell ref="Y37:Z37"/>
    <mergeCell ref="C38:D38"/>
    <mergeCell ref="Y38:Z38"/>
    <mergeCell ref="AC28:AC38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42:Z42"/>
    <mergeCell ref="A20:A27"/>
    <mergeCell ref="C20:D20"/>
    <mergeCell ref="R20:R27"/>
    <mergeCell ref="Y20:Z20"/>
    <mergeCell ref="C27:D27"/>
    <mergeCell ref="Y27:Z27"/>
    <mergeCell ref="A28:A38"/>
    <mergeCell ref="C28:D28"/>
    <mergeCell ref="R28:R38"/>
    <mergeCell ref="Y28:Z28"/>
    <mergeCell ref="Y33:Z33"/>
    <mergeCell ref="C34:D34"/>
    <mergeCell ref="Y34:Z34"/>
    <mergeCell ref="C35:D35"/>
    <mergeCell ref="AC20:AC27"/>
    <mergeCell ref="C21:D21"/>
    <mergeCell ref="Y21:Z21"/>
    <mergeCell ref="C22:D22"/>
    <mergeCell ref="Y22:Z22"/>
    <mergeCell ref="C23:D23"/>
    <mergeCell ref="AC14:AC19"/>
    <mergeCell ref="C15:D15"/>
    <mergeCell ref="Y15:Z15"/>
    <mergeCell ref="C16:D16"/>
    <mergeCell ref="Y16:Z16"/>
    <mergeCell ref="C17:D17"/>
    <mergeCell ref="Y17:Z17"/>
    <mergeCell ref="C18:D18"/>
    <mergeCell ref="Y18:Z18"/>
    <mergeCell ref="C19:D19"/>
    <mergeCell ref="Y23:Z23"/>
    <mergeCell ref="C24:D24"/>
    <mergeCell ref="Y24:Z24"/>
    <mergeCell ref="C25:D25"/>
    <mergeCell ref="Y25:Z25"/>
    <mergeCell ref="C26:D26"/>
    <mergeCell ref="Y26:Z26"/>
    <mergeCell ref="Y11:Z11"/>
    <mergeCell ref="C12:D12"/>
    <mergeCell ref="Y12:Z12"/>
    <mergeCell ref="C13:D13"/>
    <mergeCell ref="Y13:Z13"/>
    <mergeCell ref="A14:A19"/>
    <mergeCell ref="C14:D14"/>
    <mergeCell ref="R14:R19"/>
    <mergeCell ref="Y14:Z14"/>
    <mergeCell ref="Y19:Z19"/>
    <mergeCell ref="A8:A13"/>
    <mergeCell ref="C8:D8"/>
    <mergeCell ref="R8:R13"/>
    <mergeCell ref="Y8:Z8"/>
    <mergeCell ref="AC8:AC13"/>
    <mergeCell ref="C9:D9"/>
    <mergeCell ref="Y9:Z9"/>
    <mergeCell ref="C10:D10"/>
    <mergeCell ref="Y10:Z10"/>
    <mergeCell ref="C11:D11"/>
    <mergeCell ref="AC3:AC4"/>
    <mergeCell ref="A5:A7"/>
    <mergeCell ref="C5:D5"/>
    <mergeCell ref="R5:R7"/>
    <mergeCell ref="Y5:Z5"/>
    <mergeCell ref="AC5:AC7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7:O75 O77 O5:O8 O13:O15 O60:O64 O19:O35 O38:O53">
    <cfRule type="cellIs" dxfId="386" priority="89" operator="greaterThan">
      <formula>0</formula>
    </cfRule>
  </conditionalFormatting>
  <conditionalFormatting sqref="P5:P6 P67:P68 AA67:AA68 P70:P75 P28:P35 P64 P8 P13:P15 P20:P26 P61:P62 P39:P53 AA5:AA64 AA70:AA77">
    <cfRule type="cellIs" dxfId="385" priority="93" operator="lessThan">
      <formula>0</formula>
    </cfRule>
  </conditionalFormatting>
  <conditionalFormatting sqref="AB67:AB68 Q67:Q75 Q77 Q5:Q8 Q13:Q15 Q60:Q64 Q19:Q35 Q38:Q53 AB5:AB64 AB70:AB77">
    <cfRule type="cellIs" dxfId="384" priority="90" operator="greaterThan">
      <formula>1</formula>
    </cfRule>
    <cfRule type="cellIs" dxfId="383" priority="91" operator="lessThan">
      <formula>0.8</formula>
    </cfRule>
  </conditionalFormatting>
  <conditionalFormatting sqref="AC14:AC15 R14:R15 AC67 R67:R75 R19:R25 AC19:AC25 AC27:AC35 R27:R35 R77 AC5:AC8 R5:R8 R38:R53 AC38:AC53 AC60:AC64 R60:R64">
    <cfRule type="cellIs" dxfId="382" priority="95" operator="lessThan">
      <formula>0.8</formula>
    </cfRule>
  </conditionalFormatting>
  <conditionalFormatting sqref="AC48">
    <cfRule type="cellIs" dxfId="381" priority="97" operator="lessThan">
      <formula>0.8</formula>
    </cfRule>
  </conditionalFormatting>
  <conditionalFormatting sqref="AC20:AC25">
    <cfRule type="cellIs" dxfId="380" priority="94" operator="lessThan">
      <formula>0.8</formula>
    </cfRule>
  </conditionalFormatting>
  <conditionalFormatting sqref="AC28">
    <cfRule type="cellIs" dxfId="379" priority="96" operator="lessThan">
      <formula>0.8</formula>
    </cfRule>
  </conditionalFormatting>
  <conditionalFormatting sqref="AC39:AC46">
    <cfRule type="cellIs" dxfId="378" priority="92" operator="lessThan">
      <formula>0.8</formula>
    </cfRule>
  </conditionalFormatting>
  <conditionalFormatting sqref="AA69">
    <cfRule type="cellIs" dxfId="377" priority="88" operator="lessThan">
      <formula>0</formula>
    </cfRule>
  </conditionalFormatting>
  <conditionalFormatting sqref="AB69">
    <cfRule type="cellIs" dxfId="376" priority="86" operator="greaterThan">
      <formula>1</formula>
    </cfRule>
    <cfRule type="cellIs" dxfId="375" priority="87" operator="lessThan">
      <formula>0.8</formula>
    </cfRule>
  </conditionalFormatting>
  <conditionalFormatting sqref="O16:O17">
    <cfRule type="cellIs" dxfId="374" priority="81" operator="greaterThan">
      <formula>0</formula>
    </cfRule>
  </conditionalFormatting>
  <conditionalFormatting sqref="P16:P17">
    <cfRule type="cellIs" dxfId="373" priority="84" operator="lessThan">
      <formula>0</formula>
    </cfRule>
  </conditionalFormatting>
  <conditionalFormatting sqref="Q16:Q17">
    <cfRule type="cellIs" dxfId="372" priority="82" operator="greaterThan">
      <formula>1</formula>
    </cfRule>
    <cfRule type="cellIs" dxfId="371" priority="83" operator="lessThan">
      <formula>0.8</formula>
    </cfRule>
  </conditionalFormatting>
  <conditionalFormatting sqref="R16:R17 AC16:AC17">
    <cfRule type="cellIs" dxfId="370" priority="85" operator="lessThan">
      <formula>0.8</formula>
    </cfRule>
  </conditionalFormatting>
  <conditionalFormatting sqref="O9:O12">
    <cfRule type="cellIs" dxfId="369" priority="77" operator="greaterThan">
      <formula>0</formula>
    </cfRule>
  </conditionalFormatting>
  <conditionalFormatting sqref="P9:P12">
    <cfRule type="cellIs" dxfId="368" priority="80" operator="lessThan">
      <formula>0</formula>
    </cfRule>
  </conditionalFormatting>
  <conditionalFormatting sqref="Q9:Q12">
    <cfRule type="cellIs" dxfId="367" priority="78" operator="greaterThan">
      <formula>1</formula>
    </cfRule>
    <cfRule type="cellIs" dxfId="366" priority="79" operator="lessThan">
      <formula>0.8</formula>
    </cfRule>
  </conditionalFormatting>
  <conditionalFormatting sqref="O66">
    <cfRule type="cellIs" dxfId="365" priority="72" operator="greaterThan">
      <formula>0</formula>
    </cfRule>
  </conditionalFormatting>
  <conditionalFormatting sqref="P66 AA66">
    <cfRule type="cellIs" dxfId="364" priority="75" operator="lessThan">
      <formula>0</formula>
    </cfRule>
  </conditionalFormatting>
  <conditionalFormatting sqref="Q66 AB66">
    <cfRule type="cellIs" dxfId="363" priority="73" operator="greaterThan">
      <formula>1</formula>
    </cfRule>
    <cfRule type="cellIs" dxfId="362" priority="74" operator="lessThan">
      <formula>0.8</formula>
    </cfRule>
  </conditionalFormatting>
  <conditionalFormatting sqref="R66 AC66">
    <cfRule type="cellIs" dxfId="361" priority="76" operator="lessThan">
      <formula>0.8</formula>
    </cfRule>
  </conditionalFormatting>
  <conditionalFormatting sqref="O36">
    <cfRule type="cellIs" dxfId="360" priority="67" operator="greaterThan">
      <formula>0</formula>
    </cfRule>
  </conditionalFormatting>
  <conditionalFormatting sqref="P36">
    <cfRule type="cellIs" dxfId="359" priority="70" operator="lessThan">
      <formula>0</formula>
    </cfRule>
  </conditionalFormatting>
  <conditionalFormatting sqref="Q36">
    <cfRule type="cellIs" dxfId="358" priority="68" operator="greaterThan">
      <formula>1</formula>
    </cfRule>
    <cfRule type="cellIs" dxfId="357" priority="69" operator="lessThan">
      <formula>0.8</formula>
    </cfRule>
  </conditionalFormatting>
  <conditionalFormatting sqref="R36 AC36">
    <cfRule type="cellIs" dxfId="356" priority="71" operator="lessThan">
      <formula>0.8</formula>
    </cfRule>
  </conditionalFormatting>
  <conditionalFormatting sqref="O76">
    <cfRule type="cellIs" dxfId="355" priority="62" operator="greaterThan">
      <formula>0</formula>
    </cfRule>
  </conditionalFormatting>
  <conditionalFormatting sqref="P76">
    <cfRule type="cellIs" dxfId="354" priority="65" operator="lessThan">
      <formula>0</formula>
    </cfRule>
  </conditionalFormatting>
  <conditionalFormatting sqref="Q76">
    <cfRule type="cellIs" dxfId="353" priority="63" operator="greaterThan">
      <formula>1</formula>
    </cfRule>
    <cfRule type="cellIs" dxfId="352" priority="64" operator="lessThan">
      <formula>0.8</formula>
    </cfRule>
  </conditionalFormatting>
  <conditionalFormatting sqref="R76">
    <cfRule type="cellIs" dxfId="351" priority="66" operator="lessThan">
      <formula>0.8</formula>
    </cfRule>
  </conditionalFormatting>
  <conditionalFormatting sqref="O18">
    <cfRule type="cellIs" dxfId="350" priority="57" operator="greaterThan">
      <formula>0</formula>
    </cfRule>
  </conditionalFormatting>
  <conditionalFormatting sqref="P18">
    <cfRule type="cellIs" dxfId="349" priority="60" operator="lessThan">
      <formula>0</formula>
    </cfRule>
  </conditionalFormatting>
  <conditionalFormatting sqref="Q18">
    <cfRule type="cellIs" dxfId="348" priority="58" operator="greaterThan">
      <formula>1</formula>
    </cfRule>
    <cfRule type="cellIs" dxfId="347" priority="59" operator="lessThan">
      <formula>0.8</formula>
    </cfRule>
  </conditionalFormatting>
  <conditionalFormatting sqref="R18 AC18">
    <cfRule type="cellIs" dxfId="346" priority="61" operator="lessThan">
      <formula>0.8</formula>
    </cfRule>
  </conditionalFormatting>
  <conditionalFormatting sqref="O37">
    <cfRule type="cellIs" dxfId="345" priority="52" operator="greaterThan">
      <formula>0</formula>
    </cfRule>
  </conditionalFormatting>
  <conditionalFormatting sqref="P37">
    <cfRule type="cellIs" dxfId="344" priority="55" operator="lessThan">
      <formula>0</formula>
    </cfRule>
  </conditionalFormatting>
  <conditionalFormatting sqref="Q37">
    <cfRule type="cellIs" dxfId="343" priority="53" operator="greaterThan">
      <formula>1</formula>
    </cfRule>
    <cfRule type="cellIs" dxfId="342" priority="54" operator="lessThan">
      <formula>0.8</formula>
    </cfRule>
  </conditionalFormatting>
  <conditionalFormatting sqref="R37 AC37">
    <cfRule type="cellIs" dxfId="341" priority="56" operator="lessThan">
      <formula>0.8</formula>
    </cfRule>
  </conditionalFormatting>
  <conditionalFormatting sqref="O54">
    <cfRule type="cellIs" dxfId="340" priority="46" operator="greaterThan">
      <formula>0</formula>
    </cfRule>
  </conditionalFormatting>
  <conditionalFormatting sqref="P54">
    <cfRule type="cellIs" dxfId="339" priority="50" operator="lessThan">
      <formula>0</formula>
    </cfRule>
  </conditionalFormatting>
  <conditionalFormatting sqref="Q54">
    <cfRule type="cellIs" dxfId="338" priority="47" operator="greaterThan">
      <formula>1</formula>
    </cfRule>
    <cfRule type="cellIs" dxfId="337" priority="48" operator="lessThan">
      <formula>0.8</formula>
    </cfRule>
  </conditionalFormatting>
  <conditionalFormatting sqref="R54 AC54">
    <cfRule type="cellIs" dxfId="336" priority="51" operator="lessThan">
      <formula>0.8</formula>
    </cfRule>
  </conditionalFormatting>
  <conditionalFormatting sqref="AC54">
    <cfRule type="cellIs" dxfId="335" priority="49" operator="lessThan">
      <formula>0.8</formula>
    </cfRule>
  </conditionalFormatting>
  <conditionalFormatting sqref="O55">
    <cfRule type="cellIs" dxfId="334" priority="40" operator="greaterThan">
      <formula>0</formula>
    </cfRule>
  </conditionalFormatting>
  <conditionalFormatting sqref="P55">
    <cfRule type="cellIs" dxfId="333" priority="44" operator="lessThan">
      <formula>0</formula>
    </cfRule>
  </conditionalFormatting>
  <conditionalFormatting sqref="Q55">
    <cfRule type="cellIs" dxfId="332" priority="41" operator="greaterThan">
      <formula>1</formula>
    </cfRule>
    <cfRule type="cellIs" dxfId="331" priority="42" operator="lessThan">
      <formula>0.8</formula>
    </cfRule>
  </conditionalFormatting>
  <conditionalFormatting sqref="R55 AC55">
    <cfRule type="cellIs" dxfId="330" priority="45" operator="lessThan">
      <formula>0.8</formula>
    </cfRule>
  </conditionalFormatting>
  <conditionalFormatting sqref="AC55">
    <cfRule type="cellIs" dxfId="329" priority="43" operator="lessThan">
      <formula>0.8</formula>
    </cfRule>
  </conditionalFormatting>
  <conditionalFormatting sqref="R26 AC26">
    <cfRule type="cellIs" dxfId="328" priority="39" operator="lessThan">
      <formula>0.8</formula>
    </cfRule>
  </conditionalFormatting>
  <conditionalFormatting sqref="AC26">
    <cfRule type="cellIs" dxfId="327" priority="38" operator="lessThan">
      <formula>0.8</formula>
    </cfRule>
  </conditionalFormatting>
  <conditionalFormatting sqref="O56">
    <cfRule type="cellIs" dxfId="326" priority="32" operator="greaterThan">
      <formula>0</formula>
    </cfRule>
  </conditionalFormatting>
  <conditionalFormatting sqref="P56">
    <cfRule type="cellIs" dxfId="325" priority="36" operator="lessThan">
      <formula>0</formula>
    </cfRule>
  </conditionalFormatting>
  <conditionalFormatting sqref="Q56">
    <cfRule type="cellIs" dxfId="324" priority="33" operator="greaterThan">
      <formula>1</formula>
    </cfRule>
    <cfRule type="cellIs" dxfId="323" priority="34" operator="lessThan">
      <formula>0.8</formula>
    </cfRule>
  </conditionalFormatting>
  <conditionalFormatting sqref="R56 AC56">
    <cfRule type="cellIs" dxfId="322" priority="37" operator="lessThan">
      <formula>0.8</formula>
    </cfRule>
  </conditionalFormatting>
  <conditionalFormatting sqref="AC56">
    <cfRule type="cellIs" dxfId="321" priority="35" operator="lessThan">
      <formula>0.8</formula>
    </cfRule>
  </conditionalFormatting>
  <conditionalFormatting sqref="O57">
    <cfRule type="cellIs" dxfId="320" priority="26" operator="greaterThan">
      <formula>0</formula>
    </cfRule>
  </conditionalFormatting>
  <conditionalFormatting sqref="P57">
    <cfRule type="cellIs" dxfId="319" priority="30" operator="lessThan">
      <formula>0</formula>
    </cfRule>
  </conditionalFormatting>
  <conditionalFormatting sqref="Q57">
    <cfRule type="cellIs" dxfId="318" priority="27" operator="greaterThan">
      <formula>1</formula>
    </cfRule>
    <cfRule type="cellIs" dxfId="317" priority="28" operator="lessThan">
      <formula>0.8</formula>
    </cfRule>
  </conditionalFormatting>
  <conditionalFormatting sqref="R57 AC57">
    <cfRule type="cellIs" dxfId="316" priority="31" operator="lessThan">
      <formula>0.8</formula>
    </cfRule>
  </conditionalFormatting>
  <conditionalFormatting sqref="AC57">
    <cfRule type="cellIs" dxfId="315" priority="29" operator="lessThan">
      <formula>0.8</formula>
    </cfRule>
  </conditionalFormatting>
  <conditionalFormatting sqref="O58">
    <cfRule type="cellIs" dxfId="314" priority="20" operator="greaterThan">
      <formula>0</formula>
    </cfRule>
  </conditionalFormatting>
  <conditionalFormatting sqref="P58">
    <cfRule type="cellIs" dxfId="313" priority="24" operator="lessThan">
      <formula>0</formula>
    </cfRule>
  </conditionalFormatting>
  <conditionalFormatting sqref="Q58">
    <cfRule type="cellIs" dxfId="312" priority="21" operator="greaterThan">
      <formula>1</formula>
    </cfRule>
    <cfRule type="cellIs" dxfId="311" priority="22" operator="lessThan">
      <formula>0.8</formula>
    </cfRule>
  </conditionalFormatting>
  <conditionalFormatting sqref="R58 AC58">
    <cfRule type="cellIs" dxfId="310" priority="25" operator="lessThan">
      <formula>0.8</formula>
    </cfRule>
  </conditionalFormatting>
  <conditionalFormatting sqref="AC58">
    <cfRule type="cellIs" dxfId="309" priority="23" operator="lessThan">
      <formula>0.8</formula>
    </cfRule>
  </conditionalFormatting>
  <conditionalFormatting sqref="O65">
    <cfRule type="cellIs" dxfId="308" priority="15" operator="greaterThan">
      <formula>0</formula>
    </cfRule>
  </conditionalFormatting>
  <conditionalFormatting sqref="P65 AA65">
    <cfRule type="cellIs" dxfId="307" priority="18" operator="lessThan">
      <formula>0</formula>
    </cfRule>
  </conditionalFormatting>
  <conditionalFormatting sqref="Q65 AB65">
    <cfRule type="cellIs" dxfId="306" priority="16" operator="greaterThan">
      <formula>1</formula>
    </cfRule>
    <cfRule type="cellIs" dxfId="305" priority="17" operator="lessThan">
      <formula>0.8</formula>
    </cfRule>
  </conditionalFormatting>
  <conditionalFormatting sqref="R65 AC65">
    <cfRule type="cellIs" dxfId="304" priority="19" operator="lessThan">
      <formula>0.8</formula>
    </cfRule>
  </conditionalFormatting>
  <conditionalFormatting sqref="P7">
    <cfRule type="cellIs" dxfId="303" priority="14" operator="lessThan">
      <formula>0</formula>
    </cfRule>
  </conditionalFormatting>
  <conditionalFormatting sqref="P19">
    <cfRule type="cellIs" dxfId="302" priority="13" operator="lessThan">
      <formula>0</formula>
    </cfRule>
  </conditionalFormatting>
  <conditionalFormatting sqref="P27">
    <cfRule type="cellIs" dxfId="301" priority="12" operator="lessThan">
      <formula>0</formula>
    </cfRule>
  </conditionalFormatting>
  <conditionalFormatting sqref="P38">
    <cfRule type="cellIs" dxfId="300" priority="11" operator="lessThan">
      <formula>0</formula>
    </cfRule>
  </conditionalFormatting>
  <conditionalFormatting sqref="P60">
    <cfRule type="cellIs" dxfId="299" priority="10" operator="lessThan">
      <formula>0</formula>
    </cfRule>
  </conditionalFormatting>
  <conditionalFormatting sqref="P63">
    <cfRule type="cellIs" dxfId="298" priority="9" operator="lessThan">
      <formula>0</formula>
    </cfRule>
  </conditionalFormatting>
  <conditionalFormatting sqref="P69">
    <cfRule type="cellIs" dxfId="297" priority="8" operator="lessThan">
      <formula>0</formula>
    </cfRule>
  </conditionalFormatting>
  <conditionalFormatting sqref="P77">
    <cfRule type="cellIs" dxfId="296" priority="7" operator="lessThan">
      <formula>0</formula>
    </cfRule>
  </conditionalFormatting>
  <conditionalFormatting sqref="O59">
    <cfRule type="cellIs" dxfId="295" priority="1" operator="greaterThan">
      <formula>0</formula>
    </cfRule>
  </conditionalFormatting>
  <conditionalFormatting sqref="P59">
    <cfRule type="cellIs" dxfId="294" priority="5" operator="lessThan">
      <formula>0</formula>
    </cfRule>
  </conditionalFormatting>
  <conditionalFormatting sqref="Q59">
    <cfRule type="cellIs" dxfId="293" priority="2" operator="greaterThan">
      <formula>1</formula>
    </cfRule>
    <cfRule type="cellIs" dxfId="292" priority="3" operator="lessThan">
      <formula>0.8</formula>
    </cfRule>
  </conditionalFormatting>
  <conditionalFormatting sqref="R59 AC59">
    <cfRule type="cellIs" dxfId="291" priority="6" operator="lessThan">
      <formula>0.8</formula>
    </cfRule>
  </conditionalFormatting>
  <conditionalFormatting sqref="AC59">
    <cfRule type="cellIs" dxfId="290" priority="4" operator="lessThan">
      <formula>0.8</formula>
    </cfRule>
  </conditionalFormatting>
  <dataValidations count="1">
    <dataValidation type="list" allowBlank="1" showInputMessage="1" showErrorMessage="1" sqref="Z7 Z68 Y5:Z6 Y7:Y68 Z9:Z64 Y69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Q28"/>
  <sheetViews>
    <sheetView zoomScaleNormal="100" workbookViewId="0">
      <selection activeCell="I6" sqref="I6:J6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165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88" t="s">
        <v>166</v>
      </c>
      <c r="C3" s="421" t="str">
        <f>TEXT('0702 4度C'!A2,"yyyy.mm.ddaaaa")</f>
        <v>2025.07.02星期三</v>
      </c>
      <c r="D3" s="421"/>
      <c r="E3" s="88" t="s">
        <v>127</v>
      </c>
      <c r="F3" s="422">
        <f>'0702 4度C'!D1</f>
        <v>165324</v>
      </c>
      <c r="G3" s="422"/>
      <c r="H3" s="88" t="s">
        <v>167</v>
      </c>
      <c r="I3" s="423">
        <f>'0702 4度C'!F1</f>
        <v>5385134.8500000015</v>
      </c>
      <c r="J3" s="423"/>
      <c r="K3" s="31"/>
      <c r="L3" s="32"/>
      <c r="M3" s="33"/>
      <c r="N3" s="33"/>
    </row>
    <row r="4" spans="2:17" ht="28.5" customHeight="1">
      <c r="B4" s="424" t="s">
        <v>168</v>
      </c>
      <c r="C4" s="424" t="s">
        <v>169</v>
      </c>
      <c r="D4" s="424"/>
      <c r="E4" s="425" t="s">
        <v>170</v>
      </c>
      <c r="F4" s="425"/>
      <c r="G4" s="425" t="s">
        <v>171</v>
      </c>
      <c r="H4" s="425"/>
      <c r="I4" s="425" t="s">
        <v>172</v>
      </c>
      <c r="J4" s="425"/>
      <c r="L4" s="33"/>
      <c r="M4" s="33"/>
      <c r="N4" s="33"/>
    </row>
    <row r="5" spans="2:17" ht="28.5" customHeight="1">
      <c r="B5" s="424"/>
      <c r="C5" s="424" t="s">
        <v>173</v>
      </c>
      <c r="D5" s="424"/>
      <c r="E5" s="424" t="s">
        <v>174</v>
      </c>
      <c r="F5" s="424"/>
      <c r="G5" s="426" t="s">
        <v>175</v>
      </c>
      <c r="H5" s="426"/>
      <c r="I5" s="427" t="s">
        <v>176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133.361622560368</v>
      </c>
      <c r="F6" s="424">
        <f>AVERAGE(D27:O27,D13:J13)</f>
        <v>135.40491207056715</v>
      </c>
      <c r="G6" s="429">
        <f>AVERAGE(D13:J13)</f>
        <v>135.40491207056715</v>
      </c>
      <c r="H6" s="429"/>
      <c r="I6" s="429">
        <f>AVERAGE(K13:M13)</f>
        <v>128.59394703657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119.68918592121096</v>
      </c>
      <c r="F7" s="434">
        <f>AVERAGE(D28:O28,D14:J14)</f>
        <v>121.61201594233356</v>
      </c>
      <c r="G7" s="435">
        <f>AVERAGE(D14:J14)</f>
        <v>121.61201594233356</v>
      </c>
      <c r="H7" s="435"/>
      <c r="I7" s="435">
        <f>AVERAGE(K14:M14)</f>
        <v>115.20258253859167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0.89707953482827418</v>
      </c>
      <c r="F8" s="432">
        <f>AVERAGE(D15:J15,D29:O29)</f>
        <v>0.89760747350964998</v>
      </c>
      <c r="G8" s="437">
        <f>AVERAGE(D15:J15)</f>
        <v>0.89760747350964998</v>
      </c>
      <c r="H8" s="437"/>
      <c r="I8" s="437">
        <f>AVERAGE(K15:M15)</f>
        <v>0.89584767790506381</v>
      </c>
      <c r="J8" s="437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178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179</v>
      </c>
      <c r="L10" s="444"/>
      <c r="M10" s="445"/>
      <c r="P10" s="37"/>
      <c r="Q10" s="37"/>
    </row>
    <row r="11" spans="2:17" ht="17.25" customHeight="1">
      <c r="B11" s="431" t="s">
        <v>180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181</v>
      </c>
      <c r="E12" s="42" t="s">
        <v>86</v>
      </c>
      <c r="F12" s="42" t="s">
        <v>182</v>
      </c>
      <c r="G12" s="42" t="s">
        <v>99</v>
      </c>
      <c r="H12" s="42" t="s">
        <v>183</v>
      </c>
      <c r="I12" s="42" t="s">
        <v>184</v>
      </c>
      <c r="J12" s="43" t="s">
        <v>133</v>
      </c>
      <c r="K12" s="41" t="s">
        <v>134</v>
      </c>
      <c r="L12" s="42" t="s">
        <v>185</v>
      </c>
      <c r="M12" s="43" t="s">
        <v>186</v>
      </c>
    </row>
    <row r="13" spans="2:17" ht="40.15" customHeight="1">
      <c r="B13" s="447" t="s">
        <v>114</v>
      </c>
      <c r="C13" s="44" t="s">
        <v>187</v>
      </c>
      <c r="D13" s="45">
        <f>SUMIFS('0702 4度C'!$K:$K,'0702 4度C'!$A:$A,"燴飯線",'0702 4度C'!$B:$B,"平均")</f>
        <v>109.09090909090909</v>
      </c>
      <c r="E13" s="46">
        <f>SUMIFS('0702 4度C'!$K:$K,'0702 4度C'!$A:$A,"沙拉線一線",'0702 4度C'!$B:$B,"平均")</f>
        <v>81.521739130434796</v>
      </c>
      <c r="F13" s="47">
        <f>SUMIFS('0702 4度C'!$K:$K,'0702 4度C'!$A:$A,"沙拉線二線",'0702 4度C'!$B:$B,"平均")</f>
        <v>88.636363636363626</v>
      </c>
      <c r="G13" s="47">
        <f>SUMIFS('0702 4度C'!$K:$K,'0702 4度C'!$A:$A,"沙拉線三線",'0702 4度C'!$B:$B,"平均")</f>
        <v>103.44827586206895</v>
      </c>
      <c r="H13" s="47">
        <f>SUMIFS('0702 4度C'!$K:$K,'0702 4度C'!$A:$A,"自動包裝線",'0702 4度C'!$B:$B,"平均")</f>
        <v>282.25806451612902</v>
      </c>
      <c r="I13" s="47">
        <f>SUMIFS('0702 4度C'!$K:$K,'0702 4度C'!$A:$A,"涼麵一線",'0702 4度C'!$B:$B,"平均")</f>
        <v>93.75</v>
      </c>
      <c r="J13" s="48">
        <f>SUMIFS('0702 4度C'!$K:$K,'0702 4度C'!$A:$A,"三明治四線",'0702 4度C'!$B:$B,"平均")</f>
        <v>189.12903225806448</v>
      </c>
      <c r="K13" s="49">
        <f>SUMIFS('0702 4度C'!$K:$K,'0702 4度C'!$A:$A,"三明治一線",'0702 4度C'!$B:$B,"平均")</f>
        <v>125</v>
      </c>
      <c r="L13" s="50">
        <f>SUMIFS('0702 4度C'!$K:$K,'0702 4度C'!$A:$A,"三明治二線",'0702 4度C'!$B:$B,"平均")</f>
        <v>123.07692307692308</v>
      </c>
      <c r="M13" s="48">
        <f>SUMIFS('0702 4度C'!$K:$K,'0702 4度C'!$A:$A,"自動包裝二線",'0702 4度C'!$B:$B,"平均")</f>
        <v>137.70491803278691</v>
      </c>
    </row>
    <row r="14" spans="2:17" ht="39.6" customHeight="1">
      <c r="B14" s="447"/>
      <c r="C14" s="51" t="s">
        <v>188</v>
      </c>
      <c r="D14" s="52">
        <f>SUMIFS('0702 4度C'!$N:$N,'0702 4度C'!$A:$A,"燴飯線",'0702 4度C'!$B:$B,"平均")</f>
        <v>98.4986146688274</v>
      </c>
      <c r="E14" s="53">
        <f>SUMIFS('0702 4度C'!$N:$N,'0702 4度C'!$A:$A,"沙拉線一線",'0702 4度C'!$B:$B,"平均")</f>
        <v>72.945459207184157</v>
      </c>
      <c r="F14" s="53">
        <f>SUMIFS('0702 4度C'!$N:$N,'0702 4度C'!$A:$A,"沙拉線二線",'0702 4度C'!$B:$B,"平均")</f>
        <v>79.325481620026096</v>
      </c>
      <c r="G14" s="53">
        <f>SUMIFS('0702 4度C'!$N:$N,'0702 4度C'!$A:$A,"沙拉線三線",'0702 4度C'!$B:$B,"平均")</f>
        <v>92.908039086695908</v>
      </c>
      <c r="H14" s="53">
        <f>SUMIFS('0702 4度C'!$N:$N,'0702 4度C'!$A:$A,"自動包裝線",'0702 4度C'!$B:$B,"平均")</f>
        <v>253.61813901549058</v>
      </c>
      <c r="I14" s="53">
        <f>SUMIFS('0702 4度C'!$N:$N,'0702 4度C'!$A:$A,"涼麵一線",'0702 4度C'!$B:$B,"平均")</f>
        <v>83.843267269017758</v>
      </c>
      <c r="J14" s="54">
        <f>SUMIFS('0702 4度C'!$N:$N,'0702 4度C'!$A:$A,"三明治四線",'0702 4度C'!$B:$B,"平均")</f>
        <v>170.14511072909301</v>
      </c>
      <c r="K14" s="55">
        <f>SUMIFS('0702 4度C'!$N:$N,'0702 4度C'!$A:$A,"三明治一線",'0702 4度C'!$B:$B,"平均")</f>
        <v>111.89455164619953</v>
      </c>
      <c r="L14" s="56">
        <f>SUMIFS('0702 4度C'!$N:$N,'0702 4度C'!$A:$A,"三明治二線",'0702 4度C'!$B:$B,"平均")</f>
        <v>110.28174599157217</v>
      </c>
      <c r="M14" s="54">
        <f>SUMIFS('0702 4度C'!$N:$N,'0702 4度C'!$A:$A,"自動包裝二線",'0702 4度C'!$B:$B,"平均")</f>
        <v>123.43144997800329</v>
      </c>
    </row>
    <row r="15" spans="2:17" ht="40.15" customHeight="1">
      <c r="B15" s="447"/>
      <c r="C15" s="57" t="s">
        <v>189</v>
      </c>
      <c r="D15" s="58">
        <f>D14/D13</f>
        <v>0.90290396779758453</v>
      </c>
      <c r="E15" s="59">
        <f t="shared" ref="E15:M15" si="0">E14/E13</f>
        <v>0.89479763294145886</v>
      </c>
      <c r="F15" s="59">
        <f t="shared" si="0"/>
        <v>0.89495415161055092</v>
      </c>
      <c r="G15" s="59">
        <f t="shared" si="0"/>
        <v>0.89811104450472723</v>
      </c>
      <c r="H15" s="59">
        <f>H14/H13</f>
        <v>0.89853283536916662</v>
      </c>
      <c r="I15" s="59">
        <f>I14/I13</f>
        <v>0.89432818420285609</v>
      </c>
      <c r="J15" s="60">
        <f>J14/J13</f>
        <v>0.89962449814120482</v>
      </c>
      <c r="K15" s="58">
        <f>K14/K13</f>
        <v>0.89515641316959627</v>
      </c>
      <c r="L15" s="59">
        <f>L14/L13</f>
        <v>0.89603918618152378</v>
      </c>
      <c r="M15" s="60">
        <f t="shared" si="0"/>
        <v>0.89634743436407138</v>
      </c>
    </row>
    <row r="16" spans="2:17" ht="17.25" customHeight="1">
      <c r="B16" s="430" t="s">
        <v>190</v>
      </c>
      <c r="C16" s="87" t="s">
        <v>191</v>
      </c>
      <c r="D16" s="61">
        <f>VLOOKUP("燴飯線",'0702 4度C'!$A:$T,19,0)</f>
        <v>0.70833333333333337</v>
      </c>
      <c r="E16" s="24">
        <f>VLOOKUP("沙拉線一線",'0702 4度C'!$A:$T,19,0)</f>
        <v>0.13055555555555556</v>
      </c>
      <c r="F16" s="24">
        <f>VLOOKUP("沙拉線二線",'0702 4度C'!$A:$T,19,0)</f>
        <v>0.16666666666666666</v>
      </c>
      <c r="G16" s="24">
        <f>VLOOKUP("沙拉線三線",'0702 4度C'!$A:$T,19,0)</f>
        <v>0.29166666666666669</v>
      </c>
      <c r="H16" s="24">
        <f>VLOOKUP("自動包裝線",'0702 4度C'!$A:$T,19,0)</f>
        <v>0.16666666666666666</v>
      </c>
      <c r="I16" s="24">
        <f>VLOOKUP("涼麵一線",'0702 4度C'!$A:$T,19,0)</f>
        <v>0.70833333333333337</v>
      </c>
      <c r="J16" s="62">
        <f>VLOOKUP("三明治四線",'0702 4度C'!$A:$T,19,0)</f>
        <v>0.20833333333333334</v>
      </c>
      <c r="K16" s="63">
        <f>VLOOKUP("三明治一線",'0702 4度C'!$A:$T,19,0)</f>
        <v>0.125</v>
      </c>
      <c r="L16" s="64">
        <f>VLOOKUP("三明治二線",'0702 4度C'!$A:$T,19,0)</f>
        <v>0.125</v>
      </c>
      <c r="M16" s="65">
        <f>VLOOKUP("自動包裝二線",'0702 4度C'!$A:$T,19,0)</f>
        <v>0.16666666666666666</v>
      </c>
    </row>
    <row r="17" spans="2:13" ht="17.25" customHeight="1">
      <c r="B17" s="431"/>
      <c r="C17" s="87" t="s">
        <v>192</v>
      </c>
      <c r="D17" s="63">
        <f>LOOKUP(2,1/(('0702 4度C'!$A:$A="燴飯線")*('0702 4度C'!$T:$T&lt;&gt;"")),'0702 4度C'!$T:$T)</f>
        <v>0.79722222222222228</v>
      </c>
      <c r="E17" s="24">
        <f>LOOKUP(2,1/(('0702 4度C'!$A:$A="沙拉線一線")*('0702 4度C'!$T:$T&lt;&gt;"")),'0702 4度C'!$T:$T)</f>
        <v>0.67083333333333339</v>
      </c>
      <c r="F17" s="24">
        <f>LOOKUP(2,1/(('0702 4度C'!$A:$A="沙拉線二線")*('0702 4度C'!$T:$T&lt;&gt;"")),'0702 4度C'!$T:$T)</f>
        <v>0.84097222222222223</v>
      </c>
      <c r="G17" s="24">
        <f>LOOKUP(2,1/(('0702 4度C'!$A:$A="沙拉線三線")*('0702 4度C'!$T:$T&lt;&gt;"")),'0702 4度C'!$T:$T)</f>
        <v>0.83263888888888893</v>
      </c>
      <c r="H17" s="24">
        <f>LOOKUP(2,1/(('0702 4度C'!$A:$A="自動包裝線")*('0702 4度C'!$T:$T&lt;&gt;"")),'0702 4度C'!$T:$T)</f>
        <v>0.69444444444444431</v>
      </c>
      <c r="I17" s="24">
        <f>LOOKUP(2,1/(('0702 4度C'!$A:$A="涼麵一線")*('0702 4度C'!$T:$T&lt;&gt;"")),'0702 4度C'!$T:$T)</f>
        <v>0.82986111111111116</v>
      </c>
      <c r="J17" s="62">
        <f>LOOKUP(2,1/(('0702 4度C'!$A:$A="三明治四線")*('0702 4度C'!$T:$T&lt;&gt;"")),'0702 4度C'!$T:$T)</f>
        <v>0.49027777777777765</v>
      </c>
      <c r="K17" s="61">
        <f>LOOKUP(2,1/(('0702 4度C'!$A:$A="三明治一線")*('0702 4度C'!$T:$T&lt;&gt;"")),'0702 4度C'!$T:$T)</f>
        <v>0.7305555555555554</v>
      </c>
      <c r="L17" s="24">
        <f>LOOKUP(2,1/(('0702 4度C'!$A:$A="三明治二線")*('0702 4度C'!$T:$T&lt;&gt;"")),'0702 4度C'!$T:$T)</f>
        <v>0.71805555555555556</v>
      </c>
      <c r="M17" s="62">
        <f>LOOKUP(2,1/(('0702 4度C'!$A:$A="自動包裝二線")*('0702 4度C'!$T:$T&lt;&gt;"")),'0702 4度C'!$T:$T)</f>
        <v>0.7222222222222221</v>
      </c>
    </row>
    <row r="18" spans="2:13" ht="17.25" customHeight="1">
      <c r="B18" s="431" t="s">
        <v>193</v>
      </c>
      <c r="C18" s="446"/>
      <c r="D18" s="66">
        <f>SUMIFS('0702 4度C'!$I:$I,'0702 4度C'!$A:$A,"燴飯線",'0702 4度C'!$B:$B,"平均")</f>
        <v>16.5</v>
      </c>
      <c r="E18" s="67">
        <f>SUMIFS('0702 4度C'!$I:$I,'0702 4度C'!$A:$A,"沙拉線一線",'0702 4度C'!$B:$B,"平均")</f>
        <v>18.399999999999999</v>
      </c>
      <c r="F18" s="67">
        <f>SUMIFS('0702 4度C'!$I:$I,'0702 4度C'!$A:$A,"沙拉線二線",'0702 4度C'!$B:$B,"平均")</f>
        <v>17.600000000000001</v>
      </c>
      <c r="G18" s="67">
        <f>SUMIFS('0702 4度C'!$I:$I,'0702 4度C'!$A:$A,"沙拉線三線",'0702 4度C'!$B:$B,"平均")</f>
        <v>16.571428571428573</v>
      </c>
      <c r="H18" s="67">
        <f>SUMIFS('0702 4度C'!$I:$I,'0702 4度C'!$A:$A,"自動包裝線",'0702 4度C'!$B:$B,"平均")</f>
        <v>10.333333333333334</v>
      </c>
      <c r="I18" s="67">
        <f>SUMIFS('0702 4度C'!$I:$I,'0702 4度C'!$A:$A,"涼麵一線",'0702 4度C'!$B:$B,"平均")</f>
        <v>16</v>
      </c>
      <c r="J18" s="68">
        <f>SUMIFS('0702 4度C'!$I:$I,'0702 4度C'!$A:$A,"三明治四線",'0702 4度C'!$B:$B,"平均")</f>
        <v>12.4</v>
      </c>
      <c r="K18" s="66">
        <f>SUMIFS('0702 4度C'!$I:$I,'0702 4度C'!$A:$A,"三明治一線",'0702 4度C'!$B:$B,"平均")</f>
        <v>19.2</v>
      </c>
      <c r="L18" s="67">
        <f>SUMIFS('0702 4度C'!$I:$I,'0702 4度C'!$A:$A,"三明治二線",'0702 4度C'!$B:$B,"平均")</f>
        <v>19.5</v>
      </c>
      <c r="M18" s="68">
        <f>SUMIFS('0702 4度C'!$I:$I,'0702 4度C'!$A:$A,"自動包裝二線",'0702 4度C'!$B:$B,"平均")</f>
        <v>17.428571428571427</v>
      </c>
    </row>
    <row r="19" spans="2:13" ht="17.25" customHeight="1">
      <c r="B19" s="448" t="s">
        <v>194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195</v>
      </c>
      <c r="L19" s="70" t="s">
        <v>196</v>
      </c>
      <c r="M19" s="71" t="s">
        <v>196</v>
      </c>
    </row>
    <row r="20" spans="2:13" ht="17.25" customHeight="1">
      <c r="B20" s="448" t="s">
        <v>197</v>
      </c>
      <c r="C20" s="449"/>
      <c r="D20" s="69"/>
      <c r="E20" s="70"/>
      <c r="F20" s="70" t="s">
        <v>198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199</v>
      </c>
      <c r="C21" s="451"/>
      <c r="D21" s="72"/>
      <c r="E21" s="73" t="s">
        <v>200</v>
      </c>
      <c r="F21" s="452" t="s">
        <v>201</v>
      </c>
      <c r="G21" s="453"/>
      <c r="H21" s="73" t="s">
        <v>202</v>
      </c>
      <c r="I21" s="73" t="s">
        <v>203</v>
      </c>
      <c r="J21" s="74" t="s">
        <v>202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8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>
    <pageSetUpPr fitToPage="1"/>
  </sheetPr>
  <dimension ref="A1:AC78"/>
  <sheetViews>
    <sheetView zoomScale="80" zoomScaleNormal="80" workbookViewId="0">
      <pane ySplit="4" topLeftCell="A5" activePane="bottomLeft" state="frozen"/>
      <selection activeCell="C3" sqref="C3:D3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customWidth="1"/>
    <col min="6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204</v>
      </c>
      <c r="B1" s="1"/>
      <c r="C1" s="2" t="s">
        <v>205</v>
      </c>
      <c r="D1" s="3">
        <f>SUM(F5:F77)</f>
        <v>165324</v>
      </c>
      <c r="E1" s="90" t="s">
        <v>206</v>
      </c>
      <c r="F1" s="1">
        <f>SUM(G5:G77)</f>
        <v>5385134.8500000015</v>
      </c>
      <c r="G1" s="1" t="s">
        <v>207</v>
      </c>
      <c r="H1" s="4">
        <f>L7+L13+L60+L63+L19+L69+L38+L47+L27+L77</f>
        <v>163.93333333333334</v>
      </c>
      <c r="I1" s="454" t="s">
        <v>208</v>
      </c>
      <c r="J1" s="454"/>
      <c r="K1" s="454"/>
      <c r="L1" s="454" t="s">
        <v>209</v>
      </c>
      <c r="M1" s="454"/>
      <c r="N1" s="454"/>
      <c r="O1" s="454" t="s">
        <v>210</v>
      </c>
      <c r="P1" s="454"/>
      <c r="Q1" s="454"/>
      <c r="R1" s="454"/>
      <c r="S1" s="454" t="s">
        <v>211</v>
      </c>
      <c r="T1" s="454"/>
      <c r="U1" s="454"/>
      <c r="V1" s="454"/>
      <c r="W1" s="454"/>
      <c r="X1" s="454"/>
      <c r="Y1" s="454" t="s">
        <v>212</v>
      </c>
      <c r="Z1" s="454"/>
      <c r="AA1" s="454" t="s">
        <v>213</v>
      </c>
      <c r="AB1" s="455"/>
      <c r="AC1" s="455"/>
    </row>
    <row r="2" spans="1:29" ht="26.25" customHeight="1">
      <c r="A2" s="22">
        <v>45840</v>
      </c>
      <c r="B2" s="23" t="s">
        <v>214</v>
      </c>
      <c r="C2" s="2" t="s">
        <v>215</v>
      </c>
      <c r="D2" s="6">
        <f>AVERAGE(N7,N13,N60,N63,N19,N69,N27,N38,N47,N77)</f>
        <v>119.68918592121096</v>
      </c>
      <c r="E2" s="7" t="s">
        <v>0</v>
      </c>
      <c r="F2" s="8">
        <f>F1/D1</f>
        <v>32.573218951876328</v>
      </c>
      <c r="G2" s="1" t="s">
        <v>216</v>
      </c>
      <c r="H2" s="96">
        <f>COUNT(H5:H77)</f>
        <v>15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217</v>
      </c>
      <c r="B3" s="456" t="s">
        <v>218</v>
      </c>
      <c r="C3" s="456" t="s">
        <v>219</v>
      </c>
      <c r="D3" s="456"/>
      <c r="E3" s="457" t="s">
        <v>220</v>
      </c>
      <c r="F3" s="456" t="s">
        <v>221</v>
      </c>
      <c r="G3" s="457" t="s">
        <v>222</v>
      </c>
      <c r="H3" s="463" t="s">
        <v>223</v>
      </c>
      <c r="I3" s="464" t="s">
        <v>224</v>
      </c>
      <c r="J3" s="465" t="s">
        <v>225</v>
      </c>
      <c r="K3" s="459" t="s">
        <v>215</v>
      </c>
      <c r="L3" s="464" t="s">
        <v>226</v>
      </c>
      <c r="M3" s="465" t="s">
        <v>227</v>
      </c>
      <c r="N3" s="459" t="s">
        <v>215</v>
      </c>
      <c r="O3" s="464" t="s">
        <v>224</v>
      </c>
      <c r="P3" s="459" t="s">
        <v>215</v>
      </c>
      <c r="Q3" s="460" t="s">
        <v>228</v>
      </c>
      <c r="R3" s="461" t="s">
        <v>80</v>
      </c>
      <c r="S3" s="462" t="s">
        <v>1</v>
      </c>
      <c r="T3" s="462"/>
      <c r="U3" s="463" t="s">
        <v>2</v>
      </c>
      <c r="V3" s="463" t="s">
        <v>229</v>
      </c>
      <c r="W3" s="456" t="s">
        <v>230</v>
      </c>
      <c r="X3" s="456"/>
      <c r="Y3" s="475" t="s">
        <v>231</v>
      </c>
      <c r="Z3" s="476"/>
      <c r="AA3" s="465" t="s">
        <v>225</v>
      </c>
      <c r="AB3" s="460" t="s">
        <v>228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95" t="s">
        <v>3</v>
      </c>
      <c r="T4" s="95" t="s">
        <v>4</v>
      </c>
      <c r="U4" s="463"/>
      <c r="V4" s="463"/>
      <c r="W4" s="90" t="s">
        <v>232</v>
      </c>
      <c r="X4" s="90" t="s">
        <v>233</v>
      </c>
      <c r="Y4" s="476"/>
      <c r="Z4" s="476"/>
      <c r="AA4" s="465"/>
      <c r="AB4" s="460"/>
      <c r="AC4" s="461"/>
    </row>
    <row r="5" spans="1:29">
      <c r="A5" s="471" t="s">
        <v>234</v>
      </c>
      <c r="B5" s="26" t="s">
        <v>13</v>
      </c>
      <c r="C5" s="472" t="s">
        <v>58</v>
      </c>
      <c r="D5" s="472"/>
      <c r="E5" s="26">
        <v>46.93</v>
      </c>
      <c r="F5" s="95">
        <v>1281</v>
      </c>
      <c r="G5" s="90">
        <f>E5*F5</f>
        <v>60117.33</v>
      </c>
      <c r="H5" s="76" t="s">
        <v>57</v>
      </c>
      <c r="I5" s="93">
        <v>17</v>
      </c>
      <c r="J5" s="18">
        <v>1800</v>
      </c>
      <c r="K5" s="9">
        <f>J5/I5</f>
        <v>105.88235294117646</v>
      </c>
      <c r="L5" s="93">
        <v>17</v>
      </c>
      <c r="M5" s="10">
        <f>F5/V5*60</f>
        <v>1635.3191489361704</v>
      </c>
      <c r="N5" s="9">
        <f>M5/L5</f>
        <v>96.195244055068855</v>
      </c>
      <c r="O5" s="11">
        <f t="shared" ref="O5:O6" si="0">L5-I5</f>
        <v>0</v>
      </c>
      <c r="P5" s="12">
        <f t="shared" ref="P5:P6" si="1">N5-K5</f>
        <v>-9.6871088861076089</v>
      </c>
      <c r="Q5" s="91">
        <f>N5/K5</f>
        <v>0.9085106382978726</v>
      </c>
      <c r="R5" s="470">
        <f>Q7</f>
        <v>0.90290396779758453</v>
      </c>
      <c r="S5" s="24">
        <v>0.70833333333333337</v>
      </c>
      <c r="T5" s="24">
        <v>0.74097222222222225</v>
      </c>
      <c r="U5" s="90"/>
      <c r="V5" s="94">
        <f>(T5-S5)*24*60</f>
        <v>46.999999999999993</v>
      </c>
      <c r="W5" s="13"/>
      <c r="X5" s="13"/>
      <c r="Y5" s="456"/>
      <c r="Z5" s="456"/>
      <c r="AA5" s="11">
        <f t="shared" ref="AA5:AA68" si="2">M5-J5</f>
        <v>-164.68085106382955</v>
      </c>
      <c r="AB5" s="91">
        <f t="shared" ref="AB5:AB6" si="3">M5/J5</f>
        <v>0.90851063829787249</v>
      </c>
      <c r="AC5" s="470">
        <f>AB7</f>
        <v>0.90290396779758453</v>
      </c>
    </row>
    <row r="6" spans="1:29">
      <c r="A6" s="464" t="s">
        <v>235</v>
      </c>
      <c r="B6" s="26" t="s">
        <v>13</v>
      </c>
      <c r="C6" s="472" t="s">
        <v>60</v>
      </c>
      <c r="D6" s="472"/>
      <c r="E6" s="26">
        <v>50.49</v>
      </c>
      <c r="F6" s="95">
        <v>1992</v>
      </c>
      <c r="G6" s="90">
        <f t="shared" ref="G6" si="4">E6*F6</f>
        <v>100576.08</v>
      </c>
      <c r="H6" s="76" t="s">
        <v>57</v>
      </c>
      <c r="I6" s="93">
        <v>16</v>
      </c>
      <c r="J6" s="18">
        <v>1800</v>
      </c>
      <c r="K6" s="9">
        <f t="shared" ref="K6" si="5">J6/I6</f>
        <v>112.5</v>
      </c>
      <c r="L6" s="93">
        <v>16</v>
      </c>
      <c r="M6" s="10">
        <f>F6/V6*60</f>
        <v>1615.1351351351339</v>
      </c>
      <c r="N6" s="9">
        <f t="shared" ref="N6" si="6">M6/L6</f>
        <v>100.94594594594587</v>
      </c>
      <c r="O6" s="11">
        <f t="shared" si="0"/>
        <v>0</v>
      </c>
      <c r="P6" s="12">
        <f t="shared" si="1"/>
        <v>-11.554054054054134</v>
      </c>
      <c r="Q6" s="91">
        <f t="shared" ref="Q6" si="7">N6/K6</f>
        <v>0.89729729729729657</v>
      </c>
      <c r="R6" s="470"/>
      <c r="S6" s="24">
        <v>0.74583333333333335</v>
      </c>
      <c r="T6" s="24">
        <v>0.79722222222222228</v>
      </c>
      <c r="U6" s="90">
        <f>(S6-T5)*24*60</f>
        <v>6.9999999999999751</v>
      </c>
      <c r="V6" s="94">
        <f>(T6-S6)*24*60</f>
        <v>74.000000000000057</v>
      </c>
      <c r="W6" s="14"/>
      <c r="X6" s="14"/>
      <c r="Y6" s="456"/>
      <c r="Z6" s="456"/>
      <c r="AA6" s="11">
        <f t="shared" si="2"/>
        <v>-184.86486486486615</v>
      </c>
      <c r="AB6" s="91">
        <f t="shared" si="3"/>
        <v>0.89729729729729657</v>
      </c>
      <c r="AC6" s="470"/>
    </row>
    <row r="7" spans="1:29">
      <c r="A7" s="464" t="s">
        <v>235</v>
      </c>
      <c r="B7" s="26" t="s">
        <v>236</v>
      </c>
      <c r="C7" s="466"/>
      <c r="D7" s="466"/>
      <c r="E7" s="89"/>
      <c r="F7" s="16"/>
      <c r="G7" s="9"/>
      <c r="H7" s="95"/>
      <c r="I7" s="17">
        <v>16.5</v>
      </c>
      <c r="J7" s="18">
        <v>1800</v>
      </c>
      <c r="K7" s="9">
        <f>J7/I7</f>
        <v>109.09090909090909</v>
      </c>
      <c r="L7" s="17">
        <v>16.5</v>
      </c>
      <c r="M7" s="10">
        <f>AVERAGE(M5:M6)</f>
        <v>1625.2271420356522</v>
      </c>
      <c r="N7" s="9">
        <f>M7/L7</f>
        <v>98.4986146688274</v>
      </c>
      <c r="O7" s="11">
        <f>L7-I7</f>
        <v>0</v>
      </c>
      <c r="P7" s="12">
        <f>N7-K7</f>
        <v>-10.592294422081693</v>
      </c>
      <c r="Q7" s="91">
        <f>N7/K7</f>
        <v>0.90290396779758453</v>
      </c>
      <c r="R7" s="470"/>
      <c r="S7" s="24"/>
      <c r="T7" s="24"/>
      <c r="U7" s="90"/>
      <c r="V7" s="94"/>
      <c r="W7" s="9"/>
      <c r="X7" s="9"/>
      <c r="Y7" s="456"/>
      <c r="Z7" s="456"/>
      <c r="AA7" s="11">
        <f t="shared" si="2"/>
        <v>-174.77285796434785</v>
      </c>
      <c r="AB7" s="91">
        <f>M7/J7</f>
        <v>0.90290396779758453</v>
      </c>
      <c r="AC7" s="470"/>
    </row>
    <row r="8" spans="1:29" ht="15.75" customHeight="1">
      <c r="A8" s="467" t="s">
        <v>237</v>
      </c>
      <c r="B8" s="26" t="s">
        <v>15</v>
      </c>
      <c r="C8" s="468" t="s">
        <v>16</v>
      </c>
      <c r="D8" s="469"/>
      <c r="E8" s="26">
        <v>39.619999999999997</v>
      </c>
      <c r="F8" s="95">
        <v>3000</v>
      </c>
      <c r="G8" s="90">
        <f t="shared" ref="G8:G12" si="8">E8*F8</f>
        <v>118859.99999999999</v>
      </c>
      <c r="H8" s="76">
        <v>2</v>
      </c>
      <c r="I8" s="93">
        <v>18</v>
      </c>
      <c r="J8" s="18">
        <v>1500</v>
      </c>
      <c r="K8" s="9">
        <f t="shared" ref="K8:K12" si="9">J8/I8</f>
        <v>83.333333333333329</v>
      </c>
      <c r="L8" s="93">
        <v>18</v>
      </c>
      <c r="M8" s="10">
        <f t="shared" ref="M8:M12" si="10">F8/V8*60</f>
        <v>1343.2835820895523</v>
      </c>
      <c r="N8" s="9">
        <f t="shared" ref="N8:N12" si="11">M8/L8</f>
        <v>74.626865671641795</v>
      </c>
      <c r="O8" s="11">
        <f t="shared" ref="O8:O12" si="12">L8-I8</f>
        <v>0</v>
      </c>
      <c r="P8" s="12">
        <f>N8-K8</f>
        <v>-8.7064676616915335</v>
      </c>
      <c r="Q8" s="91">
        <f>N8/K8</f>
        <v>0.89552238805970164</v>
      </c>
      <c r="R8" s="470">
        <f>Q13</f>
        <v>0.89479763294145886</v>
      </c>
      <c r="S8" s="24">
        <v>0.13055555555555556</v>
      </c>
      <c r="T8" s="24">
        <v>0.22361111111111112</v>
      </c>
      <c r="U8" s="90"/>
      <c r="V8" s="94">
        <f t="shared" ref="V8:V12" si="13">(T8-S8)*24*60</f>
        <v>134</v>
      </c>
      <c r="W8" s="9"/>
      <c r="X8" s="9"/>
      <c r="Y8" s="456"/>
      <c r="Z8" s="456"/>
      <c r="AA8" s="11">
        <f t="shared" si="2"/>
        <v>-156.71641791044772</v>
      </c>
      <c r="AB8" s="91">
        <f>M8/J8</f>
        <v>0.89552238805970152</v>
      </c>
      <c r="AC8" s="470">
        <f>AB13</f>
        <v>0.89479763294145898</v>
      </c>
    </row>
    <row r="9" spans="1:29" ht="15.75" customHeight="1">
      <c r="A9" s="467" t="s">
        <v>5</v>
      </c>
      <c r="B9" s="26" t="s">
        <v>15</v>
      </c>
      <c r="C9" s="468" t="s">
        <v>17</v>
      </c>
      <c r="D9" s="469"/>
      <c r="E9" s="26">
        <v>39.799999999999997</v>
      </c>
      <c r="F9" s="95">
        <v>3700</v>
      </c>
      <c r="G9" s="90">
        <f t="shared" si="8"/>
        <v>147260</v>
      </c>
      <c r="H9" s="76">
        <v>2</v>
      </c>
      <c r="I9" s="93">
        <v>19</v>
      </c>
      <c r="J9" s="18">
        <v>1500</v>
      </c>
      <c r="K9" s="9">
        <f t="shared" si="9"/>
        <v>78.94736842105263</v>
      </c>
      <c r="L9" s="93">
        <v>19</v>
      </c>
      <c r="M9" s="10">
        <f t="shared" si="10"/>
        <v>1345.4545454545455</v>
      </c>
      <c r="N9" s="9">
        <f t="shared" si="11"/>
        <v>70.813397129186612</v>
      </c>
      <c r="O9" s="11">
        <f t="shared" si="12"/>
        <v>0</v>
      </c>
      <c r="P9" s="12">
        <f t="shared" ref="P9:P12" si="14">N9-K9</f>
        <v>-8.1339712918660183</v>
      </c>
      <c r="Q9" s="91">
        <f t="shared" ref="Q9:Q12" si="15">N9/K9</f>
        <v>0.89696969696969708</v>
      </c>
      <c r="R9" s="470"/>
      <c r="S9" s="24">
        <v>0.24722222222222226</v>
      </c>
      <c r="T9" s="24">
        <v>0.3618055555555556</v>
      </c>
      <c r="U9" s="90">
        <f>(S9-T8)*24*60</f>
        <v>34.000000000000043</v>
      </c>
      <c r="V9" s="94">
        <f t="shared" si="13"/>
        <v>165</v>
      </c>
      <c r="W9" s="14"/>
      <c r="X9" s="14"/>
      <c r="Y9" s="456"/>
      <c r="Z9" s="456"/>
      <c r="AA9" s="11">
        <f t="shared" si="2"/>
        <v>-154.5454545454545</v>
      </c>
      <c r="AB9" s="91">
        <f t="shared" ref="AB9:AB27" si="16">M9/J9</f>
        <v>0.89696969696969697</v>
      </c>
      <c r="AC9" s="470"/>
    </row>
    <row r="10" spans="1:29" ht="15.75" customHeight="1">
      <c r="A10" s="467" t="s">
        <v>5</v>
      </c>
      <c r="B10" s="26" t="s">
        <v>15</v>
      </c>
      <c r="C10" s="468" t="s">
        <v>54</v>
      </c>
      <c r="D10" s="469"/>
      <c r="E10" s="26">
        <v>39.29</v>
      </c>
      <c r="F10" s="95">
        <v>3752</v>
      </c>
      <c r="G10" s="90">
        <f t="shared" si="8"/>
        <v>147416.07999999999</v>
      </c>
      <c r="H10" s="76" t="s">
        <v>57</v>
      </c>
      <c r="I10" s="93">
        <v>18</v>
      </c>
      <c r="J10" s="18">
        <v>1500</v>
      </c>
      <c r="K10" s="9">
        <f t="shared" si="9"/>
        <v>83.333333333333329</v>
      </c>
      <c r="L10" s="93">
        <v>18</v>
      </c>
      <c r="M10" s="10">
        <f t="shared" si="10"/>
        <v>1340.0000000000002</v>
      </c>
      <c r="N10" s="9">
        <f t="shared" si="11"/>
        <v>74.444444444444457</v>
      </c>
      <c r="O10" s="11">
        <f t="shared" si="12"/>
        <v>0</v>
      </c>
      <c r="P10" s="12">
        <f t="shared" si="14"/>
        <v>-8.8888888888888715</v>
      </c>
      <c r="Q10" s="91">
        <f t="shared" si="15"/>
        <v>0.89333333333333353</v>
      </c>
      <c r="R10" s="470"/>
      <c r="S10" s="24">
        <v>0.37083333333333335</v>
      </c>
      <c r="T10" s="24">
        <v>0.48749999999999999</v>
      </c>
      <c r="U10" s="90">
        <f t="shared" ref="U10:U12" si="17">(S10-T9)*24*60</f>
        <v>12.999999999999954</v>
      </c>
      <c r="V10" s="94">
        <f t="shared" si="13"/>
        <v>167.99999999999997</v>
      </c>
      <c r="W10" s="14"/>
      <c r="X10" s="14"/>
      <c r="Y10" s="456"/>
      <c r="Z10" s="456"/>
      <c r="AA10" s="11">
        <f t="shared" si="2"/>
        <v>-159.99999999999977</v>
      </c>
      <c r="AB10" s="91">
        <f t="shared" si="16"/>
        <v>0.89333333333333353</v>
      </c>
      <c r="AC10" s="470"/>
    </row>
    <row r="11" spans="1:29" ht="15.75" customHeight="1">
      <c r="A11" s="467" t="s">
        <v>5</v>
      </c>
      <c r="B11" s="26" t="s">
        <v>15</v>
      </c>
      <c r="C11" s="468" t="s">
        <v>16</v>
      </c>
      <c r="D11" s="469"/>
      <c r="E11" s="26">
        <v>39.619999999999997</v>
      </c>
      <c r="F11" s="95">
        <v>1749</v>
      </c>
      <c r="G11" s="90">
        <f t="shared" si="8"/>
        <v>69295.37999999999</v>
      </c>
      <c r="H11" s="76" t="s">
        <v>57</v>
      </c>
      <c r="I11" s="93">
        <v>18</v>
      </c>
      <c r="J11" s="18">
        <v>1500</v>
      </c>
      <c r="K11" s="9">
        <f t="shared" si="9"/>
        <v>83.333333333333329</v>
      </c>
      <c r="L11" s="93">
        <v>18</v>
      </c>
      <c r="M11" s="10">
        <f t="shared" si="10"/>
        <v>1345.3846153846146</v>
      </c>
      <c r="N11" s="9">
        <f t="shared" si="11"/>
        <v>74.743589743589695</v>
      </c>
      <c r="O11" s="11">
        <f t="shared" si="12"/>
        <v>0</v>
      </c>
      <c r="P11" s="12">
        <f t="shared" si="14"/>
        <v>-8.5897435897436338</v>
      </c>
      <c r="Q11" s="91">
        <f t="shared" si="15"/>
        <v>0.89692307692307638</v>
      </c>
      <c r="R11" s="470"/>
      <c r="S11" s="24">
        <v>0.52916666666666667</v>
      </c>
      <c r="T11" s="24">
        <v>0.58333333333333337</v>
      </c>
      <c r="U11" s="90">
        <f t="shared" si="17"/>
        <v>60.000000000000028</v>
      </c>
      <c r="V11" s="94">
        <f t="shared" si="13"/>
        <v>78.000000000000043</v>
      </c>
      <c r="W11" s="14"/>
      <c r="X11" s="14"/>
      <c r="Y11" s="456"/>
      <c r="Z11" s="456"/>
      <c r="AA11" s="11">
        <f t="shared" si="2"/>
        <v>-154.61538461538544</v>
      </c>
      <c r="AB11" s="91">
        <f t="shared" si="16"/>
        <v>0.89692307692307638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95">
        <v>2696</v>
      </c>
      <c r="G12" s="90">
        <f t="shared" si="8"/>
        <v>107300.79999999999</v>
      </c>
      <c r="H12" s="76" t="s">
        <v>57</v>
      </c>
      <c r="I12" s="93">
        <v>19</v>
      </c>
      <c r="J12" s="18">
        <v>1500</v>
      </c>
      <c r="K12" s="9">
        <f t="shared" si="9"/>
        <v>78.94736842105263</v>
      </c>
      <c r="L12" s="93">
        <v>19</v>
      </c>
      <c r="M12" s="10">
        <f t="shared" si="10"/>
        <v>1336.8595041322308</v>
      </c>
      <c r="N12" s="9">
        <f t="shared" si="11"/>
        <v>70.361026533275307</v>
      </c>
      <c r="O12" s="11">
        <f t="shared" si="12"/>
        <v>0</v>
      </c>
      <c r="P12" s="12">
        <f t="shared" si="14"/>
        <v>-8.5863418877773228</v>
      </c>
      <c r="Q12" s="91">
        <f t="shared" si="15"/>
        <v>0.89123966942148725</v>
      </c>
      <c r="R12" s="470"/>
      <c r="S12" s="24">
        <v>0.58680555555555558</v>
      </c>
      <c r="T12" s="24">
        <v>0.67083333333333339</v>
      </c>
      <c r="U12" s="90">
        <f t="shared" si="17"/>
        <v>4.9999999999999822</v>
      </c>
      <c r="V12" s="94">
        <f t="shared" si="13"/>
        <v>121.00000000000006</v>
      </c>
      <c r="W12" s="14"/>
      <c r="X12" s="14"/>
      <c r="Y12" s="456"/>
      <c r="Z12" s="456"/>
      <c r="AA12" s="11">
        <f t="shared" si="2"/>
        <v>-163.14049586776923</v>
      </c>
      <c r="AB12" s="91">
        <f t="shared" si="16"/>
        <v>0.89123966942148714</v>
      </c>
      <c r="AC12" s="470"/>
    </row>
    <row r="13" spans="1:29" ht="16.5" customHeight="1">
      <c r="A13" s="467" t="s">
        <v>5</v>
      </c>
      <c r="B13" s="26" t="s">
        <v>236</v>
      </c>
      <c r="C13" s="466"/>
      <c r="D13" s="466"/>
      <c r="E13" s="89"/>
      <c r="F13" s="18"/>
      <c r="G13" s="10"/>
      <c r="H13" s="95"/>
      <c r="I13" s="17">
        <v>18.399999999999999</v>
      </c>
      <c r="J13" s="18">
        <v>1500</v>
      </c>
      <c r="K13" s="9">
        <f>J13/I13</f>
        <v>81.521739130434796</v>
      </c>
      <c r="L13" s="17">
        <v>18.399999999999999</v>
      </c>
      <c r="M13" s="10">
        <f>AVERAGE(M8:M12)</f>
        <v>1342.1964494121885</v>
      </c>
      <c r="N13" s="9">
        <f>M13/L13</f>
        <v>72.945459207184157</v>
      </c>
      <c r="O13" s="11">
        <f>L13-I13</f>
        <v>0</v>
      </c>
      <c r="P13" s="12">
        <f>N13-K13</f>
        <v>-8.5762799232506381</v>
      </c>
      <c r="Q13" s="91">
        <f>N13/K13</f>
        <v>0.89479763294145886</v>
      </c>
      <c r="R13" s="470"/>
      <c r="S13" s="24"/>
      <c r="T13" s="24"/>
      <c r="U13" s="9"/>
      <c r="V13" s="94"/>
      <c r="W13" s="9"/>
      <c r="X13" s="9"/>
      <c r="Y13" s="456"/>
      <c r="Z13" s="456"/>
      <c r="AA13" s="11">
        <f t="shared" si="2"/>
        <v>-157.80355058781151</v>
      </c>
      <c r="AB13" s="91">
        <f t="shared" si="16"/>
        <v>0.89479763294145898</v>
      </c>
      <c r="AC13" s="470"/>
    </row>
    <row r="14" spans="1:29" ht="16.5" customHeight="1">
      <c r="A14" s="480" t="s">
        <v>238</v>
      </c>
      <c r="B14" s="95" t="s">
        <v>15</v>
      </c>
      <c r="C14" s="477" t="s">
        <v>20</v>
      </c>
      <c r="D14" s="477"/>
      <c r="E14" s="26">
        <v>46</v>
      </c>
      <c r="F14" s="95">
        <v>3324</v>
      </c>
      <c r="G14" s="90">
        <f t="shared" ref="G14:G18" si="18">E14*F14</f>
        <v>152904</v>
      </c>
      <c r="H14" s="76" t="s">
        <v>57</v>
      </c>
      <c r="I14" s="93">
        <v>17</v>
      </c>
      <c r="J14" s="18">
        <v>1500</v>
      </c>
      <c r="K14" s="9">
        <f>J14/I14</f>
        <v>88.235294117647058</v>
      </c>
      <c r="L14" s="93">
        <v>17</v>
      </c>
      <c r="M14" s="10">
        <f>F14/V14*60</f>
        <v>1347.5675675675675</v>
      </c>
      <c r="N14" s="9">
        <f t="shared" ref="N14:N26" si="19">M14/L14</f>
        <v>79.268680445151034</v>
      </c>
      <c r="O14" s="11">
        <f t="shared" ref="O14" si="20">L14-I14</f>
        <v>0</v>
      </c>
      <c r="P14" s="12">
        <f t="shared" ref="P14" si="21">N14-K14</f>
        <v>-8.9666136724960239</v>
      </c>
      <c r="Q14" s="91">
        <f>N14/K14</f>
        <v>0.89837837837837842</v>
      </c>
      <c r="R14" s="470">
        <f>Q19</f>
        <v>0.89495415161055092</v>
      </c>
      <c r="S14" s="24">
        <v>0.16666666666666666</v>
      </c>
      <c r="T14" s="24">
        <v>0.26944444444444443</v>
      </c>
      <c r="U14" s="90"/>
      <c r="V14" s="94">
        <f>(T14-S14)*24*60</f>
        <v>148</v>
      </c>
      <c r="W14" s="15"/>
      <c r="X14" s="15"/>
      <c r="Y14" s="456"/>
      <c r="Z14" s="456"/>
      <c r="AA14" s="11">
        <f t="shared" si="2"/>
        <v>-152.43243243243251</v>
      </c>
      <c r="AB14" s="91">
        <f t="shared" si="16"/>
        <v>0.89837837837837831</v>
      </c>
      <c r="AC14" s="470">
        <f>AB19</f>
        <v>0.89495415161055092</v>
      </c>
    </row>
    <row r="15" spans="1:29" ht="16.5" customHeight="1">
      <c r="A15" s="481" t="s">
        <v>6</v>
      </c>
      <c r="B15" s="95" t="s">
        <v>15</v>
      </c>
      <c r="C15" s="477" t="s">
        <v>75</v>
      </c>
      <c r="D15" s="477"/>
      <c r="E15" s="26">
        <v>46</v>
      </c>
      <c r="F15" s="95">
        <v>4268</v>
      </c>
      <c r="G15" s="90">
        <f t="shared" si="18"/>
        <v>196328</v>
      </c>
      <c r="H15" s="76" t="s">
        <v>57</v>
      </c>
      <c r="I15" s="93">
        <v>20</v>
      </c>
      <c r="J15" s="18">
        <v>1500</v>
      </c>
      <c r="K15" s="9">
        <f>J15/I15</f>
        <v>75</v>
      </c>
      <c r="L15" s="93">
        <v>20</v>
      </c>
      <c r="M15" s="10">
        <f>F15/V15*60</f>
        <v>1340.7329842931938</v>
      </c>
      <c r="N15" s="9">
        <f t="shared" si="19"/>
        <v>67.03664921465969</v>
      </c>
      <c r="O15" s="11">
        <f>L15-I15</f>
        <v>0</v>
      </c>
      <c r="P15" s="12">
        <f>N15-K15</f>
        <v>-7.9633507853403103</v>
      </c>
      <c r="Q15" s="91">
        <f>N15/K15</f>
        <v>0.89382198952879588</v>
      </c>
      <c r="R15" s="470"/>
      <c r="S15" s="24">
        <v>0.2895833333333333</v>
      </c>
      <c r="T15" s="24">
        <v>0.42222222222222217</v>
      </c>
      <c r="U15" s="90">
        <f>(S15-T14)*24*60</f>
        <v>28.999999999999979</v>
      </c>
      <c r="V15" s="94">
        <f>(T15-S15)*24*60</f>
        <v>190.99999999999997</v>
      </c>
      <c r="W15" s="14"/>
      <c r="X15" s="14"/>
      <c r="Y15" s="456"/>
      <c r="Z15" s="456"/>
      <c r="AA15" s="11">
        <f t="shared" si="2"/>
        <v>-159.26701570680621</v>
      </c>
      <c r="AB15" s="91">
        <f t="shared" si="16"/>
        <v>0.89382198952879588</v>
      </c>
      <c r="AC15" s="470"/>
    </row>
    <row r="16" spans="1:29" ht="16.5" customHeight="1">
      <c r="A16" s="481" t="s">
        <v>6</v>
      </c>
      <c r="B16" s="95" t="s">
        <v>15</v>
      </c>
      <c r="C16" s="477" t="s">
        <v>68</v>
      </c>
      <c r="D16" s="477"/>
      <c r="E16" s="26">
        <v>39.29</v>
      </c>
      <c r="F16" s="95">
        <v>2636</v>
      </c>
      <c r="G16" s="90">
        <f t="shared" si="18"/>
        <v>103568.44</v>
      </c>
      <c r="H16" s="76" t="s">
        <v>57</v>
      </c>
      <c r="I16" s="93">
        <v>19</v>
      </c>
      <c r="J16" s="18">
        <v>1500</v>
      </c>
      <c r="K16" s="9">
        <f t="shared" ref="K16:K18" si="22">J16/I16</f>
        <v>78.94736842105263</v>
      </c>
      <c r="L16" s="93">
        <v>19</v>
      </c>
      <c r="M16" s="10">
        <f t="shared" ref="M16:M18" si="23">F16/V16*60</f>
        <v>1340.3389830508468</v>
      </c>
      <c r="N16" s="9">
        <f t="shared" si="19"/>
        <v>70.544157002676144</v>
      </c>
      <c r="O16" s="11">
        <f t="shared" ref="O16:O18" si="24">L16-I16</f>
        <v>0</v>
      </c>
      <c r="P16" s="12">
        <f t="shared" ref="P16:P18" si="25">N16-K16</f>
        <v>-8.4032114183764861</v>
      </c>
      <c r="Q16" s="91">
        <f t="shared" ref="Q16:Q26" si="26">N16/K16</f>
        <v>0.89355932203389787</v>
      </c>
      <c r="R16" s="470"/>
      <c r="S16" s="24">
        <v>0.4326388888888888</v>
      </c>
      <c r="T16" s="24">
        <v>0.51458333333333328</v>
      </c>
      <c r="U16" s="90">
        <f t="shared" ref="U16:U18" si="27">(S16-T15)*24*60</f>
        <v>14.999999999999947</v>
      </c>
      <c r="V16" s="94">
        <f t="shared" ref="V16:V18" si="28">(T16-S16)*24*60</f>
        <v>118.00000000000006</v>
      </c>
      <c r="W16" s="14"/>
      <c r="X16" s="14"/>
      <c r="Y16" s="456"/>
      <c r="Z16" s="456"/>
      <c r="AA16" s="11">
        <f t="shared" si="2"/>
        <v>-159.66101694915324</v>
      </c>
      <c r="AB16" s="91">
        <f t="shared" si="16"/>
        <v>0.89355932203389787</v>
      </c>
      <c r="AC16" s="470"/>
    </row>
    <row r="17" spans="1:29" ht="16.5" customHeight="1">
      <c r="A17" s="481" t="s">
        <v>6</v>
      </c>
      <c r="B17" s="95" t="s">
        <v>13</v>
      </c>
      <c r="C17" s="477" t="s">
        <v>63</v>
      </c>
      <c r="D17" s="477"/>
      <c r="E17" s="26">
        <v>50.98</v>
      </c>
      <c r="F17" s="95">
        <v>2628</v>
      </c>
      <c r="G17" s="90">
        <f t="shared" si="18"/>
        <v>133975.44</v>
      </c>
      <c r="H17" s="76" t="s">
        <v>57</v>
      </c>
      <c r="I17" s="93">
        <v>17</v>
      </c>
      <c r="J17" s="18">
        <v>1800</v>
      </c>
      <c r="K17" s="9">
        <f t="shared" si="22"/>
        <v>105.88235294117646</v>
      </c>
      <c r="L17" s="93">
        <v>17</v>
      </c>
      <c r="M17" s="10">
        <f t="shared" si="23"/>
        <v>1608.9795918367352</v>
      </c>
      <c r="N17" s="9">
        <f t="shared" si="19"/>
        <v>94.645858343337366</v>
      </c>
      <c r="O17" s="11">
        <f t="shared" si="24"/>
        <v>0</v>
      </c>
      <c r="P17" s="12">
        <f t="shared" si="25"/>
        <v>-11.236494597839098</v>
      </c>
      <c r="Q17" s="91">
        <f t="shared" si="26"/>
        <v>0.89387755102040856</v>
      </c>
      <c r="R17" s="470"/>
      <c r="S17" s="24">
        <v>0.70833333333333337</v>
      </c>
      <c r="T17" s="24">
        <v>0.77638888888888891</v>
      </c>
      <c r="U17" s="90">
        <f t="shared" si="27"/>
        <v>279.00000000000011</v>
      </c>
      <c r="V17" s="94">
        <f t="shared" si="28"/>
        <v>97.999999999999972</v>
      </c>
      <c r="W17" s="14"/>
      <c r="X17" s="14"/>
      <c r="Y17" s="456"/>
      <c r="Z17" s="456"/>
      <c r="AA17" s="11">
        <f t="shared" si="2"/>
        <v>-191.02040816326485</v>
      </c>
      <c r="AB17" s="91">
        <f t="shared" si="16"/>
        <v>0.89387755102040845</v>
      </c>
      <c r="AC17" s="470"/>
    </row>
    <row r="18" spans="1:29" ht="16.5" customHeight="1">
      <c r="A18" s="481" t="s">
        <v>6</v>
      </c>
      <c r="B18" s="95" t="s">
        <v>13</v>
      </c>
      <c r="C18" s="477" t="s">
        <v>66</v>
      </c>
      <c r="D18" s="477"/>
      <c r="E18" s="26">
        <v>57.73</v>
      </c>
      <c r="F18" s="95">
        <v>1925</v>
      </c>
      <c r="G18" s="90">
        <f t="shared" si="18"/>
        <v>111130.25</v>
      </c>
      <c r="H18" s="76" t="s">
        <v>57</v>
      </c>
      <c r="I18" s="93">
        <v>15</v>
      </c>
      <c r="J18" s="18">
        <v>1500</v>
      </c>
      <c r="K18" s="9">
        <f t="shared" si="22"/>
        <v>100</v>
      </c>
      <c r="L18" s="93">
        <v>15</v>
      </c>
      <c r="M18" s="10">
        <f t="shared" si="23"/>
        <v>1343.0232558139533</v>
      </c>
      <c r="N18" s="9">
        <f t="shared" si="19"/>
        <v>89.53488372093021</v>
      </c>
      <c r="O18" s="11">
        <f t="shared" si="24"/>
        <v>0</v>
      </c>
      <c r="P18" s="12">
        <f t="shared" si="25"/>
        <v>-10.46511627906979</v>
      </c>
      <c r="Q18" s="91">
        <f t="shared" si="26"/>
        <v>0.89534883720930214</v>
      </c>
      <c r="R18" s="470"/>
      <c r="S18" s="24">
        <v>0.78125</v>
      </c>
      <c r="T18" s="24">
        <v>0.84097222222222223</v>
      </c>
      <c r="U18" s="90">
        <f t="shared" si="27"/>
        <v>6.9999999999999751</v>
      </c>
      <c r="V18" s="94">
        <f t="shared" si="28"/>
        <v>86.000000000000014</v>
      </c>
      <c r="W18" s="14"/>
      <c r="X18" s="14"/>
      <c r="Y18" s="456"/>
      <c r="Z18" s="456"/>
      <c r="AA18" s="11">
        <f t="shared" si="2"/>
        <v>-156.97674418604674</v>
      </c>
      <c r="AB18" s="91">
        <f t="shared" si="16"/>
        <v>0.89534883720930214</v>
      </c>
      <c r="AC18" s="470"/>
    </row>
    <row r="19" spans="1:29" ht="16.5" customHeight="1">
      <c r="A19" s="481" t="s">
        <v>6</v>
      </c>
      <c r="B19" s="26" t="s">
        <v>239</v>
      </c>
      <c r="C19" s="466"/>
      <c r="D19" s="466"/>
      <c r="E19" s="89"/>
      <c r="F19" s="16"/>
      <c r="G19" s="9"/>
      <c r="H19" s="95"/>
      <c r="I19" s="17">
        <v>17.600000000000001</v>
      </c>
      <c r="J19" s="18">
        <v>1560</v>
      </c>
      <c r="K19" s="9">
        <f>J19/I19</f>
        <v>88.636363636363626</v>
      </c>
      <c r="L19" s="17">
        <v>17.600000000000001</v>
      </c>
      <c r="M19" s="10">
        <f>AVERAGE(M14:M18)</f>
        <v>1396.1284765124594</v>
      </c>
      <c r="N19" s="9">
        <f t="shared" si="19"/>
        <v>79.325481620026096</v>
      </c>
      <c r="O19" s="11">
        <f>L19-I19</f>
        <v>0</v>
      </c>
      <c r="P19" s="12">
        <f>N19-K19</f>
        <v>-9.3108820163375299</v>
      </c>
      <c r="Q19" s="91">
        <f t="shared" si="26"/>
        <v>0.89495415161055092</v>
      </c>
      <c r="R19" s="470"/>
      <c r="S19" s="24"/>
      <c r="T19" s="24"/>
      <c r="U19" s="90"/>
      <c r="V19" s="94"/>
      <c r="W19" s="9"/>
      <c r="X19" s="9"/>
      <c r="Y19" s="456"/>
      <c r="Z19" s="456"/>
      <c r="AA19" s="11">
        <f t="shared" si="2"/>
        <v>-163.87152348754057</v>
      </c>
      <c r="AB19" s="91">
        <f t="shared" si="16"/>
        <v>0.89495415161055092</v>
      </c>
      <c r="AC19" s="470"/>
    </row>
    <row r="20" spans="1:29" ht="15.75" customHeight="1">
      <c r="A20" s="478" t="s">
        <v>240</v>
      </c>
      <c r="B20" s="26" t="s">
        <v>21</v>
      </c>
      <c r="C20" s="477" t="s">
        <v>22</v>
      </c>
      <c r="D20" s="477"/>
      <c r="E20" s="26">
        <v>43.14</v>
      </c>
      <c r="F20" s="95">
        <v>1459</v>
      </c>
      <c r="G20" s="90">
        <f t="shared" ref="G20:G26" si="29">E20*F20</f>
        <v>62941.26</v>
      </c>
      <c r="H20" s="76" t="s">
        <v>57</v>
      </c>
      <c r="I20" s="93">
        <v>17</v>
      </c>
      <c r="J20" s="18">
        <v>1200</v>
      </c>
      <c r="K20" s="9">
        <f t="shared" ref="K20:K27" si="30">J20/I20</f>
        <v>70.588235294117652</v>
      </c>
      <c r="L20" s="93">
        <v>17</v>
      </c>
      <c r="M20" s="10">
        <f t="shared" ref="M20:M26" si="31">F20/V20*60</f>
        <v>1080.7407407407402</v>
      </c>
      <c r="N20" s="9">
        <f t="shared" si="19"/>
        <v>63.572984749455308</v>
      </c>
      <c r="O20" s="11">
        <f t="shared" ref="O20:O26" si="32">L20-I20</f>
        <v>0</v>
      </c>
      <c r="P20" s="12">
        <f t="shared" ref="P20:P26" si="33">N20-K20</f>
        <v>-7.0152505446623437</v>
      </c>
      <c r="Q20" s="91">
        <f t="shared" si="26"/>
        <v>0.9006172839506168</v>
      </c>
      <c r="R20" s="470">
        <f>Q27</f>
        <v>0.89811104450472723</v>
      </c>
      <c r="S20" s="24">
        <v>0.29166666666666669</v>
      </c>
      <c r="T20" s="24">
        <v>0.34791666666666671</v>
      </c>
      <c r="U20" s="90"/>
      <c r="V20" s="94">
        <f>(T20-S20)*24*60</f>
        <v>81.000000000000028</v>
      </c>
      <c r="W20" s="15"/>
      <c r="X20" s="15"/>
      <c r="Y20" s="456"/>
      <c r="Z20" s="456"/>
      <c r="AA20" s="11">
        <f t="shared" si="2"/>
        <v>-119.25925925925981</v>
      </c>
      <c r="AB20" s="91">
        <f t="shared" si="16"/>
        <v>0.9006172839506168</v>
      </c>
      <c r="AC20" s="470">
        <f>AB27</f>
        <v>0.89811104450472723</v>
      </c>
    </row>
    <row r="21" spans="1:29" ht="15.75" customHeight="1">
      <c r="A21" s="479" t="s">
        <v>7</v>
      </c>
      <c r="B21" s="26" t="s">
        <v>13</v>
      </c>
      <c r="C21" s="477" t="s">
        <v>23</v>
      </c>
      <c r="D21" s="477"/>
      <c r="E21" s="26">
        <v>57.73</v>
      </c>
      <c r="F21" s="95">
        <v>2778</v>
      </c>
      <c r="G21" s="90">
        <f t="shared" si="29"/>
        <v>160373.94</v>
      </c>
      <c r="H21" s="76" t="s">
        <v>57</v>
      </c>
      <c r="I21" s="93">
        <v>16</v>
      </c>
      <c r="J21" s="18">
        <v>1800</v>
      </c>
      <c r="K21" s="9">
        <f t="shared" si="30"/>
        <v>112.5</v>
      </c>
      <c r="L21" s="93">
        <v>16</v>
      </c>
      <c r="M21" s="10">
        <f t="shared" si="31"/>
        <v>1618.2524271844657</v>
      </c>
      <c r="N21" s="9">
        <f t="shared" si="19"/>
        <v>101.1407766990291</v>
      </c>
      <c r="O21" s="11">
        <f t="shared" si="32"/>
        <v>0</v>
      </c>
      <c r="P21" s="12">
        <f t="shared" si="33"/>
        <v>-11.359223300970896</v>
      </c>
      <c r="Q21" s="91">
        <f t="shared" si="26"/>
        <v>0.89902912621359199</v>
      </c>
      <c r="R21" s="470"/>
      <c r="S21" s="24">
        <v>0.35347222222222224</v>
      </c>
      <c r="T21" s="24">
        <v>0.42500000000000004</v>
      </c>
      <c r="U21" s="90">
        <f>(S21-T20)*24*60</f>
        <v>7.9999999999999716</v>
      </c>
      <c r="V21" s="94">
        <f t="shared" ref="V21:V26" si="34">(T21-S21)*24*60</f>
        <v>103.00000000000003</v>
      </c>
      <c r="W21" s="14"/>
      <c r="X21" s="90"/>
      <c r="Y21" s="456"/>
      <c r="Z21" s="456"/>
      <c r="AA21" s="11">
        <f t="shared" si="2"/>
        <v>-181.74757281553434</v>
      </c>
      <c r="AB21" s="91">
        <f t="shared" si="16"/>
        <v>0.89902912621359199</v>
      </c>
      <c r="AC21" s="470"/>
    </row>
    <row r="22" spans="1:29" ht="15.75" customHeight="1">
      <c r="A22" s="479" t="s">
        <v>7</v>
      </c>
      <c r="B22" s="26" t="s">
        <v>13</v>
      </c>
      <c r="C22" s="477" t="s">
        <v>14</v>
      </c>
      <c r="D22" s="477"/>
      <c r="E22" s="26">
        <v>53.68</v>
      </c>
      <c r="F22" s="95">
        <v>1979</v>
      </c>
      <c r="G22" s="90">
        <f t="shared" si="29"/>
        <v>106232.72</v>
      </c>
      <c r="H22" s="76" t="s">
        <v>57</v>
      </c>
      <c r="I22" s="93">
        <v>17</v>
      </c>
      <c r="J22" s="18">
        <v>1800</v>
      </c>
      <c r="K22" s="9">
        <f t="shared" si="30"/>
        <v>105.88235294117646</v>
      </c>
      <c r="L22" s="93">
        <v>17</v>
      </c>
      <c r="M22" s="10">
        <f t="shared" si="31"/>
        <v>1604.5945945945953</v>
      </c>
      <c r="N22" s="9">
        <f t="shared" si="19"/>
        <v>94.387917329093838</v>
      </c>
      <c r="O22" s="11">
        <f t="shared" si="32"/>
        <v>0</v>
      </c>
      <c r="P22" s="12">
        <f t="shared" si="33"/>
        <v>-11.494435612082626</v>
      </c>
      <c r="Q22" s="91">
        <f t="shared" si="26"/>
        <v>0.89144144144144188</v>
      </c>
      <c r="R22" s="470"/>
      <c r="S22" s="24">
        <v>0.42847222222222225</v>
      </c>
      <c r="T22" s="24">
        <v>0.47986111111111113</v>
      </c>
      <c r="U22" s="90">
        <f t="shared" ref="U22:U26" si="35">(S22-T21)*24*60</f>
        <v>4.9999999999999822</v>
      </c>
      <c r="V22" s="94">
        <f t="shared" si="34"/>
        <v>73.999999999999972</v>
      </c>
      <c r="W22" s="14"/>
      <c r="X22" s="90"/>
      <c r="Y22" s="456"/>
      <c r="Z22" s="456"/>
      <c r="AA22" s="11">
        <f t="shared" si="2"/>
        <v>-195.40540540540474</v>
      </c>
      <c r="AB22" s="91">
        <f t="shared" si="16"/>
        <v>0.89144144144144177</v>
      </c>
      <c r="AC22" s="470"/>
    </row>
    <row r="23" spans="1:29" ht="15.75" customHeight="1">
      <c r="A23" s="479" t="s">
        <v>7</v>
      </c>
      <c r="B23" s="26" t="s">
        <v>13</v>
      </c>
      <c r="C23" s="477" t="s">
        <v>72</v>
      </c>
      <c r="D23" s="477"/>
      <c r="E23" s="26">
        <v>50.67</v>
      </c>
      <c r="F23" s="95">
        <v>1312</v>
      </c>
      <c r="G23" s="90">
        <f t="shared" si="29"/>
        <v>66479.040000000008</v>
      </c>
      <c r="H23" s="76" t="s">
        <v>57</v>
      </c>
      <c r="I23" s="93">
        <v>19</v>
      </c>
      <c r="J23" s="18">
        <v>1800</v>
      </c>
      <c r="K23" s="9">
        <f t="shared" si="30"/>
        <v>94.736842105263165</v>
      </c>
      <c r="L23" s="93">
        <v>19</v>
      </c>
      <c r="M23" s="10">
        <f t="shared" si="31"/>
        <v>1606.530612244896</v>
      </c>
      <c r="N23" s="9">
        <f t="shared" si="19"/>
        <v>84.554242749731372</v>
      </c>
      <c r="O23" s="11">
        <f t="shared" si="32"/>
        <v>0</v>
      </c>
      <c r="P23" s="12">
        <f t="shared" si="33"/>
        <v>-10.182599355531792</v>
      </c>
      <c r="Q23" s="91">
        <f t="shared" si="26"/>
        <v>0.89251700680271995</v>
      </c>
      <c r="R23" s="470"/>
      <c r="S23" s="24">
        <v>0.48402777777777778</v>
      </c>
      <c r="T23" s="24">
        <v>0.5180555555555556</v>
      </c>
      <c r="U23" s="90">
        <f t="shared" si="35"/>
        <v>5.9999999999999787</v>
      </c>
      <c r="V23" s="94">
        <f t="shared" si="34"/>
        <v>49.000000000000064</v>
      </c>
      <c r="W23" s="14"/>
      <c r="X23" s="90"/>
      <c r="Y23" s="456"/>
      <c r="Z23" s="456"/>
      <c r="AA23" s="11">
        <f t="shared" si="2"/>
        <v>-193.46938775510398</v>
      </c>
      <c r="AB23" s="91">
        <f t="shared" si="16"/>
        <v>0.89251700680272006</v>
      </c>
      <c r="AC23" s="470"/>
    </row>
    <row r="24" spans="1:29" ht="15.75" customHeight="1">
      <c r="A24" s="479" t="s">
        <v>7</v>
      </c>
      <c r="B24" s="26" t="s">
        <v>13</v>
      </c>
      <c r="C24" s="477" t="s">
        <v>59</v>
      </c>
      <c r="D24" s="477"/>
      <c r="E24" s="26">
        <v>50.92</v>
      </c>
      <c r="F24" s="95">
        <v>3045</v>
      </c>
      <c r="G24" s="90">
        <f t="shared" si="29"/>
        <v>155051.4</v>
      </c>
      <c r="H24" s="76" t="s">
        <v>57</v>
      </c>
      <c r="I24" s="93">
        <v>16</v>
      </c>
      <c r="J24" s="18">
        <v>1800</v>
      </c>
      <c r="K24" s="9">
        <f t="shared" si="30"/>
        <v>112.5</v>
      </c>
      <c r="L24" s="93">
        <v>16</v>
      </c>
      <c r="M24" s="10">
        <f t="shared" si="31"/>
        <v>1616.8141592920365</v>
      </c>
      <c r="N24" s="9">
        <f t="shared" si="19"/>
        <v>101.05088495575228</v>
      </c>
      <c r="O24" s="11">
        <f t="shared" si="32"/>
        <v>0</v>
      </c>
      <c r="P24" s="12">
        <f t="shared" si="33"/>
        <v>-11.449115044247719</v>
      </c>
      <c r="Q24" s="91">
        <f t="shared" si="26"/>
        <v>0.89823008849557584</v>
      </c>
      <c r="R24" s="470"/>
      <c r="S24" s="24">
        <v>0.70833333333333337</v>
      </c>
      <c r="T24" s="24">
        <v>0.78680555555555554</v>
      </c>
      <c r="U24" s="90">
        <f t="shared" si="35"/>
        <v>274</v>
      </c>
      <c r="V24" s="94">
        <f t="shared" si="34"/>
        <v>112.99999999999991</v>
      </c>
      <c r="W24" s="14"/>
      <c r="X24" s="90"/>
      <c r="Y24" s="456"/>
      <c r="Z24" s="456"/>
      <c r="AA24" s="11">
        <f t="shared" si="2"/>
        <v>-183.18584070796351</v>
      </c>
      <c r="AB24" s="91">
        <f t="shared" si="16"/>
        <v>0.89823008849557584</v>
      </c>
      <c r="AC24" s="470"/>
    </row>
    <row r="25" spans="1:29" ht="15.75" customHeight="1">
      <c r="A25" s="479" t="s">
        <v>7</v>
      </c>
      <c r="B25" s="26" t="s">
        <v>13</v>
      </c>
      <c r="C25" s="477" t="s">
        <v>62</v>
      </c>
      <c r="D25" s="477"/>
      <c r="E25" s="26">
        <v>53.27</v>
      </c>
      <c r="F25" s="95">
        <v>738</v>
      </c>
      <c r="G25" s="90">
        <f t="shared" si="29"/>
        <v>39313.26</v>
      </c>
      <c r="H25" s="76" t="s">
        <v>57</v>
      </c>
      <c r="I25" s="93">
        <v>15</v>
      </c>
      <c r="J25" s="18">
        <v>1800</v>
      </c>
      <c r="K25" s="9">
        <f t="shared" si="30"/>
        <v>120</v>
      </c>
      <c r="L25" s="93">
        <v>15</v>
      </c>
      <c r="M25" s="10">
        <f t="shared" si="31"/>
        <v>1639.9999999999961</v>
      </c>
      <c r="N25" s="9">
        <f t="shared" si="19"/>
        <v>109.33333333333307</v>
      </c>
      <c r="O25" s="11">
        <f t="shared" si="32"/>
        <v>0</v>
      </c>
      <c r="P25" s="12">
        <f t="shared" si="33"/>
        <v>-10.666666666666927</v>
      </c>
      <c r="Q25" s="91">
        <f t="shared" si="26"/>
        <v>0.91111111111110898</v>
      </c>
      <c r="R25" s="470"/>
      <c r="S25" s="24">
        <v>0.79236111111111107</v>
      </c>
      <c r="T25" s="24">
        <v>0.81111111111111112</v>
      </c>
      <c r="U25" s="90">
        <f t="shared" si="35"/>
        <v>7.9999999999999716</v>
      </c>
      <c r="V25" s="94">
        <f t="shared" si="34"/>
        <v>27.000000000000064</v>
      </c>
      <c r="W25" s="14"/>
      <c r="X25" s="15"/>
      <c r="Y25" s="456"/>
      <c r="Z25" s="456"/>
      <c r="AA25" s="11">
        <f t="shared" si="2"/>
        <v>-160.00000000000387</v>
      </c>
      <c r="AB25" s="91">
        <f t="shared" si="16"/>
        <v>0.91111111111110898</v>
      </c>
      <c r="AC25" s="470"/>
    </row>
    <row r="26" spans="1:29" ht="15.75" customHeight="1">
      <c r="A26" s="479" t="s">
        <v>7</v>
      </c>
      <c r="B26" s="26" t="s">
        <v>13</v>
      </c>
      <c r="C26" s="477" t="s">
        <v>61</v>
      </c>
      <c r="D26" s="477"/>
      <c r="E26" s="26">
        <v>49.91</v>
      </c>
      <c r="F26" s="95">
        <v>671</v>
      </c>
      <c r="G26" s="90">
        <f t="shared" si="29"/>
        <v>33489.61</v>
      </c>
      <c r="H26" s="76" t="s">
        <v>57</v>
      </c>
      <c r="I26" s="93">
        <v>16</v>
      </c>
      <c r="J26" s="18">
        <v>1800</v>
      </c>
      <c r="K26" s="9">
        <f t="shared" si="30"/>
        <v>112.5</v>
      </c>
      <c r="L26" s="93">
        <v>16</v>
      </c>
      <c r="M26" s="10">
        <f t="shared" si="31"/>
        <v>1610.3999999999955</v>
      </c>
      <c r="N26" s="9">
        <f t="shared" si="19"/>
        <v>100.64999999999972</v>
      </c>
      <c r="O26" s="11">
        <f t="shared" si="32"/>
        <v>0</v>
      </c>
      <c r="P26" s="12">
        <f t="shared" si="33"/>
        <v>-11.850000000000279</v>
      </c>
      <c r="Q26" s="91">
        <f t="shared" si="26"/>
        <v>0.89466666666666417</v>
      </c>
      <c r="R26" s="470"/>
      <c r="S26" s="24">
        <v>0.81527777777777777</v>
      </c>
      <c r="T26" s="24">
        <v>0.83263888888888893</v>
      </c>
      <c r="U26" s="90">
        <f t="shared" si="35"/>
        <v>5.9999999999999787</v>
      </c>
      <c r="V26" s="94">
        <f t="shared" si="34"/>
        <v>25.000000000000071</v>
      </c>
      <c r="W26" s="14"/>
      <c r="X26" s="15"/>
      <c r="Y26" s="473"/>
      <c r="Z26" s="474"/>
      <c r="AA26" s="11">
        <f t="shared" si="2"/>
        <v>-189.60000000000446</v>
      </c>
      <c r="AB26" s="91">
        <f t="shared" si="16"/>
        <v>0.89466666666666417</v>
      </c>
      <c r="AC26" s="470"/>
    </row>
    <row r="27" spans="1:29" ht="15.75" customHeight="1">
      <c r="A27" s="479" t="s">
        <v>7</v>
      </c>
      <c r="B27" s="26" t="s">
        <v>236</v>
      </c>
      <c r="C27" s="466"/>
      <c r="D27" s="466"/>
      <c r="E27" s="89"/>
      <c r="F27" s="95"/>
      <c r="G27" s="90"/>
      <c r="H27" s="95"/>
      <c r="I27" s="17">
        <v>16.571428571428573</v>
      </c>
      <c r="J27" s="18">
        <v>1714.2857142857142</v>
      </c>
      <c r="K27" s="9">
        <f t="shared" si="30"/>
        <v>103.44827586206895</v>
      </c>
      <c r="L27" s="17">
        <v>16.571428571428573</v>
      </c>
      <c r="M27" s="10">
        <f>AVERAGE(M20:M26)</f>
        <v>1539.6189334366752</v>
      </c>
      <c r="N27" s="9">
        <f>M27/L27</f>
        <v>92.908039086695908</v>
      </c>
      <c r="O27" s="11">
        <f>L27-I27</f>
        <v>0</v>
      </c>
      <c r="P27" s="12">
        <f>N27-K27</f>
        <v>-10.540236775373046</v>
      </c>
      <c r="Q27" s="91">
        <f>N27/K27</f>
        <v>0.89811104450472723</v>
      </c>
      <c r="R27" s="470"/>
      <c r="S27" s="24"/>
      <c r="T27" s="24"/>
      <c r="U27" s="9"/>
      <c r="V27" s="94"/>
      <c r="W27" s="9"/>
      <c r="X27" s="9"/>
      <c r="Y27" s="456"/>
      <c r="Z27" s="456"/>
      <c r="AA27" s="11">
        <f t="shared" si="2"/>
        <v>-174.66678084903901</v>
      </c>
      <c r="AB27" s="91">
        <f t="shared" si="16"/>
        <v>0.89811104450472723</v>
      </c>
      <c r="AC27" s="470"/>
    </row>
    <row r="28" spans="1:29" ht="15.75" customHeight="1">
      <c r="A28" s="484" t="s">
        <v>241</v>
      </c>
      <c r="B28" s="26" t="s">
        <v>24</v>
      </c>
      <c r="C28" s="477" t="s">
        <v>25</v>
      </c>
      <c r="D28" s="477"/>
      <c r="E28" s="26">
        <v>20.52</v>
      </c>
      <c r="F28" s="95">
        <v>3400</v>
      </c>
      <c r="G28" s="90">
        <f t="shared" ref="G28:G37" si="36">E28*F28</f>
        <v>69768</v>
      </c>
      <c r="H28" s="76">
        <v>2</v>
      </c>
      <c r="I28" s="93">
        <v>20</v>
      </c>
      <c r="J28" s="18">
        <v>2400</v>
      </c>
      <c r="K28" s="9">
        <f>J28/I28</f>
        <v>120</v>
      </c>
      <c r="L28" s="93">
        <v>20</v>
      </c>
      <c r="M28" s="10">
        <f t="shared" ref="M28:M37" si="37">F28/V28*60</f>
        <v>2147.3684210526321</v>
      </c>
      <c r="N28" s="9">
        <f t="shared" ref="N28:N37" si="38">M28/L28</f>
        <v>107.3684210526316</v>
      </c>
      <c r="O28" s="11">
        <f t="shared" ref="O28:O37" si="39">L28-I28</f>
        <v>0</v>
      </c>
      <c r="P28" s="12">
        <f t="shared" ref="P28:P37" si="40">N28-K28</f>
        <v>-12.631578947368396</v>
      </c>
      <c r="Q28" s="91">
        <f t="shared" ref="Q28:Q37" si="41">N28/K28</f>
        <v>0.89473684210526339</v>
      </c>
      <c r="R28" s="470">
        <f>Q38</f>
        <v>0.89515641316959627</v>
      </c>
      <c r="S28" s="24">
        <v>0.125</v>
      </c>
      <c r="T28" s="24">
        <v>0.19097222222222221</v>
      </c>
      <c r="U28" s="90"/>
      <c r="V28" s="94">
        <f t="shared" ref="V28:V37" si="42">(T28-S28)*24*60</f>
        <v>94.999999999999986</v>
      </c>
      <c r="W28" s="14"/>
      <c r="X28" s="14"/>
      <c r="Y28" s="456"/>
      <c r="Z28" s="456"/>
      <c r="AA28" s="11">
        <f t="shared" si="2"/>
        <v>-252.63157894736787</v>
      </c>
      <c r="AB28" s="91">
        <f>M28/J28</f>
        <v>0.89473684210526339</v>
      </c>
      <c r="AC28" s="470">
        <f>AB38</f>
        <v>0.89515641316959627</v>
      </c>
    </row>
    <row r="29" spans="1:29" ht="15.75" customHeight="1">
      <c r="A29" s="484" t="s">
        <v>8</v>
      </c>
      <c r="B29" s="26" t="s">
        <v>24</v>
      </c>
      <c r="C29" s="477" t="s">
        <v>26</v>
      </c>
      <c r="D29" s="477"/>
      <c r="E29" s="26">
        <v>26.2</v>
      </c>
      <c r="F29" s="95">
        <v>3300</v>
      </c>
      <c r="G29" s="90">
        <f t="shared" si="36"/>
        <v>86460</v>
      </c>
      <c r="H29" s="76">
        <v>2</v>
      </c>
      <c r="I29" s="93">
        <v>20</v>
      </c>
      <c r="J29" s="18">
        <v>2400</v>
      </c>
      <c r="K29" s="9">
        <f t="shared" ref="K29:K38" si="43">J29/I29</f>
        <v>120</v>
      </c>
      <c r="L29" s="93">
        <v>20</v>
      </c>
      <c r="M29" s="10">
        <f t="shared" si="37"/>
        <v>2152.1739130434785</v>
      </c>
      <c r="N29" s="9">
        <f t="shared" si="38"/>
        <v>107.60869565217392</v>
      </c>
      <c r="O29" s="11">
        <f t="shared" si="39"/>
        <v>0</v>
      </c>
      <c r="P29" s="12">
        <f t="shared" si="40"/>
        <v>-12.391304347826079</v>
      </c>
      <c r="Q29" s="91">
        <f t="shared" si="41"/>
        <v>0.89673913043478271</v>
      </c>
      <c r="R29" s="470"/>
      <c r="S29" s="24">
        <v>0.21041666666666664</v>
      </c>
      <c r="T29" s="24">
        <v>0.27430555555555552</v>
      </c>
      <c r="U29" s="90">
        <f>(S29-T28)*24*60</f>
        <v>27.999999999999979</v>
      </c>
      <c r="V29" s="94">
        <f t="shared" si="42"/>
        <v>92</v>
      </c>
      <c r="W29" s="14"/>
      <c r="X29" s="14"/>
      <c r="Y29" s="456"/>
      <c r="Z29" s="456"/>
      <c r="AA29" s="11">
        <f t="shared" si="2"/>
        <v>-247.82608695652152</v>
      </c>
      <c r="AB29" s="91">
        <f t="shared" ref="AB29:AB37" si="44">M29/J29</f>
        <v>0.89673913043478271</v>
      </c>
      <c r="AC29" s="470"/>
    </row>
    <row r="30" spans="1:29" ht="15.75" customHeight="1">
      <c r="A30" s="484" t="s">
        <v>8</v>
      </c>
      <c r="B30" s="26" t="s">
        <v>24</v>
      </c>
      <c r="C30" s="477" t="s">
        <v>55</v>
      </c>
      <c r="D30" s="477"/>
      <c r="E30" s="26">
        <v>26.2</v>
      </c>
      <c r="F30" s="95">
        <v>2000</v>
      </c>
      <c r="G30" s="90">
        <f t="shared" si="36"/>
        <v>52400</v>
      </c>
      <c r="H30" s="76">
        <v>2</v>
      </c>
      <c r="I30" s="93">
        <v>21</v>
      </c>
      <c r="J30" s="18">
        <v>2400</v>
      </c>
      <c r="K30" s="9">
        <f t="shared" si="43"/>
        <v>114.28571428571429</v>
      </c>
      <c r="L30" s="93">
        <v>21</v>
      </c>
      <c r="M30" s="10">
        <f t="shared" si="37"/>
        <v>2142.8571428571413</v>
      </c>
      <c r="N30" s="9">
        <f t="shared" si="38"/>
        <v>102.04081632653053</v>
      </c>
      <c r="O30" s="11">
        <f t="shared" si="39"/>
        <v>0</v>
      </c>
      <c r="P30" s="12">
        <f t="shared" si="40"/>
        <v>-12.24489795918376</v>
      </c>
      <c r="Q30" s="91">
        <f t="shared" si="41"/>
        <v>0.89285714285714213</v>
      </c>
      <c r="R30" s="470"/>
      <c r="S30" s="24">
        <v>0.27847222222222218</v>
      </c>
      <c r="T30" s="24">
        <v>0.31736111111111109</v>
      </c>
      <c r="U30" s="90">
        <f t="shared" ref="U30:U37" si="45">(S30-T29)*24*60</f>
        <v>5.9999999999999787</v>
      </c>
      <c r="V30" s="94">
        <f t="shared" si="42"/>
        <v>56.000000000000043</v>
      </c>
      <c r="W30" s="14"/>
      <c r="X30" s="14"/>
      <c r="Y30" s="456"/>
      <c r="Z30" s="456"/>
      <c r="AA30" s="11">
        <f t="shared" si="2"/>
        <v>-257.1428571428587</v>
      </c>
      <c r="AB30" s="91">
        <f t="shared" si="44"/>
        <v>0.89285714285714224</v>
      </c>
      <c r="AC30" s="470"/>
    </row>
    <row r="31" spans="1:29" ht="15.75" customHeight="1">
      <c r="A31" s="484" t="s">
        <v>8</v>
      </c>
      <c r="B31" s="26" t="s">
        <v>24</v>
      </c>
      <c r="C31" s="477" t="s">
        <v>46</v>
      </c>
      <c r="D31" s="477"/>
      <c r="E31" s="26">
        <v>25</v>
      </c>
      <c r="F31" s="95">
        <v>3000</v>
      </c>
      <c r="G31" s="90">
        <f t="shared" si="36"/>
        <v>75000</v>
      </c>
      <c r="H31" s="76">
        <v>2</v>
      </c>
      <c r="I31" s="93">
        <v>16</v>
      </c>
      <c r="J31" s="18">
        <v>2400</v>
      </c>
      <c r="K31" s="9">
        <f t="shared" si="43"/>
        <v>150</v>
      </c>
      <c r="L31" s="93">
        <v>16</v>
      </c>
      <c r="M31" s="10">
        <f t="shared" si="37"/>
        <v>2142.8571428571422</v>
      </c>
      <c r="N31" s="9">
        <f t="shared" si="38"/>
        <v>133.92857142857139</v>
      </c>
      <c r="O31" s="11">
        <f t="shared" si="39"/>
        <v>0</v>
      </c>
      <c r="P31" s="12">
        <f t="shared" si="40"/>
        <v>-16.071428571428612</v>
      </c>
      <c r="Q31" s="91">
        <f t="shared" si="41"/>
        <v>0.89285714285714257</v>
      </c>
      <c r="R31" s="470"/>
      <c r="S31" s="24">
        <v>0.32222222222222219</v>
      </c>
      <c r="T31" s="24">
        <v>0.38055555555555554</v>
      </c>
      <c r="U31" s="90">
        <f t="shared" si="45"/>
        <v>6.9999999999999751</v>
      </c>
      <c r="V31" s="94">
        <f t="shared" si="42"/>
        <v>84.000000000000028</v>
      </c>
      <c r="W31" s="14"/>
      <c r="X31" s="14"/>
      <c r="Y31" s="456"/>
      <c r="Z31" s="456"/>
      <c r="AA31" s="11">
        <f t="shared" si="2"/>
        <v>-257.14285714285779</v>
      </c>
      <c r="AB31" s="91">
        <f t="shared" si="44"/>
        <v>0.89285714285714257</v>
      </c>
      <c r="AC31" s="470"/>
    </row>
    <row r="32" spans="1:29" ht="15.75" customHeight="1">
      <c r="A32" s="484" t="s">
        <v>8</v>
      </c>
      <c r="B32" s="26" t="s">
        <v>24</v>
      </c>
      <c r="C32" s="477" t="s">
        <v>27</v>
      </c>
      <c r="D32" s="477"/>
      <c r="E32" s="26">
        <v>20.52</v>
      </c>
      <c r="F32" s="95">
        <v>3561</v>
      </c>
      <c r="G32" s="90">
        <f t="shared" si="36"/>
        <v>73071.72</v>
      </c>
      <c r="H32" s="76" t="s">
        <v>57</v>
      </c>
      <c r="I32" s="93">
        <v>18</v>
      </c>
      <c r="J32" s="18">
        <v>2400</v>
      </c>
      <c r="K32" s="9">
        <f t="shared" si="43"/>
        <v>133.33333333333334</v>
      </c>
      <c r="L32" s="93">
        <v>18</v>
      </c>
      <c r="M32" s="10">
        <f t="shared" si="37"/>
        <v>2136.6000000000008</v>
      </c>
      <c r="N32" s="9">
        <f t="shared" si="38"/>
        <v>118.70000000000005</v>
      </c>
      <c r="O32" s="11">
        <f t="shared" si="39"/>
        <v>0</v>
      </c>
      <c r="P32" s="12">
        <f t="shared" si="40"/>
        <v>-14.633333333333297</v>
      </c>
      <c r="Q32" s="91">
        <f t="shared" si="41"/>
        <v>0.89025000000000032</v>
      </c>
      <c r="R32" s="470"/>
      <c r="S32" s="24">
        <v>0.38472222222222219</v>
      </c>
      <c r="T32" s="24">
        <v>0.45416666666666661</v>
      </c>
      <c r="U32" s="90">
        <f t="shared" si="45"/>
        <v>5.9999999999999787</v>
      </c>
      <c r="V32" s="94">
        <f t="shared" si="42"/>
        <v>99.999999999999972</v>
      </c>
      <c r="W32" s="14"/>
      <c r="X32" s="14"/>
      <c r="Y32" s="456"/>
      <c r="Z32" s="456"/>
      <c r="AA32" s="11">
        <f t="shared" si="2"/>
        <v>-263.39999999999918</v>
      </c>
      <c r="AB32" s="91">
        <f t="shared" si="44"/>
        <v>0.89025000000000032</v>
      </c>
      <c r="AC32" s="470"/>
    </row>
    <row r="33" spans="1:29" ht="15.75" customHeight="1">
      <c r="A33" s="484" t="s">
        <v>8</v>
      </c>
      <c r="B33" s="26" t="s">
        <v>24</v>
      </c>
      <c r="C33" s="477" t="s">
        <v>31</v>
      </c>
      <c r="D33" s="477"/>
      <c r="E33" s="26">
        <v>24.45</v>
      </c>
      <c r="F33" s="95">
        <v>2727</v>
      </c>
      <c r="G33" s="90">
        <f t="shared" si="36"/>
        <v>66675.149999999994</v>
      </c>
      <c r="H33" s="76" t="s">
        <v>57</v>
      </c>
      <c r="I33" s="93">
        <v>20</v>
      </c>
      <c r="J33" s="18">
        <v>2400</v>
      </c>
      <c r="K33" s="9">
        <f t="shared" si="43"/>
        <v>120</v>
      </c>
      <c r="L33" s="93">
        <v>20</v>
      </c>
      <c r="M33" s="10">
        <f t="shared" si="37"/>
        <v>2152.8947368421036</v>
      </c>
      <c r="N33" s="9">
        <f t="shared" si="38"/>
        <v>107.64473684210517</v>
      </c>
      <c r="O33" s="11">
        <f t="shared" si="39"/>
        <v>0</v>
      </c>
      <c r="P33" s="12">
        <f t="shared" si="40"/>
        <v>-12.355263157894825</v>
      </c>
      <c r="Q33" s="91">
        <f t="shared" si="41"/>
        <v>0.89703947368420978</v>
      </c>
      <c r="R33" s="470"/>
      <c r="S33" s="24">
        <v>0.45763888888888882</v>
      </c>
      <c r="T33" s="24">
        <v>0.51041666666666663</v>
      </c>
      <c r="U33" s="90">
        <f t="shared" si="45"/>
        <v>4.9999999999999822</v>
      </c>
      <c r="V33" s="94">
        <f t="shared" si="42"/>
        <v>76.000000000000057</v>
      </c>
      <c r="W33" s="14"/>
      <c r="X33" s="14"/>
      <c r="Y33" s="456"/>
      <c r="Z33" s="456"/>
      <c r="AA33" s="11">
        <f t="shared" si="2"/>
        <v>-247.10526315789639</v>
      </c>
      <c r="AB33" s="91">
        <f t="shared" si="44"/>
        <v>0.89703947368420989</v>
      </c>
      <c r="AC33" s="470"/>
    </row>
    <row r="34" spans="1:29" ht="15.75" customHeight="1">
      <c r="A34" s="484" t="s">
        <v>8</v>
      </c>
      <c r="B34" s="26" t="s">
        <v>24</v>
      </c>
      <c r="C34" s="477" t="s">
        <v>55</v>
      </c>
      <c r="D34" s="477"/>
      <c r="E34" s="26">
        <v>26.2</v>
      </c>
      <c r="F34" s="95">
        <v>2544</v>
      </c>
      <c r="G34" s="90">
        <f t="shared" si="36"/>
        <v>66652.800000000003</v>
      </c>
      <c r="H34" s="76" t="s">
        <v>57</v>
      </c>
      <c r="I34" s="93">
        <v>21</v>
      </c>
      <c r="J34" s="18">
        <v>2400</v>
      </c>
      <c r="K34" s="9">
        <f t="shared" si="43"/>
        <v>114.28571428571429</v>
      </c>
      <c r="L34" s="93">
        <v>21</v>
      </c>
      <c r="M34" s="10">
        <f t="shared" si="37"/>
        <v>2149.8591549295757</v>
      </c>
      <c r="N34" s="9">
        <f t="shared" si="38"/>
        <v>102.37424547283693</v>
      </c>
      <c r="O34" s="11">
        <f t="shared" si="39"/>
        <v>0</v>
      </c>
      <c r="P34" s="12">
        <f t="shared" si="40"/>
        <v>-11.911468812877359</v>
      </c>
      <c r="Q34" s="91">
        <f t="shared" si="41"/>
        <v>0.89577464788732308</v>
      </c>
      <c r="R34" s="470"/>
      <c r="S34" s="24">
        <v>0.54999999999999993</v>
      </c>
      <c r="T34" s="24">
        <v>0.59930555555555554</v>
      </c>
      <c r="U34" s="90">
        <f t="shared" si="45"/>
        <v>56.999999999999957</v>
      </c>
      <c r="V34" s="94">
        <f t="shared" si="42"/>
        <v>71.000000000000071</v>
      </c>
      <c r="W34" s="14"/>
      <c r="X34" s="14"/>
      <c r="Y34" s="456"/>
      <c r="Z34" s="456"/>
      <c r="AA34" s="11">
        <f t="shared" si="2"/>
        <v>-250.14084507042435</v>
      </c>
      <c r="AB34" s="91">
        <f t="shared" si="44"/>
        <v>0.89577464788732319</v>
      </c>
      <c r="AC34" s="470"/>
    </row>
    <row r="35" spans="1:29" ht="15.75" customHeight="1">
      <c r="A35" s="484" t="s">
        <v>8</v>
      </c>
      <c r="B35" s="26" t="s">
        <v>24</v>
      </c>
      <c r="C35" s="477" t="s">
        <v>46</v>
      </c>
      <c r="D35" s="477"/>
      <c r="E35" s="26">
        <v>25</v>
      </c>
      <c r="F35" s="95">
        <v>1937</v>
      </c>
      <c r="G35" s="90">
        <f t="shared" si="36"/>
        <v>48425</v>
      </c>
      <c r="H35" s="76" t="s">
        <v>57</v>
      </c>
      <c r="I35" s="93">
        <v>16</v>
      </c>
      <c r="J35" s="18">
        <v>2400</v>
      </c>
      <c r="K35" s="9">
        <f t="shared" si="43"/>
        <v>150</v>
      </c>
      <c r="L35" s="93">
        <v>16</v>
      </c>
      <c r="M35" s="10">
        <f t="shared" si="37"/>
        <v>2152.2222222222231</v>
      </c>
      <c r="N35" s="9">
        <f t="shared" si="38"/>
        <v>134.51388888888894</v>
      </c>
      <c r="O35" s="11">
        <f t="shared" si="39"/>
        <v>0</v>
      </c>
      <c r="P35" s="12">
        <f t="shared" si="40"/>
        <v>-15.486111111111057</v>
      </c>
      <c r="Q35" s="91">
        <f t="shared" si="41"/>
        <v>0.89675925925925959</v>
      </c>
      <c r="R35" s="470"/>
      <c r="S35" s="24">
        <v>0.60277777777777775</v>
      </c>
      <c r="T35" s="24">
        <v>0.64027777777777772</v>
      </c>
      <c r="U35" s="90">
        <f t="shared" si="45"/>
        <v>4.9999999999999822</v>
      </c>
      <c r="V35" s="94">
        <f t="shared" si="42"/>
        <v>53.999999999999972</v>
      </c>
      <c r="W35" s="14"/>
      <c r="X35" s="14"/>
      <c r="Y35" s="456"/>
      <c r="Z35" s="456"/>
      <c r="AA35" s="11">
        <f t="shared" si="2"/>
        <v>-247.77777777777692</v>
      </c>
      <c r="AB35" s="91">
        <f t="shared" si="44"/>
        <v>0.89675925925925959</v>
      </c>
      <c r="AC35" s="470"/>
    </row>
    <row r="36" spans="1:29" ht="15.75" customHeight="1">
      <c r="A36" s="484" t="s">
        <v>8</v>
      </c>
      <c r="B36" s="26" t="s">
        <v>24</v>
      </c>
      <c r="C36" s="482" t="s">
        <v>26</v>
      </c>
      <c r="D36" s="483"/>
      <c r="E36" s="26">
        <v>26.2</v>
      </c>
      <c r="F36" s="95">
        <v>1998</v>
      </c>
      <c r="G36" s="90">
        <f t="shared" si="36"/>
        <v>52347.6</v>
      </c>
      <c r="H36" s="76" t="s">
        <v>57</v>
      </c>
      <c r="I36" s="93">
        <v>20</v>
      </c>
      <c r="J36" s="18">
        <v>2400</v>
      </c>
      <c r="K36" s="9">
        <f t="shared" si="43"/>
        <v>120</v>
      </c>
      <c r="L36" s="93">
        <v>20</v>
      </c>
      <c r="M36" s="10">
        <f t="shared" si="37"/>
        <v>2140.7142857142876</v>
      </c>
      <c r="N36" s="9">
        <f t="shared" si="38"/>
        <v>107.03571428571438</v>
      </c>
      <c r="O36" s="11">
        <f t="shared" si="39"/>
        <v>0</v>
      </c>
      <c r="P36" s="12">
        <f t="shared" si="40"/>
        <v>-12.964285714285623</v>
      </c>
      <c r="Q36" s="91">
        <f t="shared" si="41"/>
        <v>0.89196428571428643</v>
      </c>
      <c r="R36" s="470"/>
      <c r="S36" s="24">
        <v>0.64583333333333326</v>
      </c>
      <c r="T36" s="24">
        <v>0.68472222222222212</v>
      </c>
      <c r="U36" s="90">
        <f t="shared" si="45"/>
        <v>7.9999999999999716</v>
      </c>
      <c r="V36" s="94">
        <f t="shared" si="42"/>
        <v>55.999999999999957</v>
      </c>
      <c r="W36" s="14"/>
      <c r="X36" s="14"/>
      <c r="Y36" s="473"/>
      <c r="Z36" s="474"/>
      <c r="AA36" s="11">
        <f t="shared" si="2"/>
        <v>-259.2857142857124</v>
      </c>
      <c r="AB36" s="91">
        <f t="shared" si="44"/>
        <v>0.89196428571428654</v>
      </c>
      <c r="AC36" s="470"/>
    </row>
    <row r="37" spans="1:29" ht="15.75" customHeight="1">
      <c r="A37" s="484" t="s">
        <v>8</v>
      </c>
      <c r="B37" s="26" t="s">
        <v>24</v>
      </c>
      <c r="C37" s="482" t="s">
        <v>25</v>
      </c>
      <c r="D37" s="483"/>
      <c r="E37" s="26">
        <v>20.52</v>
      </c>
      <c r="F37" s="95">
        <v>2094</v>
      </c>
      <c r="G37" s="90">
        <f t="shared" si="36"/>
        <v>42968.88</v>
      </c>
      <c r="H37" s="76" t="s">
        <v>57</v>
      </c>
      <c r="I37" s="93">
        <v>20</v>
      </c>
      <c r="J37" s="18">
        <v>2400</v>
      </c>
      <c r="K37" s="9">
        <f t="shared" si="43"/>
        <v>120</v>
      </c>
      <c r="L37" s="93">
        <v>20</v>
      </c>
      <c r="M37" s="10">
        <f t="shared" si="37"/>
        <v>2166.2068965517255</v>
      </c>
      <c r="N37" s="9">
        <f t="shared" si="38"/>
        <v>108.31034482758628</v>
      </c>
      <c r="O37" s="11">
        <f t="shared" si="39"/>
        <v>0</v>
      </c>
      <c r="P37" s="12">
        <f t="shared" si="40"/>
        <v>-11.689655172413723</v>
      </c>
      <c r="Q37" s="91">
        <f t="shared" si="41"/>
        <v>0.90258620689655233</v>
      </c>
      <c r="R37" s="470"/>
      <c r="S37" s="24">
        <v>0.69027777777777766</v>
      </c>
      <c r="T37" s="24">
        <v>0.7305555555555554</v>
      </c>
      <c r="U37" s="90">
        <f t="shared" si="45"/>
        <v>7.9999999999999716</v>
      </c>
      <c r="V37" s="94">
        <f t="shared" si="42"/>
        <v>57.999999999999957</v>
      </c>
      <c r="W37" s="14"/>
      <c r="X37" s="14"/>
      <c r="Y37" s="473"/>
      <c r="Z37" s="474"/>
      <c r="AA37" s="11">
        <f t="shared" si="2"/>
        <v>-233.79310344827445</v>
      </c>
      <c r="AB37" s="91">
        <f t="shared" si="44"/>
        <v>0.90258620689655233</v>
      </c>
      <c r="AC37" s="470"/>
    </row>
    <row r="38" spans="1:29" ht="15.75" customHeight="1">
      <c r="A38" s="484" t="s">
        <v>8</v>
      </c>
      <c r="B38" s="26" t="s">
        <v>236</v>
      </c>
      <c r="C38" s="466"/>
      <c r="D38" s="466"/>
      <c r="E38" s="89"/>
      <c r="F38" s="95"/>
      <c r="G38" s="90"/>
      <c r="H38" s="95"/>
      <c r="I38" s="17">
        <v>19.2</v>
      </c>
      <c r="J38" s="18">
        <v>2400</v>
      </c>
      <c r="K38" s="9">
        <f t="shared" si="43"/>
        <v>125</v>
      </c>
      <c r="L38" s="17">
        <v>19.2</v>
      </c>
      <c r="M38" s="10">
        <f>AVERAGE(M28:M37)</f>
        <v>2148.3753916070309</v>
      </c>
      <c r="N38" s="9">
        <f>M38/L38</f>
        <v>111.89455164619953</v>
      </c>
      <c r="O38" s="11">
        <f>L38-I38</f>
        <v>0</v>
      </c>
      <c r="P38" s="12">
        <f>N38-K38</f>
        <v>-13.105448353800469</v>
      </c>
      <c r="Q38" s="91">
        <f>N38/K38</f>
        <v>0.89515641316959627</v>
      </c>
      <c r="R38" s="470"/>
      <c r="S38" s="24"/>
      <c r="T38" s="24"/>
      <c r="U38" s="90"/>
      <c r="V38" s="94"/>
      <c r="W38" s="90"/>
      <c r="X38" s="90"/>
      <c r="Y38" s="456"/>
      <c r="Z38" s="456"/>
      <c r="AA38" s="11">
        <f t="shared" si="2"/>
        <v>-251.62460839296909</v>
      </c>
      <c r="AB38" s="91">
        <f>M38/J38</f>
        <v>0.89515641316959627</v>
      </c>
      <c r="AC38" s="470"/>
    </row>
    <row r="39" spans="1:29" ht="15.75" customHeight="1">
      <c r="A39" s="485" t="s">
        <v>242</v>
      </c>
      <c r="B39" s="26" t="s">
        <v>24</v>
      </c>
      <c r="C39" s="487" t="s">
        <v>32</v>
      </c>
      <c r="D39" s="487"/>
      <c r="E39" s="26">
        <v>26.2</v>
      </c>
      <c r="F39" s="95">
        <v>3048</v>
      </c>
      <c r="G39" s="90">
        <f t="shared" ref="G39:G46" si="46">E39*F39</f>
        <v>79857.599999999991</v>
      </c>
      <c r="H39" s="76" t="s">
        <v>57</v>
      </c>
      <c r="I39" s="93">
        <v>22</v>
      </c>
      <c r="J39" s="18">
        <v>2400</v>
      </c>
      <c r="K39" s="9">
        <f>J39/I39</f>
        <v>109.09090909090909</v>
      </c>
      <c r="L39" s="93">
        <v>22</v>
      </c>
      <c r="M39" s="10">
        <f>F39/V39*60</f>
        <v>2151.5294117647054</v>
      </c>
      <c r="N39" s="9">
        <f>M39/L39</f>
        <v>97.796791443850239</v>
      </c>
      <c r="O39" s="11">
        <f t="shared" ref="O39:O46" si="47">L39-I39</f>
        <v>0</v>
      </c>
      <c r="P39" s="12">
        <f t="shared" ref="P39:P60" si="48">N39-K39</f>
        <v>-11.294117647058854</v>
      </c>
      <c r="Q39" s="91">
        <f t="shared" ref="Q39:Q51" si="49">N39/K39</f>
        <v>0.8964705882352938</v>
      </c>
      <c r="R39" s="470">
        <f>Q47</f>
        <v>0.89603918618152378</v>
      </c>
      <c r="S39" s="24">
        <v>0.125</v>
      </c>
      <c r="T39" s="24">
        <v>0.18402777777777779</v>
      </c>
      <c r="U39" s="90"/>
      <c r="V39" s="94">
        <f t="shared" ref="V39:V46" si="50">(T39-S39)*24*60</f>
        <v>85.000000000000014</v>
      </c>
      <c r="W39" s="15"/>
      <c r="X39" s="15"/>
      <c r="Y39" s="456"/>
      <c r="Z39" s="456"/>
      <c r="AA39" s="11">
        <f t="shared" si="2"/>
        <v>-248.4705882352946</v>
      </c>
      <c r="AB39" s="91">
        <f>M39/J39</f>
        <v>0.89647058823529391</v>
      </c>
      <c r="AC39" s="470">
        <f>AB47</f>
        <v>0.89603918618152378</v>
      </c>
    </row>
    <row r="40" spans="1:29" ht="15.75" customHeight="1">
      <c r="A40" s="485" t="s">
        <v>242</v>
      </c>
      <c r="B40" s="26" t="s">
        <v>24</v>
      </c>
      <c r="C40" s="487" t="s">
        <v>30</v>
      </c>
      <c r="D40" s="487"/>
      <c r="E40" s="26">
        <v>26.39</v>
      </c>
      <c r="F40" s="95">
        <v>3600</v>
      </c>
      <c r="G40" s="90">
        <f t="shared" si="46"/>
        <v>95004</v>
      </c>
      <c r="H40" s="76">
        <v>2</v>
      </c>
      <c r="I40" s="93">
        <v>21</v>
      </c>
      <c r="J40" s="18">
        <v>2400</v>
      </c>
      <c r="K40" s="9">
        <f t="shared" ref="K40:K59" si="51">J40/I40</f>
        <v>114.28571428571429</v>
      </c>
      <c r="L40" s="93">
        <v>21</v>
      </c>
      <c r="M40" s="10">
        <f t="shared" ref="M40:M46" si="52">F40/V40*60</f>
        <v>2160</v>
      </c>
      <c r="N40" s="9">
        <f t="shared" ref="N40:N46" si="53">M40/L40</f>
        <v>102.85714285714286</v>
      </c>
      <c r="O40" s="11">
        <f t="shared" si="47"/>
        <v>0</v>
      </c>
      <c r="P40" s="12">
        <f t="shared" si="48"/>
        <v>-11.428571428571431</v>
      </c>
      <c r="Q40" s="91">
        <f t="shared" si="49"/>
        <v>0.9</v>
      </c>
      <c r="R40" s="470"/>
      <c r="S40" s="24">
        <v>0.20347222222222225</v>
      </c>
      <c r="T40" s="24">
        <v>0.2729166666666667</v>
      </c>
      <c r="U40" s="90">
        <f>(S40-T39)*24*60</f>
        <v>28.000000000000021</v>
      </c>
      <c r="V40" s="94">
        <f t="shared" si="50"/>
        <v>100</v>
      </c>
      <c r="W40" s="90"/>
      <c r="X40" s="90"/>
      <c r="Y40" s="456"/>
      <c r="Z40" s="456"/>
      <c r="AA40" s="11">
        <f t="shared" si="2"/>
        <v>-240</v>
      </c>
      <c r="AB40" s="91">
        <f t="shared" ref="AB40:AB69" si="54">M40/J40</f>
        <v>0.9</v>
      </c>
      <c r="AC40" s="470"/>
    </row>
    <row r="41" spans="1:29">
      <c r="A41" s="486" t="s">
        <v>243</v>
      </c>
      <c r="B41" s="26" t="s">
        <v>24</v>
      </c>
      <c r="C41" s="487" t="s">
        <v>29</v>
      </c>
      <c r="D41" s="487"/>
      <c r="E41" s="26">
        <v>26.2</v>
      </c>
      <c r="F41" s="95">
        <v>4200</v>
      </c>
      <c r="G41" s="90">
        <f t="shared" si="46"/>
        <v>110040</v>
      </c>
      <c r="H41" s="76">
        <v>2</v>
      </c>
      <c r="I41" s="93">
        <v>19</v>
      </c>
      <c r="J41" s="18">
        <v>2400</v>
      </c>
      <c r="K41" s="9">
        <f t="shared" si="51"/>
        <v>126.31578947368421</v>
      </c>
      <c r="L41" s="93">
        <v>19</v>
      </c>
      <c r="M41" s="10">
        <f t="shared" si="52"/>
        <v>2153.8461538461543</v>
      </c>
      <c r="N41" s="9">
        <f t="shared" si="53"/>
        <v>113.3603238866397</v>
      </c>
      <c r="O41" s="11">
        <f t="shared" si="47"/>
        <v>0</v>
      </c>
      <c r="P41" s="12">
        <f t="shared" si="48"/>
        <v>-12.9554655870445</v>
      </c>
      <c r="Q41" s="91">
        <f t="shared" si="49"/>
        <v>0.89743589743589769</v>
      </c>
      <c r="R41" s="470"/>
      <c r="S41" s="24">
        <v>0.27777777777777779</v>
      </c>
      <c r="T41" s="24">
        <v>0.35902777777777778</v>
      </c>
      <c r="U41" s="90">
        <f t="shared" ref="U41:U46" si="55">(S41-T40)*24*60</f>
        <v>6.9999999999999751</v>
      </c>
      <c r="V41" s="94">
        <f t="shared" si="50"/>
        <v>116.99999999999999</v>
      </c>
      <c r="W41" s="90"/>
      <c r="X41" s="90"/>
      <c r="Y41" s="456"/>
      <c r="Z41" s="456"/>
      <c r="AA41" s="11">
        <f t="shared" si="2"/>
        <v>-246.15384615384573</v>
      </c>
      <c r="AB41" s="91">
        <f t="shared" si="54"/>
        <v>0.89743589743589758</v>
      </c>
      <c r="AC41" s="470"/>
    </row>
    <row r="42" spans="1:29">
      <c r="A42" s="486" t="s">
        <v>242</v>
      </c>
      <c r="B42" s="26" t="s">
        <v>24</v>
      </c>
      <c r="C42" s="487" t="s">
        <v>69</v>
      </c>
      <c r="D42" s="487"/>
      <c r="E42" s="26">
        <v>22.35</v>
      </c>
      <c r="F42" s="95">
        <v>3503</v>
      </c>
      <c r="G42" s="90">
        <f t="shared" si="46"/>
        <v>78292.05</v>
      </c>
      <c r="H42" s="76" t="s">
        <v>57</v>
      </c>
      <c r="I42" s="93">
        <v>16</v>
      </c>
      <c r="J42" s="18">
        <v>2400</v>
      </c>
      <c r="K42" s="9">
        <f t="shared" si="51"/>
        <v>150</v>
      </c>
      <c r="L42" s="93">
        <v>16</v>
      </c>
      <c r="M42" s="10">
        <f t="shared" si="52"/>
        <v>2144.6938775510207</v>
      </c>
      <c r="N42" s="9">
        <f t="shared" si="53"/>
        <v>134.04336734693879</v>
      </c>
      <c r="O42" s="11">
        <f t="shared" si="47"/>
        <v>0</v>
      </c>
      <c r="P42" s="12">
        <f t="shared" si="48"/>
        <v>-15.956632653061206</v>
      </c>
      <c r="Q42" s="91">
        <f t="shared" si="49"/>
        <v>0.89362244897959198</v>
      </c>
      <c r="R42" s="470"/>
      <c r="S42" s="24">
        <v>0.36319444444444443</v>
      </c>
      <c r="T42" s="24">
        <v>0.43124999999999997</v>
      </c>
      <c r="U42" s="90">
        <f t="shared" si="55"/>
        <v>5.9999999999999787</v>
      </c>
      <c r="V42" s="94">
        <f t="shared" si="50"/>
        <v>97.999999999999972</v>
      </c>
      <c r="W42" s="14"/>
      <c r="X42" s="14"/>
      <c r="Y42" s="456"/>
      <c r="Z42" s="456"/>
      <c r="AA42" s="11">
        <f t="shared" si="2"/>
        <v>-255.30612244897929</v>
      </c>
      <c r="AB42" s="91">
        <f t="shared" si="54"/>
        <v>0.89362244897959198</v>
      </c>
      <c r="AC42" s="470"/>
    </row>
    <row r="43" spans="1:29">
      <c r="A43" s="486" t="s">
        <v>243</v>
      </c>
      <c r="B43" s="26" t="s">
        <v>24</v>
      </c>
      <c r="C43" s="487" t="s">
        <v>84</v>
      </c>
      <c r="D43" s="487"/>
      <c r="E43" s="26">
        <v>24.25</v>
      </c>
      <c r="F43" s="95">
        <v>3500</v>
      </c>
      <c r="G43" s="90">
        <f t="shared" si="46"/>
        <v>84875</v>
      </c>
      <c r="H43" s="76">
        <v>2</v>
      </c>
      <c r="I43" s="93">
        <v>19</v>
      </c>
      <c r="J43" s="18">
        <v>2400</v>
      </c>
      <c r="K43" s="9">
        <f t="shared" si="51"/>
        <v>126.31578947368421</v>
      </c>
      <c r="L43" s="93">
        <v>19</v>
      </c>
      <c r="M43" s="10">
        <f t="shared" si="52"/>
        <v>2142.8571428571418</v>
      </c>
      <c r="N43" s="9">
        <f t="shared" si="53"/>
        <v>112.78195488721799</v>
      </c>
      <c r="O43" s="11">
        <f t="shared" si="47"/>
        <v>0</v>
      </c>
      <c r="P43" s="12">
        <f t="shared" si="48"/>
        <v>-13.533834586466213</v>
      </c>
      <c r="Q43" s="91">
        <f t="shared" si="49"/>
        <v>0.89285714285714246</v>
      </c>
      <c r="R43" s="470"/>
      <c r="S43" s="24">
        <v>0.43472222222222218</v>
      </c>
      <c r="T43" s="24">
        <v>0.50277777777777777</v>
      </c>
      <c r="U43" s="90">
        <f t="shared" si="55"/>
        <v>4.9999999999999822</v>
      </c>
      <c r="V43" s="94">
        <f t="shared" si="50"/>
        <v>98.000000000000057</v>
      </c>
      <c r="W43" s="14"/>
      <c r="X43" s="14"/>
      <c r="Y43" s="456"/>
      <c r="Z43" s="456"/>
      <c r="AA43" s="11">
        <f t="shared" si="2"/>
        <v>-257.14285714285825</v>
      </c>
      <c r="AB43" s="91">
        <f t="shared" si="54"/>
        <v>0.89285714285714235</v>
      </c>
      <c r="AC43" s="470"/>
    </row>
    <row r="44" spans="1:29">
      <c r="A44" s="486" t="s">
        <v>243</v>
      </c>
      <c r="B44" s="26" t="s">
        <v>24</v>
      </c>
      <c r="C44" s="487" t="s">
        <v>84</v>
      </c>
      <c r="D44" s="487"/>
      <c r="E44" s="26">
        <v>24.25</v>
      </c>
      <c r="F44" s="95">
        <v>3178</v>
      </c>
      <c r="G44" s="90">
        <f t="shared" si="46"/>
        <v>77066.5</v>
      </c>
      <c r="H44" s="76" t="s">
        <v>57</v>
      </c>
      <c r="I44" s="93">
        <v>19</v>
      </c>
      <c r="J44" s="18">
        <v>2400</v>
      </c>
      <c r="K44" s="9">
        <f t="shared" si="51"/>
        <v>126.31578947368421</v>
      </c>
      <c r="L44" s="93">
        <v>19</v>
      </c>
      <c r="M44" s="10">
        <f t="shared" si="52"/>
        <v>2142.4719101123596</v>
      </c>
      <c r="N44" s="9">
        <f t="shared" si="53"/>
        <v>112.76167947959787</v>
      </c>
      <c r="O44" s="11">
        <f t="shared" si="47"/>
        <v>0</v>
      </c>
      <c r="P44" s="12">
        <f t="shared" si="48"/>
        <v>-13.554109994086332</v>
      </c>
      <c r="Q44" s="91">
        <f t="shared" si="49"/>
        <v>0.89269662921348325</v>
      </c>
      <c r="R44" s="470"/>
      <c r="S44" s="24">
        <v>0.54374999999999996</v>
      </c>
      <c r="T44" s="24">
        <v>0.60555555555555551</v>
      </c>
      <c r="U44" s="90">
        <f t="shared" si="55"/>
        <v>58.99999999999995</v>
      </c>
      <c r="V44" s="94">
        <f t="shared" si="50"/>
        <v>89</v>
      </c>
      <c r="W44" s="14"/>
      <c r="X44" s="14"/>
      <c r="Y44" s="456"/>
      <c r="Z44" s="456"/>
      <c r="AA44" s="11">
        <f t="shared" si="2"/>
        <v>-257.52808988764036</v>
      </c>
      <c r="AB44" s="91">
        <f t="shared" si="54"/>
        <v>0.89269662921348314</v>
      </c>
      <c r="AC44" s="470"/>
    </row>
    <row r="45" spans="1:29">
      <c r="A45" s="486" t="s">
        <v>242</v>
      </c>
      <c r="B45" s="26" t="s">
        <v>24</v>
      </c>
      <c r="C45" s="487" t="s">
        <v>30</v>
      </c>
      <c r="D45" s="487"/>
      <c r="E45" s="26">
        <v>26.39</v>
      </c>
      <c r="F45" s="95">
        <v>2647</v>
      </c>
      <c r="G45" s="90">
        <f t="shared" si="46"/>
        <v>69854.33</v>
      </c>
      <c r="H45" s="76" t="s">
        <v>57</v>
      </c>
      <c r="I45" s="93">
        <v>21</v>
      </c>
      <c r="J45" s="18">
        <v>2400</v>
      </c>
      <c r="K45" s="9">
        <f t="shared" si="51"/>
        <v>114.28571428571429</v>
      </c>
      <c r="L45" s="93">
        <v>21</v>
      </c>
      <c r="M45" s="10">
        <f t="shared" si="52"/>
        <v>2146.2162162162149</v>
      </c>
      <c r="N45" s="9">
        <f t="shared" si="53"/>
        <v>102.20077220077214</v>
      </c>
      <c r="O45" s="11">
        <f t="shared" si="47"/>
        <v>0</v>
      </c>
      <c r="P45" s="12">
        <f t="shared" si="48"/>
        <v>-12.084942084942156</v>
      </c>
      <c r="Q45" s="91">
        <f t="shared" si="49"/>
        <v>0.89425675675675609</v>
      </c>
      <c r="R45" s="470"/>
      <c r="S45" s="24">
        <v>0.60902777777777772</v>
      </c>
      <c r="T45" s="24">
        <v>0.66041666666666665</v>
      </c>
      <c r="U45" s="90">
        <f t="shared" si="55"/>
        <v>4.9999999999999822</v>
      </c>
      <c r="V45" s="94">
        <f t="shared" si="50"/>
        <v>74.000000000000057</v>
      </c>
      <c r="W45" s="14"/>
      <c r="X45" s="14"/>
      <c r="Y45" s="473"/>
      <c r="Z45" s="502"/>
      <c r="AA45" s="11">
        <f t="shared" si="2"/>
        <v>-253.78378378378511</v>
      </c>
      <c r="AB45" s="91">
        <f t="shared" si="54"/>
        <v>0.8942567567567562</v>
      </c>
      <c r="AC45" s="470"/>
    </row>
    <row r="46" spans="1:29">
      <c r="A46" s="486" t="s">
        <v>242</v>
      </c>
      <c r="B46" s="26" t="s">
        <v>24</v>
      </c>
      <c r="C46" s="487" t="s">
        <v>29</v>
      </c>
      <c r="D46" s="487"/>
      <c r="E46" s="26">
        <v>26.2</v>
      </c>
      <c r="F46" s="95">
        <v>2775</v>
      </c>
      <c r="G46" s="90">
        <f t="shared" si="46"/>
        <v>72705</v>
      </c>
      <c r="H46" s="76" t="s">
        <v>57</v>
      </c>
      <c r="I46" s="93">
        <v>19</v>
      </c>
      <c r="J46" s="18">
        <v>2400</v>
      </c>
      <c r="K46" s="9">
        <f t="shared" si="51"/>
        <v>126.31578947368421</v>
      </c>
      <c r="L46" s="93">
        <v>19</v>
      </c>
      <c r="M46" s="10">
        <f t="shared" si="52"/>
        <v>2162.3376623376612</v>
      </c>
      <c r="N46" s="9">
        <f t="shared" si="53"/>
        <v>113.80724538619269</v>
      </c>
      <c r="O46" s="11">
        <f t="shared" si="47"/>
        <v>0</v>
      </c>
      <c r="P46" s="12">
        <f t="shared" si="48"/>
        <v>-12.508544087491515</v>
      </c>
      <c r="Q46" s="91">
        <f t="shared" si="49"/>
        <v>0.90097402597402554</v>
      </c>
      <c r="R46" s="470"/>
      <c r="S46" s="24">
        <v>0.6645833333333333</v>
      </c>
      <c r="T46" s="24">
        <v>0.71805555555555556</v>
      </c>
      <c r="U46" s="90">
        <f t="shared" si="55"/>
        <v>5.9999999999999787</v>
      </c>
      <c r="V46" s="94">
        <f t="shared" si="50"/>
        <v>77.000000000000043</v>
      </c>
      <c r="W46" s="14"/>
      <c r="X46" s="14"/>
      <c r="Y46" s="473"/>
      <c r="Z46" s="474"/>
      <c r="AA46" s="11">
        <f t="shared" si="2"/>
        <v>-237.66233766233881</v>
      </c>
      <c r="AB46" s="91">
        <f t="shared" si="54"/>
        <v>0.90097402597402554</v>
      </c>
      <c r="AC46" s="470"/>
    </row>
    <row r="47" spans="1:29">
      <c r="A47" s="486" t="s">
        <v>243</v>
      </c>
      <c r="B47" s="16" t="s">
        <v>239</v>
      </c>
      <c r="C47" s="466"/>
      <c r="D47" s="466"/>
      <c r="E47" s="89"/>
      <c r="F47" s="16"/>
      <c r="G47" s="9"/>
      <c r="H47" s="95"/>
      <c r="I47" s="17">
        <v>19.5</v>
      </c>
      <c r="J47" s="18">
        <v>2400</v>
      </c>
      <c r="K47" s="9">
        <f t="shared" si="51"/>
        <v>123.07692307692308</v>
      </c>
      <c r="L47" s="17">
        <v>19.5</v>
      </c>
      <c r="M47" s="10">
        <f>AVERAGE(M39:M46)</f>
        <v>2150.4940468356572</v>
      </c>
      <c r="N47" s="9">
        <f>M47/L47</f>
        <v>110.28174599157217</v>
      </c>
      <c r="O47" s="11">
        <f>L47-I47</f>
        <v>0</v>
      </c>
      <c r="P47" s="12">
        <f t="shared" si="48"/>
        <v>-12.795177085350915</v>
      </c>
      <c r="Q47" s="91">
        <f t="shared" si="49"/>
        <v>0.89603918618152378</v>
      </c>
      <c r="R47" s="470"/>
      <c r="S47" s="24"/>
      <c r="T47" s="24"/>
      <c r="U47" s="9"/>
      <c r="V47" s="94"/>
      <c r="W47" s="9"/>
      <c r="X47" s="9"/>
      <c r="Y47" s="456"/>
      <c r="Z47" s="456"/>
      <c r="AA47" s="11">
        <f t="shared" si="2"/>
        <v>-249.50595316434283</v>
      </c>
      <c r="AB47" s="91">
        <f t="shared" si="54"/>
        <v>0.89603918618152378</v>
      </c>
      <c r="AC47" s="470"/>
    </row>
    <row r="48" spans="1:29" ht="15.75" customHeight="1">
      <c r="A48" s="488" t="s">
        <v>244</v>
      </c>
      <c r="B48" s="26" t="s">
        <v>33</v>
      </c>
      <c r="C48" s="491" t="s">
        <v>34</v>
      </c>
      <c r="D48" s="492"/>
      <c r="E48" s="26">
        <v>27.17</v>
      </c>
      <c r="F48" s="95">
        <v>2500</v>
      </c>
      <c r="G48" s="90">
        <f t="shared" ref="G48:G59" si="56">E48*F48</f>
        <v>67925</v>
      </c>
      <c r="H48" s="76">
        <v>2</v>
      </c>
      <c r="I48" s="93">
        <v>10</v>
      </c>
      <c r="J48" s="18">
        <v>3000</v>
      </c>
      <c r="K48" s="9">
        <f t="shared" si="51"/>
        <v>300</v>
      </c>
      <c r="L48" s="93">
        <v>10</v>
      </c>
      <c r="M48" s="10">
        <f t="shared" ref="M48:M49" si="57">F48/V48*60</f>
        <v>2678.5714285714289</v>
      </c>
      <c r="N48" s="10">
        <f t="shared" ref="N48:N60" si="58">M48/L48</f>
        <v>267.85714285714289</v>
      </c>
      <c r="O48" s="11">
        <f t="shared" ref="O48:O60" si="59">L48-I48</f>
        <v>0</v>
      </c>
      <c r="P48" s="12">
        <f t="shared" si="48"/>
        <v>-32.14285714285711</v>
      </c>
      <c r="Q48" s="91">
        <f t="shared" si="49"/>
        <v>0.89285714285714302</v>
      </c>
      <c r="R48" s="493">
        <f>Q60</f>
        <v>0.89853283536916662</v>
      </c>
      <c r="S48" s="24">
        <v>0.16666666666666666</v>
      </c>
      <c r="T48" s="24">
        <v>0.20555555555555555</v>
      </c>
      <c r="U48" s="15"/>
      <c r="V48" s="94">
        <f t="shared" ref="V48:V59" si="60">(T48-S48)*24*60</f>
        <v>56</v>
      </c>
      <c r="W48" s="90"/>
      <c r="X48" s="90"/>
      <c r="Y48" s="473"/>
      <c r="Z48" s="474"/>
      <c r="AA48" s="11">
        <f t="shared" si="2"/>
        <v>-321.4285714285711</v>
      </c>
      <c r="AB48" s="91">
        <f t="shared" si="54"/>
        <v>0.89285714285714302</v>
      </c>
      <c r="AC48" s="493">
        <f>AB60</f>
        <v>0.89853283536916673</v>
      </c>
    </row>
    <row r="49" spans="1:29" ht="15.75" customHeight="1">
      <c r="A49" s="489" t="s">
        <v>9</v>
      </c>
      <c r="B49" s="26" t="s">
        <v>33</v>
      </c>
      <c r="C49" s="491" t="s">
        <v>35</v>
      </c>
      <c r="D49" s="492"/>
      <c r="E49" s="26">
        <v>21.13</v>
      </c>
      <c r="F49" s="95">
        <v>2800</v>
      </c>
      <c r="G49" s="90">
        <f t="shared" si="56"/>
        <v>59164</v>
      </c>
      <c r="H49" s="76">
        <v>2</v>
      </c>
      <c r="I49" s="93">
        <v>10</v>
      </c>
      <c r="J49" s="18">
        <v>3000</v>
      </c>
      <c r="K49" s="9">
        <f t="shared" si="51"/>
        <v>300</v>
      </c>
      <c r="L49" s="93">
        <v>10</v>
      </c>
      <c r="M49" s="10">
        <f t="shared" si="57"/>
        <v>2709.6774193548399</v>
      </c>
      <c r="N49" s="10">
        <f t="shared" si="58"/>
        <v>270.96774193548401</v>
      </c>
      <c r="O49" s="11">
        <f t="shared" si="59"/>
        <v>0</v>
      </c>
      <c r="P49" s="12">
        <f t="shared" si="48"/>
        <v>-29.032258064515986</v>
      </c>
      <c r="Q49" s="91">
        <f t="shared" si="49"/>
        <v>0.90322580645161343</v>
      </c>
      <c r="R49" s="494"/>
      <c r="S49" s="24">
        <v>0.22291666666666662</v>
      </c>
      <c r="T49" s="24">
        <v>0.26597222222222217</v>
      </c>
      <c r="U49" s="90">
        <f>(S49-T48)*24*60</f>
        <v>24.99999999999995</v>
      </c>
      <c r="V49" s="94">
        <f t="shared" si="60"/>
        <v>61.999999999999979</v>
      </c>
      <c r="W49" s="14"/>
      <c r="X49" s="14"/>
      <c r="Y49" s="473"/>
      <c r="Z49" s="474"/>
      <c r="AA49" s="11">
        <f t="shared" si="2"/>
        <v>-290.32258064516009</v>
      </c>
      <c r="AB49" s="91">
        <f t="shared" si="54"/>
        <v>0.90322580645161332</v>
      </c>
      <c r="AC49" s="494"/>
    </row>
    <row r="50" spans="1:29" ht="15.75" customHeight="1">
      <c r="A50" s="489" t="s">
        <v>9</v>
      </c>
      <c r="B50" s="26" t="s">
        <v>33</v>
      </c>
      <c r="C50" s="491" t="s">
        <v>43</v>
      </c>
      <c r="D50" s="492"/>
      <c r="E50" s="26">
        <v>35.119999999999997</v>
      </c>
      <c r="F50" s="95">
        <v>2600</v>
      </c>
      <c r="G50" s="90">
        <f t="shared" si="56"/>
        <v>91312</v>
      </c>
      <c r="H50" s="76">
        <v>2</v>
      </c>
      <c r="I50" s="93">
        <v>10</v>
      </c>
      <c r="J50" s="18">
        <v>3000</v>
      </c>
      <c r="K50" s="9">
        <f t="shared" si="51"/>
        <v>300</v>
      </c>
      <c r="L50" s="93">
        <v>10</v>
      </c>
      <c r="M50" s="10">
        <f>F50/V50*60</f>
        <v>2689.6551724137917</v>
      </c>
      <c r="N50" s="10">
        <f t="shared" si="58"/>
        <v>268.96551724137919</v>
      </c>
      <c r="O50" s="11">
        <f t="shared" si="59"/>
        <v>0</v>
      </c>
      <c r="P50" s="12">
        <f t="shared" si="48"/>
        <v>-31.034482758620811</v>
      </c>
      <c r="Q50" s="91">
        <f t="shared" si="49"/>
        <v>0.89655172413793061</v>
      </c>
      <c r="R50" s="494"/>
      <c r="S50" s="24">
        <v>0.26944444444444438</v>
      </c>
      <c r="T50" s="24">
        <v>0.30972222222222218</v>
      </c>
      <c r="U50" s="90">
        <f t="shared" ref="U50:U59" si="61">(S50-T49)*24*60</f>
        <v>4.9999999999999822</v>
      </c>
      <c r="V50" s="94">
        <f t="shared" si="60"/>
        <v>58.000000000000036</v>
      </c>
      <c r="W50" s="14"/>
      <c r="X50" s="14"/>
      <c r="Y50" s="473"/>
      <c r="Z50" s="474"/>
      <c r="AA50" s="11">
        <f t="shared" si="2"/>
        <v>-310.34482758620834</v>
      </c>
      <c r="AB50" s="91">
        <f t="shared" si="54"/>
        <v>0.89655172413793061</v>
      </c>
      <c r="AC50" s="494"/>
    </row>
    <row r="51" spans="1:29" ht="15.75" customHeight="1">
      <c r="A51" s="489" t="s">
        <v>9</v>
      </c>
      <c r="B51" s="26" t="s">
        <v>33</v>
      </c>
      <c r="C51" s="491" t="s">
        <v>38</v>
      </c>
      <c r="D51" s="492"/>
      <c r="E51" s="26">
        <v>34.36</v>
      </c>
      <c r="F51" s="95">
        <v>2300</v>
      </c>
      <c r="G51" s="90">
        <f t="shared" si="56"/>
        <v>79028</v>
      </c>
      <c r="H51" s="76">
        <v>2</v>
      </c>
      <c r="I51" s="93">
        <v>10</v>
      </c>
      <c r="J51" s="18">
        <v>3000</v>
      </c>
      <c r="K51" s="9">
        <f t="shared" si="51"/>
        <v>300</v>
      </c>
      <c r="L51" s="93">
        <v>10</v>
      </c>
      <c r="M51" s="10">
        <f t="shared" ref="M51:M59" si="62">F51/V51*60</f>
        <v>2705.8823529411775</v>
      </c>
      <c r="N51" s="10">
        <f t="shared" si="58"/>
        <v>270.58823529411774</v>
      </c>
      <c r="O51" s="11">
        <f t="shared" si="59"/>
        <v>0</v>
      </c>
      <c r="P51" s="12">
        <f t="shared" si="48"/>
        <v>-29.411764705882263</v>
      </c>
      <c r="Q51" s="91">
        <f t="shared" si="49"/>
        <v>0.90196078431372584</v>
      </c>
      <c r="R51" s="494"/>
      <c r="S51" s="24">
        <v>0.31388888888888883</v>
      </c>
      <c r="T51" s="24">
        <v>0.34930555555555548</v>
      </c>
      <c r="U51" s="90">
        <f t="shared" si="61"/>
        <v>5.9999999999999787</v>
      </c>
      <c r="V51" s="94">
        <f t="shared" si="60"/>
        <v>50.999999999999979</v>
      </c>
      <c r="W51" s="14"/>
      <c r="X51" s="14"/>
      <c r="Y51" s="473"/>
      <c r="Z51" s="474"/>
      <c r="AA51" s="11">
        <f t="shared" si="2"/>
        <v>-294.11764705882251</v>
      </c>
      <c r="AB51" s="91">
        <f t="shared" si="54"/>
        <v>0.90196078431372584</v>
      </c>
      <c r="AC51" s="494"/>
    </row>
    <row r="52" spans="1:29" ht="15.75" customHeight="1">
      <c r="A52" s="489" t="s">
        <v>9</v>
      </c>
      <c r="B52" s="26" t="s">
        <v>33</v>
      </c>
      <c r="C52" s="491" t="s">
        <v>67</v>
      </c>
      <c r="D52" s="492"/>
      <c r="E52" s="26">
        <v>40.18</v>
      </c>
      <c r="F52" s="95">
        <v>2691</v>
      </c>
      <c r="G52" s="90">
        <f t="shared" si="56"/>
        <v>108124.38</v>
      </c>
      <c r="H52" s="76" t="s">
        <v>57</v>
      </c>
      <c r="I52" s="93">
        <v>10</v>
      </c>
      <c r="J52" s="18">
        <v>3000</v>
      </c>
      <c r="K52" s="9">
        <f t="shared" si="51"/>
        <v>300</v>
      </c>
      <c r="L52" s="93">
        <v>10</v>
      </c>
      <c r="M52" s="10">
        <f t="shared" si="62"/>
        <v>2690.9999999999986</v>
      </c>
      <c r="N52" s="10">
        <f t="shared" si="58"/>
        <v>269.09999999999985</v>
      </c>
      <c r="O52" s="11">
        <f t="shared" si="59"/>
        <v>0</v>
      </c>
      <c r="P52" s="12">
        <f t="shared" si="48"/>
        <v>-30.900000000000148</v>
      </c>
      <c r="Q52" s="91">
        <f>N52/K52</f>
        <v>0.89699999999999946</v>
      </c>
      <c r="R52" s="494"/>
      <c r="S52" s="24">
        <v>0.35486111111111102</v>
      </c>
      <c r="T52" s="24">
        <v>0.3965277777777777</v>
      </c>
      <c r="U52" s="90">
        <f t="shared" si="61"/>
        <v>7.9999999999999716</v>
      </c>
      <c r="V52" s="94">
        <f t="shared" si="60"/>
        <v>60.000000000000028</v>
      </c>
      <c r="W52" s="14"/>
      <c r="X52" s="14"/>
      <c r="Y52" s="473"/>
      <c r="Z52" s="474"/>
      <c r="AA52" s="11">
        <f t="shared" si="2"/>
        <v>-309.00000000000136</v>
      </c>
      <c r="AB52" s="91">
        <f t="shared" si="54"/>
        <v>0.89699999999999958</v>
      </c>
      <c r="AC52" s="494"/>
    </row>
    <row r="53" spans="1:29" ht="15.75" customHeight="1">
      <c r="A53" s="489" t="s">
        <v>9</v>
      </c>
      <c r="B53" s="26" t="s">
        <v>33</v>
      </c>
      <c r="C53" s="491" t="s">
        <v>42</v>
      </c>
      <c r="D53" s="492"/>
      <c r="E53" s="26">
        <v>35.369999999999997</v>
      </c>
      <c r="F53" s="95">
        <v>1728</v>
      </c>
      <c r="G53" s="90">
        <f t="shared" si="56"/>
        <v>61119.359999999993</v>
      </c>
      <c r="H53" s="76" t="s">
        <v>57</v>
      </c>
      <c r="I53" s="93">
        <v>10</v>
      </c>
      <c r="J53" s="18">
        <v>3000</v>
      </c>
      <c r="K53" s="9">
        <f t="shared" si="51"/>
        <v>300</v>
      </c>
      <c r="L53" s="93">
        <v>10</v>
      </c>
      <c r="M53" s="10">
        <f t="shared" si="62"/>
        <v>2728.4210526315769</v>
      </c>
      <c r="N53" s="10">
        <f t="shared" si="58"/>
        <v>272.84210526315769</v>
      </c>
      <c r="O53" s="11">
        <f t="shared" si="59"/>
        <v>0</v>
      </c>
      <c r="P53" s="12">
        <f t="shared" si="48"/>
        <v>-27.157894736842309</v>
      </c>
      <c r="Q53" s="91">
        <f t="shared" ref="Q53:Q60" si="63">N53/K53</f>
        <v>0.90947368421052566</v>
      </c>
      <c r="R53" s="494"/>
      <c r="S53" s="24">
        <v>0.40208333333333324</v>
      </c>
      <c r="T53" s="24">
        <v>0.42847222222222214</v>
      </c>
      <c r="U53" s="90">
        <f t="shared" si="61"/>
        <v>7.9999999999999716</v>
      </c>
      <c r="V53" s="94">
        <f t="shared" si="60"/>
        <v>38.000000000000028</v>
      </c>
      <c r="W53" s="14"/>
      <c r="X53" s="14"/>
      <c r="Y53" s="473"/>
      <c r="Z53" s="474"/>
      <c r="AA53" s="11">
        <f t="shared" si="2"/>
        <v>-271.57894736842309</v>
      </c>
      <c r="AB53" s="91">
        <f t="shared" si="54"/>
        <v>0.90947368421052566</v>
      </c>
      <c r="AC53" s="494"/>
    </row>
    <row r="54" spans="1:29" ht="15.75" customHeight="1">
      <c r="A54" s="489" t="s">
        <v>9</v>
      </c>
      <c r="B54" s="26" t="s">
        <v>33</v>
      </c>
      <c r="C54" s="491" t="s">
        <v>37</v>
      </c>
      <c r="D54" s="492"/>
      <c r="E54" s="26">
        <v>34.36</v>
      </c>
      <c r="F54" s="95">
        <v>2513</v>
      </c>
      <c r="G54" s="90">
        <f t="shared" si="56"/>
        <v>86346.68</v>
      </c>
      <c r="H54" s="76" t="s">
        <v>57</v>
      </c>
      <c r="I54" s="93">
        <v>10</v>
      </c>
      <c r="J54" s="18">
        <v>3000</v>
      </c>
      <c r="K54" s="9">
        <f t="shared" si="51"/>
        <v>300</v>
      </c>
      <c r="L54" s="93">
        <v>10</v>
      </c>
      <c r="M54" s="10">
        <f t="shared" si="62"/>
        <v>2692.5000000000023</v>
      </c>
      <c r="N54" s="10">
        <f t="shared" si="58"/>
        <v>269.25000000000023</v>
      </c>
      <c r="O54" s="11">
        <f t="shared" si="59"/>
        <v>0</v>
      </c>
      <c r="P54" s="12">
        <f t="shared" si="48"/>
        <v>-30.749999999999773</v>
      </c>
      <c r="Q54" s="91">
        <f t="shared" si="63"/>
        <v>0.89750000000000074</v>
      </c>
      <c r="R54" s="494"/>
      <c r="S54" s="24">
        <v>0.43333333333333324</v>
      </c>
      <c r="T54" s="24">
        <v>0.4722222222222221</v>
      </c>
      <c r="U54" s="90">
        <f t="shared" si="61"/>
        <v>6.9999999999999751</v>
      </c>
      <c r="V54" s="94">
        <f t="shared" si="60"/>
        <v>55.999999999999957</v>
      </c>
      <c r="W54" s="14"/>
      <c r="X54" s="14"/>
      <c r="Y54" s="473"/>
      <c r="Z54" s="474"/>
      <c r="AA54" s="11">
        <f t="shared" si="2"/>
        <v>-307.49999999999773</v>
      </c>
      <c r="AB54" s="91">
        <f t="shared" si="54"/>
        <v>0.89750000000000074</v>
      </c>
      <c r="AC54" s="494"/>
    </row>
    <row r="55" spans="1:29" ht="15.75" customHeight="1">
      <c r="A55" s="489" t="s">
        <v>9</v>
      </c>
      <c r="B55" s="26" t="s">
        <v>33</v>
      </c>
      <c r="C55" s="491" t="s">
        <v>40</v>
      </c>
      <c r="D55" s="492"/>
      <c r="E55" s="26">
        <v>35.119999999999997</v>
      </c>
      <c r="F55" s="95">
        <v>1138</v>
      </c>
      <c r="G55" s="90">
        <f t="shared" si="56"/>
        <v>39966.559999999998</v>
      </c>
      <c r="H55" s="76" t="s">
        <v>57</v>
      </c>
      <c r="I55" s="93">
        <v>14</v>
      </c>
      <c r="J55" s="18">
        <v>2000</v>
      </c>
      <c r="K55" s="9">
        <f t="shared" si="51"/>
        <v>142.85714285714286</v>
      </c>
      <c r="L55" s="93">
        <v>14</v>
      </c>
      <c r="M55" s="10">
        <f t="shared" si="62"/>
        <v>1796.8421052631566</v>
      </c>
      <c r="N55" s="10">
        <f t="shared" si="58"/>
        <v>128.34586466165405</v>
      </c>
      <c r="O55" s="11">
        <f t="shared" si="59"/>
        <v>0</v>
      </c>
      <c r="P55" s="12">
        <f t="shared" si="48"/>
        <v>-14.511278195488813</v>
      </c>
      <c r="Q55" s="91">
        <f t="shared" si="63"/>
        <v>0.89842105263157834</v>
      </c>
      <c r="R55" s="494"/>
      <c r="S55" s="24">
        <v>0.47638888888888875</v>
      </c>
      <c r="T55" s="24">
        <v>0.50277777777777766</v>
      </c>
      <c r="U55" s="90">
        <f t="shared" si="61"/>
        <v>5.9999999999999787</v>
      </c>
      <c r="V55" s="94">
        <f t="shared" si="60"/>
        <v>38.000000000000028</v>
      </c>
      <c r="W55" s="14"/>
      <c r="X55" s="14"/>
      <c r="Y55" s="473"/>
      <c r="Z55" s="474"/>
      <c r="AA55" s="11">
        <f t="shared" si="2"/>
        <v>-203.15789473684345</v>
      </c>
      <c r="AB55" s="91">
        <f t="shared" si="54"/>
        <v>0.89842105263157823</v>
      </c>
      <c r="AC55" s="494"/>
    </row>
    <row r="56" spans="1:29" ht="15.75" customHeight="1">
      <c r="A56" s="489" t="s">
        <v>9</v>
      </c>
      <c r="B56" s="26" t="s">
        <v>33</v>
      </c>
      <c r="C56" s="491" t="s">
        <v>34</v>
      </c>
      <c r="D56" s="492"/>
      <c r="E56" s="26">
        <v>27.17</v>
      </c>
      <c r="F56" s="95">
        <v>3451</v>
      </c>
      <c r="G56" s="90">
        <f t="shared" si="56"/>
        <v>93763.670000000013</v>
      </c>
      <c r="H56" s="76" t="s">
        <v>57</v>
      </c>
      <c r="I56" s="93">
        <v>10</v>
      </c>
      <c r="J56" s="18">
        <v>3000</v>
      </c>
      <c r="K56" s="9">
        <f t="shared" si="51"/>
        <v>300</v>
      </c>
      <c r="L56" s="93">
        <v>10</v>
      </c>
      <c r="M56" s="10">
        <f t="shared" si="62"/>
        <v>2689.0909090909076</v>
      </c>
      <c r="N56" s="10">
        <f t="shared" si="58"/>
        <v>268.90909090909076</v>
      </c>
      <c r="O56" s="11">
        <f t="shared" si="59"/>
        <v>0</v>
      </c>
      <c r="P56" s="12">
        <f t="shared" si="48"/>
        <v>-31.090909090909236</v>
      </c>
      <c r="Q56" s="91">
        <f t="shared" si="63"/>
        <v>0.89636363636363592</v>
      </c>
      <c r="R56" s="494"/>
      <c r="S56" s="24">
        <v>0.54513888888888873</v>
      </c>
      <c r="T56" s="24">
        <v>0.59861111111111098</v>
      </c>
      <c r="U56" s="90">
        <f t="shared" si="61"/>
        <v>60.999999999999943</v>
      </c>
      <c r="V56" s="94">
        <f t="shared" si="60"/>
        <v>77.000000000000043</v>
      </c>
      <c r="W56" s="14"/>
      <c r="X56" s="14"/>
      <c r="Y56" s="473"/>
      <c r="Z56" s="474"/>
      <c r="AA56" s="11">
        <f t="shared" si="2"/>
        <v>-310.90909090909236</v>
      </c>
      <c r="AB56" s="91">
        <f t="shared" si="54"/>
        <v>0.89636363636363592</v>
      </c>
      <c r="AC56" s="494"/>
    </row>
    <row r="57" spans="1:29" ht="15.75" customHeight="1">
      <c r="A57" s="489" t="s">
        <v>9</v>
      </c>
      <c r="B57" s="26" t="s">
        <v>33</v>
      </c>
      <c r="C57" s="491" t="s">
        <v>35</v>
      </c>
      <c r="D57" s="492"/>
      <c r="E57" s="26">
        <v>21.13</v>
      </c>
      <c r="F57" s="95">
        <v>1982</v>
      </c>
      <c r="G57" s="90">
        <f t="shared" si="56"/>
        <v>41879.659999999996</v>
      </c>
      <c r="H57" s="76" t="s">
        <v>57</v>
      </c>
      <c r="I57" s="93">
        <v>10</v>
      </c>
      <c r="J57" s="18">
        <v>3000</v>
      </c>
      <c r="K57" s="9">
        <f t="shared" si="51"/>
        <v>300</v>
      </c>
      <c r="L57" s="93">
        <v>10</v>
      </c>
      <c r="M57" s="10">
        <f t="shared" si="62"/>
        <v>2702.727272727273</v>
      </c>
      <c r="N57" s="10">
        <f t="shared" si="58"/>
        <v>270.27272727272731</v>
      </c>
      <c r="O57" s="11">
        <f t="shared" si="59"/>
        <v>0</v>
      </c>
      <c r="P57" s="12">
        <f t="shared" si="48"/>
        <v>-29.727272727272691</v>
      </c>
      <c r="Q57" s="91">
        <f t="shared" si="63"/>
        <v>0.90090909090909099</v>
      </c>
      <c r="R57" s="494"/>
      <c r="S57" s="24">
        <v>0.60277777777777763</v>
      </c>
      <c r="T57" s="24">
        <v>0.63333333333333319</v>
      </c>
      <c r="U57" s="90">
        <f t="shared" si="61"/>
        <v>5.9999999999999787</v>
      </c>
      <c r="V57" s="94">
        <f t="shared" si="60"/>
        <v>44</v>
      </c>
      <c r="W57" s="14"/>
      <c r="X57" s="14"/>
      <c r="Y57" s="473"/>
      <c r="Z57" s="474"/>
      <c r="AA57" s="11">
        <f t="shared" si="2"/>
        <v>-297.27272727272702</v>
      </c>
      <c r="AB57" s="91">
        <f t="shared" si="54"/>
        <v>0.90090909090909099</v>
      </c>
      <c r="AC57" s="494"/>
    </row>
    <row r="58" spans="1:29" ht="15.75" customHeight="1">
      <c r="A58" s="489" t="s">
        <v>9</v>
      </c>
      <c r="B58" s="26" t="s">
        <v>33</v>
      </c>
      <c r="C58" s="491" t="s">
        <v>43</v>
      </c>
      <c r="D58" s="492"/>
      <c r="E58" s="26">
        <v>35.119999999999997</v>
      </c>
      <c r="F58" s="95">
        <v>1968</v>
      </c>
      <c r="G58" s="90">
        <f t="shared" si="56"/>
        <v>69116.159999999989</v>
      </c>
      <c r="H58" s="76" t="s">
        <v>57</v>
      </c>
      <c r="I58" s="93">
        <v>10</v>
      </c>
      <c r="J58" s="18">
        <v>3000</v>
      </c>
      <c r="K58" s="9">
        <f t="shared" si="51"/>
        <v>300</v>
      </c>
      <c r="L58" s="93">
        <v>10</v>
      </c>
      <c r="M58" s="10">
        <f t="shared" si="62"/>
        <v>2683.6363636363635</v>
      </c>
      <c r="N58" s="10">
        <f t="shared" si="58"/>
        <v>268.36363636363637</v>
      </c>
      <c r="O58" s="11">
        <f t="shared" si="59"/>
        <v>0</v>
      </c>
      <c r="P58" s="12">
        <f t="shared" si="48"/>
        <v>-31.636363636363626</v>
      </c>
      <c r="Q58" s="91">
        <f t="shared" si="63"/>
        <v>0.89454545454545453</v>
      </c>
      <c r="R58" s="494"/>
      <c r="S58" s="24">
        <v>0.63749999999999984</v>
      </c>
      <c r="T58" s="24">
        <v>0.6680555555555554</v>
      </c>
      <c r="U58" s="90">
        <f t="shared" si="61"/>
        <v>5.9999999999999787</v>
      </c>
      <c r="V58" s="94">
        <f t="shared" si="60"/>
        <v>44</v>
      </c>
      <c r="W58" s="14"/>
      <c r="X58" s="14"/>
      <c r="Y58" s="473"/>
      <c r="Z58" s="474"/>
      <c r="AA58" s="11">
        <f t="shared" si="2"/>
        <v>-316.36363636363649</v>
      </c>
      <c r="AB58" s="91">
        <f t="shared" si="54"/>
        <v>0.89454545454545453</v>
      </c>
      <c r="AC58" s="494"/>
    </row>
    <row r="59" spans="1:29" ht="15.75" customHeight="1">
      <c r="A59" s="489" t="s">
        <v>9</v>
      </c>
      <c r="B59" s="26" t="s">
        <v>33</v>
      </c>
      <c r="C59" s="491" t="s">
        <v>38</v>
      </c>
      <c r="D59" s="492"/>
      <c r="E59" s="26">
        <v>34.36</v>
      </c>
      <c r="F59" s="95">
        <v>1385</v>
      </c>
      <c r="G59" s="90">
        <f t="shared" si="56"/>
        <v>47588.6</v>
      </c>
      <c r="H59" s="76" t="s">
        <v>57</v>
      </c>
      <c r="I59" s="93">
        <v>10</v>
      </c>
      <c r="J59" s="18">
        <v>3000</v>
      </c>
      <c r="K59" s="9">
        <f t="shared" si="51"/>
        <v>300</v>
      </c>
      <c r="L59" s="93">
        <v>10</v>
      </c>
      <c r="M59" s="10">
        <f t="shared" si="62"/>
        <v>2680.6451612903184</v>
      </c>
      <c r="N59" s="10">
        <f t="shared" si="58"/>
        <v>268.06451612903186</v>
      </c>
      <c r="O59" s="11">
        <f t="shared" si="59"/>
        <v>0</v>
      </c>
      <c r="P59" s="12">
        <f t="shared" si="48"/>
        <v>-31.935483870968142</v>
      </c>
      <c r="Q59" s="91">
        <f t="shared" si="63"/>
        <v>0.89354838709677287</v>
      </c>
      <c r="R59" s="494"/>
      <c r="S59" s="24">
        <v>0.6729166666666665</v>
      </c>
      <c r="T59" s="24">
        <v>0.69444444444444431</v>
      </c>
      <c r="U59" s="90">
        <f t="shared" si="61"/>
        <v>6.9999999999999751</v>
      </c>
      <c r="V59" s="94">
        <f t="shared" si="60"/>
        <v>31.00000000000005</v>
      </c>
      <c r="W59" s="14"/>
      <c r="X59" s="14"/>
      <c r="Y59" s="473"/>
      <c r="Z59" s="474"/>
      <c r="AA59" s="11">
        <f t="shared" si="2"/>
        <v>-319.35483870968164</v>
      </c>
      <c r="AB59" s="91">
        <f t="shared" si="54"/>
        <v>0.89354838709677276</v>
      </c>
      <c r="AC59" s="494"/>
    </row>
    <row r="60" spans="1:29" ht="15.75" customHeight="1">
      <c r="A60" s="490" t="s">
        <v>9</v>
      </c>
      <c r="B60" s="26" t="s">
        <v>239</v>
      </c>
      <c r="C60" s="497"/>
      <c r="D60" s="498"/>
      <c r="E60" s="92"/>
      <c r="F60" s="95"/>
      <c r="G60" s="90"/>
      <c r="H60" s="95"/>
      <c r="I60" s="17">
        <v>10.333333333333334</v>
      </c>
      <c r="J60" s="18">
        <v>2916.6666666666665</v>
      </c>
      <c r="K60" s="9">
        <f>J60/I60</f>
        <v>282.25806451612902</v>
      </c>
      <c r="L60" s="17">
        <v>10.333333333333334</v>
      </c>
      <c r="M60" s="10">
        <f>AVERAGE(M48:M59)</f>
        <v>2620.7207698267362</v>
      </c>
      <c r="N60" s="9">
        <f t="shared" si="58"/>
        <v>253.61813901549058</v>
      </c>
      <c r="O60" s="11">
        <f t="shared" si="59"/>
        <v>0</v>
      </c>
      <c r="P60" s="12">
        <f t="shared" si="48"/>
        <v>-28.639925500638441</v>
      </c>
      <c r="Q60" s="91">
        <f t="shared" si="63"/>
        <v>0.89853283536916662</v>
      </c>
      <c r="R60" s="495"/>
      <c r="S60" s="24"/>
      <c r="T60" s="24"/>
      <c r="U60" s="90"/>
      <c r="V60" s="94"/>
      <c r="W60" s="14"/>
      <c r="X60" s="14"/>
      <c r="Y60" s="473"/>
      <c r="Z60" s="474"/>
      <c r="AA60" s="11">
        <f t="shared" si="2"/>
        <v>-295.94589683993036</v>
      </c>
      <c r="AB60" s="91">
        <f t="shared" si="54"/>
        <v>0.89853283536916673</v>
      </c>
      <c r="AC60" s="495"/>
    </row>
    <row r="61" spans="1:29" ht="15.75" customHeight="1">
      <c r="A61" s="461" t="s">
        <v>245</v>
      </c>
      <c r="B61" s="26" t="s">
        <v>13</v>
      </c>
      <c r="C61" s="487" t="s">
        <v>65</v>
      </c>
      <c r="D61" s="487"/>
      <c r="E61" s="26">
        <v>55.56</v>
      </c>
      <c r="F61" s="27">
        <v>2098</v>
      </c>
      <c r="G61" s="90">
        <f t="shared" ref="G61:G62" si="64">E61*F61</f>
        <v>116564.88</v>
      </c>
      <c r="H61" s="76" t="s">
        <v>57</v>
      </c>
      <c r="I61" s="93">
        <v>17</v>
      </c>
      <c r="J61" s="18">
        <v>1500</v>
      </c>
      <c r="K61" s="9">
        <f t="shared" ref="K61:K62" si="65">J61/I61</f>
        <v>88.235294117647058</v>
      </c>
      <c r="L61" s="93">
        <v>17</v>
      </c>
      <c r="M61" s="10">
        <f t="shared" ref="M61:M62" si="66">F61/V61*60</f>
        <v>1339.1489361702129</v>
      </c>
      <c r="N61" s="10">
        <f>M61/L61</f>
        <v>78.773466833541931</v>
      </c>
      <c r="O61" s="11">
        <f>L61-I61</f>
        <v>0</v>
      </c>
      <c r="P61" s="12">
        <f>N61-K61</f>
        <v>-9.4618272841051265</v>
      </c>
      <c r="Q61" s="91">
        <f>N61/K61</f>
        <v>0.89276595744680853</v>
      </c>
      <c r="R61" s="470">
        <f>Q63</f>
        <v>0.89432818420285609</v>
      </c>
      <c r="S61" s="24">
        <v>0.70833333333333337</v>
      </c>
      <c r="T61" s="24">
        <v>0.77361111111111114</v>
      </c>
      <c r="U61" s="15"/>
      <c r="V61" s="94">
        <f t="shared" ref="V61:V62" si="67">(T61-S61)*24*60</f>
        <v>93.999999999999986</v>
      </c>
      <c r="W61" s="15"/>
      <c r="X61" s="15"/>
      <c r="Y61" s="456"/>
      <c r="Z61" s="456"/>
      <c r="AA61" s="11">
        <f t="shared" si="2"/>
        <v>-160.85106382978711</v>
      </c>
      <c r="AB61" s="91">
        <f t="shared" si="54"/>
        <v>0.89276595744680864</v>
      </c>
      <c r="AC61" s="470">
        <f>AB63</f>
        <v>0.89432818420285609</v>
      </c>
    </row>
    <row r="62" spans="1:29" ht="15.75" customHeight="1">
      <c r="A62" s="461" t="s">
        <v>10</v>
      </c>
      <c r="B62" s="26" t="s">
        <v>13</v>
      </c>
      <c r="C62" s="487" t="s">
        <v>64</v>
      </c>
      <c r="D62" s="487"/>
      <c r="E62" s="26">
        <v>55.32</v>
      </c>
      <c r="F62" s="27">
        <v>1635</v>
      </c>
      <c r="G62" s="90">
        <f t="shared" si="64"/>
        <v>90448.2</v>
      </c>
      <c r="H62" s="76" t="s">
        <v>57</v>
      </c>
      <c r="I62" s="93">
        <v>15</v>
      </c>
      <c r="J62" s="18">
        <v>1500</v>
      </c>
      <c r="K62" s="9">
        <f t="shared" si="65"/>
        <v>100</v>
      </c>
      <c r="L62" s="93">
        <v>15</v>
      </c>
      <c r="M62" s="10">
        <f t="shared" si="66"/>
        <v>1343.8356164383551</v>
      </c>
      <c r="N62" s="10">
        <f t="shared" ref="N62" si="68">M62/L62</f>
        <v>89.589041095890337</v>
      </c>
      <c r="O62" s="11">
        <f t="shared" ref="O62" si="69">L62-I62</f>
        <v>0</v>
      </c>
      <c r="P62" s="12">
        <f t="shared" ref="P62" si="70">N62-K62</f>
        <v>-10.410958904109663</v>
      </c>
      <c r="Q62" s="91">
        <f t="shared" ref="Q62" si="71">N62/K62</f>
        <v>0.89589041095890343</v>
      </c>
      <c r="R62" s="470"/>
      <c r="S62" s="24">
        <v>0.77916666666666667</v>
      </c>
      <c r="T62" s="24">
        <v>0.82986111111111116</v>
      </c>
      <c r="U62" s="90">
        <f t="shared" ref="U62" si="72">(S62-T61)*24*60</f>
        <v>7.9999999999999716</v>
      </c>
      <c r="V62" s="94">
        <f t="shared" si="67"/>
        <v>73.000000000000057</v>
      </c>
      <c r="W62" s="14"/>
      <c r="X62" s="14"/>
      <c r="Y62" s="456"/>
      <c r="Z62" s="456"/>
      <c r="AA62" s="11">
        <f t="shared" si="2"/>
        <v>-156.16438356164485</v>
      </c>
      <c r="AB62" s="91">
        <f t="shared" si="54"/>
        <v>0.89589041095890343</v>
      </c>
      <c r="AC62" s="470"/>
    </row>
    <row r="63" spans="1:29">
      <c r="A63" s="496" t="s">
        <v>10</v>
      </c>
      <c r="B63" s="26" t="s">
        <v>236</v>
      </c>
      <c r="C63" s="466"/>
      <c r="D63" s="466"/>
      <c r="E63" s="89"/>
      <c r="F63" s="16"/>
      <c r="G63" s="9"/>
      <c r="H63" s="95"/>
      <c r="I63" s="17">
        <v>16</v>
      </c>
      <c r="J63" s="18">
        <v>1500</v>
      </c>
      <c r="K63" s="9">
        <f>J63/I63</f>
        <v>93.75</v>
      </c>
      <c r="L63" s="17">
        <v>16</v>
      </c>
      <c r="M63" s="10">
        <f>AVERAGE(M61:M62)</f>
        <v>1341.4922763042841</v>
      </c>
      <c r="N63" s="9">
        <f>M63/L63</f>
        <v>83.843267269017758</v>
      </c>
      <c r="O63" s="11">
        <f>L63-I63</f>
        <v>0</v>
      </c>
      <c r="P63" s="12">
        <f>N63-K63</f>
        <v>-9.9067327309822417</v>
      </c>
      <c r="Q63" s="91">
        <f>N63/K63</f>
        <v>0.89432818420285609</v>
      </c>
      <c r="R63" s="470"/>
      <c r="S63" s="25"/>
      <c r="T63" s="24"/>
      <c r="U63" s="9"/>
      <c r="V63" s="94"/>
      <c r="W63" s="9"/>
      <c r="X63" s="9"/>
      <c r="Y63" s="456"/>
      <c r="Z63" s="456"/>
      <c r="AA63" s="11">
        <f t="shared" si="2"/>
        <v>-158.50772369571587</v>
      </c>
      <c r="AB63" s="91">
        <f t="shared" si="54"/>
        <v>0.89432818420285609</v>
      </c>
      <c r="AC63" s="470"/>
    </row>
    <row r="64" spans="1:29" ht="15.75" customHeight="1">
      <c r="A64" s="499" t="s">
        <v>246</v>
      </c>
      <c r="B64" s="95" t="s">
        <v>18</v>
      </c>
      <c r="C64" s="487" t="s">
        <v>19</v>
      </c>
      <c r="D64" s="487"/>
      <c r="E64" s="26">
        <v>41</v>
      </c>
      <c r="F64" s="27">
        <v>1683</v>
      </c>
      <c r="G64" s="90">
        <f t="shared" ref="G64:G68" si="73">E64*F64</f>
        <v>69003</v>
      </c>
      <c r="H64" s="76" t="s">
        <v>57</v>
      </c>
      <c r="I64" s="93">
        <v>21</v>
      </c>
      <c r="J64" s="18">
        <v>1286</v>
      </c>
      <c r="K64" s="9">
        <f t="shared" ref="K64:K68" si="74">J64/I64</f>
        <v>61.238095238095241</v>
      </c>
      <c r="L64" s="17">
        <v>21</v>
      </c>
      <c r="M64" s="10">
        <f t="shared" ref="M64:M68" si="75">F64/V64*60</f>
        <v>1160.6896551724142</v>
      </c>
      <c r="N64" s="9">
        <f>M64/L64</f>
        <v>55.270935960591153</v>
      </c>
      <c r="O64" s="11">
        <f t="shared" ref="O64:O68" si="76">L64-I64</f>
        <v>0</v>
      </c>
      <c r="P64" s="12">
        <f t="shared" ref="P64:P68" si="77">N64-K64</f>
        <v>-5.9671592775040878</v>
      </c>
      <c r="Q64" s="91">
        <f>N64/K64</f>
        <v>0.90255805223360352</v>
      </c>
      <c r="R64" s="470">
        <f>Q69</f>
        <v>0.89962449814120482</v>
      </c>
      <c r="S64" s="24">
        <v>0.20833333333333334</v>
      </c>
      <c r="T64" s="24">
        <v>0.26874999999999999</v>
      </c>
      <c r="U64" s="90"/>
      <c r="V64" s="94">
        <f t="shared" ref="V64:V68" si="78">(T64-S64)*24*60</f>
        <v>86.999999999999972</v>
      </c>
      <c r="W64" s="15"/>
      <c r="X64" s="15"/>
      <c r="Y64" s="456"/>
      <c r="Z64" s="456"/>
      <c r="AA64" s="11">
        <f t="shared" si="2"/>
        <v>-125.31034482758582</v>
      </c>
      <c r="AB64" s="91">
        <f t="shared" si="54"/>
        <v>0.90255805223360352</v>
      </c>
      <c r="AC64" s="470">
        <f>AB69</f>
        <v>0.89962449814120482</v>
      </c>
    </row>
    <row r="65" spans="1:29" ht="15.75" customHeight="1">
      <c r="A65" s="499" t="s">
        <v>11</v>
      </c>
      <c r="B65" s="95" t="s">
        <v>15</v>
      </c>
      <c r="C65" s="487" t="s">
        <v>39</v>
      </c>
      <c r="D65" s="487"/>
      <c r="E65" s="26">
        <v>26.97</v>
      </c>
      <c r="F65" s="27">
        <v>3552</v>
      </c>
      <c r="G65" s="90">
        <f t="shared" si="73"/>
        <v>95797.440000000002</v>
      </c>
      <c r="H65" s="76" t="s">
        <v>57</v>
      </c>
      <c r="I65" s="93">
        <v>11</v>
      </c>
      <c r="J65" s="18">
        <v>1440</v>
      </c>
      <c r="K65" s="9">
        <f t="shared" si="74"/>
        <v>130.90909090909091</v>
      </c>
      <c r="L65" s="17">
        <v>11</v>
      </c>
      <c r="M65" s="10">
        <f t="shared" si="75"/>
        <v>1291.636363636364</v>
      </c>
      <c r="N65" s="9">
        <f t="shared" ref="N65:N68" si="79">M65/L65</f>
        <v>117.42148760330582</v>
      </c>
      <c r="O65" s="11">
        <f t="shared" si="76"/>
        <v>0</v>
      </c>
      <c r="P65" s="12">
        <f t="shared" si="77"/>
        <v>-13.487603305785086</v>
      </c>
      <c r="Q65" s="91">
        <f t="shared" ref="Q65:Q68" si="80">N65/K65</f>
        <v>0.89696969696969731</v>
      </c>
      <c r="R65" s="470"/>
      <c r="S65" s="24">
        <v>0.27361111111111108</v>
      </c>
      <c r="T65" s="24">
        <v>0.3881944444444444</v>
      </c>
      <c r="U65" s="90">
        <f>(S65-T64)*24*60</f>
        <v>6.9999999999999751</v>
      </c>
      <c r="V65" s="94">
        <f t="shared" si="78"/>
        <v>164.99999999999997</v>
      </c>
      <c r="W65" s="90"/>
      <c r="X65" s="90"/>
      <c r="Y65" s="456"/>
      <c r="Z65" s="456"/>
      <c r="AA65" s="11">
        <f t="shared" si="2"/>
        <v>-148.36363636363603</v>
      </c>
      <c r="AB65" s="91">
        <f t="shared" si="54"/>
        <v>0.89696969696969719</v>
      </c>
      <c r="AC65" s="470"/>
    </row>
    <row r="66" spans="1:29" ht="15.75" customHeight="1">
      <c r="A66" s="499" t="s">
        <v>11</v>
      </c>
      <c r="B66" s="95" t="s">
        <v>33</v>
      </c>
      <c r="C66" s="487" t="s">
        <v>41</v>
      </c>
      <c r="D66" s="487"/>
      <c r="E66" s="26">
        <v>34.35</v>
      </c>
      <c r="F66" s="27">
        <v>1320</v>
      </c>
      <c r="G66" s="90">
        <f t="shared" si="73"/>
        <v>45342</v>
      </c>
      <c r="H66" s="76" t="s">
        <v>57</v>
      </c>
      <c r="I66" s="93">
        <v>10</v>
      </c>
      <c r="J66" s="18">
        <v>3000</v>
      </c>
      <c r="K66" s="9">
        <f t="shared" si="74"/>
        <v>300</v>
      </c>
      <c r="L66" s="17">
        <v>10</v>
      </c>
      <c r="M66" s="10">
        <f t="shared" si="75"/>
        <v>2731.0344827586227</v>
      </c>
      <c r="N66" s="9">
        <f t="shared" si="79"/>
        <v>273.10344827586226</v>
      </c>
      <c r="O66" s="11">
        <f t="shared" si="76"/>
        <v>0</v>
      </c>
      <c r="P66" s="12">
        <f t="shared" si="77"/>
        <v>-26.896551724137737</v>
      </c>
      <c r="Q66" s="91">
        <f t="shared" si="80"/>
        <v>0.91034482758620749</v>
      </c>
      <c r="R66" s="470"/>
      <c r="S66" s="24">
        <v>0.39166666666666661</v>
      </c>
      <c r="T66" s="24">
        <v>0.41180555555555548</v>
      </c>
      <c r="U66" s="90">
        <f t="shared" ref="U66:U68" si="81">(S66-T65)*24*60</f>
        <v>4.9999999999999822</v>
      </c>
      <c r="V66" s="94">
        <f t="shared" si="78"/>
        <v>28.999999999999979</v>
      </c>
      <c r="W66" s="90"/>
      <c r="X66" s="90"/>
      <c r="Y66" s="456"/>
      <c r="Z66" s="456"/>
      <c r="AA66" s="11">
        <f t="shared" si="2"/>
        <v>-268.96551724137726</v>
      </c>
      <c r="AB66" s="91">
        <f t="shared" si="54"/>
        <v>0.91034482758620761</v>
      </c>
      <c r="AC66" s="470"/>
    </row>
    <row r="67" spans="1:29" ht="15.75" customHeight="1">
      <c r="A67" s="499" t="s">
        <v>11</v>
      </c>
      <c r="B67" s="95" t="s">
        <v>33</v>
      </c>
      <c r="C67" s="487" t="s">
        <v>73</v>
      </c>
      <c r="D67" s="487"/>
      <c r="E67" s="26">
        <v>28.5</v>
      </c>
      <c r="F67" s="27">
        <v>2047</v>
      </c>
      <c r="G67" s="90">
        <f t="shared" si="73"/>
        <v>58339.5</v>
      </c>
      <c r="H67" s="76" t="s">
        <v>57</v>
      </c>
      <c r="I67" s="93">
        <v>10</v>
      </c>
      <c r="J67" s="18">
        <v>3000</v>
      </c>
      <c r="K67" s="9">
        <f t="shared" si="74"/>
        <v>300</v>
      </c>
      <c r="L67" s="17">
        <v>10</v>
      </c>
      <c r="M67" s="10">
        <f t="shared" si="75"/>
        <v>2670</v>
      </c>
      <c r="N67" s="9">
        <f t="shared" si="79"/>
        <v>267</v>
      </c>
      <c r="O67" s="11">
        <f t="shared" si="76"/>
        <v>0</v>
      </c>
      <c r="P67" s="12">
        <f t="shared" si="77"/>
        <v>-33</v>
      </c>
      <c r="Q67" s="91">
        <f t="shared" si="80"/>
        <v>0.89</v>
      </c>
      <c r="R67" s="470"/>
      <c r="S67" s="24">
        <v>0.41597222222222213</v>
      </c>
      <c r="T67" s="24">
        <v>0.44791666666666657</v>
      </c>
      <c r="U67" s="90">
        <f t="shared" si="81"/>
        <v>5.9999999999999787</v>
      </c>
      <c r="V67" s="94">
        <f t="shared" si="78"/>
        <v>46</v>
      </c>
      <c r="W67" s="90"/>
      <c r="X67" s="90"/>
      <c r="Y67" s="456"/>
      <c r="Z67" s="456"/>
      <c r="AA67" s="11">
        <f t="shared" si="2"/>
        <v>-330</v>
      </c>
      <c r="AB67" s="91">
        <f t="shared" si="54"/>
        <v>0.89</v>
      </c>
      <c r="AC67" s="470"/>
    </row>
    <row r="68" spans="1:29">
      <c r="A68" s="500" t="s">
        <v>11</v>
      </c>
      <c r="B68" s="95" t="s">
        <v>33</v>
      </c>
      <c r="C68" s="487" t="s">
        <v>36</v>
      </c>
      <c r="D68" s="487"/>
      <c r="E68" s="26">
        <v>26.78</v>
      </c>
      <c r="F68" s="27">
        <v>2471</v>
      </c>
      <c r="G68" s="90">
        <f t="shared" si="73"/>
        <v>66173.38</v>
      </c>
      <c r="H68" s="76" t="s">
        <v>57</v>
      </c>
      <c r="I68" s="93">
        <v>10</v>
      </c>
      <c r="J68" s="18">
        <v>3000</v>
      </c>
      <c r="K68" s="9">
        <f t="shared" si="74"/>
        <v>300</v>
      </c>
      <c r="L68" s="17">
        <v>10</v>
      </c>
      <c r="M68" s="10">
        <f t="shared" si="75"/>
        <v>2695.6363636363653</v>
      </c>
      <c r="N68" s="9">
        <f t="shared" si="79"/>
        <v>269.56363636363653</v>
      </c>
      <c r="O68" s="11">
        <f t="shared" si="76"/>
        <v>0</v>
      </c>
      <c r="P68" s="12">
        <f t="shared" si="77"/>
        <v>-30.436363636363467</v>
      </c>
      <c r="Q68" s="91">
        <f t="shared" si="80"/>
        <v>0.89854545454545509</v>
      </c>
      <c r="R68" s="470"/>
      <c r="S68" s="24">
        <v>0.45208333333333323</v>
      </c>
      <c r="T68" s="24">
        <v>0.49027777777777765</v>
      </c>
      <c r="U68" s="90">
        <f t="shared" si="81"/>
        <v>5.9999999999999787</v>
      </c>
      <c r="V68" s="94">
        <f t="shared" si="78"/>
        <v>54.999999999999964</v>
      </c>
      <c r="W68" s="14"/>
      <c r="X68" s="14"/>
      <c r="Y68" s="456"/>
      <c r="Z68" s="456"/>
      <c r="AA68" s="11">
        <f t="shared" si="2"/>
        <v>-304.36363636363467</v>
      </c>
      <c r="AB68" s="91">
        <f t="shared" si="54"/>
        <v>0.89854545454545509</v>
      </c>
      <c r="AC68" s="470"/>
    </row>
    <row r="69" spans="1:29">
      <c r="A69" s="500" t="s">
        <v>11</v>
      </c>
      <c r="B69" s="26" t="s">
        <v>236</v>
      </c>
      <c r="C69" s="466"/>
      <c r="D69" s="466"/>
      <c r="E69" s="89"/>
      <c r="F69" s="16"/>
      <c r="G69" s="9"/>
      <c r="H69" s="95"/>
      <c r="I69" s="17">
        <v>12.4</v>
      </c>
      <c r="J69" s="18">
        <v>2345.1999999999998</v>
      </c>
      <c r="K69" s="9">
        <f>J69/I69</f>
        <v>189.12903225806448</v>
      </c>
      <c r="L69" s="17">
        <v>12.4</v>
      </c>
      <c r="M69" s="10">
        <f>AVERAGE(M64:M68)</f>
        <v>2109.7993730407534</v>
      </c>
      <c r="N69" s="9">
        <f>M69/L69</f>
        <v>170.14511072909301</v>
      </c>
      <c r="O69" s="11">
        <f>L69-I69</f>
        <v>0</v>
      </c>
      <c r="P69" s="12">
        <f>N69-K69</f>
        <v>-18.983921528971479</v>
      </c>
      <c r="Q69" s="91">
        <f>N69/K69</f>
        <v>0.89962449814120482</v>
      </c>
      <c r="R69" s="470"/>
      <c r="S69" s="24"/>
      <c r="T69" s="24"/>
      <c r="U69" s="9"/>
      <c r="V69" s="94"/>
      <c r="W69" s="9"/>
      <c r="X69" s="9"/>
      <c r="Y69" s="456"/>
      <c r="Z69" s="456"/>
      <c r="AA69" s="11">
        <f t="shared" ref="AA69:AA77" si="82">M69-J69</f>
        <v>-235.40062695924644</v>
      </c>
      <c r="AB69" s="91">
        <f t="shared" si="54"/>
        <v>0.89962449814120482</v>
      </c>
      <c r="AC69" s="470"/>
    </row>
    <row r="70" spans="1:29" ht="15.75" customHeight="1">
      <c r="A70" s="467" t="s">
        <v>247</v>
      </c>
      <c r="B70" s="95" t="s">
        <v>24</v>
      </c>
      <c r="C70" s="487" t="s">
        <v>44</v>
      </c>
      <c r="D70" s="487"/>
      <c r="E70" s="26">
        <v>29.58</v>
      </c>
      <c r="F70" s="95">
        <v>4000</v>
      </c>
      <c r="G70" s="90">
        <f t="shared" ref="G70:G76" si="83">E70*F70</f>
        <v>118320</v>
      </c>
      <c r="H70" s="76">
        <v>2</v>
      </c>
      <c r="I70" s="93">
        <v>17</v>
      </c>
      <c r="J70" s="18">
        <v>2400</v>
      </c>
      <c r="K70" s="9">
        <f t="shared" ref="K70:K72" si="84">J70/I70</f>
        <v>141.1764705882353</v>
      </c>
      <c r="L70" s="17">
        <v>17</v>
      </c>
      <c r="M70" s="10">
        <f>F70/V70*60</f>
        <v>2142.8571428571431</v>
      </c>
      <c r="N70" s="9">
        <f t="shared" ref="N70:N76" si="85">M70/L70</f>
        <v>126.05042016806725</v>
      </c>
      <c r="O70" s="11">
        <f t="shared" ref="O70:O76" si="86">L70-I70</f>
        <v>0</v>
      </c>
      <c r="P70" s="12">
        <f t="shared" ref="P70:P76" si="87">N70-K70</f>
        <v>-15.126050420168056</v>
      </c>
      <c r="Q70" s="91">
        <f>N70/K70</f>
        <v>0.8928571428571429</v>
      </c>
      <c r="R70" s="470">
        <f>Q77</f>
        <v>0.89634743436407138</v>
      </c>
      <c r="S70" s="24">
        <v>0.16666666666666666</v>
      </c>
      <c r="T70" s="24">
        <v>0.24444444444444444</v>
      </c>
      <c r="U70" s="15"/>
      <c r="V70" s="94">
        <f t="shared" ref="V70:V76" si="88">(T70-S70)*24*60</f>
        <v>112</v>
      </c>
      <c r="W70" s="14"/>
      <c r="X70" s="14"/>
      <c r="Y70" s="456"/>
      <c r="Z70" s="456"/>
      <c r="AA70" s="11">
        <f t="shared" si="82"/>
        <v>-257.14285714285688</v>
      </c>
      <c r="AB70" s="91">
        <f>M70/J70</f>
        <v>0.89285714285714302</v>
      </c>
      <c r="AC70" s="470">
        <f>AB77</f>
        <v>0.89634743436407138</v>
      </c>
    </row>
    <row r="71" spans="1:29" ht="15.75" customHeight="1">
      <c r="A71" s="467" t="s">
        <v>12</v>
      </c>
      <c r="B71" s="95" t="s">
        <v>24</v>
      </c>
      <c r="C71" s="487" t="s">
        <v>45</v>
      </c>
      <c r="D71" s="487"/>
      <c r="E71" s="26">
        <v>19.02</v>
      </c>
      <c r="F71" s="95">
        <v>5600</v>
      </c>
      <c r="G71" s="90">
        <f t="shared" si="83"/>
        <v>106512</v>
      </c>
      <c r="H71" s="76">
        <v>2</v>
      </c>
      <c r="I71" s="93">
        <v>16</v>
      </c>
      <c r="J71" s="18">
        <v>2400</v>
      </c>
      <c r="K71" s="9">
        <f t="shared" si="84"/>
        <v>150</v>
      </c>
      <c r="L71" s="17">
        <v>16</v>
      </c>
      <c r="M71" s="10">
        <f t="shared" ref="M71:M76" si="89">F71/V71*60</f>
        <v>2140.1273885350324</v>
      </c>
      <c r="N71" s="9">
        <f t="shared" si="85"/>
        <v>133.75796178343953</v>
      </c>
      <c r="O71" s="11">
        <f t="shared" si="86"/>
        <v>0</v>
      </c>
      <c r="P71" s="12">
        <f t="shared" si="87"/>
        <v>-16.242038216560474</v>
      </c>
      <c r="Q71" s="91">
        <f t="shared" ref="Q71:Q77" si="90">N71/K71</f>
        <v>0.89171974522293018</v>
      </c>
      <c r="R71" s="470"/>
      <c r="S71" s="24">
        <v>0.24791666666666665</v>
      </c>
      <c r="T71" s="24">
        <v>0.3569444444444444</v>
      </c>
      <c r="U71" s="90">
        <f>(S71-T70)*24*60</f>
        <v>4.9999999999999822</v>
      </c>
      <c r="V71" s="94">
        <f t="shared" si="88"/>
        <v>156.99999999999997</v>
      </c>
      <c r="W71" s="14"/>
      <c r="X71" s="14"/>
      <c r="Y71" s="456"/>
      <c r="Z71" s="456"/>
      <c r="AA71" s="11">
        <f t="shared" si="82"/>
        <v>-259.87261146496758</v>
      </c>
      <c r="AB71" s="91">
        <f t="shared" ref="AB71:AB77" si="91">M71/J71</f>
        <v>0.89171974522293018</v>
      </c>
      <c r="AC71" s="470"/>
    </row>
    <row r="72" spans="1:29" ht="15.75" customHeight="1">
      <c r="A72" s="467" t="s">
        <v>12</v>
      </c>
      <c r="B72" s="95" t="s">
        <v>24</v>
      </c>
      <c r="C72" s="487" t="s">
        <v>56</v>
      </c>
      <c r="D72" s="487"/>
      <c r="E72" s="26">
        <v>20.2</v>
      </c>
      <c r="F72" s="95">
        <v>2737</v>
      </c>
      <c r="G72" s="90">
        <f t="shared" si="83"/>
        <v>55287.4</v>
      </c>
      <c r="H72" s="76" t="s">
        <v>57</v>
      </c>
      <c r="I72" s="93">
        <v>19</v>
      </c>
      <c r="J72" s="18">
        <v>2400</v>
      </c>
      <c r="K72" s="9">
        <f t="shared" si="84"/>
        <v>126.31578947368421</v>
      </c>
      <c r="L72" s="17">
        <v>19</v>
      </c>
      <c r="M72" s="10">
        <f t="shared" si="89"/>
        <v>2160.7894736842113</v>
      </c>
      <c r="N72" s="9">
        <f t="shared" si="85"/>
        <v>113.72576177285323</v>
      </c>
      <c r="O72" s="11">
        <f t="shared" si="86"/>
        <v>0</v>
      </c>
      <c r="P72" s="12">
        <f t="shared" si="87"/>
        <v>-12.590027700830973</v>
      </c>
      <c r="Q72" s="91">
        <f t="shared" si="90"/>
        <v>0.90032894736842151</v>
      </c>
      <c r="R72" s="470"/>
      <c r="S72" s="24">
        <v>0.36041666666666661</v>
      </c>
      <c r="T72" s="24">
        <v>0.41319444444444436</v>
      </c>
      <c r="U72" s="90">
        <f t="shared" ref="U72:U76" si="92">(S72-T71)*24*60</f>
        <v>4.9999999999999822</v>
      </c>
      <c r="V72" s="94">
        <f t="shared" si="88"/>
        <v>75.999999999999972</v>
      </c>
      <c r="W72" s="14"/>
      <c r="X72" s="14"/>
      <c r="Y72" s="456"/>
      <c r="Z72" s="456"/>
      <c r="AA72" s="11">
        <f t="shared" si="82"/>
        <v>-239.21052631578868</v>
      </c>
      <c r="AB72" s="91">
        <f t="shared" si="91"/>
        <v>0.9003289473684214</v>
      </c>
      <c r="AC72" s="470"/>
    </row>
    <row r="73" spans="1:29" ht="15.75" customHeight="1">
      <c r="A73" s="467" t="s">
        <v>12</v>
      </c>
      <c r="B73" s="95" t="s">
        <v>24</v>
      </c>
      <c r="C73" s="487" t="s">
        <v>83</v>
      </c>
      <c r="D73" s="487"/>
      <c r="E73" s="26">
        <v>32.03</v>
      </c>
      <c r="F73" s="95">
        <v>2444</v>
      </c>
      <c r="G73" s="90">
        <f t="shared" si="83"/>
        <v>78281.320000000007</v>
      </c>
      <c r="H73" s="76" t="s">
        <v>57</v>
      </c>
      <c r="I73" s="93">
        <v>19</v>
      </c>
      <c r="J73" s="18">
        <v>2400</v>
      </c>
      <c r="K73" s="9">
        <f>J73/I73</f>
        <v>126.31578947368421</v>
      </c>
      <c r="L73" s="17">
        <v>19</v>
      </c>
      <c r="M73" s="10">
        <f t="shared" si="89"/>
        <v>2156.4705882352937</v>
      </c>
      <c r="N73" s="9">
        <f t="shared" si="85"/>
        <v>113.49845201238388</v>
      </c>
      <c r="O73" s="11">
        <f t="shared" si="86"/>
        <v>0</v>
      </c>
      <c r="P73" s="12">
        <f t="shared" si="87"/>
        <v>-12.817337461300326</v>
      </c>
      <c r="Q73" s="91">
        <f t="shared" si="90"/>
        <v>0.8985294117647058</v>
      </c>
      <c r="R73" s="470"/>
      <c r="S73" s="24">
        <v>0.41666666666666657</v>
      </c>
      <c r="T73" s="24">
        <v>0.4638888888888888</v>
      </c>
      <c r="U73" s="90">
        <f t="shared" si="92"/>
        <v>4.9999999999999822</v>
      </c>
      <c r="V73" s="94">
        <f t="shared" si="88"/>
        <v>68</v>
      </c>
      <c r="W73" s="14"/>
      <c r="X73" s="14"/>
      <c r="Y73" s="456"/>
      <c r="Z73" s="456"/>
      <c r="AA73" s="11">
        <f t="shared" si="82"/>
        <v>-243.52941176470631</v>
      </c>
      <c r="AB73" s="91">
        <f t="shared" si="91"/>
        <v>0.89852941176470569</v>
      </c>
      <c r="AC73" s="470"/>
    </row>
    <row r="74" spans="1:29" ht="15.75" customHeight="1">
      <c r="A74" s="467" t="s">
        <v>12</v>
      </c>
      <c r="B74" s="95" t="s">
        <v>24</v>
      </c>
      <c r="C74" s="487" t="s">
        <v>28</v>
      </c>
      <c r="D74" s="487"/>
      <c r="E74" s="26">
        <v>22.69</v>
      </c>
      <c r="F74" s="95">
        <v>1412</v>
      </c>
      <c r="G74" s="90">
        <f t="shared" si="83"/>
        <v>32038.280000000002</v>
      </c>
      <c r="H74" s="76" t="s">
        <v>57</v>
      </c>
      <c r="I74" s="93">
        <v>18</v>
      </c>
      <c r="J74" s="18">
        <v>2400</v>
      </c>
      <c r="K74" s="9">
        <f t="shared" ref="K74:K77" si="93">J74/I74</f>
        <v>133.33333333333334</v>
      </c>
      <c r="L74" s="17">
        <v>18</v>
      </c>
      <c r="M74" s="10">
        <f t="shared" si="89"/>
        <v>2172.307692307691</v>
      </c>
      <c r="N74" s="9">
        <f t="shared" si="85"/>
        <v>120.68376068376061</v>
      </c>
      <c r="O74" s="11">
        <f t="shared" si="86"/>
        <v>0</v>
      </c>
      <c r="P74" s="12">
        <f t="shared" si="87"/>
        <v>-12.649572649572733</v>
      </c>
      <c r="Q74" s="91">
        <f t="shared" si="90"/>
        <v>0.90512820512820447</v>
      </c>
      <c r="R74" s="470"/>
      <c r="S74" s="24">
        <v>0.46874999999999989</v>
      </c>
      <c r="T74" s="24">
        <v>0.49583333333333324</v>
      </c>
      <c r="U74" s="90">
        <f t="shared" si="92"/>
        <v>6.9999999999999751</v>
      </c>
      <c r="V74" s="94">
        <f t="shared" si="88"/>
        <v>39.000000000000021</v>
      </c>
      <c r="W74" s="14"/>
      <c r="X74" s="14"/>
      <c r="Y74" s="456"/>
      <c r="Z74" s="456"/>
      <c r="AA74" s="11">
        <f t="shared" si="82"/>
        <v>-227.69230769230899</v>
      </c>
      <c r="AB74" s="91">
        <f t="shared" si="91"/>
        <v>0.90512820512820458</v>
      </c>
      <c r="AC74" s="470"/>
    </row>
    <row r="75" spans="1:29" ht="15.75" customHeight="1">
      <c r="A75" s="467" t="s">
        <v>12</v>
      </c>
      <c r="B75" s="95" t="s">
        <v>24</v>
      </c>
      <c r="C75" s="487" t="s">
        <v>44</v>
      </c>
      <c r="D75" s="487"/>
      <c r="E75" s="26">
        <v>29.58</v>
      </c>
      <c r="F75" s="95">
        <v>5329</v>
      </c>
      <c r="G75" s="90">
        <f t="shared" si="83"/>
        <v>157631.81999999998</v>
      </c>
      <c r="H75" s="76" t="s">
        <v>57</v>
      </c>
      <c r="I75" s="93">
        <v>17</v>
      </c>
      <c r="J75" s="18">
        <v>2400</v>
      </c>
      <c r="K75" s="9">
        <f t="shared" si="93"/>
        <v>141.1764705882353</v>
      </c>
      <c r="L75" s="17">
        <v>17</v>
      </c>
      <c r="M75" s="10">
        <f t="shared" si="89"/>
        <v>2145.9060402684572</v>
      </c>
      <c r="N75" s="9">
        <f t="shared" si="85"/>
        <v>126.22976707461513</v>
      </c>
      <c r="O75" s="11">
        <f t="shared" si="86"/>
        <v>0</v>
      </c>
      <c r="P75" s="12">
        <f t="shared" si="87"/>
        <v>-14.946703513620179</v>
      </c>
      <c r="Q75" s="91">
        <f t="shared" si="90"/>
        <v>0.89412751677852376</v>
      </c>
      <c r="R75" s="470"/>
      <c r="S75" s="24">
        <v>0.53749999999999987</v>
      </c>
      <c r="T75" s="24">
        <v>0.64097222222222205</v>
      </c>
      <c r="U75" s="90">
        <f t="shared" si="92"/>
        <v>59.999999999999943</v>
      </c>
      <c r="V75" s="94">
        <f t="shared" si="88"/>
        <v>148.99999999999994</v>
      </c>
      <c r="W75" s="14"/>
      <c r="X75" s="14"/>
      <c r="Y75" s="456"/>
      <c r="Z75" s="456"/>
      <c r="AA75" s="11">
        <f t="shared" si="82"/>
        <v>-254.09395973154278</v>
      </c>
      <c r="AB75" s="91">
        <f t="shared" si="91"/>
        <v>0.89412751677852387</v>
      </c>
      <c r="AC75" s="470"/>
    </row>
    <row r="76" spans="1:29" ht="15.75" customHeight="1">
      <c r="A76" s="467" t="s">
        <v>12</v>
      </c>
      <c r="B76" s="95" t="s">
        <v>24</v>
      </c>
      <c r="C76" s="491" t="s">
        <v>45</v>
      </c>
      <c r="D76" s="492"/>
      <c r="E76" s="26">
        <v>19.02</v>
      </c>
      <c r="F76" s="95">
        <v>3995</v>
      </c>
      <c r="G76" s="90">
        <f t="shared" si="83"/>
        <v>75984.899999999994</v>
      </c>
      <c r="H76" s="76" t="s">
        <v>57</v>
      </c>
      <c r="I76" s="93">
        <v>16</v>
      </c>
      <c r="J76" s="18">
        <v>2400</v>
      </c>
      <c r="K76" s="9">
        <f t="shared" si="93"/>
        <v>150</v>
      </c>
      <c r="L76" s="17">
        <v>16</v>
      </c>
      <c r="M76" s="10">
        <f t="shared" si="89"/>
        <v>2140.1785714285697</v>
      </c>
      <c r="N76" s="9">
        <f t="shared" si="85"/>
        <v>133.76116071428561</v>
      </c>
      <c r="O76" s="11">
        <f t="shared" si="86"/>
        <v>0</v>
      </c>
      <c r="P76" s="12">
        <f t="shared" si="87"/>
        <v>-16.238839285714391</v>
      </c>
      <c r="Q76" s="91">
        <f t="shared" si="90"/>
        <v>0.89174107142857073</v>
      </c>
      <c r="R76" s="470"/>
      <c r="S76" s="24">
        <v>0.64444444444444426</v>
      </c>
      <c r="T76" s="24">
        <v>0.7222222222222221</v>
      </c>
      <c r="U76" s="90">
        <f t="shared" si="92"/>
        <v>4.9999999999999822</v>
      </c>
      <c r="V76" s="94">
        <f t="shared" si="88"/>
        <v>112.00000000000009</v>
      </c>
      <c r="W76" s="14"/>
      <c r="X76" s="14"/>
      <c r="Y76" s="473"/>
      <c r="Z76" s="474"/>
      <c r="AA76" s="11">
        <f t="shared" si="82"/>
        <v>-259.82142857143026</v>
      </c>
      <c r="AB76" s="91">
        <f t="shared" si="91"/>
        <v>0.89174107142857073</v>
      </c>
      <c r="AC76" s="470"/>
    </row>
    <row r="77" spans="1:29" ht="16.5" customHeight="1">
      <c r="A77" s="501" t="s">
        <v>12</v>
      </c>
      <c r="B77" s="26" t="s">
        <v>239</v>
      </c>
      <c r="C77" s="466"/>
      <c r="D77" s="466"/>
      <c r="E77" s="89"/>
      <c r="F77" s="16"/>
      <c r="G77" s="9"/>
      <c r="H77" s="95"/>
      <c r="I77" s="17">
        <v>17.428571428571427</v>
      </c>
      <c r="J77" s="18">
        <v>2400</v>
      </c>
      <c r="K77" s="9">
        <f t="shared" si="93"/>
        <v>137.70491803278691</v>
      </c>
      <c r="L77" s="17">
        <v>17.428571428571427</v>
      </c>
      <c r="M77" s="10">
        <f>AVERAGE(M70:M76)</f>
        <v>2151.2338424737713</v>
      </c>
      <c r="N77" s="9">
        <f>M77/L77</f>
        <v>123.43144997800329</v>
      </c>
      <c r="O77" s="11">
        <f>L77-I77</f>
        <v>0</v>
      </c>
      <c r="P77" s="12">
        <f>N77-K77</f>
        <v>-14.273468054783621</v>
      </c>
      <c r="Q77" s="91">
        <f t="shared" si="90"/>
        <v>0.89634743436407138</v>
      </c>
      <c r="R77" s="470"/>
      <c r="S77" s="24"/>
      <c r="T77" s="24"/>
      <c r="U77" s="9"/>
      <c r="V77" s="94"/>
      <c r="W77" s="9"/>
      <c r="X77" s="9"/>
      <c r="Y77" s="456"/>
      <c r="Z77" s="456"/>
      <c r="AA77" s="11">
        <f t="shared" si="82"/>
        <v>-248.76615752622865</v>
      </c>
      <c r="AB77" s="91">
        <f t="shared" si="91"/>
        <v>0.89634743436407138</v>
      </c>
      <c r="AC77" s="470"/>
    </row>
    <row r="78" spans="1:29">
      <c r="D78" s="19"/>
      <c r="E78" s="19"/>
    </row>
  </sheetData>
  <mergeCells count="207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C8:AC13"/>
    <mergeCell ref="C9:D9"/>
    <mergeCell ref="Y9:Z9"/>
    <mergeCell ref="C10:D10"/>
    <mergeCell ref="Y10:Z10"/>
    <mergeCell ref="C11:D11"/>
    <mergeCell ref="AC3:AC4"/>
    <mergeCell ref="A5:A7"/>
    <mergeCell ref="C5:D5"/>
    <mergeCell ref="R5:R7"/>
    <mergeCell ref="Y5:Z5"/>
    <mergeCell ref="AC5:AC7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Y11:Z11"/>
    <mergeCell ref="C12:D12"/>
    <mergeCell ref="Y12:Z12"/>
    <mergeCell ref="C13:D13"/>
    <mergeCell ref="Y13:Z13"/>
    <mergeCell ref="A14:A19"/>
    <mergeCell ref="C14:D14"/>
    <mergeCell ref="R14:R19"/>
    <mergeCell ref="Y14:Z14"/>
    <mergeCell ref="Y19:Z19"/>
    <mergeCell ref="A8:A13"/>
    <mergeCell ref="C8:D8"/>
    <mergeCell ref="R8:R13"/>
    <mergeCell ref="Y8:Z8"/>
    <mergeCell ref="AC20:AC27"/>
    <mergeCell ref="C21:D21"/>
    <mergeCell ref="Y21:Z21"/>
    <mergeCell ref="C22:D22"/>
    <mergeCell ref="Y22:Z22"/>
    <mergeCell ref="C23:D23"/>
    <mergeCell ref="AC14:AC19"/>
    <mergeCell ref="C15:D15"/>
    <mergeCell ref="Y15:Z15"/>
    <mergeCell ref="C16:D16"/>
    <mergeCell ref="Y16:Z16"/>
    <mergeCell ref="C17:D17"/>
    <mergeCell ref="Y17:Z17"/>
    <mergeCell ref="C18:D18"/>
    <mergeCell ref="Y18:Z18"/>
    <mergeCell ref="C19:D19"/>
    <mergeCell ref="Y23:Z23"/>
    <mergeCell ref="C24:D24"/>
    <mergeCell ref="Y24:Z24"/>
    <mergeCell ref="C25:D25"/>
    <mergeCell ref="Y25:Z25"/>
    <mergeCell ref="C26:D26"/>
    <mergeCell ref="Y26:Z26"/>
    <mergeCell ref="A20:A27"/>
    <mergeCell ref="C20:D20"/>
    <mergeCell ref="R20:R27"/>
    <mergeCell ref="Y20:Z20"/>
    <mergeCell ref="C27:D27"/>
    <mergeCell ref="Y27:Z27"/>
    <mergeCell ref="A28:A38"/>
    <mergeCell ref="C28:D28"/>
    <mergeCell ref="R28:R38"/>
    <mergeCell ref="Y28:Z28"/>
    <mergeCell ref="Y33:Z33"/>
    <mergeCell ref="C34:D34"/>
    <mergeCell ref="Y34:Z34"/>
    <mergeCell ref="C35:D35"/>
    <mergeCell ref="AC39:AC47"/>
    <mergeCell ref="C40:D40"/>
    <mergeCell ref="Y40:Z40"/>
    <mergeCell ref="C41:D41"/>
    <mergeCell ref="Y41:Z41"/>
    <mergeCell ref="C42:D42"/>
    <mergeCell ref="Y35:Z35"/>
    <mergeCell ref="C36:D36"/>
    <mergeCell ref="Y36:Z36"/>
    <mergeCell ref="C37:D37"/>
    <mergeCell ref="Y37:Z37"/>
    <mergeCell ref="C38:D38"/>
    <mergeCell ref="Y38:Z38"/>
    <mergeCell ref="AC28:AC38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42:Z42"/>
    <mergeCell ref="C43:D43"/>
    <mergeCell ref="Y43:Z43"/>
    <mergeCell ref="C44:D44"/>
    <mergeCell ref="Y44:Z44"/>
    <mergeCell ref="C45:D45"/>
    <mergeCell ref="Y45:Z45"/>
    <mergeCell ref="A39:A47"/>
    <mergeCell ref="C39:D39"/>
    <mergeCell ref="R39:R47"/>
    <mergeCell ref="Y39:Z39"/>
    <mergeCell ref="C46:D46"/>
    <mergeCell ref="Y46:Z46"/>
    <mergeCell ref="C47:D47"/>
    <mergeCell ref="Y47:Z47"/>
    <mergeCell ref="A48:A60"/>
    <mergeCell ref="C48:D48"/>
    <mergeCell ref="R48:R60"/>
    <mergeCell ref="Y48:Z48"/>
    <mergeCell ref="Y53:Z53"/>
    <mergeCell ref="C54:D54"/>
    <mergeCell ref="AC48:AC60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C58:D58"/>
    <mergeCell ref="Y58:Z58"/>
    <mergeCell ref="C59:D59"/>
    <mergeCell ref="Y59:Z59"/>
    <mergeCell ref="C60:D60"/>
    <mergeCell ref="Y60:Z60"/>
    <mergeCell ref="Y54:Z54"/>
    <mergeCell ref="C55:D55"/>
    <mergeCell ref="Y55:Z55"/>
    <mergeCell ref="C56:D56"/>
    <mergeCell ref="Y56:Z56"/>
    <mergeCell ref="C57:D57"/>
    <mergeCell ref="Y57:Z57"/>
    <mergeCell ref="AC64:AC69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  <mergeCell ref="Y69:Z69"/>
    <mergeCell ref="A61:A63"/>
    <mergeCell ref="C61:D61"/>
    <mergeCell ref="R61:R63"/>
    <mergeCell ref="Y61:Z61"/>
    <mergeCell ref="AC61:AC63"/>
    <mergeCell ref="C62:D62"/>
    <mergeCell ref="Y62:Z62"/>
    <mergeCell ref="C63:D63"/>
    <mergeCell ref="Y63:Z63"/>
    <mergeCell ref="A70:A77"/>
    <mergeCell ref="C70:D70"/>
    <mergeCell ref="R70:R77"/>
    <mergeCell ref="Y70:Z70"/>
    <mergeCell ref="Y75:Z75"/>
    <mergeCell ref="A64:A69"/>
    <mergeCell ref="C64:D64"/>
    <mergeCell ref="R64:R69"/>
    <mergeCell ref="Y64:Z64"/>
    <mergeCell ref="C76:D76"/>
    <mergeCell ref="Y76:Z76"/>
    <mergeCell ref="C77:D77"/>
    <mergeCell ref="Y77:Z77"/>
    <mergeCell ref="AC70:AC77"/>
    <mergeCell ref="C71:D71"/>
    <mergeCell ref="Y71:Z71"/>
    <mergeCell ref="C72:D72"/>
    <mergeCell ref="Y72:Z72"/>
    <mergeCell ref="C73:D73"/>
    <mergeCell ref="Y73:Z73"/>
    <mergeCell ref="C74:D74"/>
    <mergeCell ref="Y74:Z74"/>
    <mergeCell ref="C75:D75"/>
  </mergeCells>
  <phoneticPr fontId="3" type="noConversion"/>
  <conditionalFormatting sqref="O67:O75 O77 O5:O8 O13:O15 O60:O64 O19:O35 O38:O53">
    <cfRule type="cellIs" dxfId="288" priority="89" operator="greaterThan">
      <formula>0</formula>
    </cfRule>
  </conditionalFormatting>
  <conditionalFormatting sqref="P5:P6 P67:P68 AA67:AA68 P70:P75 P28:P35 P64 P8 P13:P15 P20:P26 P61:P62 P39:P53 AA5:AA64 AA70:AA77">
    <cfRule type="cellIs" dxfId="287" priority="93" operator="lessThan">
      <formula>0</formula>
    </cfRule>
  </conditionalFormatting>
  <conditionalFormatting sqref="AB67:AB68 Q67:Q75 Q77 Q5:Q8 Q13:Q15 Q60:Q64 Q19:Q35 Q38:Q53 AB5:AB64 AB70:AB77">
    <cfRule type="cellIs" dxfId="286" priority="90" operator="greaterThan">
      <formula>1</formula>
    </cfRule>
    <cfRule type="cellIs" dxfId="285" priority="91" operator="lessThan">
      <formula>0.8</formula>
    </cfRule>
  </conditionalFormatting>
  <conditionalFormatting sqref="AC14:AC15 R14:R15 AC67 R67:R75 R19:R25 AC19:AC25 AC27:AC35 R27:R35 R77 AC5:AC8 R5:R8 R38:R53 AC38:AC53 AC60:AC64 R60:R64">
    <cfRule type="cellIs" dxfId="284" priority="95" operator="lessThan">
      <formula>0.8</formula>
    </cfRule>
  </conditionalFormatting>
  <conditionalFormatting sqref="AC48">
    <cfRule type="cellIs" dxfId="283" priority="97" operator="lessThan">
      <formula>0.8</formula>
    </cfRule>
  </conditionalFormatting>
  <conditionalFormatting sqref="AC20:AC25">
    <cfRule type="cellIs" dxfId="282" priority="94" operator="lessThan">
      <formula>0.8</formula>
    </cfRule>
  </conditionalFormatting>
  <conditionalFormatting sqref="AC28">
    <cfRule type="cellIs" dxfId="281" priority="96" operator="lessThan">
      <formula>0.8</formula>
    </cfRule>
  </conditionalFormatting>
  <conditionalFormatting sqref="AC39:AC46">
    <cfRule type="cellIs" dxfId="280" priority="92" operator="lessThan">
      <formula>0.8</formula>
    </cfRule>
  </conditionalFormatting>
  <conditionalFormatting sqref="AA69">
    <cfRule type="cellIs" dxfId="279" priority="88" operator="lessThan">
      <formula>0</formula>
    </cfRule>
  </conditionalFormatting>
  <conditionalFormatting sqref="AB69">
    <cfRule type="cellIs" dxfId="278" priority="86" operator="greaterThan">
      <formula>1</formula>
    </cfRule>
    <cfRule type="cellIs" dxfId="277" priority="87" operator="lessThan">
      <formula>0.8</formula>
    </cfRule>
  </conditionalFormatting>
  <conditionalFormatting sqref="O16:O17">
    <cfRule type="cellIs" dxfId="276" priority="81" operator="greaterThan">
      <formula>0</formula>
    </cfRule>
  </conditionalFormatting>
  <conditionalFormatting sqref="P16:P17">
    <cfRule type="cellIs" dxfId="275" priority="84" operator="lessThan">
      <formula>0</formula>
    </cfRule>
  </conditionalFormatting>
  <conditionalFormatting sqref="Q16:Q17">
    <cfRule type="cellIs" dxfId="274" priority="82" operator="greaterThan">
      <formula>1</formula>
    </cfRule>
    <cfRule type="cellIs" dxfId="273" priority="83" operator="lessThan">
      <formula>0.8</formula>
    </cfRule>
  </conditionalFormatting>
  <conditionalFormatting sqref="R16:R17 AC16:AC17">
    <cfRule type="cellIs" dxfId="272" priority="85" operator="lessThan">
      <formula>0.8</formula>
    </cfRule>
  </conditionalFormatting>
  <conditionalFormatting sqref="O9:O12">
    <cfRule type="cellIs" dxfId="271" priority="77" operator="greaterThan">
      <formula>0</formula>
    </cfRule>
  </conditionalFormatting>
  <conditionalFormatting sqref="P9:P12">
    <cfRule type="cellIs" dxfId="270" priority="80" operator="lessThan">
      <formula>0</formula>
    </cfRule>
  </conditionalFormatting>
  <conditionalFormatting sqref="Q9:Q12">
    <cfRule type="cellIs" dxfId="269" priority="78" operator="greaterThan">
      <formula>1</formula>
    </cfRule>
    <cfRule type="cellIs" dxfId="268" priority="79" operator="lessThan">
      <formula>0.8</formula>
    </cfRule>
  </conditionalFormatting>
  <conditionalFormatting sqref="O66">
    <cfRule type="cellIs" dxfId="267" priority="72" operator="greaterThan">
      <formula>0</formula>
    </cfRule>
  </conditionalFormatting>
  <conditionalFormatting sqref="P66 AA66">
    <cfRule type="cellIs" dxfId="266" priority="75" operator="lessThan">
      <formula>0</formula>
    </cfRule>
  </conditionalFormatting>
  <conditionalFormatting sqref="Q66 AB66">
    <cfRule type="cellIs" dxfId="265" priority="73" operator="greaterThan">
      <formula>1</formula>
    </cfRule>
    <cfRule type="cellIs" dxfId="264" priority="74" operator="lessThan">
      <formula>0.8</formula>
    </cfRule>
  </conditionalFormatting>
  <conditionalFormatting sqref="R66 AC66">
    <cfRule type="cellIs" dxfId="263" priority="76" operator="lessThan">
      <formula>0.8</formula>
    </cfRule>
  </conditionalFormatting>
  <conditionalFormatting sqref="O36">
    <cfRule type="cellIs" dxfId="262" priority="67" operator="greaterThan">
      <formula>0</formula>
    </cfRule>
  </conditionalFormatting>
  <conditionalFormatting sqref="P36">
    <cfRule type="cellIs" dxfId="261" priority="70" operator="lessThan">
      <formula>0</formula>
    </cfRule>
  </conditionalFormatting>
  <conditionalFormatting sqref="Q36">
    <cfRule type="cellIs" dxfId="260" priority="68" operator="greaterThan">
      <formula>1</formula>
    </cfRule>
    <cfRule type="cellIs" dxfId="259" priority="69" operator="lessThan">
      <formula>0.8</formula>
    </cfRule>
  </conditionalFormatting>
  <conditionalFormatting sqref="R36 AC36">
    <cfRule type="cellIs" dxfId="258" priority="71" operator="lessThan">
      <formula>0.8</formula>
    </cfRule>
  </conditionalFormatting>
  <conditionalFormatting sqref="O76">
    <cfRule type="cellIs" dxfId="257" priority="62" operator="greaterThan">
      <formula>0</formula>
    </cfRule>
  </conditionalFormatting>
  <conditionalFormatting sqref="P76">
    <cfRule type="cellIs" dxfId="256" priority="65" operator="lessThan">
      <formula>0</formula>
    </cfRule>
  </conditionalFormatting>
  <conditionalFormatting sqref="Q76">
    <cfRule type="cellIs" dxfId="255" priority="63" operator="greaterThan">
      <formula>1</formula>
    </cfRule>
    <cfRule type="cellIs" dxfId="254" priority="64" operator="lessThan">
      <formula>0.8</formula>
    </cfRule>
  </conditionalFormatting>
  <conditionalFormatting sqref="R76">
    <cfRule type="cellIs" dxfId="253" priority="66" operator="lessThan">
      <formula>0.8</formula>
    </cfRule>
  </conditionalFormatting>
  <conditionalFormatting sqref="O18">
    <cfRule type="cellIs" dxfId="252" priority="57" operator="greaterThan">
      <formula>0</formula>
    </cfRule>
  </conditionalFormatting>
  <conditionalFormatting sqref="P18">
    <cfRule type="cellIs" dxfId="251" priority="60" operator="lessThan">
      <formula>0</formula>
    </cfRule>
  </conditionalFormatting>
  <conditionalFormatting sqref="Q18">
    <cfRule type="cellIs" dxfId="250" priority="58" operator="greaterThan">
      <formula>1</formula>
    </cfRule>
    <cfRule type="cellIs" dxfId="249" priority="59" operator="lessThan">
      <formula>0.8</formula>
    </cfRule>
  </conditionalFormatting>
  <conditionalFormatting sqref="R18 AC18">
    <cfRule type="cellIs" dxfId="248" priority="61" operator="lessThan">
      <formula>0.8</formula>
    </cfRule>
  </conditionalFormatting>
  <conditionalFormatting sqref="O37">
    <cfRule type="cellIs" dxfId="247" priority="52" operator="greaterThan">
      <formula>0</formula>
    </cfRule>
  </conditionalFormatting>
  <conditionalFormatting sqref="P37">
    <cfRule type="cellIs" dxfId="246" priority="55" operator="lessThan">
      <formula>0</formula>
    </cfRule>
  </conditionalFormatting>
  <conditionalFormatting sqref="Q37">
    <cfRule type="cellIs" dxfId="245" priority="53" operator="greaterThan">
      <formula>1</formula>
    </cfRule>
    <cfRule type="cellIs" dxfId="244" priority="54" operator="lessThan">
      <formula>0.8</formula>
    </cfRule>
  </conditionalFormatting>
  <conditionalFormatting sqref="R37 AC37">
    <cfRule type="cellIs" dxfId="243" priority="56" operator="lessThan">
      <formula>0.8</formula>
    </cfRule>
  </conditionalFormatting>
  <conditionalFormatting sqref="O54">
    <cfRule type="cellIs" dxfId="242" priority="46" operator="greaterThan">
      <formula>0</formula>
    </cfRule>
  </conditionalFormatting>
  <conditionalFormatting sqref="P54">
    <cfRule type="cellIs" dxfId="241" priority="50" operator="lessThan">
      <formula>0</formula>
    </cfRule>
  </conditionalFormatting>
  <conditionalFormatting sqref="Q54">
    <cfRule type="cellIs" dxfId="240" priority="47" operator="greaterThan">
      <formula>1</formula>
    </cfRule>
    <cfRule type="cellIs" dxfId="239" priority="48" operator="lessThan">
      <formula>0.8</formula>
    </cfRule>
  </conditionalFormatting>
  <conditionalFormatting sqref="R54 AC54">
    <cfRule type="cellIs" dxfId="238" priority="51" operator="lessThan">
      <formula>0.8</formula>
    </cfRule>
  </conditionalFormatting>
  <conditionalFormatting sqref="AC54">
    <cfRule type="cellIs" dxfId="237" priority="49" operator="lessThan">
      <formula>0.8</formula>
    </cfRule>
  </conditionalFormatting>
  <conditionalFormatting sqref="O55">
    <cfRule type="cellIs" dxfId="236" priority="40" operator="greaterThan">
      <formula>0</formula>
    </cfRule>
  </conditionalFormatting>
  <conditionalFormatting sqref="P55">
    <cfRule type="cellIs" dxfId="235" priority="44" operator="lessThan">
      <formula>0</formula>
    </cfRule>
  </conditionalFormatting>
  <conditionalFormatting sqref="Q55">
    <cfRule type="cellIs" dxfId="234" priority="41" operator="greaterThan">
      <formula>1</formula>
    </cfRule>
    <cfRule type="cellIs" dxfId="233" priority="42" operator="lessThan">
      <formula>0.8</formula>
    </cfRule>
  </conditionalFormatting>
  <conditionalFormatting sqref="R55 AC55">
    <cfRule type="cellIs" dxfId="232" priority="45" operator="lessThan">
      <formula>0.8</formula>
    </cfRule>
  </conditionalFormatting>
  <conditionalFormatting sqref="AC55">
    <cfRule type="cellIs" dxfId="231" priority="43" operator="lessThan">
      <formula>0.8</formula>
    </cfRule>
  </conditionalFormatting>
  <conditionalFormatting sqref="R26 AC26">
    <cfRule type="cellIs" dxfId="230" priority="39" operator="lessThan">
      <formula>0.8</formula>
    </cfRule>
  </conditionalFormatting>
  <conditionalFormatting sqref="AC26">
    <cfRule type="cellIs" dxfId="229" priority="38" operator="lessThan">
      <formula>0.8</formula>
    </cfRule>
  </conditionalFormatting>
  <conditionalFormatting sqref="O56">
    <cfRule type="cellIs" dxfId="228" priority="32" operator="greaterThan">
      <formula>0</formula>
    </cfRule>
  </conditionalFormatting>
  <conditionalFormatting sqref="P56">
    <cfRule type="cellIs" dxfId="227" priority="36" operator="lessThan">
      <formula>0</formula>
    </cfRule>
  </conditionalFormatting>
  <conditionalFormatting sqref="Q56">
    <cfRule type="cellIs" dxfId="226" priority="33" operator="greaterThan">
      <formula>1</formula>
    </cfRule>
    <cfRule type="cellIs" dxfId="225" priority="34" operator="lessThan">
      <formula>0.8</formula>
    </cfRule>
  </conditionalFormatting>
  <conditionalFormatting sqref="R56 AC56">
    <cfRule type="cellIs" dxfId="224" priority="37" operator="lessThan">
      <formula>0.8</formula>
    </cfRule>
  </conditionalFormatting>
  <conditionalFormatting sqref="AC56">
    <cfRule type="cellIs" dxfId="223" priority="35" operator="lessThan">
      <formula>0.8</formula>
    </cfRule>
  </conditionalFormatting>
  <conditionalFormatting sqref="O57">
    <cfRule type="cellIs" dxfId="222" priority="26" operator="greaterThan">
      <formula>0</formula>
    </cfRule>
  </conditionalFormatting>
  <conditionalFormatting sqref="P57">
    <cfRule type="cellIs" dxfId="221" priority="30" operator="lessThan">
      <formula>0</formula>
    </cfRule>
  </conditionalFormatting>
  <conditionalFormatting sqref="Q57">
    <cfRule type="cellIs" dxfId="220" priority="27" operator="greaterThan">
      <formula>1</formula>
    </cfRule>
    <cfRule type="cellIs" dxfId="219" priority="28" operator="lessThan">
      <formula>0.8</formula>
    </cfRule>
  </conditionalFormatting>
  <conditionalFormatting sqref="R57 AC57">
    <cfRule type="cellIs" dxfId="218" priority="31" operator="lessThan">
      <formula>0.8</formula>
    </cfRule>
  </conditionalFormatting>
  <conditionalFormatting sqref="AC57">
    <cfRule type="cellIs" dxfId="217" priority="29" operator="lessThan">
      <formula>0.8</formula>
    </cfRule>
  </conditionalFormatting>
  <conditionalFormatting sqref="O58">
    <cfRule type="cellIs" dxfId="216" priority="20" operator="greaterThan">
      <formula>0</formula>
    </cfRule>
  </conditionalFormatting>
  <conditionalFormatting sqref="P58">
    <cfRule type="cellIs" dxfId="215" priority="24" operator="lessThan">
      <formula>0</formula>
    </cfRule>
  </conditionalFormatting>
  <conditionalFormatting sqref="Q58">
    <cfRule type="cellIs" dxfId="214" priority="21" operator="greaterThan">
      <formula>1</formula>
    </cfRule>
    <cfRule type="cellIs" dxfId="213" priority="22" operator="lessThan">
      <formula>0.8</formula>
    </cfRule>
  </conditionalFormatting>
  <conditionalFormatting sqref="R58 AC58">
    <cfRule type="cellIs" dxfId="212" priority="25" operator="lessThan">
      <formula>0.8</formula>
    </cfRule>
  </conditionalFormatting>
  <conditionalFormatting sqref="AC58">
    <cfRule type="cellIs" dxfId="211" priority="23" operator="lessThan">
      <formula>0.8</formula>
    </cfRule>
  </conditionalFormatting>
  <conditionalFormatting sqref="O65">
    <cfRule type="cellIs" dxfId="210" priority="15" operator="greaterThan">
      <formula>0</formula>
    </cfRule>
  </conditionalFormatting>
  <conditionalFormatting sqref="P65 AA65">
    <cfRule type="cellIs" dxfId="209" priority="18" operator="lessThan">
      <formula>0</formula>
    </cfRule>
  </conditionalFormatting>
  <conditionalFormatting sqref="Q65 AB65">
    <cfRule type="cellIs" dxfId="208" priority="16" operator="greaterThan">
      <formula>1</formula>
    </cfRule>
    <cfRule type="cellIs" dxfId="207" priority="17" operator="lessThan">
      <formula>0.8</formula>
    </cfRule>
  </conditionalFormatting>
  <conditionalFormatting sqref="R65 AC65">
    <cfRule type="cellIs" dxfId="206" priority="19" operator="lessThan">
      <formula>0.8</formula>
    </cfRule>
  </conditionalFormatting>
  <conditionalFormatting sqref="P7">
    <cfRule type="cellIs" dxfId="205" priority="14" operator="lessThan">
      <formula>0</formula>
    </cfRule>
  </conditionalFormatting>
  <conditionalFormatting sqref="P19">
    <cfRule type="cellIs" dxfId="204" priority="13" operator="lessThan">
      <formula>0</formula>
    </cfRule>
  </conditionalFormatting>
  <conditionalFormatting sqref="P27">
    <cfRule type="cellIs" dxfId="203" priority="12" operator="lessThan">
      <formula>0</formula>
    </cfRule>
  </conditionalFormatting>
  <conditionalFormatting sqref="P38">
    <cfRule type="cellIs" dxfId="202" priority="11" operator="lessThan">
      <formula>0</formula>
    </cfRule>
  </conditionalFormatting>
  <conditionalFormatting sqref="P60">
    <cfRule type="cellIs" dxfId="201" priority="10" operator="lessThan">
      <formula>0</formula>
    </cfRule>
  </conditionalFormatting>
  <conditionalFormatting sqref="P63">
    <cfRule type="cellIs" dxfId="200" priority="9" operator="lessThan">
      <formula>0</formula>
    </cfRule>
  </conditionalFormatting>
  <conditionalFormatting sqref="P69">
    <cfRule type="cellIs" dxfId="199" priority="8" operator="lessThan">
      <formula>0</formula>
    </cfRule>
  </conditionalFormatting>
  <conditionalFormatting sqref="P77">
    <cfRule type="cellIs" dxfId="198" priority="7" operator="lessThan">
      <formula>0</formula>
    </cfRule>
  </conditionalFormatting>
  <conditionalFormatting sqref="O59">
    <cfRule type="cellIs" dxfId="197" priority="1" operator="greaterThan">
      <formula>0</formula>
    </cfRule>
  </conditionalFormatting>
  <conditionalFormatting sqref="P59">
    <cfRule type="cellIs" dxfId="196" priority="5" operator="lessThan">
      <formula>0</formula>
    </cfRule>
  </conditionalFormatting>
  <conditionalFormatting sqref="Q59">
    <cfRule type="cellIs" dxfId="195" priority="2" operator="greaterThan">
      <formula>1</formula>
    </cfRule>
    <cfRule type="cellIs" dxfId="194" priority="3" operator="lessThan">
      <formula>0.8</formula>
    </cfRule>
  </conditionalFormatting>
  <conditionalFormatting sqref="R59 AC59">
    <cfRule type="cellIs" dxfId="193" priority="6" operator="lessThan">
      <formula>0.8</formula>
    </cfRule>
  </conditionalFormatting>
  <conditionalFormatting sqref="AC59">
    <cfRule type="cellIs" dxfId="192" priority="4" operator="lessThan">
      <formula>0.8</formula>
    </cfRule>
  </conditionalFormatting>
  <dataValidations count="1">
    <dataValidation type="list" allowBlank="1" showInputMessage="1" showErrorMessage="1" sqref="Z7 Z68 Y5:Z6 Y7:Y68 Z9:Z64 Y69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:Q28"/>
  <sheetViews>
    <sheetView topLeftCell="A10" zoomScale="70" zoomScaleNormal="70" workbookViewId="0">
      <selection activeCell="C3" sqref="C3:J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419" t="s">
        <v>126</v>
      </c>
      <c r="C1" s="419"/>
      <c r="D1" s="419"/>
      <c r="E1" s="419"/>
      <c r="F1" s="419"/>
      <c r="G1" s="419"/>
      <c r="H1" s="419"/>
      <c r="I1" s="419"/>
      <c r="J1" s="419"/>
      <c r="K1" s="28"/>
      <c r="L1" s="28"/>
      <c r="M1" s="28"/>
      <c r="N1" s="28"/>
      <c r="O1" s="28"/>
      <c r="P1" s="28"/>
    </row>
    <row r="2" spans="2:17" ht="27.75" customHeight="1">
      <c r="B2" s="420"/>
      <c r="C2" s="420"/>
      <c r="D2" s="420"/>
      <c r="E2" s="420"/>
      <c r="F2" s="420"/>
      <c r="G2" s="420"/>
      <c r="H2" s="420"/>
      <c r="I2" s="420"/>
      <c r="J2" s="420"/>
      <c r="K2" s="30"/>
      <c r="L2" s="30"/>
      <c r="M2" s="30"/>
      <c r="N2" s="28"/>
      <c r="O2" s="28"/>
      <c r="P2" s="28"/>
    </row>
    <row r="3" spans="2:17" ht="46.5" customHeight="1">
      <c r="B3" s="78" t="s">
        <v>89</v>
      </c>
      <c r="C3" s="421" t="str">
        <f>TEXT('0701 4度C'!A2,"yyyy.mm.ddaaaa")</f>
        <v>2025.07.01星期二</v>
      </c>
      <c r="D3" s="421"/>
      <c r="E3" s="78" t="s">
        <v>127</v>
      </c>
      <c r="F3" s="422">
        <f>'0701 4度C'!D1</f>
        <v>170009</v>
      </c>
      <c r="G3" s="422"/>
      <c r="H3" s="78" t="s">
        <v>90</v>
      </c>
      <c r="I3" s="423">
        <f>'0701 4度C'!F1</f>
        <v>5539571.6600000001</v>
      </c>
      <c r="J3" s="423"/>
      <c r="K3" s="31"/>
      <c r="L3" s="32"/>
      <c r="M3" s="33"/>
      <c r="N3" s="33"/>
    </row>
    <row r="4" spans="2:17" ht="28.5" customHeight="1">
      <c r="B4" s="424" t="s">
        <v>91</v>
      </c>
      <c r="C4" s="424" t="s">
        <v>128</v>
      </c>
      <c r="D4" s="424"/>
      <c r="E4" s="425" t="s">
        <v>92</v>
      </c>
      <c r="F4" s="425"/>
      <c r="G4" s="425" t="s">
        <v>129</v>
      </c>
      <c r="H4" s="425"/>
      <c r="I4" s="425" t="s">
        <v>53</v>
      </c>
      <c r="J4" s="425"/>
      <c r="L4" s="33"/>
      <c r="M4" s="33"/>
      <c r="N4" s="33"/>
    </row>
    <row r="5" spans="2:17" ht="28.5" customHeight="1">
      <c r="B5" s="424"/>
      <c r="C5" s="424" t="s">
        <v>93</v>
      </c>
      <c r="D5" s="424"/>
      <c r="E5" s="424" t="s">
        <v>130</v>
      </c>
      <c r="F5" s="424"/>
      <c r="G5" s="426" t="s">
        <v>94</v>
      </c>
      <c r="H5" s="426"/>
      <c r="I5" s="427" t="s">
        <v>70</v>
      </c>
      <c r="J5" s="427"/>
      <c r="K5" s="33"/>
      <c r="L5" s="33"/>
      <c r="M5" s="33"/>
      <c r="N5" s="33"/>
    </row>
    <row r="6" spans="2:17" ht="28.5" customHeight="1">
      <c r="B6" s="424"/>
      <c r="C6" s="424" t="s">
        <v>47</v>
      </c>
      <c r="D6" s="424"/>
      <c r="E6" s="428">
        <f>AVERAGE(D13:M13)</f>
        <v>131.007400620585</v>
      </c>
      <c r="F6" s="424">
        <f>AVERAGE(D27:O27,D13:J13)</f>
        <v>131.95821752928717</v>
      </c>
      <c r="G6" s="429">
        <f>AVERAGE(D13:J13)</f>
        <v>131.95821752928717</v>
      </c>
      <c r="H6" s="429"/>
      <c r="I6" s="429">
        <f>AVERAGE(K13:M13)</f>
        <v>128.78882783361328</v>
      </c>
      <c r="J6" s="429"/>
      <c r="K6" s="33"/>
      <c r="L6" s="33"/>
      <c r="M6" s="33"/>
      <c r="N6" s="33"/>
    </row>
    <row r="7" spans="2:17" ht="28.5" customHeight="1">
      <c r="B7" s="424"/>
      <c r="C7" s="432" t="s">
        <v>48</v>
      </c>
      <c r="D7" s="432"/>
      <c r="E7" s="433">
        <f>AVERAGE(D14:M14)</f>
        <v>117.76311865484999</v>
      </c>
      <c r="F7" s="434">
        <f>AVERAGE(D28:O28,D14:J14)</f>
        <v>118.72600006826126</v>
      </c>
      <c r="G7" s="435">
        <f>AVERAGE(D14:J14)</f>
        <v>118.72600006826126</v>
      </c>
      <c r="H7" s="435"/>
      <c r="I7" s="435">
        <f>AVERAGE(K14:M14)</f>
        <v>115.51639535689036</v>
      </c>
      <c r="J7" s="435"/>
      <c r="K7" s="33"/>
      <c r="L7" s="33"/>
      <c r="M7" s="33"/>
      <c r="N7" s="33"/>
    </row>
    <row r="8" spans="2:17" ht="28.5" customHeight="1">
      <c r="B8" s="424"/>
      <c r="C8" s="432" t="s">
        <v>49</v>
      </c>
      <c r="D8" s="432"/>
      <c r="E8" s="436">
        <f>AVERAGE(D15:M15)</f>
        <v>0.8982301641125543</v>
      </c>
      <c r="F8" s="432">
        <f>AVERAGE(D15:J15,D29:O29)</f>
        <v>0.89874445583526452</v>
      </c>
      <c r="G8" s="437">
        <f>AVERAGE(D15:J15)</f>
        <v>0.89874445583526452</v>
      </c>
      <c r="H8" s="437"/>
      <c r="I8" s="437">
        <f>AVERAGE(K15:M15)</f>
        <v>0.89703015009289755</v>
      </c>
      <c r="J8" s="437"/>
      <c r="K8" s="34" t="s">
        <v>85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438" t="s">
        <v>95</v>
      </c>
      <c r="C10" s="439"/>
      <c r="D10" s="440" t="s">
        <v>131</v>
      </c>
      <c r="E10" s="441"/>
      <c r="F10" s="441"/>
      <c r="G10" s="441"/>
      <c r="H10" s="441"/>
      <c r="I10" s="441"/>
      <c r="J10" s="442"/>
      <c r="K10" s="443" t="s">
        <v>96</v>
      </c>
      <c r="L10" s="444"/>
      <c r="M10" s="445"/>
      <c r="P10" s="37"/>
      <c r="Q10" s="37"/>
    </row>
    <row r="11" spans="2:17" ht="17.25" customHeight="1">
      <c r="B11" s="431" t="s">
        <v>97</v>
      </c>
      <c r="C11" s="446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31"/>
      <c r="C12" s="446"/>
      <c r="D12" s="41" t="s">
        <v>98</v>
      </c>
      <c r="E12" s="42" t="s">
        <v>86</v>
      </c>
      <c r="F12" s="42" t="s">
        <v>132</v>
      </c>
      <c r="G12" s="42" t="s">
        <v>99</v>
      </c>
      <c r="H12" s="42" t="s">
        <v>100</v>
      </c>
      <c r="I12" s="42" t="s">
        <v>101</v>
      </c>
      <c r="J12" s="43" t="s">
        <v>133</v>
      </c>
      <c r="K12" s="41" t="s">
        <v>134</v>
      </c>
      <c r="L12" s="42" t="s">
        <v>77</v>
      </c>
      <c r="M12" s="43" t="s">
        <v>135</v>
      </c>
    </row>
    <row r="13" spans="2:17" ht="40.15" customHeight="1">
      <c r="B13" s="447" t="s">
        <v>114</v>
      </c>
      <c r="C13" s="44" t="s">
        <v>87</v>
      </c>
      <c r="D13" s="45">
        <f>SUMIFS('0701 4度C'!$K:$K,'0701 4度C'!$A:$A,"燴飯線",'0701 4度C'!$B:$B,"平均")</f>
        <v>109.09090909090909</v>
      </c>
      <c r="E13" s="46">
        <f>SUMIFS('0701 4度C'!$K:$K,'0701 4度C'!$A:$A,"沙拉線一線",'0701 4度C'!$B:$B,"平均")</f>
        <v>81.818181818181827</v>
      </c>
      <c r="F13" s="47">
        <f>SUMIFS('0701 4度C'!$K:$K,'0701 4度C'!$A:$A,"沙拉線二線",'0701 4度C'!$B:$B,"平均")</f>
        <v>86.4</v>
      </c>
      <c r="G13" s="47">
        <f>SUMIFS('0701 4度C'!$K:$K,'0701 4度C'!$A:$A,"沙拉線三線",'0701 4度C'!$B:$B,"平均")</f>
        <v>104.6979865771812</v>
      </c>
      <c r="H13" s="47">
        <f>SUMIFS('0701 4度C'!$K:$K,'0701 4度C'!$A:$A,"自動包裝線",'0701 4度C'!$B:$B,"平均")</f>
        <v>286.58536585365852</v>
      </c>
      <c r="I13" s="47">
        <f>SUMIFS('0701 4度C'!$K:$K,'0701 4度C'!$A:$A,"涼麵一線",'0701 4度C'!$B:$B,"平均")</f>
        <v>93.75</v>
      </c>
      <c r="J13" s="48">
        <f>SUMIFS('0701 4度C'!$K:$K,'0701 4度C'!$A:$A,"三明治四線",'0701 4度C'!$B:$B,"平均")</f>
        <v>161.36507936507937</v>
      </c>
      <c r="K13" s="49">
        <f>SUMIFS('0701 4度C'!$K:$K,'0701 4度C'!$A:$A,"三明治一線",'0701 4度C'!$B:$B,"平均")</f>
        <v>128.15533980582524</v>
      </c>
      <c r="L13" s="50">
        <f>SUMIFS('0701 4度C'!$K:$K,'0701 4度C'!$A:$A,"三明治二線",'0701 4度C'!$B:$B,"平均")</f>
        <v>122.72727272727272</v>
      </c>
      <c r="M13" s="48">
        <f>SUMIFS('0701 4度C'!$K:$K,'0701 4度C'!$A:$A,"自動包裝二線",'0701 4度C'!$B:$B,"平均")</f>
        <v>135.48387096774192</v>
      </c>
    </row>
    <row r="14" spans="2:17" ht="39.6" customHeight="1">
      <c r="B14" s="447"/>
      <c r="C14" s="51" t="s">
        <v>88</v>
      </c>
      <c r="D14" s="52">
        <f>SUMIFS('0701 4度C'!$N:$N,'0701 4度C'!$A:$A,"燴飯線",'0701 4度C'!$B:$B,"平均")</f>
        <v>97.926834611171955</v>
      </c>
      <c r="E14" s="53">
        <f>SUMIFS('0701 4度C'!$N:$N,'0701 4度C'!$A:$A,"沙拉線一線",'0701 4度C'!$B:$B,"平均")</f>
        <v>73.475308823619145</v>
      </c>
      <c r="F14" s="53">
        <f>SUMIFS('0701 4度C'!$N:$N,'0701 4度C'!$A:$A,"沙拉線二線",'0701 4度C'!$B:$B,"平均")</f>
        <v>77.475221233289744</v>
      </c>
      <c r="G14" s="53">
        <f>SUMIFS('0701 4度C'!$N:$N,'0701 4度C'!$A:$A,"沙拉線三線",'0701 4度C'!$B:$B,"平均")</f>
        <v>94.120971933799424</v>
      </c>
      <c r="H14" s="53">
        <f>SUMIFS('0701 4度C'!$N:$N,'0701 4度C'!$A:$A,"自動包裝線",'0701 4度C'!$B:$B,"平均")</f>
        <v>258.84417046234569</v>
      </c>
      <c r="I14" s="53">
        <f>SUMIFS('0701 4度C'!$N:$N,'0701 4度C'!$A:$A,"涼麵一線",'0701 4度C'!$B:$B,"平均")</f>
        <v>84.127187267311982</v>
      </c>
      <c r="J14" s="54">
        <f>SUMIFS('0701 4度C'!$N:$N,'0701 4度C'!$A:$A,"三明治四線",'0701 4度C'!$B:$B,"平均")</f>
        <v>145.11230614629085</v>
      </c>
      <c r="K14" s="55">
        <f>SUMIFS('0701 4度C'!$N:$N,'0701 4度C'!$A:$A,"三明治一線",'0701 4度C'!$B:$B,"平均")</f>
        <v>114.98867492195525</v>
      </c>
      <c r="L14" s="56">
        <f>SUMIFS('0701 4度C'!$N:$N,'0701 4度C'!$A:$A,"三明治二線",'0701 4度C'!$B:$B,"平均")</f>
        <v>110.39324365576056</v>
      </c>
      <c r="M14" s="54">
        <f>SUMIFS('0701 4度C'!$N:$N,'0701 4度C'!$A:$A,"自動包裝二線",'0701 4度C'!$B:$B,"平均")</f>
        <v>121.16726749295528</v>
      </c>
    </row>
    <row r="15" spans="2:17" ht="40.15" customHeight="1">
      <c r="B15" s="447"/>
      <c r="C15" s="57" t="s">
        <v>102</v>
      </c>
      <c r="D15" s="58">
        <f>D14/D13</f>
        <v>0.89766265060240957</v>
      </c>
      <c r="E15" s="59">
        <f t="shared" ref="E15:M15" si="0">E14/E13</f>
        <v>0.89803155228867837</v>
      </c>
      <c r="F15" s="59">
        <f t="shared" si="0"/>
        <v>0.89670394945937193</v>
      </c>
      <c r="G15" s="59">
        <f t="shared" si="0"/>
        <v>0.89897594988052021</v>
      </c>
      <c r="H15" s="59">
        <f>H14/H13</f>
        <v>0.90320093523031264</v>
      </c>
      <c r="I15" s="59">
        <f>I14/I13</f>
        <v>0.89735666418466109</v>
      </c>
      <c r="J15" s="60">
        <f>J14/J13</f>
        <v>0.8992794892008974</v>
      </c>
      <c r="K15" s="58">
        <f>K14/K13</f>
        <v>0.89726011492131752</v>
      </c>
      <c r="L15" s="59">
        <f>L14/L13</f>
        <v>0.89950050386175273</v>
      </c>
      <c r="M15" s="60">
        <f t="shared" si="0"/>
        <v>0.8943298314956224</v>
      </c>
    </row>
    <row r="16" spans="2:17" ht="17.25" customHeight="1">
      <c r="B16" s="430" t="s">
        <v>136</v>
      </c>
      <c r="C16" s="77" t="s">
        <v>103</v>
      </c>
      <c r="D16" s="61">
        <f>VLOOKUP("燴飯線",'0701 4度C'!$A:$T,19,0)</f>
        <v>0.70833333333333337</v>
      </c>
      <c r="E16" s="24">
        <f>VLOOKUP("沙拉線一線",'0701 4度C'!$A:$T,19,0)</f>
        <v>0.17013888888888887</v>
      </c>
      <c r="F16" s="24">
        <f>VLOOKUP("沙拉線二線",'0701 4度C'!$A:$T,19,0)</f>
        <v>0.29166666666666669</v>
      </c>
      <c r="G16" s="24">
        <f>VLOOKUP("沙拉線三線",'0701 4度C'!$A:$T,19,0)</f>
        <v>0.33333333333333331</v>
      </c>
      <c r="H16" s="24">
        <f>VLOOKUP("自動包裝線",'0701 4度C'!$A:$T,19,0)</f>
        <v>0.16666666666666666</v>
      </c>
      <c r="I16" s="24">
        <f>VLOOKUP("涼麵一線",'0701 4度C'!$A:$T,19,0)</f>
        <v>0.70833333333333337</v>
      </c>
      <c r="J16" s="62">
        <f>VLOOKUP("三明治四線",'0701 4度C'!$A:$T,19,0)</f>
        <v>0.29166666666666669</v>
      </c>
      <c r="K16" s="63">
        <f>VLOOKUP("三明治一線",'0701 4度C'!$A:$T,19,0)</f>
        <v>0.125</v>
      </c>
      <c r="L16" s="64">
        <f>VLOOKUP("三明治二線",'0701 4度C'!$A:$T,19,0)</f>
        <v>0.125</v>
      </c>
      <c r="M16" s="65">
        <f>VLOOKUP("自動包裝二線",'0701 4度C'!$A:$T,19,0)</f>
        <v>0.16666666666666666</v>
      </c>
    </row>
    <row r="17" spans="2:13" ht="17.25" customHeight="1">
      <c r="B17" s="431"/>
      <c r="C17" s="77" t="s">
        <v>137</v>
      </c>
      <c r="D17" s="63">
        <f>LOOKUP(2,1/(('0701 4度C'!$A:$A="燴飯線")*('0701 4度C'!$T:$T&lt;&gt;"")),'0701 4度C'!$T:$T)</f>
        <v>0.8041666666666667</v>
      </c>
      <c r="E17" s="24">
        <f>LOOKUP(2,1/(('0701 4度C'!$A:$A="沙拉線一線")*('0701 4度C'!$T:$T&lt;&gt;"")),'0701 4度C'!$T:$T)</f>
        <v>0.71041666666666647</v>
      </c>
      <c r="F17" s="24">
        <f>LOOKUP(2,1/(('0701 4度C'!$A:$A="沙拉線二線")*('0701 4度C'!$T:$T&lt;&gt;"")),'0701 4度C'!$T:$T)</f>
        <v>0.85138888888888886</v>
      </c>
      <c r="G17" s="24">
        <f>LOOKUP(2,1/(('0701 4度C'!$A:$A="沙拉線三線")*('0701 4度C'!$T:$T&lt;&gt;"")),'0701 4度C'!$T:$T)</f>
        <v>0.83958333333333346</v>
      </c>
      <c r="H17" s="24">
        <f>LOOKUP(2,1/(('0701 4度C'!$A:$A="自動包裝線")*('0701 4度C'!$T:$T&lt;&gt;"")),'0701 4度C'!$T:$T)</f>
        <v>0.74861111111111078</v>
      </c>
      <c r="I17" s="24">
        <f>LOOKUP(2,1/(('0701 4度C'!$A:$A="涼麵一線")*('0701 4度C'!$T:$T&lt;&gt;"")),'0701 4度C'!$T:$T)</f>
        <v>0.83888888888888891</v>
      </c>
      <c r="J17" s="62">
        <f>LOOKUP(2,1/(('0701 4度C'!$A:$A="三明治四線")*('0701 4度C'!$T:$T&lt;&gt;"")),'0701 4度C'!$T:$T)</f>
        <v>0.56666666666666665</v>
      </c>
      <c r="K17" s="61">
        <f>LOOKUP(2,1/(('0701 4度C'!$A:$A="三明治一線")*('0701 4度C'!$T:$T&lt;&gt;"")),'0701 4度C'!$T:$T)</f>
        <v>0.75138888888888877</v>
      </c>
      <c r="L17" s="24">
        <f>LOOKUP(2,1/(('0701 4度C'!$A:$A="三明治二線")*('0701 4度C'!$T:$T&lt;&gt;"")),'0701 4度C'!$T:$T)</f>
        <v>0.74236111111111103</v>
      </c>
      <c r="M17" s="62">
        <f>LOOKUP(2,1/(('0701 4度C'!$A:$A="自動包裝二線")*('0701 4度C'!$T:$T&lt;&gt;"")),'0701 4度C'!$T:$T)</f>
        <v>0.75833333333333319</v>
      </c>
    </row>
    <row r="18" spans="2:13" ht="17.25" customHeight="1">
      <c r="B18" s="431" t="s">
        <v>138</v>
      </c>
      <c r="C18" s="446"/>
      <c r="D18" s="66">
        <f>SUMIFS('0701 4度C'!$I:$I,'0701 4度C'!$A:$A,"燴飯線",'0701 4度C'!$B:$B,"平均")</f>
        <v>16.5</v>
      </c>
      <c r="E18" s="67">
        <f>SUMIFS('0701 4度C'!$I:$I,'0701 4度C'!$A:$A,"沙拉線一線",'0701 4度C'!$B:$B,"平均")</f>
        <v>18.333333333333332</v>
      </c>
      <c r="F18" s="67">
        <f>SUMIFS('0701 4度C'!$I:$I,'0701 4度C'!$A:$A,"沙拉線二線",'0701 4度C'!$B:$B,"平均")</f>
        <v>17.857142857142858</v>
      </c>
      <c r="G18" s="67">
        <f>SUMIFS('0701 4度C'!$I:$I,'0701 4度C'!$A:$A,"沙拉線三線",'0701 4度C'!$B:$B,"平均")</f>
        <v>16.555555555555557</v>
      </c>
      <c r="H18" s="67">
        <f>SUMIFS('0701 4度C'!$I:$I,'0701 4度C'!$A:$A,"自動包裝線",'0701 4度C'!$B:$B,"平均")</f>
        <v>10.25</v>
      </c>
      <c r="I18" s="67">
        <f>SUMIFS('0701 4度C'!$I:$I,'0701 4度C'!$A:$A,"涼麵一線",'0701 4度C'!$B:$B,"平均")</f>
        <v>16</v>
      </c>
      <c r="J18" s="68">
        <f>SUMIFS('0701 4度C'!$I:$I,'0701 4度C'!$A:$A,"三明治四線",'0701 4度C'!$B:$B,"平均")</f>
        <v>12.6</v>
      </c>
      <c r="K18" s="66">
        <f>SUMIFS('0701 4度C'!$I:$I,'0701 4度C'!$A:$A,"三明治一線",'0701 4度C'!$B:$B,"平均")</f>
        <v>18.727272727272727</v>
      </c>
      <c r="L18" s="67">
        <f>SUMIFS('0701 4度C'!$I:$I,'0701 4度C'!$A:$A,"三明治二線",'0701 4度C'!$B:$B,"平均")</f>
        <v>19.555555555555557</v>
      </c>
      <c r="M18" s="68">
        <f>SUMIFS('0701 4度C'!$I:$I,'0701 4度C'!$A:$A,"自動包裝二線",'0701 4度C'!$B:$B,"平均")</f>
        <v>17.714285714285715</v>
      </c>
    </row>
    <row r="19" spans="2:13" ht="17.25" customHeight="1">
      <c r="B19" s="448" t="s">
        <v>104</v>
      </c>
      <c r="C19" s="449"/>
      <c r="D19" s="69" t="s">
        <v>50</v>
      </c>
      <c r="E19" s="70" t="s">
        <v>51</v>
      </c>
      <c r="F19" s="70" t="s">
        <v>78</v>
      </c>
      <c r="G19" s="70" t="s">
        <v>78</v>
      </c>
      <c r="H19" s="70" t="s">
        <v>52</v>
      </c>
      <c r="I19" s="70" t="s">
        <v>50</v>
      </c>
      <c r="J19" s="71" t="s">
        <v>52</v>
      </c>
      <c r="K19" s="69" t="s">
        <v>105</v>
      </c>
      <c r="L19" s="70" t="s">
        <v>105</v>
      </c>
      <c r="M19" s="71" t="s">
        <v>105</v>
      </c>
    </row>
    <row r="20" spans="2:13" ht="17.25" customHeight="1">
      <c r="B20" s="448" t="s">
        <v>106</v>
      </c>
      <c r="C20" s="449"/>
      <c r="D20" s="69"/>
      <c r="E20" s="70"/>
      <c r="F20" s="70" t="s">
        <v>139</v>
      </c>
      <c r="G20" s="70" t="s">
        <v>50</v>
      </c>
      <c r="H20" s="70"/>
      <c r="I20" s="70"/>
      <c r="J20" s="71"/>
      <c r="K20" s="69"/>
      <c r="L20" s="70"/>
      <c r="M20" s="71"/>
    </row>
    <row r="21" spans="2:13" ht="17.25" customHeight="1" thickBot="1">
      <c r="B21" s="450" t="s">
        <v>140</v>
      </c>
      <c r="C21" s="451"/>
      <c r="D21" s="72"/>
      <c r="E21" s="73" t="s">
        <v>141</v>
      </c>
      <c r="F21" s="452" t="s">
        <v>142</v>
      </c>
      <c r="G21" s="453"/>
      <c r="H21" s="73" t="s">
        <v>107</v>
      </c>
      <c r="I21" s="73" t="s">
        <v>108</v>
      </c>
      <c r="J21" s="74" t="s">
        <v>107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9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>
    <pageSetUpPr fitToPage="1"/>
  </sheetPr>
  <dimension ref="A1:AC89"/>
  <sheetViews>
    <sheetView zoomScale="80" zoomScaleNormal="80" workbookViewId="0">
      <pane ySplit="4" topLeftCell="A5" activePane="bottomLeft" state="frozen"/>
      <selection activeCell="C3" sqref="C3:J3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12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109</v>
      </c>
      <c r="B1" s="1"/>
      <c r="C1" s="2" t="s">
        <v>110</v>
      </c>
      <c r="D1" s="3">
        <f>SUM(F5:F88)</f>
        <v>170009</v>
      </c>
      <c r="E1" s="80" t="s">
        <v>82</v>
      </c>
      <c r="F1" s="1">
        <f>SUM(G5:G88)</f>
        <v>5539571.6600000001</v>
      </c>
      <c r="G1" s="1" t="s">
        <v>111</v>
      </c>
      <c r="H1" s="4">
        <f>L7+L14+L71+L74+L22+L80+L44+L54+L32+L88</f>
        <v>164.09314574314573</v>
      </c>
      <c r="I1" s="454" t="s">
        <v>112</v>
      </c>
      <c r="J1" s="454"/>
      <c r="K1" s="454"/>
      <c r="L1" s="454" t="s">
        <v>113</v>
      </c>
      <c r="M1" s="454"/>
      <c r="N1" s="454"/>
      <c r="O1" s="454" t="s">
        <v>71</v>
      </c>
      <c r="P1" s="454"/>
      <c r="Q1" s="454"/>
      <c r="R1" s="454"/>
      <c r="S1" s="454" t="s">
        <v>143</v>
      </c>
      <c r="T1" s="454"/>
      <c r="U1" s="454"/>
      <c r="V1" s="454"/>
      <c r="W1" s="454"/>
      <c r="X1" s="454"/>
      <c r="Y1" s="454" t="s">
        <v>144</v>
      </c>
      <c r="Z1" s="454"/>
      <c r="AA1" s="454" t="s">
        <v>145</v>
      </c>
      <c r="AB1" s="455"/>
      <c r="AC1" s="455"/>
    </row>
    <row r="2" spans="1:29" ht="26.25" customHeight="1">
      <c r="A2" s="22">
        <v>45839</v>
      </c>
      <c r="B2" s="23" t="s">
        <v>74</v>
      </c>
      <c r="C2" s="2" t="s">
        <v>114</v>
      </c>
      <c r="D2" s="6">
        <f>AVERAGE(N7,N14,N71,N74,N22,N80,N32,N44,N54,N88)</f>
        <v>117.76311865484999</v>
      </c>
      <c r="E2" s="7" t="s">
        <v>0</v>
      </c>
      <c r="F2" s="8">
        <f>F1/D1</f>
        <v>32.583990612261708</v>
      </c>
      <c r="G2" s="1" t="s">
        <v>146</v>
      </c>
      <c r="H2" s="86">
        <f>COUNT(H5:H88)</f>
        <v>26</v>
      </c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5"/>
      <c r="AB2" s="455"/>
      <c r="AC2" s="455"/>
    </row>
    <row r="3" spans="1:29" ht="23.25" customHeight="1">
      <c r="A3" s="456" t="s">
        <v>115</v>
      </c>
      <c r="B3" s="456" t="s">
        <v>116</v>
      </c>
      <c r="C3" s="456" t="s">
        <v>147</v>
      </c>
      <c r="D3" s="456"/>
      <c r="E3" s="457" t="s">
        <v>117</v>
      </c>
      <c r="F3" s="456" t="s">
        <v>118</v>
      </c>
      <c r="G3" s="457" t="s">
        <v>148</v>
      </c>
      <c r="H3" s="463" t="s">
        <v>119</v>
      </c>
      <c r="I3" s="464" t="s">
        <v>76</v>
      </c>
      <c r="J3" s="465" t="s">
        <v>149</v>
      </c>
      <c r="K3" s="459" t="s">
        <v>114</v>
      </c>
      <c r="L3" s="464" t="s">
        <v>76</v>
      </c>
      <c r="M3" s="465" t="s">
        <v>149</v>
      </c>
      <c r="N3" s="459" t="s">
        <v>114</v>
      </c>
      <c r="O3" s="464" t="s">
        <v>76</v>
      </c>
      <c r="P3" s="459" t="s">
        <v>114</v>
      </c>
      <c r="Q3" s="460" t="s">
        <v>121</v>
      </c>
      <c r="R3" s="461" t="s">
        <v>80</v>
      </c>
      <c r="S3" s="462" t="s">
        <v>1</v>
      </c>
      <c r="T3" s="462"/>
      <c r="U3" s="463" t="s">
        <v>2</v>
      </c>
      <c r="V3" s="463" t="s">
        <v>79</v>
      </c>
      <c r="W3" s="456" t="s">
        <v>150</v>
      </c>
      <c r="X3" s="456"/>
      <c r="Y3" s="475" t="s">
        <v>120</v>
      </c>
      <c r="Z3" s="476"/>
      <c r="AA3" s="465" t="s">
        <v>149</v>
      </c>
      <c r="AB3" s="460" t="s">
        <v>121</v>
      </c>
      <c r="AC3" s="461" t="s">
        <v>80</v>
      </c>
    </row>
    <row r="4" spans="1:29">
      <c r="A4" s="456"/>
      <c r="B4" s="456"/>
      <c r="C4" s="456"/>
      <c r="D4" s="456"/>
      <c r="E4" s="458"/>
      <c r="F4" s="456"/>
      <c r="G4" s="458"/>
      <c r="H4" s="463"/>
      <c r="I4" s="464"/>
      <c r="J4" s="465"/>
      <c r="K4" s="459"/>
      <c r="L4" s="464"/>
      <c r="M4" s="465"/>
      <c r="N4" s="459"/>
      <c r="O4" s="464"/>
      <c r="P4" s="459"/>
      <c r="Q4" s="460"/>
      <c r="R4" s="461"/>
      <c r="S4" s="85" t="s">
        <v>3</v>
      </c>
      <c r="T4" s="85" t="s">
        <v>4</v>
      </c>
      <c r="U4" s="463"/>
      <c r="V4" s="463"/>
      <c r="W4" s="80" t="s">
        <v>151</v>
      </c>
      <c r="X4" s="80" t="s">
        <v>122</v>
      </c>
      <c r="Y4" s="476"/>
      <c r="Z4" s="476"/>
      <c r="AA4" s="465"/>
      <c r="AB4" s="460"/>
      <c r="AC4" s="461"/>
    </row>
    <row r="5" spans="1:29">
      <c r="A5" s="471" t="s">
        <v>152</v>
      </c>
      <c r="B5" s="26" t="s">
        <v>13</v>
      </c>
      <c r="C5" s="472" t="s">
        <v>58</v>
      </c>
      <c r="D5" s="472"/>
      <c r="E5" s="26">
        <v>46.93</v>
      </c>
      <c r="F5" s="85">
        <v>1346</v>
      </c>
      <c r="G5" s="80">
        <f>E5*F5</f>
        <v>63167.78</v>
      </c>
      <c r="H5" s="76" t="s">
        <v>57</v>
      </c>
      <c r="I5" s="83">
        <v>17</v>
      </c>
      <c r="J5" s="18">
        <v>1800</v>
      </c>
      <c r="K5" s="9">
        <f>J5/I5</f>
        <v>105.88235294117646</v>
      </c>
      <c r="L5" s="83">
        <v>17</v>
      </c>
      <c r="M5" s="10">
        <f>F5/V5*60</f>
        <v>1615.2000000000005</v>
      </c>
      <c r="N5" s="9">
        <f>M5/L5</f>
        <v>95.011764705882385</v>
      </c>
      <c r="O5" s="11">
        <f t="shared" ref="O5:O6" si="0">L5-I5</f>
        <v>0</v>
      </c>
      <c r="P5" s="12">
        <f t="shared" ref="P5:P6" si="1">N5-K5</f>
        <v>-10.870588235294079</v>
      </c>
      <c r="Q5" s="81">
        <f>N5/K5</f>
        <v>0.89733333333333365</v>
      </c>
      <c r="R5" s="470">
        <f>Q7</f>
        <v>0.89766265060240957</v>
      </c>
      <c r="S5" s="24">
        <v>0.70833333333333337</v>
      </c>
      <c r="T5" s="24">
        <v>0.74305555555555558</v>
      </c>
      <c r="U5" s="80"/>
      <c r="V5" s="84">
        <f>(T5-S5)*24*60</f>
        <v>49.999999999999986</v>
      </c>
      <c r="W5" s="13"/>
      <c r="X5" s="13"/>
      <c r="Y5" s="456"/>
      <c r="Z5" s="456"/>
      <c r="AA5" s="11">
        <f t="shared" ref="AA5:AA68" si="2">M5-J5</f>
        <v>-184.7999999999995</v>
      </c>
      <c r="AB5" s="81">
        <f t="shared" ref="AB5:AB6" si="3">M5/J5</f>
        <v>0.89733333333333365</v>
      </c>
      <c r="AC5" s="470">
        <f>AB7</f>
        <v>0.89766265060240968</v>
      </c>
    </row>
    <row r="6" spans="1:29">
      <c r="A6" s="464" t="s">
        <v>153</v>
      </c>
      <c r="B6" s="26" t="s">
        <v>13</v>
      </c>
      <c r="C6" s="472" t="s">
        <v>60</v>
      </c>
      <c r="D6" s="472"/>
      <c r="E6" s="26">
        <v>50.49</v>
      </c>
      <c r="F6" s="85">
        <v>2236</v>
      </c>
      <c r="G6" s="80">
        <f t="shared" ref="G6" si="4">E6*F6</f>
        <v>112895.64</v>
      </c>
      <c r="H6" s="76" t="s">
        <v>57</v>
      </c>
      <c r="I6" s="83">
        <v>16</v>
      </c>
      <c r="J6" s="18">
        <v>1800</v>
      </c>
      <c r="K6" s="9">
        <f t="shared" ref="K6" si="5">J6/I6</f>
        <v>112.5</v>
      </c>
      <c r="L6" s="83">
        <v>16</v>
      </c>
      <c r="M6" s="10">
        <f>F6/V6*60</f>
        <v>1616.3855421686742</v>
      </c>
      <c r="N6" s="9">
        <f t="shared" ref="N6" si="6">M6/L6</f>
        <v>101.02409638554214</v>
      </c>
      <c r="O6" s="11">
        <f t="shared" si="0"/>
        <v>0</v>
      </c>
      <c r="P6" s="12">
        <f t="shared" si="1"/>
        <v>-11.475903614457863</v>
      </c>
      <c r="Q6" s="81">
        <f t="shared" ref="Q6" si="7">N6/K6</f>
        <v>0.89799196787148561</v>
      </c>
      <c r="R6" s="470"/>
      <c r="S6" s="24">
        <v>0.74652777777777779</v>
      </c>
      <c r="T6" s="24">
        <v>0.8041666666666667</v>
      </c>
      <c r="U6" s="80">
        <f>(S6-T5)*24*60</f>
        <v>4.9999999999999822</v>
      </c>
      <c r="V6" s="84">
        <f>(T6-S6)*24*60</f>
        <v>83.000000000000028</v>
      </c>
      <c r="W6" s="14"/>
      <c r="X6" s="14"/>
      <c r="Y6" s="456"/>
      <c r="Z6" s="456"/>
      <c r="AA6" s="11">
        <f t="shared" si="2"/>
        <v>-183.61445783132581</v>
      </c>
      <c r="AB6" s="81">
        <f t="shared" si="3"/>
        <v>0.89799196787148561</v>
      </c>
      <c r="AC6" s="470"/>
    </row>
    <row r="7" spans="1:29">
      <c r="A7" s="464" t="s">
        <v>153</v>
      </c>
      <c r="B7" s="26" t="s">
        <v>154</v>
      </c>
      <c r="C7" s="466"/>
      <c r="D7" s="466"/>
      <c r="E7" s="79"/>
      <c r="F7" s="16"/>
      <c r="G7" s="9"/>
      <c r="H7" s="85"/>
      <c r="I7" s="17">
        <v>16.5</v>
      </c>
      <c r="J7" s="18">
        <v>1800</v>
      </c>
      <c r="K7" s="9">
        <f>J7/I7</f>
        <v>109.09090909090909</v>
      </c>
      <c r="L7" s="17">
        <v>16.5</v>
      </c>
      <c r="M7" s="10">
        <f>AVERAGE(M5:M6)</f>
        <v>1615.7927710843373</v>
      </c>
      <c r="N7" s="9">
        <f>M7/L7</f>
        <v>97.926834611171955</v>
      </c>
      <c r="O7" s="11">
        <f>L7-I7</f>
        <v>0</v>
      </c>
      <c r="P7" s="12">
        <f>N7-K7</f>
        <v>-11.164074479737138</v>
      </c>
      <c r="Q7" s="81">
        <f>N7/K7</f>
        <v>0.89766265060240957</v>
      </c>
      <c r="R7" s="470"/>
      <c r="S7" s="24"/>
      <c r="T7" s="24"/>
      <c r="U7" s="80"/>
      <c r="V7" s="84"/>
      <c r="W7" s="9"/>
      <c r="X7" s="9"/>
      <c r="Y7" s="456"/>
      <c r="Z7" s="456"/>
      <c r="AA7" s="11">
        <f t="shared" si="2"/>
        <v>-184.20722891566265</v>
      </c>
      <c r="AB7" s="81">
        <f>M7/J7</f>
        <v>0.89766265060240968</v>
      </c>
      <c r="AC7" s="470"/>
    </row>
    <row r="8" spans="1:29" ht="15.75" customHeight="1">
      <c r="A8" s="467" t="s">
        <v>123</v>
      </c>
      <c r="B8" s="26" t="s">
        <v>15</v>
      </c>
      <c r="C8" s="468" t="s">
        <v>16</v>
      </c>
      <c r="D8" s="469"/>
      <c r="E8" s="26">
        <v>39.619999999999997</v>
      </c>
      <c r="F8" s="85">
        <v>2800</v>
      </c>
      <c r="G8" s="80">
        <f t="shared" ref="G8:G13" si="8">E8*F8</f>
        <v>110936</v>
      </c>
      <c r="H8" s="76">
        <v>2</v>
      </c>
      <c r="I8" s="83">
        <v>18</v>
      </c>
      <c r="J8" s="18">
        <v>1500</v>
      </c>
      <c r="K8" s="9">
        <f t="shared" ref="K8:K13" si="9">J8/I8</f>
        <v>83.333333333333329</v>
      </c>
      <c r="L8" s="83">
        <v>18</v>
      </c>
      <c r="M8" s="10">
        <f t="shared" ref="M8:M13" si="10">F8/V8*60</f>
        <v>1344.0000000000002</v>
      </c>
      <c r="N8" s="9">
        <f t="shared" ref="N8:N13" si="11">M8/L8</f>
        <v>74.666666666666686</v>
      </c>
      <c r="O8" s="11">
        <f t="shared" ref="O8:O13" si="12">L8-I8</f>
        <v>0</v>
      </c>
      <c r="P8" s="12">
        <f>N8-K8</f>
        <v>-8.666666666666643</v>
      </c>
      <c r="Q8" s="81">
        <f>N8/K8</f>
        <v>0.89600000000000024</v>
      </c>
      <c r="R8" s="470">
        <f>Q14</f>
        <v>0.89803155228867837</v>
      </c>
      <c r="S8" s="24">
        <v>0.17013888888888887</v>
      </c>
      <c r="T8" s="24">
        <v>0.25694444444444442</v>
      </c>
      <c r="U8" s="80"/>
      <c r="V8" s="84">
        <f t="shared" ref="V8:V13" si="13">(T8-S8)*24*60</f>
        <v>124.99999999999999</v>
      </c>
      <c r="W8" s="9"/>
      <c r="X8" s="9"/>
      <c r="Y8" s="456"/>
      <c r="Z8" s="456"/>
      <c r="AA8" s="11">
        <f t="shared" si="2"/>
        <v>-155.99999999999977</v>
      </c>
      <c r="AB8" s="81">
        <f>M8/J8</f>
        <v>0.89600000000000013</v>
      </c>
      <c r="AC8" s="470">
        <f>AB14</f>
        <v>0.89803155228867837</v>
      </c>
    </row>
    <row r="9" spans="1:29" ht="15.75" customHeight="1">
      <c r="A9" s="467" t="s">
        <v>5</v>
      </c>
      <c r="B9" s="26" t="s">
        <v>15</v>
      </c>
      <c r="C9" s="468" t="s">
        <v>17</v>
      </c>
      <c r="D9" s="469"/>
      <c r="E9" s="26">
        <v>39.799999999999997</v>
      </c>
      <c r="F9" s="85">
        <v>3700</v>
      </c>
      <c r="G9" s="80">
        <f t="shared" si="8"/>
        <v>147260</v>
      </c>
      <c r="H9" s="76">
        <v>2</v>
      </c>
      <c r="I9" s="83">
        <v>19</v>
      </c>
      <c r="J9" s="18">
        <v>1500</v>
      </c>
      <c r="K9" s="9">
        <f t="shared" si="9"/>
        <v>78.94736842105263</v>
      </c>
      <c r="L9" s="83">
        <v>19</v>
      </c>
      <c r="M9" s="10">
        <f t="shared" si="10"/>
        <v>1337.3493975903616</v>
      </c>
      <c r="N9" s="9">
        <f t="shared" si="11"/>
        <v>70.386810399492717</v>
      </c>
      <c r="O9" s="11">
        <f t="shared" si="12"/>
        <v>0</v>
      </c>
      <c r="P9" s="12">
        <f t="shared" ref="P9:P13" si="14">N9-K9</f>
        <v>-8.5605580215599133</v>
      </c>
      <c r="Q9" s="81">
        <f t="shared" ref="Q9:Q13" si="15">N9/K9</f>
        <v>0.89156626506024106</v>
      </c>
      <c r="R9" s="470"/>
      <c r="S9" s="24">
        <v>0.2805555555555555</v>
      </c>
      <c r="T9" s="24">
        <v>0.39583333333333326</v>
      </c>
      <c r="U9" s="80">
        <f>(S9-T8)*24*60</f>
        <v>33.999999999999957</v>
      </c>
      <c r="V9" s="84">
        <f t="shared" si="13"/>
        <v>165.99999999999997</v>
      </c>
      <c r="W9" s="14"/>
      <c r="X9" s="14"/>
      <c r="Y9" s="456"/>
      <c r="Z9" s="456"/>
      <c r="AA9" s="11">
        <f t="shared" si="2"/>
        <v>-162.6506024096384</v>
      </c>
      <c r="AB9" s="81">
        <f t="shared" ref="AB9:AB32" si="16">M9/J9</f>
        <v>0.89156626506024106</v>
      </c>
      <c r="AC9" s="470"/>
    </row>
    <row r="10" spans="1:29" ht="15.75" customHeight="1">
      <c r="A10" s="467" t="s">
        <v>5</v>
      </c>
      <c r="B10" s="26" t="s">
        <v>15</v>
      </c>
      <c r="C10" s="468" t="s">
        <v>54</v>
      </c>
      <c r="D10" s="469"/>
      <c r="E10" s="26">
        <v>39.29</v>
      </c>
      <c r="F10" s="85">
        <v>2500</v>
      </c>
      <c r="G10" s="80">
        <f t="shared" si="8"/>
        <v>98225</v>
      </c>
      <c r="H10" s="76">
        <v>2</v>
      </c>
      <c r="I10" s="83">
        <v>18</v>
      </c>
      <c r="J10" s="18">
        <v>1500</v>
      </c>
      <c r="K10" s="9">
        <f t="shared" si="9"/>
        <v>83.333333333333329</v>
      </c>
      <c r="L10" s="83">
        <v>18</v>
      </c>
      <c r="M10" s="10">
        <f t="shared" si="10"/>
        <v>1351.3513513513512</v>
      </c>
      <c r="N10" s="9">
        <f t="shared" si="11"/>
        <v>75.075075075075063</v>
      </c>
      <c r="O10" s="11">
        <f t="shared" si="12"/>
        <v>0</v>
      </c>
      <c r="P10" s="12">
        <f t="shared" si="14"/>
        <v>-8.258258258258266</v>
      </c>
      <c r="Q10" s="81">
        <f t="shared" si="15"/>
        <v>0.9009009009009008</v>
      </c>
      <c r="R10" s="470"/>
      <c r="S10" s="24">
        <v>0.40347222222222212</v>
      </c>
      <c r="T10" s="24">
        <v>0.48055555555555546</v>
      </c>
      <c r="U10" s="80">
        <f t="shared" ref="U10:U13" si="17">(S10-T9)*24*60</f>
        <v>10.999999999999961</v>
      </c>
      <c r="V10" s="84">
        <f t="shared" si="13"/>
        <v>111</v>
      </c>
      <c r="W10" s="14"/>
      <c r="X10" s="14"/>
      <c r="Y10" s="456"/>
      <c r="Z10" s="456"/>
      <c r="AA10" s="11">
        <f t="shared" si="2"/>
        <v>-148.64864864864876</v>
      </c>
      <c r="AB10" s="81">
        <f t="shared" si="16"/>
        <v>0.9009009009009008</v>
      </c>
      <c r="AC10" s="470"/>
    </row>
    <row r="11" spans="1:29" ht="15.75" customHeight="1">
      <c r="A11" s="467" t="s">
        <v>5</v>
      </c>
      <c r="B11" s="26" t="s">
        <v>15</v>
      </c>
      <c r="C11" s="468" t="s">
        <v>16</v>
      </c>
      <c r="D11" s="469"/>
      <c r="E11" s="26">
        <v>39.619999999999997</v>
      </c>
      <c r="F11" s="85">
        <v>1880</v>
      </c>
      <c r="G11" s="80">
        <f t="shared" si="8"/>
        <v>74485.599999999991</v>
      </c>
      <c r="H11" s="76" t="s">
        <v>57</v>
      </c>
      <c r="I11" s="83">
        <v>18</v>
      </c>
      <c r="J11" s="18">
        <v>1500</v>
      </c>
      <c r="K11" s="9">
        <f t="shared" si="9"/>
        <v>83.333333333333329</v>
      </c>
      <c r="L11" s="83">
        <v>18</v>
      </c>
      <c r="M11" s="10">
        <f t="shared" si="10"/>
        <v>1342.8571428571424</v>
      </c>
      <c r="N11" s="9">
        <f t="shared" si="11"/>
        <v>74.60317460317458</v>
      </c>
      <c r="O11" s="11">
        <f t="shared" si="12"/>
        <v>0</v>
      </c>
      <c r="P11" s="12">
        <f t="shared" si="14"/>
        <v>-8.7301587301587489</v>
      </c>
      <c r="Q11" s="81">
        <f t="shared" si="15"/>
        <v>0.89523809523809506</v>
      </c>
      <c r="R11" s="470"/>
      <c r="S11" s="24">
        <v>0.52152777777777759</v>
      </c>
      <c r="T11" s="24">
        <v>0.57986111111111094</v>
      </c>
      <c r="U11" s="80">
        <f t="shared" si="17"/>
        <v>58.999999999999872</v>
      </c>
      <c r="V11" s="84">
        <f t="shared" si="13"/>
        <v>84.000000000000028</v>
      </c>
      <c r="W11" s="14"/>
      <c r="X11" s="14"/>
      <c r="Y11" s="456"/>
      <c r="Z11" s="456"/>
      <c r="AA11" s="11">
        <f t="shared" si="2"/>
        <v>-157.14285714285757</v>
      </c>
      <c r="AB11" s="81">
        <f t="shared" si="16"/>
        <v>0.89523809523809494</v>
      </c>
      <c r="AC11" s="470"/>
    </row>
    <row r="12" spans="1:29" ht="15.75" customHeight="1">
      <c r="A12" s="467" t="s">
        <v>5</v>
      </c>
      <c r="B12" s="26" t="s">
        <v>15</v>
      </c>
      <c r="C12" s="468" t="s">
        <v>17</v>
      </c>
      <c r="D12" s="469"/>
      <c r="E12" s="26">
        <v>39.799999999999997</v>
      </c>
      <c r="F12" s="85">
        <v>2760</v>
      </c>
      <c r="G12" s="80">
        <f t="shared" si="8"/>
        <v>109847.99999999999</v>
      </c>
      <c r="H12" s="76" t="s">
        <v>57</v>
      </c>
      <c r="I12" s="83">
        <v>19</v>
      </c>
      <c r="J12" s="18">
        <v>1500</v>
      </c>
      <c r="K12" s="9">
        <f t="shared" si="9"/>
        <v>78.94736842105263</v>
      </c>
      <c r="L12" s="83">
        <v>19</v>
      </c>
      <c r="M12" s="10">
        <f t="shared" si="10"/>
        <v>1346.3414634146336</v>
      </c>
      <c r="N12" s="9">
        <f t="shared" si="11"/>
        <v>70.860077021822818</v>
      </c>
      <c r="O12" s="11">
        <f t="shared" si="12"/>
        <v>0</v>
      </c>
      <c r="P12" s="12">
        <f t="shared" si="14"/>
        <v>-8.0872913992298123</v>
      </c>
      <c r="Q12" s="81">
        <f t="shared" si="15"/>
        <v>0.89756097560975567</v>
      </c>
      <c r="R12" s="470"/>
      <c r="S12" s="24">
        <v>0.58472222222222203</v>
      </c>
      <c r="T12" s="24">
        <v>0.67013888888888873</v>
      </c>
      <c r="U12" s="80">
        <f t="shared" si="17"/>
        <v>6.9999999999999751</v>
      </c>
      <c r="V12" s="84">
        <f t="shared" si="13"/>
        <v>123.00000000000004</v>
      </c>
      <c r="W12" s="14"/>
      <c r="X12" s="14"/>
      <c r="Y12" s="456"/>
      <c r="Z12" s="456"/>
      <c r="AA12" s="11">
        <f t="shared" si="2"/>
        <v>-153.65853658536639</v>
      </c>
      <c r="AB12" s="81">
        <f t="shared" si="16"/>
        <v>0.89756097560975578</v>
      </c>
      <c r="AC12" s="470"/>
    </row>
    <row r="13" spans="1:29" ht="15.75" customHeight="1">
      <c r="A13" s="467" t="s">
        <v>5</v>
      </c>
      <c r="B13" s="26" t="s">
        <v>15</v>
      </c>
      <c r="C13" s="468" t="s">
        <v>54</v>
      </c>
      <c r="D13" s="469"/>
      <c r="E13" s="26">
        <v>39.29</v>
      </c>
      <c r="F13" s="85">
        <v>1179</v>
      </c>
      <c r="G13" s="80">
        <f t="shared" si="8"/>
        <v>46322.909999999996</v>
      </c>
      <c r="H13" s="76" t="s">
        <v>57</v>
      </c>
      <c r="I13" s="83">
        <v>18</v>
      </c>
      <c r="J13" s="18">
        <v>1500</v>
      </c>
      <c r="K13" s="9">
        <f t="shared" si="9"/>
        <v>83.333333333333329</v>
      </c>
      <c r="L13" s="83">
        <v>18</v>
      </c>
      <c r="M13" s="10">
        <f t="shared" si="10"/>
        <v>1360.3846153846162</v>
      </c>
      <c r="N13" s="9">
        <f t="shared" si="11"/>
        <v>75.576923076923123</v>
      </c>
      <c r="O13" s="11">
        <f t="shared" si="12"/>
        <v>0</v>
      </c>
      <c r="P13" s="12">
        <f t="shared" si="14"/>
        <v>-7.7564102564102058</v>
      </c>
      <c r="Q13" s="81">
        <f t="shared" si="15"/>
        <v>0.9069230769230775</v>
      </c>
      <c r="R13" s="470"/>
      <c r="S13" s="24">
        <v>0.67430555555555538</v>
      </c>
      <c r="T13" s="24">
        <v>0.71041666666666647</v>
      </c>
      <c r="U13" s="80">
        <f t="shared" si="17"/>
        <v>5.9999999999999787</v>
      </c>
      <c r="V13" s="84">
        <f t="shared" si="13"/>
        <v>51.999999999999972</v>
      </c>
      <c r="W13" s="14"/>
      <c r="X13" s="14"/>
      <c r="Y13" s="456"/>
      <c r="Z13" s="456"/>
      <c r="AA13" s="11">
        <f t="shared" si="2"/>
        <v>-139.61538461538385</v>
      </c>
      <c r="AB13" s="81">
        <f t="shared" si="16"/>
        <v>0.90692307692307739</v>
      </c>
      <c r="AC13" s="470"/>
    </row>
    <row r="14" spans="1:29" ht="16.5" customHeight="1">
      <c r="A14" s="467" t="s">
        <v>5</v>
      </c>
      <c r="B14" s="26" t="s">
        <v>81</v>
      </c>
      <c r="C14" s="466"/>
      <c r="D14" s="466"/>
      <c r="E14" s="79"/>
      <c r="F14" s="18"/>
      <c r="G14" s="10"/>
      <c r="H14" s="85"/>
      <c r="I14" s="17">
        <v>18.333333333333332</v>
      </c>
      <c r="J14" s="18">
        <v>1500</v>
      </c>
      <c r="K14" s="9">
        <f>J14/I14</f>
        <v>81.818181818181827</v>
      </c>
      <c r="L14" s="17">
        <v>18.333333333333332</v>
      </c>
      <c r="M14" s="10">
        <f>AVERAGE(M8:M13)</f>
        <v>1347.0473284330176</v>
      </c>
      <c r="N14" s="9">
        <f>M14/L14</f>
        <v>73.475308823619145</v>
      </c>
      <c r="O14" s="11">
        <f>L14-I14</f>
        <v>0</v>
      </c>
      <c r="P14" s="12">
        <f>N14-K14</f>
        <v>-8.3428729945626827</v>
      </c>
      <c r="Q14" s="81">
        <f>N14/K14</f>
        <v>0.89803155228867837</v>
      </c>
      <c r="R14" s="470"/>
      <c r="S14" s="24"/>
      <c r="T14" s="24"/>
      <c r="U14" s="9"/>
      <c r="V14" s="84"/>
      <c r="W14" s="9"/>
      <c r="X14" s="9"/>
      <c r="Y14" s="456"/>
      <c r="Z14" s="456"/>
      <c r="AA14" s="11">
        <f t="shared" si="2"/>
        <v>-152.95267156698242</v>
      </c>
      <c r="AB14" s="81">
        <f t="shared" si="16"/>
        <v>0.89803155228867837</v>
      </c>
      <c r="AC14" s="470"/>
    </row>
    <row r="15" spans="1:29" ht="16.5" customHeight="1">
      <c r="A15" s="480" t="s">
        <v>124</v>
      </c>
      <c r="B15" s="85" t="s">
        <v>15</v>
      </c>
      <c r="C15" s="477" t="s">
        <v>20</v>
      </c>
      <c r="D15" s="477"/>
      <c r="E15" s="26">
        <v>46</v>
      </c>
      <c r="F15" s="85">
        <v>2000</v>
      </c>
      <c r="G15" s="80">
        <f t="shared" ref="G15:G21" si="18">E15*F15</f>
        <v>92000</v>
      </c>
      <c r="H15" s="76">
        <v>2</v>
      </c>
      <c r="I15" s="83">
        <v>17</v>
      </c>
      <c r="J15" s="18">
        <v>1500</v>
      </c>
      <c r="K15" s="9">
        <f>J15/I15</f>
        <v>88.235294117647058</v>
      </c>
      <c r="L15" s="83">
        <v>17</v>
      </c>
      <c r="M15" s="10">
        <f>F15/V15*60</f>
        <v>1348.3146067415732</v>
      </c>
      <c r="N15" s="9">
        <f t="shared" ref="N15:N31" si="19">M15/L15</f>
        <v>79.31262392597489</v>
      </c>
      <c r="O15" s="11">
        <f t="shared" ref="O15" si="20">L15-I15</f>
        <v>0</v>
      </c>
      <c r="P15" s="12">
        <f t="shared" ref="P15" si="21">N15-K15</f>
        <v>-8.922670191672168</v>
      </c>
      <c r="Q15" s="81">
        <f>N15/K15</f>
        <v>0.89887640449438211</v>
      </c>
      <c r="R15" s="470">
        <f>Q22</f>
        <v>0.89670394945937193</v>
      </c>
      <c r="S15" s="24">
        <v>0.29166666666666669</v>
      </c>
      <c r="T15" s="24">
        <v>0.35347222222222224</v>
      </c>
      <c r="U15" s="80"/>
      <c r="V15" s="84">
        <f>(T15-S15)*24*60</f>
        <v>89</v>
      </c>
      <c r="W15" s="15"/>
      <c r="X15" s="15"/>
      <c r="Y15" s="456"/>
      <c r="Z15" s="456"/>
      <c r="AA15" s="11">
        <f t="shared" si="2"/>
        <v>-151.68539325842676</v>
      </c>
      <c r="AB15" s="81">
        <f t="shared" si="16"/>
        <v>0.89887640449438211</v>
      </c>
      <c r="AC15" s="470">
        <f>AB22</f>
        <v>0.89670394945937204</v>
      </c>
    </row>
    <row r="16" spans="1:29" ht="16.5" customHeight="1">
      <c r="A16" s="481" t="s">
        <v>6</v>
      </c>
      <c r="B16" s="85" t="s">
        <v>15</v>
      </c>
      <c r="C16" s="477" t="s">
        <v>75</v>
      </c>
      <c r="D16" s="477"/>
      <c r="E16" s="26">
        <v>46</v>
      </c>
      <c r="F16" s="85">
        <v>2000</v>
      </c>
      <c r="G16" s="80">
        <f t="shared" si="18"/>
        <v>92000</v>
      </c>
      <c r="H16" s="76">
        <v>2</v>
      </c>
      <c r="I16" s="83">
        <v>20</v>
      </c>
      <c r="J16" s="18">
        <v>1500</v>
      </c>
      <c r="K16" s="9">
        <f>J16/I16</f>
        <v>75</v>
      </c>
      <c r="L16" s="83">
        <v>20</v>
      </c>
      <c r="M16" s="10">
        <f>F16/V16*60</f>
        <v>1348.3146067415732</v>
      </c>
      <c r="N16" s="9">
        <f t="shared" si="19"/>
        <v>67.415730337078656</v>
      </c>
      <c r="O16" s="11">
        <f>L16-I16</f>
        <v>0</v>
      </c>
      <c r="P16" s="12">
        <f>N16-K16</f>
        <v>-7.5842696629213435</v>
      </c>
      <c r="Q16" s="81">
        <f>N16/K16</f>
        <v>0.89887640449438211</v>
      </c>
      <c r="R16" s="470"/>
      <c r="S16" s="24">
        <v>0.35902777777777778</v>
      </c>
      <c r="T16" s="24">
        <v>0.42083333333333334</v>
      </c>
      <c r="U16" s="80">
        <f>(S16-T15)*24*60</f>
        <v>7.9999999999999716</v>
      </c>
      <c r="V16" s="84">
        <f>(T16-S16)*24*60</f>
        <v>89</v>
      </c>
      <c r="W16" s="14"/>
      <c r="X16" s="14"/>
      <c r="Y16" s="456"/>
      <c r="Z16" s="456"/>
      <c r="AA16" s="11">
        <f t="shared" si="2"/>
        <v>-151.68539325842676</v>
      </c>
      <c r="AB16" s="81">
        <f t="shared" si="16"/>
        <v>0.89887640449438211</v>
      </c>
      <c r="AC16" s="470"/>
    </row>
    <row r="17" spans="1:29" ht="16.5" customHeight="1">
      <c r="A17" s="481" t="s">
        <v>6</v>
      </c>
      <c r="B17" s="85" t="s">
        <v>15</v>
      </c>
      <c r="C17" s="477" t="s">
        <v>68</v>
      </c>
      <c r="D17" s="477"/>
      <c r="E17" s="26">
        <v>39.29</v>
      </c>
      <c r="F17" s="85">
        <v>2568</v>
      </c>
      <c r="G17" s="80">
        <f t="shared" si="18"/>
        <v>100896.72</v>
      </c>
      <c r="H17" s="76" t="s">
        <v>57</v>
      </c>
      <c r="I17" s="83">
        <v>19</v>
      </c>
      <c r="J17" s="18">
        <v>1500</v>
      </c>
      <c r="K17" s="9">
        <f t="shared" ref="K17:K21" si="22">J17/I17</f>
        <v>78.94736842105263</v>
      </c>
      <c r="L17" s="83">
        <v>19</v>
      </c>
      <c r="M17" s="10">
        <f t="shared" ref="M17:M19" si="23">F17/V17*60</f>
        <v>1339.826086956522</v>
      </c>
      <c r="N17" s="9">
        <f t="shared" si="19"/>
        <v>70.517162471395892</v>
      </c>
      <c r="O17" s="11">
        <f t="shared" ref="O17:O21" si="24">L17-I17</f>
        <v>0</v>
      </c>
      <c r="P17" s="12">
        <f t="shared" ref="P17:P21" si="25">N17-K17</f>
        <v>-8.4302059496567381</v>
      </c>
      <c r="Q17" s="81">
        <f t="shared" ref="Q17:Q31" si="26">N17/K17</f>
        <v>0.89321739130434796</v>
      </c>
      <c r="R17" s="470"/>
      <c r="S17" s="24">
        <v>0.42777777777777776</v>
      </c>
      <c r="T17" s="24">
        <v>0.50763888888888886</v>
      </c>
      <c r="U17" s="80">
        <f t="shared" ref="U17:U21" si="27">(S17-T16)*24*60</f>
        <v>9.9999999999999645</v>
      </c>
      <c r="V17" s="84">
        <f t="shared" ref="V17:V21" si="28">(T17-S17)*24*60</f>
        <v>114.99999999999999</v>
      </c>
      <c r="W17" s="14"/>
      <c r="X17" s="14"/>
      <c r="Y17" s="456"/>
      <c r="Z17" s="456"/>
      <c r="AA17" s="11">
        <f t="shared" si="2"/>
        <v>-160.17391304347802</v>
      </c>
      <c r="AB17" s="81">
        <f t="shared" si="16"/>
        <v>0.89321739130434796</v>
      </c>
      <c r="AC17" s="470"/>
    </row>
    <row r="18" spans="1:29" ht="16.5" customHeight="1">
      <c r="A18" s="481" t="s">
        <v>6</v>
      </c>
      <c r="B18" s="85" t="s">
        <v>15</v>
      </c>
      <c r="C18" s="477" t="s">
        <v>75</v>
      </c>
      <c r="D18" s="477"/>
      <c r="E18" s="26">
        <v>46</v>
      </c>
      <c r="F18" s="85">
        <v>2216</v>
      </c>
      <c r="G18" s="80">
        <f t="shared" si="18"/>
        <v>101936</v>
      </c>
      <c r="H18" s="76" t="s">
        <v>57</v>
      </c>
      <c r="I18" s="83">
        <v>20</v>
      </c>
      <c r="J18" s="18">
        <v>1500</v>
      </c>
      <c r="K18" s="9">
        <f t="shared" si="22"/>
        <v>75</v>
      </c>
      <c r="L18" s="83">
        <v>20</v>
      </c>
      <c r="M18" s="10">
        <f t="shared" si="23"/>
        <v>1343.0303030303035</v>
      </c>
      <c r="N18" s="9">
        <f t="shared" si="19"/>
        <v>67.15151515151517</v>
      </c>
      <c r="O18" s="11">
        <f t="shared" si="24"/>
        <v>0</v>
      </c>
      <c r="P18" s="12">
        <f t="shared" si="25"/>
        <v>-7.84848484848483</v>
      </c>
      <c r="Q18" s="81">
        <f t="shared" si="26"/>
        <v>0.89535353535353557</v>
      </c>
      <c r="R18" s="470"/>
      <c r="S18" s="24">
        <v>0.54652777777777772</v>
      </c>
      <c r="T18" s="24">
        <v>0.6152777777777777</v>
      </c>
      <c r="U18" s="80">
        <f t="shared" si="27"/>
        <v>55.999999999999957</v>
      </c>
      <c r="V18" s="84">
        <f t="shared" si="28"/>
        <v>98.999999999999972</v>
      </c>
      <c r="W18" s="14"/>
      <c r="X18" s="14"/>
      <c r="Y18" s="456"/>
      <c r="Z18" s="456"/>
      <c r="AA18" s="11">
        <f t="shared" si="2"/>
        <v>-156.96969696969654</v>
      </c>
      <c r="AB18" s="81">
        <f t="shared" si="16"/>
        <v>0.89535353535353568</v>
      </c>
      <c r="AC18" s="470"/>
    </row>
    <row r="19" spans="1:29" ht="16.5" customHeight="1">
      <c r="A19" s="481" t="s">
        <v>6</v>
      </c>
      <c r="B19" s="85" t="s">
        <v>15</v>
      </c>
      <c r="C19" s="477" t="s">
        <v>20</v>
      </c>
      <c r="D19" s="477"/>
      <c r="E19" s="26">
        <v>46</v>
      </c>
      <c r="F19" s="85">
        <v>1355</v>
      </c>
      <c r="G19" s="80">
        <f t="shared" si="18"/>
        <v>62330</v>
      </c>
      <c r="H19" s="76" t="s">
        <v>57</v>
      </c>
      <c r="I19" s="83">
        <v>17</v>
      </c>
      <c r="J19" s="18">
        <v>1500</v>
      </c>
      <c r="K19" s="9">
        <f t="shared" si="22"/>
        <v>88.235294117647058</v>
      </c>
      <c r="L19" s="83">
        <v>17</v>
      </c>
      <c r="M19" s="10">
        <f t="shared" si="23"/>
        <v>1355.0000000000011</v>
      </c>
      <c r="N19" s="9">
        <f t="shared" si="19"/>
        <v>79.705882352941245</v>
      </c>
      <c r="O19" s="11">
        <f t="shared" si="24"/>
        <v>0</v>
      </c>
      <c r="P19" s="12">
        <f t="shared" si="25"/>
        <v>-8.529411764705813</v>
      </c>
      <c r="Q19" s="81">
        <f t="shared" si="26"/>
        <v>0.9033333333333341</v>
      </c>
      <c r="R19" s="470"/>
      <c r="S19" s="24">
        <v>0.62083333333333324</v>
      </c>
      <c r="T19" s="24">
        <v>0.66249999999999987</v>
      </c>
      <c r="U19" s="80">
        <f t="shared" si="27"/>
        <v>7.9999999999999716</v>
      </c>
      <c r="V19" s="84">
        <f t="shared" si="28"/>
        <v>59.999999999999943</v>
      </c>
      <c r="W19" s="14"/>
      <c r="X19" s="14"/>
      <c r="Y19" s="456"/>
      <c r="Z19" s="456"/>
      <c r="AA19" s="11">
        <f t="shared" si="2"/>
        <v>-144.99999999999886</v>
      </c>
      <c r="AB19" s="81">
        <f t="shared" si="16"/>
        <v>0.9033333333333341</v>
      </c>
      <c r="AC19" s="470"/>
    </row>
    <row r="20" spans="1:29" ht="16.5" customHeight="1">
      <c r="A20" s="481" t="s">
        <v>6</v>
      </c>
      <c r="B20" s="85" t="s">
        <v>13</v>
      </c>
      <c r="C20" s="482" t="s">
        <v>63</v>
      </c>
      <c r="D20" s="483"/>
      <c r="E20" s="26">
        <v>50.98</v>
      </c>
      <c r="F20" s="85">
        <v>2823</v>
      </c>
      <c r="G20" s="80">
        <f t="shared" si="18"/>
        <v>143916.53999999998</v>
      </c>
      <c r="H20" s="76" t="s">
        <v>57</v>
      </c>
      <c r="I20" s="83">
        <v>17</v>
      </c>
      <c r="J20" s="18">
        <v>1800</v>
      </c>
      <c r="K20" s="9">
        <f t="shared" si="22"/>
        <v>105.88235294117646</v>
      </c>
      <c r="L20" s="83">
        <v>17</v>
      </c>
      <c r="M20" s="10">
        <f>F20/V20*60</f>
        <v>1613.142857142858</v>
      </c>
      <c r="N20" s="9">
        <f t="shared" si="19"/>
        <v>94.890756302521055</v>
      </c>
      <c r="O20" s="11">
        <f t="shared" si="24"/>
        <v>0</v>
      </c>
      <c r="P20" s="12">
        <f t="shared" si="25"/>
        <v>-10.991596638655409</v>
      </c>
      <c r="Q20" s="81">
        <f t="shared" si="26"/>
        <v>0.89619047619047665</v>
      </c>
      <c r="R20" s="470"/>
      <c r="S20" s="24">
        <v>0.70833333333333337</v>
      </c>
      <c r="T20" s="24">
        <v>0.78125</v>
      </c>
      <c r="U20" s="80">
        <f t="shared" si="27"/>
        <v>66.000000000000242</v>
      </c>
      <c r="V20" s="84">
        <f t="shared" si="28"/>
        <v>104.99999999999994</v>
      </c>
      <c r="W20" s="14"/>
      <c r="X20" s="14"/>
      <c r="Y20" s="473"/>
      <c r="Z20" s="474"/>
      <c r="AA20" s="11">
        <f t="shared" si="2"/>
        <v>-186.85714285714198</v>
      </c>
      <c r="AB20" s="81">
        <f t="shared" si="16"/>
        <v>0.89619047619047665</v>
      </c>
      <c r="AC20" s="470"/>
    </row>
    <row r="21" spans="1:29" ht="16.5" customHeight="1">
      <c r="A21" s="481" t="s">
        <v>6</v>
      </c>
      <c r="B21" s="85" t="s">
        <v>13</v>
      </c>
      <c r="C21" s="482" t="s">
        <v>66</v>
      </c>
      <c r="D21" s="483"/>
      <c r="E21" s="26">
        <v>57.73</v>
      </c>
      <c r="F21" s="85">
        <v>2072</v>
      </c>
      <c r="G21" s="80">
        <f t="shared" si="18"/>
        <v>119616.56</v>
      </c>
      <c r="H21" s="76" t="s">
        <v>57</v>
      </c>
      <c r="I21" s="83">
        <v>15</v>
      </c>
      <c r="J21" s="18">
        <v>1500</v>
      </c>
      <c r="K21" s="9">
        <f t="shared" si="22"/>
        <v>100</v>
      </c>
      <c r="L21" s="83">
        <v>15</v>
      </c>
      <c r="M21" s="10">
        <f t="shared" ref="M21" si="29">F21/V21*60</f>
        <v>1336.7741935483873</v>
      </c>
      <c r="N21" s="9">
        <f t="shared" si="19"/>
        <v>89.118279569892493</v>
      </c>
      <c r="O21" s="11">
        <f t="shared" si="24"/>
        <v>0</v>
      </c>
      <c r="P21" s="12">
        <f t="shared" si="25"/>
        <v>-10.881720430107507</v>
      </c>
      <c r="Q21" s="81">
        <f t="shared" si="26"/>
        <v>0.89118279569892489</v>
      </c>
      <c r="R21" s="470"/>
      <c r="S21" s="24">
        <v>0.78680555555555554</v>
      </c>
      <c r="T21" s="24">
        <v>0.85138888888888886</v>
      </c>
      <c r="U21" s="80">
        <f t="shared" si="27"/>
        <v>7.9999999999999716</v>
      </c>
      <c r="V21" s="84">
        <f t="shared" si="28"/>
        <v>92.999999999999986</v>
      </c>
      <c r="W21" s="14"/>
      <c r="X21" s="14"/>
      <c r="Y21" s="473"/>
      <c r="Z21" s="474"/>
      <c r="AA21" s="11">
        <f t="shared" si="2"/>
        <v>-163.2258064516127</v>
      </c>
      <c r="AB21" s="81">
        <f t="shared" si="16"/>
        <v>0.89118279569892489</v>
      </c>
      <c r="AC21" s="470"/>
    </row>
    <row r="22" spans="1:29" ht="16.5" customHeight="1">
      <c r="A22" s="481" t="s">
        <v>6</v>
      </c>
      <c r="B22" s="26" t="s">
        <v>155</v>
      </c>
      <c r="C22" s="466"/>
      <c r="D22" s="466"/>
      <c r="E22" s="79"/>
      <c r="F22" s="16"/>
      <c r="G22" s="9"/>
      <c r="H22" s="85"/>
      <c r="I22" s="17">
        <v>17.857142857142858</v>
      </c>
      <c r="J22" s="18">
        <v>1542.8571428571429</v>
      </c>
      <c r="K22" s="9">
        <f>J22/I22</f>
        <v>86.4</v>
      </c>
      <c r="L22" s="17">
        <v>17.857142857142858</v>
      </c>
      <c r="M22" s="10">
        <f>AVERAGE(M15:M21)</f>
        <v>1383.4860934516025</v>
      </c>
      <c r="N22" s="9">
        <f t="shared" si="19"/>
        <v>77.475221233289744</v>
      </c>
      <c r="O22" s="11">
        <f>L22-I22</f>
        <v>0</v>
      </c>
      <c r="P22" s="12">
        <f>N22-K22</f>
        <v>-8.9247787667102614</v>
      </c>
      <c r="Q22" s="81">
        <f t="shared" si="26"/>
        <v>0.89670394945937193</v>
      </c>
      <c r="R22" s="470"/>
      <c r="S22" s="24"/>
      <c r="T22" s="24"/>
      <c r="U22" s="80"/>
      <c r="V22" s="84"/>
      <c r="W22" s="9"/>
      <c r="X22" s="9"/>
      <c r="Y22" s="456"/>
      <c r="Z22" s="456"/>
      <c r="AA22" s="11">
        <f t="shared" si="2"/>
        <v>-159.37104940554036</v>
      </c>
      <c r="AB22" s="81">
        <f t="shared" si="16"/>
        <v>0.89670394945937204</v>
      </c>
      <c r="AC22" s="470"/>
    </row>
    <row r="23" spans="1:29" ht="15.75" customHeight="1">
      <c r="A23" s="478" t="s">
        <v>156</v>
      </c>
      <c r="B23" s="26" t="s">
        <v>21</v>
      </c>
      <c r="C23" s="477" t="s">
        <v>22</v>
      </c>
      <c r="D23" s="477"/>
      <c r="E23" s="26">
        <v>43.14</v>
      </c>
      <c r="F23" s="85">
        <v>1514</v>
      </c>
      <c r="G23" s="80">
        <f t="shared" ref="G23:G31" si="30">E23*F23</f>
        <v>65313.96</v>
      </c>
      <c r="H23" s="76" t="s">
        <v>57</v>
      </c>
      <c r="I23" s="83">
        <v>17</v>
      </c>
      <c r="J23" s="18">
        <v>1200</v>
      </c>
      <c r="K23" s="9">
        <f t="shared" ref="K23:K32" si="31">J23/I23</f>
        <v>70.588235294117652</v>
      </c>
      <c r="L23" s="83">
        <v>17</v>
      </c>
      <c r="M23" s="10">
        <f t="shared" ref="M23:M31" si="32">F23/V23*60</f>
        <v>1081.4285714285711</v>
      </c>
      <c r="N23" s="9">
        <f t="shared" si="19"/>
        <v>63.613445378151241</v>
      </c>
      <c r="O23" s="11">
        <f t="shared" ref="O23:O31" si="33">L23-I23</f>
        <v>0</v>
      </c>
      <c r="P23" s="12">
        <f t="shared" ref="P23:P31" si="34">N23-K23</f>
        <v>-6.9747899159664115</v>
      </c>
      <c r="Q23" s="81">
        <f t="shared" si="26"/>
        <v>0.90119047619047588</v>
      </c>
      <c r="R23" s="470">
        <f>Q32</f>
        <v>0.89897594988052021</v>
      </c>
      <c r="S23" s="24">
        <v>0.33333333333333331</v>
      </c>
      <c r="T23" s="24">
        <v>0.39166666666666666</v>
      </c>
      <c r="U23" s="80"/>
      <c r="V23" s="84">
        <f>(T23-S23)*24*60</f>
        <v>84.000000000000028</v>
      </c>
      <c r="W23" s="15"/>
      <c r="X23" s="15"/>
      <c r="Y23" s="456"/>
      <c r="Z23" s="456"/>
      <c r="AA23" s="11">
        <f t="shared" si="2"/>
        <v>-118.5714285714289</v>
      </c>
      <c r="AB23" s="81">
        <f t="shared" si="16"/>
        <v>0.90119047619047588</v>
      </c>
      <c r="AC23" s="470">
        <f>AB32</f>
        <v>0.89897594988052021</v>
      </c>
    </row>
    <row r="24" spans="1:29" ht="15.75" customHeight="1">
      <c r="A24" s="479" t="s">
        <v>7</v>
      </c>
      <c r="B24" s="26" t="s">
        <v>13</v>
      </c>
      <c r="C24" s="477" t="s">
        <v>23</v>
      </c>
      <c r="D24" s="477"/>
      <c r="E24" s="26">
        <v>57.73</v>
      </c>
      <c r="F24" s="85">
        <v>1000</v>
      </c>
      <c r="G24" s="80">
        <f t="shared" si="30"/>
        <v>57730</v>
      </c>
      <c r="H24" s="76">
        <v>2</v>
      </c>
      <c r="I24" s="83">
        <v>16</v>
      </c>
      <c r="J24" s="18">
        <v>1800</v>
      </c>
      <c r="K24" s="9">
        <f t="shared" si="31"/>
        <v>112.5</v>
      </c>
      <c r="L24" s="83">
        <v>16</v>
      </c>
      <c r="M24" s="10">
        <f t="shared" si="32"/>
        <v>1621.6216216216203</v>
      </c>
      <c r="N24" s="9">
        <f t="shared" si="19"/>
        <v>101.35135135135127</v>
      </c>
      <c r="O24" s="11">
        <f t="shared" si="33"/>
        <v>0</v>
      </c>
      <c r="P24" s="12">
        <f t="shared" si="34"/>
        <v>-11.148648648648731</v>
      </c>
      <c r="Q24" s="81">
        <f t="shared" si="26"/>
        <v>0.90090090090090014</v>
      </c>
      <c r="R24" s="470"/>
      <c r="S24" s="24">
        <v>0.3972222222222222</v>
      </c>
      <c r="T24" s="24">
        <v>0.42291666666666666</v>
      </c>
      <c r="U24" s="80">
        <f>(S24-T23)*24*60</f>
        <v>7.9999999999999716</v>
      </c>
      <c r="V24" s="84">
        <f t="shared" ref="V24:V31" si="35">(T24-S24)*24*60</f>
        <v>37.000000000000028</v>
      </c>
      <c r="W24" s="14"/>
      <c r="X24" s="80"/>
      <c r="Y24" s="456"/>
      <c r="Z24" s="456"/>
      <c r="AA24" s="11">
        <f t="shared" si="2"/>
        <v>-178.37837837837969</v>
      </c>
      <c r="AB24" s="81">
        <f t="shared" si="16"/>
        <v>0.90090090090090014</v>
      </c>
      <c r="AC24" s="470"/>
    </row>
    <row r="25" spans="1:29" ht="15.75" customHeight="1">
      <c r="A25" s="479" t="s">
        <v>7</v>
      </c>
      <c r="B25" s="26" t="s">
        <v>13</v>
      </c>
      <c r="C25" s="477" t="s">
        <v>14</v>
      </c>
      <c r="D25" s="477"/>
      <c r="E25" s="26">
        <v>53.68</v>
      </c>
      <c r="F25" s="85">
        <v>1000</v>
      </c>
      <c r="G25" s="80">
        <f t="shared" si="30"/>
        <v>53680</v>
      </c>
      <c r="H25" s="76">
        <v>2</v>
      </c>
      <c r="I25" s="83">
        <v>17</v>
      </c>
      <c r="J25" s="18">
        <v>1800</v>
      </c>
      <c r="K25" s="9">
        <f t="shared" si="31"/>
        <v>105.88235294117646</v>
      </c>
      <c r="L25" s="83">
        <v>17</v>
      </c>
      <c r="M25" s="10">
        <f t="shared" si="32"/>
        <v>1621.6216216216203</v>
      </c>
      <c r="N25" s="9">
        <f t="shared" si="19"/>
        <v>95.389507154212964</v>
      </c>
      <c r="O25" s="11">
        <f t="shared" si="33"/>
        <v>0</v>
      </c>
      <c r="P25" s="12">
        <f t="shared" si="34"/>
        <v>-10.4928457869635</v>
      </c>
      <c r="Q25" s="81">
        <f t="shared" si="26"/>
        <v>0.90090090090090025</v>
      </c>
      <c r="R25" s="470"/>
      <c r="S25" s="24">
        <v>0.42777777777777776</v>
      </c>
      <c r="T25" s="24">
        <v>0.45347222222222222</v>
      </c>
      <c r="U25" s="80">
        <f t="shared" ref="U25:U31" si="36">(S25-T24)*24*60</f>
        <v>6.9999999999999751</v>
      </c>
      <c r="V25" s="84">
        <f t="shared" si="35"/>
        <v>37.000000000000028</v>
      </c>
      <c r="W25" s="14"/>
      <c r="X25" s="80"/>
      <c r="Y25" s="456"/>
      <c r="Z25" s="456"/>
      <c r="AA25" s="11">
        <f t="shared" si="2"/>
        <v>-178.37837837837969</v>
      </c>
      <c r="AB25" s="81">
        <f t="shared" si="16"/>
        <v>0.90090090090090014</v>
      </c>
      <c r="AC25" s="470"/>
    </row>
    <row r="26" spans="1:29" ht="15.75" customHeight="1">
      <c r="A26" s="479" t="s">
        <v>7</v>
      </c>
      <c r="B26" s="26" t="s">
        <v>13</v>
      </c>
      <c r="C26" s="477" t="s">
        <v>72</v>
      </c>
      <c r="D26" s="477"/>
      <c r="E26" s="26">
        <v>50.67</v>
      </c>
      <c r="F26" s="85">
        <v>1365</v>
      </c>
      <c r="G26" s="80">
        <f t="shared" si="30"/>
        <v>69164.55</v>
      </c>
      <c r="H26" s="76" t="s">
        <v>57</v>
      </c>
      <c r="I26" s="83">
        <v>19</v>
      </c>
      <c r="J26" s="18">
        <v>1800</v>
      </c>
      <c r="K26" s="9">
        <f t="shared" si="31"/>
        <v>94.736842105263165</v>
      </c>
      <c r="L26" s="83">
        <v>19</v>
      </c>
      <c r="M26" s="10">
        <f t="shared" si="32"/>
        <v>1638.0000000000005</v>
      </c>
      <c r="N26" s="9">
        <f t="shared" si="19"/>
        <v>86.210526315789494</v>
      </c>
      <c r="O26" s="11">
        <f t="shared" si="33"/>
        <v>0</v>
      </c>
      <c r="P26" s="12">
        <f t="shared" si="34"/>
        <v>-8.5263157894736707</v>
      </c>
      <c r="Q26" s="81">
        <f t="shared" si="26"/>
        <v>0.91000000000000014</v>
      </c>
      <c r="R26" s="470"/>
      <c r="S26" s="24">
        <v>0.45902777777777776</v>
      </c>
      <c r="T26" s="24">
        <v>0.49374999999999997</v>
      </c>
      <c r="U26" s="80">
        <f t="shared" si="36"/>
        <v>7.9999999999999716</v>
      </c>
      <c r="V26" s="84">
        <f t="shared" si="35"/>
        <v>49.999999999999986</v>
      </c>
      <c r="W26" s="14"/>
      <c r="X26" s="80"/>
      <c r="Y26" s="456"/>
      <c r="Z26" s="456"/>
      <c r="AA26" s="11">
        <f t="shared" si="2"/>
        <v>-161.99999999999955</v>
      </c>
      <c r="AB26" s="81">
        <f t="shared" si="16"/>
        <v>0.91000000000000025</v>
      </c>
      <c r="AC26" s="470"/>
    </row>
    <row r="27" spans="1:29" ht="15.75" customHeight="1">
      <c r="A27" s="479" t="s">
        <v>7</v>
      </c>
      <c r="B27" s="26" t="s">
        <v>13</v>
      </c>
      <c r="C27" s="477" t="s">
        <v>23</v>
      </c>
      <c r="D27" s="477"/>
      <c r="E27" s="26">
        <v>57.73</v>
      </c>
      <c r="F27" s="85">
        <v>1855</v>
      </c>
      <c r="G27" s="80">
        <f t="shared" si="30"/>
        <v>107089.15</v>
      </c>
      <c r="H27" s="76" t="s">
        <v>57</v>
      </c>
      <c r="I27" s="83">
        <v>16</v>
      </c>
      <c r="J27" s="18">
        <v>1800</v>
      </c>
      <c r="K27" s="9">
        <f t="shared" si="31"/>
        <v>112.5</v>
      </c>
      <c r="L27" s="83">
        <v>16</v>
      </c>
      <c r="M27" s="10">
        <f t="shared" si="32"/>
        <v>1613.0434782608679</v>
      </c>
      <c r="N27" s="9">
        <f t="shared" si="19"/>
        <v>100.81521739130424</v>
      </c>
      <c r="O27" s="11">
        <f t="shared" si="33"/>
        <v>0</v>
      </c>
      <c r="P27" s="12">
        <f t="shared" si="34"/>
        <v>-11.684782608695755</v>
      </c>
      <c r="Q27" s="81">
        <f t="shared" si="26"/>
        <v>0.89613526570048219</v>
      </c>
      <c r="R27" s="470"/>
      <c r="S27" s="24">
        <v>0.53263888888888877</v>
      </c>
      <c r="T27" s="24">
        <v>0.58055555555555549</v>
      </c>
      <c r="U27" s="80">
        <f t="shared" si="36"/>
        <v>55.999999999999879</v>
      </c>
      <c r="V27" s="84">
        <f t="shared" si="35"/>
        <v>69.000000000000071</v>
      </c>
      <c r="W27" s="14"/>
      <c r="X27" s="80"/>
      <c r="Y27" s="456"/>
      <c r="Z27" s="456"/>
      <c r="AA27" s="11">
        <f t="shared" si="2"/>
        <v>-186.95652173913209</v>
      </c>
      <c r="AB27" s="81">
        <f t="shared" si="16"/>
        <v>0.89613526570048219</v>
      </c>
      <c r="AC27" s="470"/>
    </row>
    <row r="28" spans="1:29" ht="15.75" customHeight="1">
      <c r="A28" s="479" t="s">
        <v>7</v>
      </c>
      <c r="B28" s="26" t="s">
        <v>13</v>
      </c>
      <c r="C28" s="477" t="s">
        <v>14</v>
      </c>
      <c r="D28" s="477"/>
      <c r="E28" s="26">
        <v>53.68</v>
      </c>
      <c r="F28" s="85">
        <v>1016</v>
      </c>
      <c r="G28" s="80">
        <f t="shared" si="30"/>
        <v>54538.879999999997</v>
      </c>
      <c r="H28" s="76" t="s">
        <v>57</v>
      </c>
      <c r="I28" s="83">
        <v>17</v>
      </c>
      <c r="J28" s="18">
        <v>1800</v>
      </c>
      <c r="K28" s="9">
        <f t="shared" si="31"/>
        <v>105.88235294117646</v>
      </c>
      <c r="L28" s="83">
        <v>17</v>
      </c>
      <c r="M28" s="10">
        <f t="shared" si="32"/>
        <v>1604.2105263157882</v>
      </c>
      <c r="N28" s="9">
        <f t="shared" si="19"/>
        <v>94.365325077399305</v>
      </c>
      <c r="O28" s="11">
        <f t="shared" si="33"/>
        <v>0</v>
      </c>
      <c r="P28" s="12">
        <f t="shared" si="34"/>
        <v>-11.517027863777159</v>
      </c>
      <c r="Q28" s="81">
        <f t="shared" si="26"/>
        <v>0.89122807017543793</v>
      </c>
      <c r="R28" s="470"/>
      <c r="S28" s="24">
        <v>0.58472222222222214</v>
      </c>
      <c r="T28" s="24">
        <v>0.61111111111111105</v>
      </c>
      <c r="U28" s="80">
        <f t="shared" si="36"/>
        <v>5.9999999999999787</v>
      </c>
      <c r="V28" s="84">
        <f t="shared" si="35"/>
        <v>38.000000000000028</v>
      </c>
      <c r="W28" s="14"/>
      <c r="X28" s="15"/>
      <c r="Y28" s="456"/>
      <c r="Z28" s="456"/>
      <c r="AA28" s="11">
        <f t="shared" si="2"/>
        <v>-195.78947368421177</v>
      </c>
      <c r="AB28" s="81">
        <f t="shared" si="16"/>
        <v>0.89122807017543793</v>
      </c>
      <c r="AC28" s="470"/>
    </row>
    <row r="29" spans="1:29" ht="15.75" customHeight="1">
      <c r="A29" s="479" t="s">
        <v>7</v>
      </c>
      <c r="B29" s="26" t="s">
        <v>13</v>
      </c>
      <c r="C29" s="477" t="s">
        <v>59</v>
      </c>
      <c r="D29" s="477"/>
      <c r="E29" s="26">
        <v>50.92</v>
      </c>
      <c r="F29" s="85">
        <v>3109</v>
      </c>
      <c r="G29" s="80">
        <f t="shared" si="30"/>
        <v>158310.28</v>
      </c>
      <c r="H29" s="76" t="s">
        <v>57</v>
      </c>
      <c r="I29" s="83">
        <v>16</v>
      </c>
      <c r="J29" s="18">
        <v>1800</v>
      </c>
      <c r="K29" s="9">
        <f t="shared" si="31"/>
        <v>112.5</v>
      </c>
      <c r="L29" s="83">
        <v>16</v>
      </c>
      <c r="M29" s="10">
        <f t="shared" si="32"/>
        <v>1608.103448275861</v>
      </c>
      <c r="N29" s="9">
        <f t="shared" si="19"/>
        <v>100.50646551724131</v>
      </c>
      <c r="O29" s="11">
        <f t="shared" si="33"/>
        <v>0</v>
      </c>
      <c r="P29" s="12">
        <f t="shared" si="34"/>
        <v>-11.99353448275869</v>
      </c>
      <c r="Q29" s="81">
        <f t="shared" si="26"/>
        <v>0.89339080459770048</v>
      </c>
      <c r="R29" s="470"/>
      <c r="S29" s="24">
        <v>0.70833333333333337</v>
      </c>
      <c r="T29" s="24">
        <v>0.78888888888888897</v>
      </c>
      <c r="U29" s="80">
        <f t="shared" si="36"/>
        <v>140.00000000000014</v>
      </c>
      <c r="V29" s="84">
        <f t="shared" si="35"/>
        <v>116.00000000000007</v>
      </c>
      <c r="W29" s="14"/>
      <c r="X29" s="15"/>
      <c r="Y29" s="473"/>
      <c r="Z29" s="474"/>
      <c r="AA29" s="11">
        <f t="shared" si="2"/>
        <v>-191.89655172413904</v>
      </c>
      <c r="AB29" s="81">
        <f t="shared" si="16"/>
        <v>0.89339080459770048</v>
      </c>
      <c r="AC29" s="470"/>
    </row>
    <row r="30" spans="1:29" ht="15.75" customHeight="1">
      <c r="A30" s="479" t="s">
        <v>7</v>
      </c>
      <c r="B30" s="26" t="s">
        <v>13</v>
      </c>
      <c r="C30" s="477" t="s">
        <v>62</v>
      </c>
      <c r="D30" s="477"/>
      <c r="E30" s="26">
        <v>53.27</v>
      </c>
      <c r="F30" s="85">
        <v>836</v>
      </c>
      <c r="G30" s="80">
        <f t="shared" si="30"/>
        <v>44533.72</v>
      </c>
      <c r="H30" s="76" t="s">
        <v>57</v>
      </c>
      <c r="I30" s="83">
        <v>15</v>
      </c>
      <c r="J30" s="18">
        <v>1800</v>
      </c>
      <c r="K30" s="9">
        <f t="shared" si="31"/>
        <v>120</v>
      </c>
      <c r="L30" s="83">
        <v>15</v>
      </c>
      <c r="M30" s="10">
        <f t="shared" si="32"/>
        <v>1618.0645161290297</v>
      </c>
      <c r="N30" s="9">
        <f t="shared" si="19"/>
        <v>107.87096774193532</v>
      </c>
      <c r="O30" s="11">
        <f t="shared" si="33"/>
        <v>0</v>
      </c>
      <c r="P30" s="12">
        <f t="shared" si="34"/>
        <v>-12.129032258064683</v>
      </c>
      <c r="Q30" s="81">
        <f t="shared" si="26"/>
        <v>0.89892473118279426</v>
      </c>
      <c r="R30" s="470"/>
      <c r="S30" s="24">
        <v>0.79444444444444451</v>
      </c>
      <c r="T30" s="24">
        <v>0.81597222222222232</v>
      </c>
      <c r="U30" s="80">
        <f t="shared" si="36"/>
        <v>7.9999999999999716</v>
      </c>
      <c r="V30" s="84">
        <f t="shared" si="35"/>
        <v>31.00000000000005</v>
      </c>
      <c r="W30" s="14"/>
      <c r="X30" s="14"/>
      <c r="Y30" s="473"/>
      <c r="Z30" s="474"/>
      <c r="AA30" s="11">
        <f t="shared" si="2"/>
        <v>-181.9354838709703</v>
      </c>
      <c r="AB30" s="81">
        <f t="shared" si="16"/>
        <v>0.89892473118279426</v>
      </c>
      <c r="AC30" s="470"/>
    </row>
    <row r="31" spans="1:29" ht="15.75" customHeight="1">
      <c r="A31" s="479" t="s">
        <v>7</v>
      </c>
      <c r="B31" s="26" t="s">
        <v>13</v>
      </c>
      <c r="C31" s="477" t="s">
        <v>61</v>
      </c>
      <c r="D31" s="477"/>
      <c r="E31" s="26">
        <v>49.91</v>
      </c>
      <c r="F31" s="85">
        <v>782</v>
      </c>
      <c r="G31" s="80">
        <f t="shared" si="30"/>
        <v>39029.619999999995</v>
      </c>
      <c r="H31" s="76" t="s">
        <v>57</v>
      </c>
      <c r="I31" s="83">
        <v>16</v>
      </c>
      <c r="J31" s="18">
        <v>1800</v>
      </c>
      <c r="K31" s="9">
        <f t="shared" si="31"/>
        <v>112.5</v>
      </c>
      <c r="L31" s="83">
        <v>16</v>
      </c>
      <c r="M31" s="10">
        <f t="shared" si="32"/>
        <v>1617.9310344827554</v>
      </c>
      <c r="N31" s="9">
        <f t="shared" si="19"/>
        <v>101.12068965517221</v>
      </c>
      <c r="O31" s="11">
        <f t="shared" si="33"/>
        <v>0</v>
      </c>
      <c r="P31" s="12">
        <f t="shared" si="34"/>
        <v>-11.379310344827786</v>
      </c>
      <c r="Q31" s="81">
        <f t="shared" si="26"/>
        <v>0.89885057471264185</v>
      </c>
      <c r="R31" s="470"/>
      <c r="S31" s="24">
        <v>0.81944444444444453</v>
      </c>
      <c r="T31" s="24">
        <v>0.83958333333333346</v>
      </c>
      <c r="U31" s="80">
        <f t="shared" si="36"/>
        <v>4.9999999999999822</v>
      </c>
      <c r="V31" s="84">
        <f t="shared" si="35"/>
        <v>29.000000000000057</v>
      </c>
      <c r="W31" s="14"/>
      <c r="X31" s="14"/>
      <c r="Y31" s="473"/>
      <c r="Z31" s="474"/>
      <c r="AA31" s="11">
        <f t="shared" si="2"/>
        <v>-182.06896551724458</v>
      </c>
      <c r="AB31" s="81">
        <f t="shared" si="16"/>
        <v>0.89885057471264185</v>
      </c>
      <c r="AC31" s="470"/>
    </row>
    <row r="32" spans="1:29" ht="15.75" customHeight="1">
      <c r="A32" s="479" t="s">
        <v>7</v>
      </c>
      <c r="B32" s="26" t="s">
        <v>155</v>
      </c>
      <c r="C32" s="466"/>
      <c r="D32" s="466"/>
      <c r="E32" s="79"/>
      <c r="F32" s="85"/>
      <c r="G32" s="80"/>
      <c r="H32" s="85"/>
      <c r="I32" s="17">
        <v>16.555555555555557</v>
      </c>
      <c r="J32" s="18">
        <v>1733.3333333333333</v>
      </c>
      <c r="K32" s="9">
        <f t="shared" si="31"/>
        <v>104.6979865771812</v>
      </c>
      <c r="L32" s="17">
        <v>16.555555555555557</v>
      </c>
      <c r="M32" s="10">
        <f>AVERAGE(M23:M31)</f>
        <v>1558.2249797929016</v>
      </c>
      <c r="N32" s="9">
        <f>M32/L32</f>
        <v>94.120971933799424</v>
      </c>
      <c r="O32" s="11">
        <f>L32-I32</f>
        <v>0</v>
      </c>
      <c r="P32" s="12">
        <f>N32-K32</f>
        <v>-10.577014643381773</v>
      </c>
      <c r="Q32" s="81">
        <f>N32/K32</f>
        <v>0.89897594988052021</v>
      </c>
      <c r="R32" s="470"/>
      <c r="S32" s="24"/>
      <c r="T32" s="24"/>
      <c r="U32" s="9"/>
      <c r="V32" s="84"/>
      <c r="W32" s="9"/>
      <c r="X32" s="9"/>
      <c r="Y32" s="456"/>
      <c r="Z32" s="456"/>
      <c r="AA32" s="11">
        <f t="shared" si="2"/>
        <v>-175.10835354043161</v>
      </c>
      <c r="AB32" s="81">
        <f t="shared" si="16"/>
        <v>0.89897594988052021</v>
      </c>
      <c r="AC32" s="470"/>
    </row>
    <row r="33" spans="1:29" ht="15.75" customHeight="1">
      <c r="A33" s="484" t="s">
        <v>157</v>
      </c>
      <c r="B33" s="26" t="s">
        <v>24</v>
      </c>
      <c r="C33" s="477" t="s">
        <v>25</v>
      </c>
      <c r="D33" s="477"/>
      <c r="E33" s="26">
        <v>20.52</v>
      </c>
      <c r="F33" s="85">
        <v>3400</v>
      </c>
      <c r="G33" s="80">
        <f t="shared" ref="G33:G43" si="37">E33*F33</f>
        <v>69768</v>
      </c>
      <c r="H33" s="76">
        <v>2</v>
      </c>
      <c r="I33" s="83">
        <v>20</v>
      </c>
      <c r="J33" s="18">
        <v>2400</v>
      </c>
      <c r="K33" s="9">
        <f>J33/I33</f>
        <v>120</v>
      </c>
      <c r="L33" s="83">
        <v>20</v>
      </c>
      <c r="M33" s="10">
        <f t="shared" ref="M33:M43" si="38">F33/V33*60</f>
        <v>2147.3684210526321</v>
      </c>
      <c r="N33" s="9">
        <f t="shared" ref="N33:N43" si="39">M33/L33</f>
        <v>107.3684210526316</v>
      </c>
      <c r="O33" s="11">
        <f t="shared" ref="O33:O43" si="40">L33-I33</f>
        <v>0</v>
      </c>
      <c r="P33" s="12">
        <f t="shared" ref="P33:P43" si="41">N33-K33</f>
        <v>-12.631578947368396</v>
      </c>
      <c r="Q33" s="81">
        <f t="shared" ref="Q33:Q43" si="42">N33/K33</f>
        <v>0.89473684210526339</v>
      </c>
      <c r="R33" s="470">
        <f>Q44</f>
        <v>0.89726011492131752</v>
      </c>
      <c r="S33" s="24">
        <v>0.125</v>
      </c>
      <c r="T33" s="24">
        <v>0.19097222222222221</v>
      </c>
      <c r="U33" s="80"/>
      <c r="V33" s="84">
        <f t="shared" ref="V33:V43" si="43">(T33-S33)*24*60</f>
        <v>94.999999999999986</v>
      </c>
      <c r="W33" s="14"/>
      <c r="X33" s="14"/>
      <c r="Y33" s="456"/>
      <c r="Z33" s="456"/>
      <c r="AA33" s="11">
        <f t="shared" si="2"/>
        <v>-252.63157894736787</v>
      </c>
      <c r="AB33" s="81">
        <f>M33/J33</f>
        <v>0.89473684210526339</v>
      </c>
      <c r="AC33" s="470">
        <f>AB44</f>
        <v>0.89726011492131741</v>
      </c>
    </row>
    <row r="34" spans="1:29" ht="15.75" customHeight="1">
      <c r="A34" s="484" t="s">
        <v>8</v>
      </c>
      <c r="B34" s="26" t="s">
        <v>24</v>
      </c>
      <c r="C34" s="477" t="s">
        <v>26</v>
      </c>
      <c r="D34" s="477"/>
      <c r="E34" s="26">
        <v>26.2</v>
      </c>
      <c r="F34" s="85">
        <v>3300</v>
      </c>
      <c r="G34" s="80">
        <f t="shared" si="37"/>
        <v>86460</v>
      </c>
      <c r="H34" s="76">
        <v>2</v>
      </c>
      <c r="I34" s="83">
        <v>20</v>
      </c>
      <c r="J34" s="18">
        <v>2400</v>
      </c>
      <c r="K34" s="9">
        <f t="shared" ref="K34:K44" si="44">J34/I34</f>
        <v>120</v>
      </c>
      <c r="L34" s="83">
        <v>20</v>
      </c>
      <c r="M34" s="10">
        <f t="shared" si="38"/>
        <v>2152.1739130434776</v>
      </c>
      <c r="N34" s="9">
        <f t="shared" si="39"/>
        <v>107.60869565217388</v>
      </c>
      <c r="O34" s="11">
        <f t="shared" si="40"/>
        <v>0</v>
      </c>
      <c r="P34" s="12">
        <f t="shared" si="41"/>
        <v>-12.391304347826122</v>
      </c>
      <c r="Q34" s="81">
        <f t="shared" si="42"/>
        <v>0.89673913043478237</v>
      </c>
      <c r="R34" s="470"/>
      <c r="S34" s="24">
        <v>0.20833333333333329</v>
      </c>
      <c r="T34" s="24">
        <v>0.2722222222222222</v>
      </c>
      <c r="U34" s="80">
        <f>(S34-T33)*24*60</f>
        <v>24.99999999999995</v>
      </c>
      <c r="V34" s="84">
        <f t="shared" si="43"/>
        <v>92.000000000000028</v>
      </c>
      <c r="W34" s="14"/>
      <c r="X34" s="14"/>
      <c r="Y34" s="456"/>
      <c r="Z34" s="456"/>
      <c r="AA34" s="11">
        <f t="shared" si="2"/>
        <v>-247.82608695652243</v>
      </c>
      <c r="AB34" s="81">
        <f t="shared" ref="AB34:AB43" si="45">M34/J34</f>
        <v>0.89673913043478237</v>
      </c>
      <c r="AC34" s="470"/>
    </row>
    <row r="35" spans="1:29" ht="15.75" customHeight="1">
      <c r="A35" s="484" t="s">
        <v>8</v>
      </c>
      <c r="B35" s="26" t="s">
        <v>24</v>
      </c>
      <c r="C35" s="477" t="s">
        <v>55</v>
      </c>
      <c r="D35" s="477"/>
      <c r="E35" s="26">
        <v>26.2</v>
      </c>
      <c r="F35" s="85">
        <v>2000</v>
      </c>
      <c r="G35" s="80">
        <f t="shared" si="37"/>
        <v>52400</v>
      </c>
      <c r="H35" s="76">
        <v>2</v>
      </c>
      <c r="I35" s="83">
        <v>21</v>
      </c>
      <c r="J35" s="18">
        <v>2400</v>
      </c>
      <c r="K35" s="9">
        <f t="shared" si="44"/>
        <v>114.28571428571429</v>
      </c>
      <c r="L35" s="83">
        <v>21</v>
      </c>
      <c r="M35" s="10">
        <f t="shared" si="38"/>
        <v>2142.8571428571413</v>
      </c>
      <c r="N35" s="9">
        <f t="shared" si="39"/>
        <v>102.04081632653053</v>
      </c>
      <c r="O35" s="11">
        <f t="shared" si="40"/>
        <v>0</v>
      </c>
      <c r="P35" s="12">
        <f t="shared" si="41"/>
        <v>-12.24489795918376</v>
      </c>
      <c r="Q35" s="81">
        <f t="shared" si="42"/>
        <v>0.89285714285714213</v>
      </c>
      <c r="R35" s="470"/>
      <c r="S35" s="24">
        <v>0.27708333333333329</v>
      </c>
      <c r="T35" s="24">
        <v>0.31597222222222221</v>
      </c>
      <c r="U35" s="80">
        <f t="shared" ref="U35:U43" si="46">(S35-T34)*24*60</f>
        <v>6.9999999999999751</v>
      </c>
      <c r="V35" s="84">
        <f t="shared" si="43"/>
        <v>56.000000000000043</v>
      </c>
      <c r="W35" s="14"/>
      <c r="X35" s="14"/>
      <c r="Y35" s="456"/>
      <c r="Z35" s="456"/>
      <c r="AA35" s="11">
        <f t="shared" si="2"/>
        <v>-257.1428571428587</v>
      </c>
      <c r="AB35" s="81">
        <f t="shared" si="45"/>
        <v>0.89285714285714224</v>
      </c>
      <c r="AC35" s="470"/>
    </row>
    <row r="36" spans="1:29" ht="15.75" customHeight="1">
      <c r="A36" s="484" t="s">
        <v>8</v>
      </c>
      <c r="B36" s="26" t="s">
        <v>24</v>
      </c>
      <c r="C36" s="477" t="s">
        <v>46</v>
      </c>
      <c r="D36" s="477"/>
      <c r="E36" s="26">
        <v>25</v>
      </c>
      <c r="F36" s="85">
        <v>3000</v>
      </c>
      <c r="G36" s="80">
        <f t="shared" si="37"/>
        <v>75000</v>
      </c>
      <c r="H36" s="76">
        <v>2</v>
      </c>
      <c r="I36" s="83">
        <v>16</v>
      </c>
      <c r="J36" s="18">
        <v>2400</v>
      </c>
      <c r="K36" s="9">
        <f t="shared" si="44"/>
        <v>150</v>
      </c>
      <c r="L36" s="83">
        <v>16</v>
      </c>
      <c r="M36" s="10">
        <f t="shared" si="38"/>
        <v>2142.8571428571422</v>
      </c>
      <c r="N36" s="9">
        <f t="shared" si="39"/>
        <v>133.92857142857139</v>
      </c>
      <c r="O36" s="11">
        <f t="shared" si="40"/>
        <v>0</v>
      </c>
      <c r="P36" s="12">
        <f t="shared" si="41"/>
        <v>-16.071428571428612</v>
      </c>
      <c r="Q36" s="81">
        <f t="shared" si="42"/>
        <v>0.89285714285714257</v>
      </c>
      <c r="R36" s="470"/>
      <c r="S36" s="24">
        <v>0.32152777777777775</v>
      </c>
      <c r="T36" s="24">
        <v>0.37986111111111109</v>
      </c>
      <c r="U36" s="80">
        <f t="shared" si="46"/>
        <v>7.9999999999999716</v>
      </c>
      <c r="V36" s="84">
        <f t="shared" si="43"/>
        <v>84.000000000000028</v>
      </c>
      <c r="W36" s="14"/>
      <c r="X36" s="14"/>
      <c r="Y36" s="456"/>
      <c r="Z36" s="456"/>
      <c r="AA36" s="11">
        <f t="shared" si="2"/>
        <v>-257.14285714285779</v>
      </c>
      <c r="AB36" s="81">
        <f t="shared" si="45"/>
        <v>0.89285714285714257</v>
      </c>
      <c r="AC36" s="470"/>
    </row>
    <row r="37" spans="1:29" ht="15.75" customHeight="1">
      <c r="A37" s="484" t="s">
        <v>8</v>
      </c>
      <c r="B37" s="26" t="s">
        <v>24</v>
      </c>
      <c r="C37" s="477" t="s">
        <v>27</v>
      </c>
      <c r="D37" s="477"/>
      <c r="E37" s="26">
        <v>20.52</v>
      </c>
      <c r="F37" s="85">
        <v>3694</v>
      </c>
      <c r="G37" s="80">
        <f t="shared" si="37"/>
        <v>75800.88</v>
      </c>
      <c r="H37" s="76" t="s">
        <v>57</v>
      </c>
      <c r="I37" s="83">
        <v>18</v>
      </c>
      <c r="J37" s="18">
        <v>2400</v>
      </c>
      <c r="K37" s="9">
        <f t="shared" si="44"/>
        <v>133.33333333333334</v>
      </c>
      <c r="L37" s="83">
        <v>18</v>
      </c>
      <c r="M37" s="10">
        <f t="shared" si="38"/>
        <v>2151.8446601941755</v>
      </c>
      <c r="N37" s="9">
        <f t="shared" si="39"/>
        <v>119.54692556634308</v>
      </c>
      <c r="O37" s="11">
        <f t="shared" si="40"/>
        <v>0</v>
      </c>
      <c r="P37" s="12">
        <f t="shared" si="41"/>
        <v>-13.786407766990266</v>
      </c>
      <c r="Q37" s="81">
        <f t="shared" si="42"/>
        <v>0.89660194174757302</v>
      </c>
      <c r="R37" s="470"/>
      <c r="S37" s="24">
        <v>0.38472222222222219</v>
      </c>
      <c r="T37" s="24">
        <v>0.45624999999999993</v>
      </c>
      <c r="U37" s="80">
        <f t="shared" si="46"/>
        <v>6.9999999999999751</v>
      </c>
      <c r="V37" s="84">
        <f t="shared" si="43"/>
        <v>102.99999999999996</v>
      </c>
      <c r="W37" s="14"/>
      <c r="X37" s="14"/>
      <c r="Y37" s="456"/>
      <c r="Z37" s="456"/>
      <c r="AA37" s="11">
        <f t="shared" si="2"/>
        <v>-248.1553398058245</v>
      </c>
      <c r="AB37" s="81">
        <f t="shared" si="45"/>
        <v>0.89660194174757313</v>
      </c>
      <c r="AC37" s="470"/>
    </row>
    <row r="38" spans="1:29" ht="15.75" customHeight="1">
      <c r="A38" s="484" t="s">
        <v>8</v>
      </c>
      <c r="B38" s="26" t="s">
        <v>24</v>
      </c>
      <c r="C38" s="477" t="s">
        <v>28</v>
      </c>
      <c r="D38" s="477"/>
      <c r="E38" s="26">
        <v>22.69</v>
      </c>
      <c r="F38" s="85">
        <v>1403</v>
      </c>
      <c r="G38" s="80">
        <f t="shared" si="37"/>
        <v>31834.070000000003</v>
      </c>
      <c r="H38" s="76" t="s">
        <v>57</v>
      </c>
      <c r="I38" s="83">
        <v>18</v>
      </c>
      <c r="J38" s="18">
        <v>2400</v>
      </c>
      <c r="K38" s="9">
        <f t="shared" si="44"/>
        <v>133.33333333333334</v>
      </c>
      <c r="L38" s="83">
        <v>18</v>
      </c>
      <c r="M38" s="10">
        <f t="shared" si="38"/>
        <v>2158.4615384615372</v>
      </c>
      <c r="N38" s="9">
        <f t="shared" si="39"/>
        <v>119.91452991452985</v>
      </c>
      <c r="O38" s="11">
        <f t="shared" si="40"/>
        <v>0</v>
      </c>
      <c r="P38" s="12">
        <f t="shared" si="41"/>
        <v>-13.418803418803492</v>
      </c>
      <c r="Q38" s="81">
        <f t="shared" si="42"/>
        <v>0.89935897435897383</v>
      </c>
      <c r="R38" s="470"/>
      <c r="S38" s="24">
        <v>0.46111111111111103</v>
      </c>
      <c r="T38" s="24">
        <v>0.48819444444444438</v>
      </c>
      <c r="U38" s="80">
        <f t="shared" si="46"/>
        <v>6.9999999999999751</v>
      </c>
      <c r="V38" s="84">
        <f t="shared" si="43"/>
        <v>39.000000000000021</v>
      </c>
      <c r="W38" s="14"/>
      <c r="X38" s="14"/>
      <c r="Y38" s="456"/>
      <c r="Z38" s="456"/>
      <c r="AA38" s="11">
        <f t="shared" si="2"/>
        <v>-241.5384615384628</v>
      </c>
      <c r="AB38" s="81">
        <f t="shared" si="45"/>
        <v>0.89935897435897383</v>
      </c>
      <c r="AC38" s="470"/>
    </row>
    <row r="39" spans="1:29" ht="15.75" customHeight="1">
      <c r="A39" s="484" t="s">
        <v>8</v>
      </c>
      <c r="B39" s="26" t="s">
        <v>24</v>
      </c>
      <c r="C39" s="477" t="s">
        <v>55</v>
      </c>
      <c r="D39" s="477"/>
      <c r="E39" s="26">
        <v>26.2</v>
      </c>
      <c r="F39" s="85">
        <v>2690</v>
      </c>
      <c r="G39" s="80">
        <f t="shared" si="37"/>
        <v>70478</v>
      </c>
      <c r="H39" s="76" t="s">
        <v>57</v>
      </c>
      <c r="I39" s="83">
        <v>21</v>
      </c>
      <c r="J39" s="18">
        <v>2400</v>
      </c>
      <c r="K39" s="9">
        <f t="shared" si="44"/>
        <v>114.28571428571429</v>
      </c>
      <c r="L39" s="83">
        <v>21</v>
      </c>
      <c r="M39" s="10">
        <f t="shared" si="38"/>
        <v>2151.9999999999982</v>
      </c>
      <c r="N39" s="9">
        <f t="shared" si="39"/>
        <v>102.4761904761904</v>
      </c>
      <c r="O39" s="11">
        <f t="shared" si="40"/>
        <v>0</v>
      </c>
      <c r="P39" s="12">
        <f t="shared" si="41"/>
        <v>-11.809523809523895</v>
      </c>
      <c r="Q39" s="81">
        <f t="shared" si="42"/>
        <v>0.89666666666666595</v>
      </c>
      <c r="R39" s="470"/>
      <c r="S39" s="24">
        <v>0.52708333333333324</v>
      </c>
      <c r="T39" s="24">
        <v>0.57916666666666661</v>
      </c>
      <c r="U39" s="80">
        <f t="shared" si="46"/>
        <v>55.999999999999957</v>
      </c>
      <c r="V39" s="84">
        <f t="shared" si="43"/>
        <v>75.000000000000057</v>
      </c>
      <c r="W39" s="14"/>
      <c r="X39" s="14"/>
      <c r="Y39" s="456"/>
      <c r="Z39" s="456"/>
      <c r="AA39" s="11">
        <f t="shared" si="2"/>
        <v>-248.00000000000182</v>
      </c>
      <c r="AB39" s="81">
        <f t="shared" si="45"/>
        <v>0.89666666666666595</v>
      </c>
      <c r="AC39" s="470"/>
    </row>
    <row r="40" spans="1:29" ht="15.75" customHeight="1">
      <c r="A40" s="484" t="s">
        <v>8</v>
      </c>
      <c r="B40" s="26" t="s">
        <v>24</v>
      </c>
      <c r="C40" s="477" t="s">
        <v>46</v>
      </c>
      <c r="D40" s="477"/>
      <c r="E40" s="26">
        <v>25</v>
      </c>
      <c r="F40" s="85">
        <v>2015</v>
      </c>
      <c r="G40" s="80">
        <f t="shared" si="37"/>
        <v>50375</v>
      </c>
      <c r="H40" s="76" t="s">
        <v>57</v>
      </c>
      <c r="I40" s="83">
        <v>16</v>
      </c>
      <c r="J40" s="18">
        <v>2400</v>
      </c>
      <c r="K40" s="9">
        <f t="shared" si="44"/>
        <v>150</v>
      </c>
      <c r="L40" s="83">
        <v>16</v>
      </c>
      <c r="M40" s="10">
        <f t="shared" si="38"/>
        <v>2158.9285714285729</v>
      </c>
      <c r="N40" s="9">
        <f t="shared" si="39"/>
        <v>134.93303571428581</v>
      </c>
      <c r="O40" s="11">
        <f t="shared" si="40"/>
        <v>0</v>
      </c>
      <c r="P40" s="12">
        <f t="shared" si="41"/>
        <v>-15.066964285714192</v>
      </c>
      <c r="Q40" s="81">
        <f t="shared" si="42"/>
        <v>0.89955357142857206</v>
      </c>
      <c r="R40" s="470"/>
      <c r="S40" s="24">
        <v>0.58263888888888882</v>
      </c>
      <c r="T40" s="24">
        <v>0.62152777777777768</v>
      </c>
      <c r="U40" s="80">
        <f t="shared" si="46"/>
        <v>4.9999999999999822</v>
      </c>
      <c r="V40" s="84">
        <f t="shared" si="43"/>
        <v>55.999999999999957</v>
      </c>
      <c r="W40" s="14"/>
      <c r="X40" s="14"/>
      <c r="Y40" s="456"/>
      <c r="Z40" s="456"/>
      <c r="AA40" s="11">
        <f t="shared" si="2"/>
        <v>-241.07142857142708</v>
      </c>
      <c r="AB40" s="81">
        <f t="shared" si="45"/>
        <v>0.89955357142857206</v>
      </c>
      <c r="AC40" s="470"/>
    </row>
    <row r="41" spans="1:29" ht="15.75" customHeight="1">
      <c r="A41" s="484" t="s">
        <v>8</v>
      </c>
      <c r="B41" s="26" t="s">
        <v>24</v>
      </c>
      <c r="C41" s="482" t="s">
        <v>26</v>
      </c>
      <c r="D41" s="483"/>
      <c r="E41" s="26">
        <v>26.2</v>
      </c>
      <c r="F41" s="85">
        <v>2512</v>
      </c>
      <c r="G41" s="80">
        <f t="shared" si="37"/>
        <v>65814.399999999994</v>
      </c>
      <c r="H41" s="76" t="s">
        <v>57</v>
      </c>
      <c r="I41" s="83">
        <v>20</v>
      </c>
      <c r="J41" s="18">
        <v>2400</v>
      </c>
      <c r="K41" s="9">
        <f t="shared" si="44"/>
        <v>120</v>
      </c>
      <c r="L41" s="83">
        <v>20</v>
      </c>
      <c r="M41" s="10">
        <f t="shared" si="38"/>
        <v>2153.1428571428551</v>
      </c>
      <c r="N41" s="9">
        <f t="shared" si="39"/>
        <v>107.65714285714276</v>
      </c>
      <c r="O41" s="11">
        <f t="shared" si="40"/>
        <v>0</v>
      </c>
      <c r="P41" s="12">
        <f t="shared" si="41"/>
        <v>-12.342857142857241</v>
      </c>
      <c r="Q41" s="81">
        <f t="shared" si="42"/>
        <v>0.89714285714285635</v>
      </c>
      <c r="R41" s="470"/>
      <c r="S41" s="24">
        <v>0.62569444444444433</v>
      </c>
      <c r="T41" s="24">
        <v>0.67430555555555549</v>
      </c>
      <c r="U41" s="80">
        <f t="shared" si="46"/>
        <v>5.9999999999999787</v>
      </c>
      <c r="V41" s="84">
        <f t="shared" si="43"/>
        <v>70.000000000000071</v>
      </c>
      <c r="W41" s="14"/>
      <c r="X41" s="14"/>
      <c r="Y41" s="473"/>
      <c r="Z41" s="474"/>
      <c r="AA41" s="11">
        <f t="shared" si="2"/>
        <v>-246.85714285714494</v>
      </c>
      <c r="AB41" s="81">
        <f t="shared" si="45"/>
        <v>0.89714285714285624</v>
      </c>
      <c r="AC41" s="470"/>
    </row>
    <row r="42" spans="1:29" ht="15.75" customHeight="1">
      <c r="A42" s="484" t="s">
        <v>8</v>
      </c>
      <c r="B42" s="26" t="s">
        <v>24</v>
      </c>
      <c r="C42" s="482" t="s">
        <v>25</v>
      </c>
      <c r="D42" s="483"/>
      <c r="E42" s="26">
        <v>20.52</v>
      </c>
      <c r="F42" s="85">
        <v>2194</v>
      </c>
      <c r="G42" s="80">
        <f t="shared" si="37"/>
        <v>45020.88</v>
      </c>
      <c r="H42" s="76" t="s">
        <v>57</v>
      </c>
      <c r="I42" s="83">
        <v>20</v>
      </c>
      <c r="J42" s="18">
        <v>2400</v>
      </c>
      <c r="K42" s="9">
        <f t="shared" si="44"/>
        <v>120</v>
      </c>
      <c r="L42" s="83">
        <v>20</v>
      </c>
      <c r="M42" s="10">
        <f t="shared" si="38"/>
        <v>2158.0327868852478</v>
      </c>
      <c r="N42" s="9">
        <f t="shared" si="39"/>
        <v>107.90163934426239</v>
      </c>
      <c r="O42" s="11">
        <f t="shared" si="40"/>
        <v>0</v>
      </c>
      <c r="P42" s="12">
        <f t="shared" si="41"/>
        <v>-12.098360655737608</v>
      </c>
      <c r="Q42" s="81">
        <f t="shared" si="42"/>
        <v>0.89918032786885327</v>
      </c>
      <c r="R42" s="470"/>
      <c r="S42" s="24">
        <v>0.67986111111111103</v>
      </c>
      <c r="T42" s="24">
        <v>0.7222222222222221</v>
      </c>
      <c r="U42" s="80">
        <f t="shared" si="46"/>
        <v>7.9999999999999716</v>
      </c>
      <c r="V42" s="84">
        <f t="shared" si="43"/>
        <v>60.999999999999943</v>
      </c>
      <c r="W42" s="14"/>
      <c r="X42" s="14"/>
      <c r="Y42" s="473"/>
      <c r="Z42" s="474"/>
      <c r="AA42" s="11">
        <f t="shared" si="2"/>
        <v>-241.96721311475221</v>
      </c>
      <c r="AB42" s="81">
        <f t="shared" si="45"/>
        <v>0.89918032786885327</v>
      </c>
      <c r="AC42" s="470"/>
    </row>
    <row r="43" spans="1:29" ht="15.75" customHeight="1">
      <c r="A43" s="484" t="s">
        <v>8</v>
      </c>
      <c r="B43" s="26" t="s">
        <v>24</v>
      </c>
      <c r="C43" s="482" t="s">
        <v>69</v>
      </c>
      <c r="D43" s="483"/>
      <c r="E43" s="26">
        <v>22.35</v>
      </c>
      <c r="F43" s="85">
        <v>1302</v>
      </c>
      <c r="G43" s="80">
        <f t="shared" si="37"/>
        <v>29099.7</v>
      </c>
      <c r="H43" s="76" t="s">
        <v>57</v>
      </c>
      <c r="I43" s="83">
        <v>16</v>
      </c>
      <c r="J43" s="18">
        <v>2400</v>
      </c>
      <c r="K43" s="9">
        <f t="shared" si="44"/>
        <v>150</v>
      </c>
      <c r="L43" s="83">
        <v>16</v>
      </c>
      <c r="M43" s="10">
        <f t="shared" si="38"/>
        <v>2169.9999999999982</v>
      </c>
      <c r="N43" s="9">
        <f t="shared" si="39"/>
        <v>135.62499999999989</v>
      </c>
      <c r="O43" s="11">
        <f t="shared" si="40"/>
        <v>0</v>
      </c>
      <c r="P43" s="12">
        <f t="shared" si="41"/>
        <v>-14.375000000000114</v>
      </c>
      <c r="Q43" s="81">
        <f t="shared" si="42"/>
        <v>0.9041666666666659</v>
      </c>
      <c r="R43" s="470"/>
      <c r="S43" s="24">
        <v>0.72638888888888875</v>
      </c>
      <c r="T43" s="24">
        <v>0.75138888888888877</v>
      </c>
      <c r="U43" s="80">
        <f t="shared" si="46"/>
        <v>5.9999999999999787</v>
      </c>
      <c r="V43" s="84">
        <f t="shared" si="43"/>
        <v>36.000000000000028</v>
      </c>
      <c r="W43" s="14"/>
      <c r="X43" s="14"/>
      <c r="Y43" s="473"/>
      <c r="Z43" s="474"/>
      <c r="AA43" s="11">
        <f t="shared" si="2"/>
        <v>-230.00000000000182</v>
      </c>
      <c r="AB43" s="81">
        <f t="shared" si="45"/>
        <v>0.9041666666666659</v>
      </c>
      <c r="AC43" s="470"/>
    </row>
    <row r="44" spans="1:29" ht="15.75" customHeight="1">
      <c r="A44" s="484" t="s">
        <v>8</v>
      </c>
      <c r="B44" s="26" t="s">
        <v>81</v>
      </c>
      <c r="C44" s="466"/>
      <c r="D44" s="466"/>
      <c r="E44" s="79"/>
      <c r="F44" s="85"/>
      <c r="G44" s="80"/>
      <c r="H44" s="85"/>
      <c r="I44" s="17">
        <v>18.727272727272727</v>
      </c>
      <c r="J44" s="18">
        <v>2400</v>
      </c>
      <c r="K44" s="9">
        <f t="shared" si="44"/>
        <v>128.15533980582524</v>
      </c>
      <c r="L44" s="17">
        <v>18.727272727272727</v>
      </c>
      <c r="M44" s="10">
        <f>AVERAGE(M33:M43)</f>
        <v>2153.4242758111618</v>
      </c>
      <c r="N44" s="9">
        <f>M44/L44</f>
        <v>114.98867492195525</v>
      </c>
      <c r="O44" s="11">
        <f>L44-I44</f>
        <v>0</v>
      </c>
      <c r="P44" s="12">
        <f>N44-K44</f>
        <v>-13.166664883869984</v>
      </c>
      <c r="Q44" s="81">
        <f>N44/K44</f>
        <v>0.89726011492131752</v>
      </c>
      <c r="R44" s="470"/>
      <c r="S44" s="24"/>
      <c r="T44" s="24"/>
      <c r="U44" s="80"/>
      <c r="V44" s="84"/>
      <c r="W44" s="80"/>
      <c r="X44" s="80"/>
      <c r="Y44" s="456"/>
      <c r="Z44" s="456"/>
      <c r="AA44" s="11">
        <f t="shared" si="2"/>
        <v>-246.57572418883819</v>
      </c>
      <c r="AB44" s="81">
        <f>M44/J44</f>
        <v>0.89726011492131741</v>
      </c>
      <c r="AC44" s="470"/>
    </row>
    <row r="45" spans="1:29" ht="15.75" customHeight="1">
      <c r="A45" s="485" t="s">
        <v>158</v>
      </c>
      <c r="B45" s="26" t="s">
        <v>24</v>
      </c>
      <c r="C45" s="487" t="s">
        <v>29</v>
      </c>
      <c r="D45" s="487"/>
      <c r="E45" s="26">
        <v>26.2</v>
      </c>
      <c r="F45" s="85">
        <v>4200</v>
      </c>
      <c r="G45" s="80">
        <f t="shared" ref="G45:G53" si="47">E45*F45</f>
        <v>110040</v>
      </c>
      <c r="H45" s="76">
        <v>2</v>
      </c>
      <c r="I45" s="83">
        <v>19</v>
      </c>
      <c r="J45" s="18">
        <v>2400</v>
      </c>
      <c r="K45" s="9">
        <f>J45/I45</f>
        <v>126.31578947368421</v>
      </c>
      <c r="L45" s="83">
        <v>19</v>
      </c>
      <c r="M45" s="10">
        <f>F45/V45*60</f>
        <v>2153.8461538461543</v>
      </c>
      <c r="N45" s="9">
        <f>M45/L45</f>
        <v>113.3603238866397</v>
      </c>
      <c r="O45" s="11">
        <f t="shared" ref="O45:O53" si="48">L45-I45</f>
        <v>0</v>
      </c>
      <c r="P45" s="12">
        <f t="shared" ref="P45:P71" si="49">N45-K45</f>
        <v>-12.9554655870445</v>
      </c>
      <c r="Q45" s="81">
        <f t="shared" ref="Q45:Q58" si="50">N45/K45</f>
        <v>0.89743589743589769</v>
      </c>
      <c r="R45" s="470">
        <f>Q54</f>
        <v>0.89950050386175273</v>
      </c>
      <c r="S45" s="24">
        <v>0.125</v>
      </c>
      <c r="T45" s="24">
        <v>0.20624999999999999</v>
      </c>
      <c r="U45" s="80"/>
      <c r="V45" s="84">
        <f t="shared" ref="V45:V53" si="51">(T45-S45)*24*60</f>
        <v>116.99999999999999</v>
      </c>
      <c r="W45" s="15"/>
      <c r="X45" s="15"/>
      <c r="Y45" s="456"/>
      <c r="Z45" s="456"/>
      <c r="AA45" s="11">
        <f t="shared" si="2"/>
        <v>-246.15384615384573</v>
      </c>
      <c r="AB45" s="81">
        <f>M45/J45</f>
        <v>0.89743589743589758</v>
      </c>
      <c r="AC45" s="470">
        <f>AB54</f>
        <v>0.89950050386175273</v>
      </c>
    </row>
    <row r="46" spans="1:29" ht="15.75" customHeight="1">
      <c r="A46" s="485" t="s">
        <v>158</v>
      </c>
      <c r="B46" s="26" t="s">
        <v>24</v>
      </c>
      <c r="C46" s="487" t="s">
        <v>30</v>
      </c>
      <c r="D46" s="487"/>
      <c r="E46" s="26">
        <v>26.39</v>
      </c>
      <c r="F46" s="85">
        <v>3600</v>
      </c>
      <c r="G46" s="80">
        <f t="shared" si="47"/>
        <v>95004</v>
      </c>
      <c r="H46" s="76">
        <v>2</v>
      </c>
      <c r="I46" s="83">
        <v>21</v>
      </c>
      <c r="J46" s="18">
        <v>2400</v>
      </c>
      <c r="K46" s="9">
        <f t="shared" ref="K46:K70" si="52">J46/I46</f>
        <v>114.28571428571429</v>
      </c>
      <c r="L46" s="83">
        <v>21</v>
      </c>
      <c r="M46" s="10">
        <f t="shared" ref="M46:M53" si="53">F46/V46*60</f>
        <v>2160</v>
      </c>
      <c r="N46" s="9">
        <f t="shared" ref="N46:N53" si="54">M46/L46</f>
        <v>102.85714285714286</v>
      </c>
      <c r="O46" s="11">
        <f t="shared" si="48"/>
        <v>0</v>
      </c>
      <c r="P46" s="12">
        <f t="shared" si="49"/>
        <v>-11.428571428571431</v>
      </c>
      <c r="Q46" s="81">
        <f t="shared" si="50"/>
        <v>0.9</v>
      </c>
      <c r="R46" s="470"/>
      <c r="S46" s="24">
        <v>0.22638888888888889</v>
      </c>
      <c r="T46" s="24">
        <v>0.29583333333333334</v>
      </c>
      <c r="U46" s="80">
        <f>(S46-T45)*24*60</f>
        <v>29.000000000000018</v>
      </c>
      <c r="V46" s="84">
        <f t="shared" si="51"/>
        <v>100</v>
      </c>
      <c r="W46" s="80"/>
      <c r="X46" s="80"/>
      <c r="Y46" s="456"/>
      <c r="Z46" s="456"/>
      <c r="AA46" s="11">
        <f t="shared" si="2"/>
        <v>-240</v>
      </c>
      <c r="AB46" s="81">
        <f t="shared" ref="AB46:AB80" si="55">M46/J46</f>
        <v>0.9</v>
      </c>
      <c r="AC46" s="470"/>
    </row>
    <row r="47" spans="1:29">
      <c r="A47" s="486" t="s">
        <v>158</v>
      </c>
      <c r="B47" s="26" t="s">
        <v>24</v>
      </c>
      <c r="C47" s="487" t="s">
        <v>31</v>
      </c>
      <c r="D47" s="487"/>
      <c r="E47" s="26">
        <v>24.45</v>
      </c>
      <c r="F47" s="85">
        <v>1600</v>
      </c>
      <c r="G47" s="80">
        <f t="shared" si="47"/>
        <v>39120</v>
      </c>
      <c r="H47" s="76">
        <v>2</v>
      </c>
      <c r="I47" s="83">
        <v>20</v>
      </c>
      <c r="J47" s="18">
        <v>2400</v>
      </c>
      <c r="K47" s="9">
        <f t="shared" si="52"/>
        <v>120</v>
      </c>
      <c r="L47" s="83">
        <v>20</v>
      </c>
      <c r="M47" s="10">
        <f t="shared" si="53"/>
        <v>2181.818181818182</v>
      </c>
      <c r="N47" s="9">
        <f t="shared" si="54"/>
        <v>109.09090909090909</v>
      </c>
      <c r="O47" s="11">
        <f t="shared" si="48"/>
        <v>0</v>
      </c>
      <c r="P47" s="12">
        <f t="shared" si="49"/>
        <v>-10.909090909090907</v>
      </c>
      <c r="Q47" s="81">
        <f t="shared" si="50"/>
        <v>0.90909090909090906</v>
      </c>
      <c r="R47" s="470"/>
      <c r="S47" s="24">
        <v>0.3</v>
      </c>
      <c r="T47" s="24">
        <v>0.33055555555555555</v>
      </c>
      <c r="U47" s="80">
        <f t="shared" ref="U47:U53" si="56">(S47-T46)*24*60</f>
        <v>5.9999999999999787</v>
      </c>
      <c r="V47" s="84">
        <f t="shared" si="51"/>
        <v>44</v>
      </c>
      <c r="W47" s="80"/>
      <c r="X47" s="80"/>
      <c r="Y47" s="456"/>
      <c r="Z47" s="456"/>
      <c r="AA47" s="11">
        <f t="shared" si="2"/>
        <v>-218.18181818181802</v>
      </c>
      <c r="AB47" s="81">
        <f t="shared" si="55"/>
        <v>0.90909090909090917</v>
      </c>
      <c r="AC47" s="470"/>
    </row>
    <row r="48" spans="1:29">
      <c r="A48" s="486" t="s">
        <v>158</v>
      </c>
      <c r="B48" s="26" t="s">
        <v>24</v>
      </c>
      <c r="C48" s="487" t="s">
        <v>32</v>
      </c>
      <c r="D48" s="487"/>
      <c r="E48" s="26">
        <v>26.2</v>
      </c>
      <c r="F48" s="85">
        <v>3409</v>
      </c>
      <c r="G48" s="80">
        <f t="shared" si="47"/>
        <v>89315.8</v>
      </c>
      <c r="H48" s="76" t="s">
        <v>57</v>
      </c>
      <c r="I48" s="83">
        <v>22</v>
      </c>
      <c r="J48" s="18">
        <v>2400</v>
      </c>
      <c r="K48" s="9">
        <f t="shared" si="52"/>
        <v>109.09090909090909</v>
      </c>
      <c r="L48" s="83">
        <v>22</v>
      </c>
      <c r="M48" s="10">
        <f t="shared" si="53"/>
        <v>2153.052631578948</v>
      </c>
      <c r="N48" s="9">
        <f t="shared" si="54"/>
        <v>97.866028708133996</v>
      </c>
      <c r="O48" s="11">
        <f t="shared" si="48"/>
        <v>0</v>
      </c>
      <c r="P48" s="12">
        <f t="shared" si="49"/>
        <v>-11.224880382775098</v>
      </c>
      <c r="Q48" s="81">
        <f t="shared" si="50"/>
        <v>0.89710526315789496</v>
      </c>
      <c r="R48" s="470"/>
      <c r="S48" s="24">
        <v>0.33402777777777776</v>
      </c>
      <c r="T48" s="24">
        <v>0.39999999999999997</v>
      </c>
      <c r="U48" s="80">
        <f t="shared" si="56"/>
        <v>4.9999999999999822</v>
      </c>
      <c r="V48" s="84">
        <f t="shared" si="51"/>
        <v>94.999999999999986</v>
      </c>
      <c r="W48" s="14"/>
      <c r="X48" s="14"/>
      <c r="Y48" s="456"/>
      <c r="Z48" s="456"/>
      <c r="AA48" s="11">
        <f t="shared" si="2"/>
        <v>-246.94736842105203</v>
      </c>
      <c r="AB48" s="81">
        <f t="shared" si="55"/>
        <v>0.89710526315789496</v>
      </c>
      <c r="AC48" s="470"/>
    </row>
    <row r="49" spans="1:29">
      <c r="A49" s="486" t="s">
        <v>159</v>
      </c>
      <c r="B49" s="26" t="s">
        <v>24</v>
      </c>
      <c r="C49" s="487" t="s">
        <v>69</v>
      </c>
      <c r="D49" s="487"/>
      <c r="E49" s="26">
        <v>22.35</v>
      </c>
      <c r="F49" s="85">
        <v>2200</v>
      </c>
      <c r="G49" s="80">
        <f t="shared" si="47"/>
        <v>49170</v>
      </c>
      <c r="H49" s="76">
        <v>2</v>
      </c>
      <c r="I49" s="83">
        <v>16</v>
      </c>
      <c r="J49" s="18">
        <v>2400</v>
      </c>
      <c r="K49" s="9">
        <f t="shared" si="52"/>
        <v>150</v>
      </c>
      <c r="L49" s="83">
        <v>16</v>
      </c>
      <c r="M49" s="10">
        <f t="shared" si="53"/>
        <v>2163.9344262295072</v>
      </c>
      <c r="N49" s="9">
        <f t="shared" si="54"/>
        <v>135.2459016393442</v>
      </c>
      <c r="O49" s="11">
        <f t="shared" si="48"/>
        <v>0</v>
      </c>
      <c r="P49" s="12">
        <f t="shared" si="49"/>
        <v>-14.754098360655803</v>
      </c>
      <c r="Q49" s="81">
        <f t="shared" si="50"/>
        <v>0.90163934426229464</v>
      </c>
      <c r="R49" s="470"/>
      <c r="S49" s="24">
        <v>0.4055555555555555</v>
      </c>
      <c r="T49" s="24">
        <v>0.44791666666666663</v>
      </c>
      <c r="U49" s="80">
        <f t="shared" si="56"/>
        <v>7.9999999999999716</v>
      </c>
      <c r="V49" s="84">
        <f t="shared" si="51"/>
        <v>61.000000000000021</v>
      </c>
      <c r="W49" s="14"/>
      <c r="X49" s="14"/>
      <c r="Y49" s="456"/>
      <c r="Z49" s="456"/>
      <c r="AA49" s="11">
        <f t="shared" si="2"/>
        <v>-236.06557377049285</v>
      </c>
      <c r="AB49" s="81">
        <f t="shared" si="55"/>
        <v>0.90163934426229464</v>
      </c>
      <c r="AC49" s="470"/>
    </row>
    <row r="50" spans="1:29">
      <c r="A50" s="486" t="s">
        <v>160</v>
      </c>
      <c r="B50" s="26" t="s">
        <v>24</v>
      </c>
      <c r="C50" s="487" t="s">
        <v>84</v>
      </c>
      <c r="D50" s="487"/>
      <c r="E50" s="26">
        <v>24.25</v>
      </c>
      <c r="F50" s="85">
        <v>3500</v>
      </c>
      <c r="G50" s="80">
        <f t="shared" si="47"/>
        <v>84875</v>
      </c>
      <c r="H50" s="76">
        <v>2</v>
      </c>
      <c r="I50" s="83">
        <v>19</v>
      </c>
      <c r="J50" s="18">
        <v>2400</v>
      </c>
      <c r="K50" s="9">
        <f t="shared" si="52"/>
        <v>126.31578947368421</v>
      </c>
      <c r="L50" s="83">
        <v>19</v>
      </c>
      <c r="M50" s="10">
        <f t="shared" si="53"/>
        <v>2142.8571428571431</v>
      </c>
      <c r="N50" s="9">
        <f t="shared" si="54"/>
        <v>112.78195488721806</v>
      </c>
      <c r="O50" s="11">
        <f t="shared" si="48"/>
        <v>0</v>
      </c>
      <c r="P50" s="12">
        <f t="shared" si="49"/>
        <v>-13.533834586466142</v>
      </c>
      <c r="Q50" s="81">
        <f t="shared" si="50"/>
        <v>0.89285714285714302</v>
      </c>
      <c r="R50" s="470"/>
      <c r="S50" s="24">
        <v>0.45208333333333328</v>
      </c>
      <c r="T50" s="24">
        <v>0.52013888888888882</v>
      </c>
      <c r="U50" s="80">
        <f t="shared" si="56"/>
        <v>5.9999999999999787</v>
      </c>
      <c r="V50" s="84">
        <f t="shared" si="51"/>
        <v>97.999999999999972</v>
      </c>
      <c r="W50" s="14"/>
      <c r="X50" s="14"/>
      <c r="Y50" s="456"/>
      <c r="Z50" s="456"/>
      <c r="AA50" s="11">
        <f t="shared" si="2"/>
        <v>-257.14285714285688</v>
      </c>
      <c r="AB50" s="81">
        <f t="shared" si="55"/>
        <v>0.89285714285714302</v>
      </c>
      <c r="AC50" s="470"/>
    </row>
    <row r="51" spans="1:29">
      <c r="A51" s="486" t="s">
        <v>158</v>
      </c>
      <c r="B51" s="26" t="s">
        <v>24</v>
      </c>
      <c r="C51" s="487" t="s">
        <v>84</v>
      </c>
      <c r="D51" s="487"/>
      <c r="E51" s="26">
        <v>24.25</v>
      </c>
      <c r="F51" s="85">
        <v>2663</v>
      </c>
      <c r="G51" s="80">
        <f t="shared" si="47"/>
        <v>64577.75</v>
      </c>
      <c r="H51" s="76" t="s">
        <v>57</v>
      </c>
      <c r="I51" s="83">
        <v>19</v>
      </c>
      <c r="J51" s="18">
        <v>2400</v>
      </c>
      <c r="K51" s="9">
        <f t="shared" si="52"/>
        <v>126.31578947368421</v>
      </c>
      <c r="L51" s="83">
        <v>19</v>
      </c>
      <c r="M51" s="10">
        <f t="shared" si="53"/>
        <v>2159.1891891891873</v>
      </c>
      <c r="N51" s="9">
        <f t="shared" si="54"/>
        <v>113.64153627311512</v>
      </c>
      <c r="O51" s="11">
        <f t="shared" si="48"/>
        <v>0</v>
      </c>
      <c r="P51" s="12">
        <f t="shared" si="49"/>
        <v>-12.674253200569083</v>
      </c>
      <c r="Q51" s="81">
        <f t="shared" si="50"/>
        <v>0.89966216216216144</v>
      </c>
      <c r="R51" s="470"/>
      <c r="S51" s="24">
        <v>0.56249999999999989</v>
      </c>
      <c r="T51" s="24">
        <v>0.61388888888888882</v>
      </c>
      <c r="U51" s="80">
        <f t="shared" si="56"/>
        <v>60.999999999999943</v>
      </c>
      <c r="V51" s="84">
        <f t="shared" si="51"/>
        <v>74.000000000000057</v>
      </c>
      <c r="W51" s="14"/>
      <c r="X51" s="14"/>
      <c r="Y51" s="473"/>
      <c r="Z51" s="502"/>
      <c r="AA51" s="11">
        <f t="shared" si="2"/>
        <v>-240.81081081081265</v>
      </c>
      <c r="AB51" s="81">
        <f t="shared" si="55"/>
        <v>0.89966216216216144</v>
      </c>
      <c r="AC51" s="470"/>
    </row>
    <row r="52" spans="1:29">
      <c r="A52" s="486" t="s">
        <v>158</v>
      </c>
      <c r="B52" s="26" t="s">
        <v>24</v>
      </c>
      <c r="C52" s="487" t="s">
        <v>30</v>
      </c>
      <c r="D52" s="487"/>
      <c r="E52" s="26">
        <v>26.39</v>
      </c>
      <c r="F52" s="85">
        <v>2871</v>
      </c>
      <c r="G52" s="80">
        <f t="shared" si="47"/>
        <v>75765.69</v>
      </c>
      <c r="H52" s="76" t="s">
        <v>57</v>
      </c>
      <c r="I52" s="83">
        <v>21</v>
      </c>
      <c r="J52" s="18">
        <v>2400</v>
      </c>
      <c r="K52" s="9">
        <f t="shared" si="52"/>
        <v>114.28571428571429</v>
      </c>
      <c r="L52" s="83">
        <v>21</v>
      </c>
      <c r="M52" s="10">
        <f t="shared" si="53"/>
        <v>2153.2499999999991</v>
      </c>
      <c r="N52" s="9">
        <f t="shared" si="54"/>
        <v>102.53571428571425</v>
      </c>
      <c r="O52" s="11">
        <f t="shared" si="48"/>
        <v>0</v>
      </c>
      <c r="P52" s="12">
        <f t="shared" si="49"/>
        <v>-11.750000000000043</v>
      </c>
      <c r="Q52" s="81">
        <f t="shared" si="50"/>
        <v>0.89718749999999958</v>
      </c>
      <c r="R52" s="470"/>
      <c r="S52" s="24">
        <v>0.61736111111111103</v>
      </c>
      <c r="T52" s="24">
        <v>0.67291666666666661</v>
      </c>
      <c r="U52" s="80">
        <f t="shared" si="56"/>
        <v>4.9999999999999822</v>
      </c>
      <c r="V52" s="84">
        <f t="shared" si="51"/>
        <v>80.000000000000028</v>
      </c>
      <c r="W52" s="14"/>
      <c r="X52" s="14"/>
      <c r="Y52" s="473"/>
      <c r="Z52" s="474"/>
      <c r="AA52" s="11">
        <f t="shared" si="2"/>
        <v>-246.75000000000091</v>
      </c>
      <c r="AB52" s="81">
        <f t="shared" si="55"/>
        <v>0.89718749999999958</v>
      </c>
      <c r="AC52" s="470"/>
    </row>
    <row r="53" spans="1:29">
      <c r="A53" s="486" t="s">
        <v>160</v>
      </c>
      <c r="B53" s="26" t="s">
        <v>24</v>
      </c>
      <c r="C53" s="487" t="s">
        <v>29</v>
      </c>
      <c r="D53" s="487"/>
      <c r="E53" s="26">
        <v>26.2</v>
      </c>
      <c r="F53" s="85">
        <v>3422</v>
      </c>
      <c r="G53" s="80">
        <f t="shared" si="47"/>
        <v>89656.4</v>
      </c>
      <c r="H53" s="76" t="s">
        <v>57</v>
      </c>
      <c r="I53" s="83">
        <v>19</v>
      </c>
      <c r="J53" s="18">
        <v>2400</v>
      </c>
      <c r="K53" s="9">
        <f t="shared" si="52"/>
        <v>126.31578947368421</v>
      </c>
      <c r="L53" s="83">
        <v>19</v>
      </c>
      <c r="M53" s="10">
        <f t="shared" si="53"/>
        <v>2161.2631578947371</v>
      </c>
      <c r="N53" s="9">
        <f t="shared" si="54"/>
        <v>113.75069252077564</v>
      </c>
      <c r="O53" s="11">
        <f t="shared" si="48"/>
        <v>0</v>
      </c>
      <c r="P53" s="12">
        <f t="shared" si="49"/>
        <v>-12.565096952908561</v>
      </c>
      <c r="Q53" s="81">
        <f t="shared" si="50"/>
        <v>0.90052631578947384</v>
      </c>
      <c r="R53" s="470"/>
      <c r="S53" s="24">
        <v>0.67638888888888882</v>
      </c>
      <c r="T53" s="24">
        <v>0.74236111111111103</v>
      </c>
      <c r="U53" s="80">
        <f t="shared" si="56"/>
        <v>4.9999999999999822</v>
      </c>
      <c r="V53" s="84">
        <f t="shared" si="51"/>
        <v>94.999999999999986</v>
      </c>
      <c r="W53" s="14"/>
      <c r="X53" s="14"/>
      <c r="Y53" s="473"/>
      <c r="Z53" s="474"/>
      <c r="AA53" s="11">
        <f t="shared" si="2"/>
        <v>-238.73684210526289</v>
      </c>
      <c r="AB53" s="81">
        <f t="shared" si="55"/>
        <v>0.90052631578947384</v>
      </c>
      <c r="AC53" s="470"/>
    </row>
    <row r="54" spans="1:29">
      <c r="A54" s="486" t="s">
        <v>158</v>
      </c>
      <c r="B54" s="16" t="s">
        <v>161</v>
      </c>
      <c r="C54" s="466"/>
      <c r="D54" s="466"/>
      <c r="E54" s="79"/>
      <c r="F54" s="16"/>
      <c r="G54" s="9"/>
      <c r="H54" s="85"/>
      <c r="I54" s="17">
        <v>19.555555555555557</v>
      </c>
      <c r="J54" s="18">
        <v>2400</v>
      </c>
      <c r="K54" s="9">
        <f t="shared" si="52"/>
        <v>122.72727272727272</v>
      </c>
      <c r="L54" s="17">
        <v>19.555555555555557</v>
      </c>
      <c r="M54" s="10">
        <f>AVERAGE(M45:M53)</f>
        <v>2158.8012092682065</v>
      </c>
      <c r="N54" s="9">
        <f>M54/L54</f>
        <v>110.39324365576056</v>
      </c>
      <c r="O54" s="11">
        <f>L54-I54</f>
        <v>0</v>
      </c>
      <c r="P54" s="12">
        <f t="shared" si="49"/>
        <v>-12.334029071512163</v>
      </c>
      <c r="Q54" s="81">
        <f t="shared" si="50"/>
        <v>0.89950050386175273</v>
      </c>
      <c r="R54" s="470"/>
      <c r="S54" s="24"/>
      <c r="T54" s="24"/>
      <c r="U54" s="9"/>
      <c r="V54" s="84"/>
      <c r="W54" s="9"/>
      <c r="X54" s="9"/>
      <c r="Y54" s="456"/>
      <c r="Z54" s="456"/>
      <c r="AA54" s="11">
        <f t="shared" si="2"/>
        <v>-241.19879073179345</v>
      </c>
      <c r="AB54" s="81">
        <f t="shared" si="55"/>
        <v>0.89950050386175273</v>
      </c>
      <c r="AC54" s="470"/>
    </row>
    <row r="55" spans="1:29" ht="15.75" customHeight="1">
      <c r="A55" s="488" t="s">
        <v>162</v>
      </c>
      <c r="B55" s="26" t="s">
        <v>33</v>
      </c>
      <c r="C55" s="491" t="s">
        <v>34</v>
      </c>
      <c r="D55" s="492"/>
      <c r="E55" s="26">
        <v>27.17</v>
      </c>
      <c r="F55" s="85">
        <v>3300</v>
      </c>
      <c r="G55" s="80">
        <f t="shared" ref="G55:G70" si="57">E55*F55</f>
        <v>89661</v>
      </c>
      <c r="H55" s="76">
        <v>2</v>
      </c>
      <c r="I55" s="83">
        <v>10</v>
      </c>
      <c r="J55" s="18">
        <v>3000</v>
      </c>
      <c r="K55" s="9">
        <f t="shared" si="52"/>
        <v>300</v>
      </c>
      <c r="L55" s="83">
        <v>10</v>
      </c>
      <c r="M55" s="10">
        <f t="shared" ref="M55:M56" si="58">F55/V55*60</f>
        <v>2675.6756756756754</v>
      </c>
      <c r="N55" s="10">
        <f t="shared" ref="N55:N71" si="59">M55/L55</f>
        <v>267.56756756756755</v>
      </c>
      <c r="O55" s="11">
        <f t="shared" ref="O55:O71" si="60">L55-I55</f>
        <v>0</v>
      </c>
      <c r="P55" s="12">
        <f t="shared" si="49"/>
        <v>-32.432432432432449</v>
      </c>
      <c r="Q55" s="81">
        <f t="shared" si="50"/>
        <v>0.89189189189189189</v>
      </c>
      <c r="R55" s="493">
        <f>Q71</f>
        <v>0.90320093523031264</v>
      </c>
      <c r="S55" s="24">
        <v>0.16666666666666666</v>
      </c>
      <c r="T55" s="24">
        <v>0.21805555555555556</v>
      </c>
      <c r="U55" s="15"/>
      <c r="V55" s="84">
        <f t="shared" ref="V55:V70" si="61">(T55-S55)*24*60</f>
        <v>74.000000000000014</v>
      </c>
      <c r="W55" s="80"/>
      <c r="X55" s="80"/>
      <c r="Y55" s="473"/>
      <c r="Z55" s="474"/>
      <c r="AA55" s="11">
        <f t="shared" si="2"/>
        <v>-324.32432432432461</v>
      </c>
      <c r="AB55" s="81">
        <f t="shared" si="55"/>
        <v>0.89189189189189177</v>
      </c>
      <c r="AC55" s="493">
        <f>AB71</f>
        <v>0.90320093523031253</v>
      </c>
    </row>
    <row r="56" spans="1:29" ht="15.75" customHeight="1">
      <c r="A56" s="489" t="s">
        <v>9</v>
      </c>
      <c r="B56" s="26" t="s">
        <v>33</v>
      </c>
      <c r="C56" s="491" t="s">
        <v>35</v>
      </c>
      <c r="D56" s="492"/>
      <c r="E56" s="26">
        <v>21.13</v>
      </c>
      <c r="F56" s="85">
        <v>2100</v>
      </c>
      <c r="G56" s="80">
        <f t="shared" si="57"/>
        <v>44373</v>
      </c>
      <c r="H56" s="76">
        <v>2</v>
      </c>
      <c r="I56" s="83">
        <v>10</v>
      </c>
      <c r="J56" s="18">
        <v>3000</v>
      </c>
      <c r="K56" s="9">
        <f t="shared" si="52"/>
        <v>300</v>
      </c>
      <c r="L56" s="83">
        <v>10</v>
      </c>
      <c r="M56" s="10">
        <f t="shared" si="58"/>
        <v>2680.8510638297853</v>
      </c>
      <c r="N56" s="10">
        <f t="shared" si="59"/>
        <v>268.08510638297855</v>
      </c>
      <c r="O56" s="11">
        <f t="shared" si="60"/>
        <v>0</v>
      </c>
      <c r="P56" s="12">
        <f t="shared" si="49"/>
        <v>-31.914893617021448</v>
      </c>
      <c r="Q56" s="81">
        <f t="shared" si="50"/>
        <v>0.89361702127659515</v>
      </c>
      <c r="R56" s="494"/>
      <c r="S56" s="24">
        <v>0.2388888888888889</v>
      </c>
      <c r="T56" s="24">
        <v>0.27152777777777781</v>
      </c>
      <c r="U56" s="80">
        <f>(S56-T55)*24*60</f>
        <v>30.000000000000014</v>
      </c>
      <c r="V56" s="84">
        <f t="shared" si="61"/>
        <v>47.000000000000036</v>
      </c>
      <c r="W56" s="14"/>
      <c r="X56" s="14"/>
      <c r="Y56" s="473"/>
      <c r="Z56" s="474"/>
      <c r="AA56" s="11">
        <f t="shared" si="2"/>
        <v>-319.14893617021471</v>
      </c>
      <c r="AB56" s="81">
        <f t="shared" si="55"/>
        <v>0.89361702127659515</v>
      </c>
      <c r="AC56" s="494"/>
    </row>
    <row r="57" spans="1:29" ht="15.75" customHeight="1">
      <c r="A57" s="489" t="s">
        <v>9</v>
      </c>
      <c r="B57" s="26" t="s">
        <v>33</v>
      </c>
      <c r="C57" s="491" t="s">
        <v>43</v>
      </c>
      <c r="D57" s="492"/>
      <c r="E57" s="26">
        <v>35.119999999999997</v>
      </c>
      <c r="F57" s="85">
        <v>2500</v>
      </c>
      <c r="G57" s="80">
        <f t="shared" si="57"/>
        <v>87800</v>
      </c>
      <c r="H57" s="76">
        <v>2</v>
      </c>
      <c r="I57" s="83">
        <v>10</v>
      </c>
      <c r="J57" s="18">
        <v>3000</v>
      </c>
      <c r="K57" s="9">
        <f t="shared" si="52"/>
        <v>300</v>
      </c>
      <c r="L57" s="83">
        <v>10</v>
      </c>
      <c r="M57" s="10">
        <f>F57/V57*60</f>
        <v>2678.5714285714303</v>
      </c>
      <c r="N57" s="10">
        <f t="shared" si="59"/>
        <v>267.857142857143</v>
      </c>
      <c r="O57" s="11">
        <f t="shared" si="60"/>
        <v>0</v>
      </c>
      <c r="P57" s="12">
        <f t="shared" si="49"/>
        <v>-32.142857142856997</v>
      </c>
      <c r="Q57" s="81">
        <f t="shared" si="50"/>
        <v>0.89285714285714335</v>
      </c>
      <c r="R57" s="494"/>
      <c r="S57" s="24">
        <v>0.27500000000000002</v>
      </c>
      <c r="T57" s="24">
        <v>0.31388888888888888</v>
      </c>
      <c r="U57" s="80">
        <f t="shared" ref="U57:U70" si="62">(S57-T56)*24*60</f>
        <v>4.9999999999999822</v>
      </c>
      <c r="V57" s="84">
        <f t="shared" si="61"/>
        <v>55.999999999999957</v>
      </c>
      <c r="W57" s="14"/>
      <c r="X57" s="14"/>
      <c r="Y57" s="473"/>
      <c r="Z57" s="474"/>
      <c r="AA57" s="11">
        <f t="shared" si="2"/>
        <v>-321.42857142856974</v>
      </c>
      <c r="AB57" s="81">
        <f t="shared" si="55"/>
        <v>0.89285714285714346</v>
      </c>
      <c r="AC57" s="494"/>
    </row>
    <row r="58" spans="1:29" ht="15.75" customHeight="1">
      <c r="A58" s="489" t="s">
        <v>9</v>
      </c>
      <c r="B58" s="26" t="s">
        <v>33</v>
      </c>
      <c r="C58" s="491" t="s">
        <v>36</v>
      </c>
      <c r="D58" s="492"/>
      <c r="E58" s="26">
        <v>26.78</v>
      </c>
      <c r="F58" s="85">
        <v>1500</v>
      </c>
      <c r="G58" s="80">
        <f t="shared" si="57"/>
        <v>40170</v>
      </c>
      <c r="H58" s="76">
        <v>2</v>
      </c>
      <c r="I58" s="83">
        <v>10</v>
      </c>
      <c r="J58" s="18">
        <v>3000</v>
      </c>
      <c r="K58" s="9">
        <f t="shared" si="52"/>
        <v>300</v>
      </c>
      <c r="L58" s="83">
        <v>10</v>
      </c>
      <c r="M58" s="10">
        <f t="shared" ref="M58:M70" si="63">F58/V58*60</f>
        <v>2727.2727272727238</v>
      </c>
      <c r="N58" s="10">
        <f t="shared" si="59"/>
        <v>272.72727272727241</v>
      </c>
      <c r="O58" s="11">
        <f t="shared" si="60"/>
        <v>0</v>
      </c>
      <c r="P58" s="12">
        <f t="shared" si="49"/>
        <v>-27.272727272727593</v>
      </c>
      <c r="Q58" s="81">
        <f t="shared" si="50"/>
        <v>0.90909090909090806</v>
      </c>
      <c r="R58" s="494"/>
      <c r="S58" s="24">
        <v>0.31805555555555554</v>
      </c>
      <c r="T58" s="24">
        <v>0.34097222222222223</v>
      </c>
      <c r="U58" s="80">
        <f t="shared" si="62"/>
        <v>5.9999999999999787</v>
      </c>
      <c r="V58" s="84">
        <f t="shared" si="61"/>
        <v>33.000000000000043</v>
      </c>
      <c r="W58" s="14"/>
      <c r="X58" s="14"/>
      <c r="Y58" s="473"/>
      <c r="Z58" s="474"/>
      <c r="AA58" s="11">
        <f t="shared" si="2"/>
        <v>-272.72727272727616</v>
      </c>
      <c r="AB58" s="81">
        <f t="shared" si="55"/>
        <v>0.90909090909090795</v>
      </c>
      <c r="AC58" s="494"/>
    </row>
    <row r="59" spans="1:29" ht="15.75" customHeight="1">
      <c r="A59" s="489" t="s">
        <v>9</v>
      </c>
      <c r="B59" s="26" t="s">
        <v>33</v>
      </c>
      <c r="C59" s="491" t="s">
        <v>38</v>
      </c>
      <c r="D59" s="492"/>
      <c r="E59" s="26">
        <v>34.36</v>
      </c>
      <c r="F59" s="85">
        <v>2300</v>
      </c>
      <c r="G59" s="80">
        <f t="shared" si="57"/>
        <v>79028</v>
      </c>
      <c r="H59" s="76">
        <v>2</v>
      </c>
      <c r="I59" s="83">
        <v>10</v>
      </c>
      <c r="J59" s="18">
        <v>3000</v>
      </c>
      <c r="K59" s="9">
        <f t="shared" si="52"/>
        <v>300</v>
      </c>
      <c r="L59" s="83">
        <v>10</v>
      </c>
      <c r="M59" s="10">
        <f t="shared" si="63"/>
        <v>2705.8823529411775</v>
      </c>
      <c r="N59" s="10">
        <f t="shared" si="59"/>
        <v>270.58823529411774</v>
      </c>
      <c r="O59" s="11">
        <f t="shared" si="60"/>
        <v>0</v>
      </c>
      <c r="P59" s="12">
        <f t="shared" si="49"/>
        <v>-29.411764705882263</v>
      </c>
      <c r="Q59" s="81">
        <f>N59/K59</f>
        <v>0.90196078431372584</v>
      </c>
      <c r="R59" s="494"/>
      <c r="S59" s="24">
        <v>0.34444444444444444</v>
      </c>
      <c r="T59" s="24">
        <v>0.37986111111111109</v>
      </c>
      <c r="U59" s="80">
        <f t="shared" si="62"/>
        <v>4.9999999999999822</v>
      </c>
      <c r="V59" s="84">
        <f t="shared" si="61"/>
        <v>50.999999999999979</v>
      </c>
      <c r="W59" s="14"/>
      <c r="X59" s="14"/>
      <c r="Y59" s="473"/>
      <c r="Z59" s="474"/>
      <c r="AA59" s="11">
        <f t="shared" si="2"/>
        <v>-294.11764705882251</v>
      </c>
      <c r="AB59" s="81">
        <f t="shared" si="55"/>
        <v>0.90196078431372584</v>
      </c>
      <c r="AC59" s="494"/>
    </row>
    <row r="60" spans="1:29" ht="15.75" customHeight="1">
      <c r="A60" s="489" t="s">
        <v>9</v>
      </c>
      <c r="B60" s="26" t="s">
        <v>33</v>
      </c>
      <c r="C60" s="491" t="s">
        <v>67</v>
      </c>
      <c r="D60" s="492"/>
      <c r="E60" s="26">
        <v>40.18</v>
      </c>
      <c r="F60" s="85">
        <v>1700</v>
      </c>
      <c r="G60" s="80">
        <f t="shared" si="57"/>
        <v>68306</v>
      </c>
      <c r="H60" s="76">
        <v>2</v>
      </c>
      <c r="I60" s="83">
        <v>10</v>
      </c>
      <c r="J60" s="18">
        <v>3000</v>
      </c>
      <c r="K60" s="9">
        <f t="shared" si="52"/>
        <v>300</v>
      </c>
      <c r="L60" s="83">
        <v>10</v>
      </c>
      <c r="M60" s="10">
        <f t="shared" si="63"/>
        <v>2684.2105263157873</v>
      </c>
      <c r="N60" s="10">
        <f t="shared" si="59"/>
        <v>268.42105263157873</v>
      </c>
      <c r="O60" s="11">
        <f t="shared" si="60"/>
        <v>0</v>
      </c>
      <c r="P60" s="12">
        <f t="shared" si="49"/>
        <v>-31.578947368421268</v>
      </c>
      <c r="Q60" s="81">
        <f t="shared" ref="Q60:Q71" si="64">N60/K60</f>
        <v>0.89473684210526239</v>
      </c>
      <c r="R60" s="494"/>
      <c r="S60" s="24">
        <v>0.38402777777777775</v>
      </c>
      <c r="T60" s="24">
        <v>0.41041666666666665</v>
      </c>
      <c r="U60" s="80">
        <f t="shared" si="62"/>
        <v>5.9999999999999787</v>
      </c>
      <c r="V60" s="84">
        <f t="shared" si="61"/>
        <v>38.000000000000028</v>
      </c>
      <c r="W60" s="14"/>
      <c r="X60" s="14"/>
      <c r="Y60" s="473"/>
      <c r="Z60" s="474"/>
      <c r="AA60" s="11">
        <f t="shared" si="2"/>
        <v>-315.78947368421268</v>
      </c>
      <c r="AB60" s="81">
        <f t="shared" si="55"/>
        <v>0.89473684210526239</v>
      </c>
      <c r="AC60" s="494"/>
    </row>
    <row r="61" spans="1:29" ht="15.75" customHeight="1">
      <c r="A61" s="489" t="s">
        <v>9</v>
      </c>
      <c r="B61" s="26" t="s">
        <v>33</v>
      </c>
      <c r="C61" s="491" t="s">
        <v>42</v>
      </c>
      <c r="D61" s="492"/>
      <c r="E61" s="26">
        <v>35.369999999999997</v>
      </c>
      <c r="F61" s="85">
        <v>1589</v>
      </c>
      <c r="G61" s="80">
        <f t="shared" si="57"/>
        <v>56202.929999999993</v>
      </c>
      <c r="H61" s="76" t="s">
        <v>57</v>
      </c>
      <c r="I61" s="83">
        <v>10</v>
      </c>
      <c r="J61" s="18">
        <v>3000</v>
      </c>
      <c r="K61" s="9">
        <f t="shared" si="52"/>
        <v>300</v>
      </c>
      <c r="L61" s="83">
        <v>10</v>
      </c>
      <c r="M61" s="10">
        <f t="shared" si="63"/>
        <v>2723.9999999999973</v>
      </c>
      <c r="N61" s="10">
        <f t="shared" si="59"/>
        <v>272.39999999999975</v>
      </c>
      <c r="O61" s="11">
        <f t="shared" si="60"/>
        <v>0</v>
      </c>
      <c r="P61" s="12">
        <f t="shared" si="49"/>
        <v>-27.60000000000025</v>
      </c>
      <c r="Q61" s="81">
        <f t="shared" si="64"/>
        <v>0.90799999999999914</v>
      </c>
      <c r="R61" s="494"/>
      <c r="S61" s="24">
        <v>0.41388888888888886</v>
      </c>
      <c r="T61" s="24">
        <v>0.43819444444444444</v>
      </c>
      <c r="U61" s="80">
        <f t="shared" si="62"/>
        <v>4.9999999999999822</v>
      </c>
      <c r="V61" s="84">
        <f t="shared" si="61"/>
        <v>35.000000000000036</v>
      </c>
      <c r="W61" s="14"/>
      <c r="X61" s="14"/>
      <c r="Y61" s="473"/>
      <c r="Z61" s="474"/>
      <c r="AA61" s="11">
        <f t="shared" si="2"/>
        <v>-276.00000000000273</v>
      </c>
      <c r="AB61" s="81">
        <f t="shared" si="55"/>
        <v>0.90799999999999914</v>
      </c>
      <c r="AC61" s="494"/>
    </row>
    <row r="62" spans="1:29" ht="15.75" customHeight="1">
      <c r="A62" s="489" t="s">
        <v>9</v>
      </c>
      <c r="B62" s="26" t="s">
        <v>33</v>
      </c>
      <c r="C62" s="491" t="s">
        <v>37</v>
      </c>
      <c r="D62" s="492"/>
      <c r="E62" s="26">
        <v>34.36</v>
      </c>
      <c r="F62" s="85">
        <v>1600</v>
      </c>
      <c r="G62" s="80">
        <f t="shared" si="57"/>
        <v>54976</v>
      </c>
      <c r="H62" s="76">
        <v>2</v>
      </c>
      <c r="I62" s="83">
        <v>10</v>
      </c>
      <c r="J62" s="18">
        <v>3000</v>
      </c>
      <c r="K62" s="9">
        <f t="shared" si="52"/>
        <v>300</v>
      </c>
      <c r="L62" s="83">
        <v>10</v>
      </c>
      <c r="M62" s="10">
        <f t="shared" si="63"/>
        <v>2742.8571428571399</v>
      </c>
      <c r="N62" s="10">
        <f t="shared" si="59"/>
        <v>274.28571428571399</v>
      </c>
      <c r="O62" s="11">
        <f t="shared" si="60"/>
        <v>0</v>
      </c>
      <c r="P62" s="12">
        <f t="shared" si="49"/>
        <v>-25.714285714286007</v>
      </c>
      <c r="Q62" s="81">
        <f t="shared" si="64"/>
        <v>0.91428571428571326</v>
      </c>
      <c r="R62" s="494"/>
      <c r="S62" s="24">
        <v>0.44305555555555554</v>
      </c>
      <c r="T62" s="24">
        <v>0.46736111111111112</v>
      </c>
      <c r="U62" s="80">
        <f t="shared" si="62"/>
        <v>6.9999999999999751</v>
      </c>
      <c r="V62" s="84">
        <f t="shared" si="61"/>
        <v>35.000000000000036</v>
      </c>
      <c r="W62" s="14"/>
      <c r="X62" s="14"/>
      <c r="Y62" s="473"/>
      <c r="Z62" s="474"/>
      <c r="AA62" s="11">
        <f t="shared" si="2"/>
        <v>-257.14285714286007</v>
      </c>
      <c r="AB62" s="81">
        <f t="shared" si="55"/>
        <v>0.91428571428571326</v>
      </c>
      <c r="AC62" s="494"/>
    </row>
    <row r="63" spans="1:29" ht="15.75" customHeight="1">
      <c r="A63" s="489" t="s">
        <v>9</v>
      </c>
      <c r="B63" s="26" t="s">
        <v>33</v>
      </c>
      <c r="C63" s="491" t="s">
        <v>40</v>
      </c>
      <c r="D63" s="492"/>
      <c r="E63" s="26">
        <v>35.119999999999997</v>
      </c>
      <c r="F63" s="85">
        <v>1107</v>
      </c>
      <c r="G63" s="80">
        <f t="shared" si="57"/>
        <v>38877.839999999997</v>
      </c>
      <c r="H63" s="76" t="s">
        <v>57</v>
      </c>
      <c r="I63" s="83">
        <v>14</v>
      </c>
      <c r="J63" s="18">
        <v>2000</v>
      </c>
      <c r="K63" s="9">
        <f t="shared" si="52"/>
        <v>142.85714285714286</v>
      </c>
      <c r="L63" s="83">
        <v>14</v>
      </c>
      <c r="M63" s="10">
        <f t="shared" si="63"/>
        <v>1795.1351351351336</v>
      </c>
      <c r="N63" s="10">
        <f t="shared" si="59"/>
        <v>128.22393822393812</v>
      </c>
      <c r="O63" s="11">
        <f t="shared" si="60"/>
        <v>0</v>
      </c>
      <c r="P63" s="12">
        <f t="shared" si="49"/>
        <v>-14.633204633204741</v>
      </c>
      <c r="Q63" s="81">
        <f t="shared" si="64"/>
        <v>0.89756756756756684</v>
      </c>
      <c r="R63" s="494"/>
      <c r="S63" s="24">
        <v>0.47083333333333333</v>
      </c>
      <c r="T63" s="24">
        <v>0.49652777777777779</v>
      </c>
      <c r="U63" s="80">
        <f t="shared" si="62"/>
        <v>4.9999999999999822</v>
      </c>
      <c r="V63" s="84">
        <f t="shared" si="61"/>
        <v>37.000000000000028</v>
      </c>
      <c r="W63" s="14"/>
      <c r="X63" s="14"/>
      <c r="Y63" s="473"/>
      <c r="Z63" s="474"/>
      <c r="AA63" s="11">
        <f t="shared" si="2"/>
        <v>-204.86486486486638</v>
      </c>
      <c r="AB63" s="81">
        <f t="shared" si="55"/>
        <v>0.89756756756756684</v>
      </c>
      <c r="AC63" s="494"/>
    </row>
    <row r="64" spans="1:29" ht="15.75" customHeight="1">
      <c r="A64" s="489" t="s">
        <v>9</v>
      </c>
      <c r="B64" s="26" t="s">
        <v>33</v>
      </c>
      <c r="C64" s="491" t="s">
        <v>35</v>
      </c>
      <c r="D64" s="492"/>
      <c r="E64" s="26">
        <v>21.13</v>
      </c>
      <c r="F64" s="85">
        <v>2695</v>
      </c>
      <c r="G64" s="80">
        <f t="shared" si="57"/>
        <v>56945.35</v>
      </c>
      <c r="H64" s="76" t="s">
        <v>57</v>
      </c>
      <c r="I64" s="83">
        <v>10</v>
      </c>
      <c r="J64" s="18">
        <v>3000</v>
      </c>
      <c r="K64" s="9">
        <f t="shared" si="52"/>
        <v>300</v>
      </c>
      <c r="L64" s="83">
        <v>10</v>
      </c>
      <c r="M64" s="10">
        <f t="shared" si="63"/>
        <v>2695.0000000000023</v>
      </c>
      <c r="N64" s="10">
        <f t="shared" si="59"/>
        <v>269.50000000000023</v>
      </c>
      <c r="O64" s="11">
        <f t="shared" si="60"/>
        <v>0</v>
      </c>
      <c r="P64" s="12">
        <f t="shared" si="49"/>
        <v>-30.499999999999773</v>
      </c>
      <c r="Q64" s="81">
        <f t="shared" si="64"/>
        <v>0.89833333333333409</v>
      </c>
      <c r="R64" s="494"/>
      <c r="S64" s="24">
        <v>0.53749999999999998</v>
      </c>
      <c r="T64" s="24">
        <v>0.57916666666666661</v>
      </c>
      <c r="U64" s="80">
        <f t="shared" si="62"/>
        <v>58.99999999999995</v>
      </c>
      <c r="V64" s="84">
        <f t="shared" si="61"/>
        <v>59.999999999999943</v>
      </c>
      <c r="W64" s="14"/>
      <c r="X64" s="14"/>
      <c r="Y64" s="473"/>
      <c r="Z64" s="474"/>
      <c r="AA64" s="11">
        <f t="shared" si="2"/>
        <v>-304.99999999999773</v>
      </c>
      <c r="AB64" s="81">
        <f t="shared" si="55"/>
        <v>0.89833333333333409</v>
      </c>
      <c r="AC64" s="494"/>
    </row>
    <row r="65" spans="1:29" ht="15.75" customHeight="1">
      <c r="A65" s="489" t="s">
        <v>9</v>
      </c>
      <c r="B65" s="26" t="s">
        <v>33</v>
      </c>
      <c r="C65" s="491" t="s">
        <v>34</v>
      </c>
      <c r="D65" s="492"/>
      <c r="E65" s="26">
        <v>27.17</v>
      </c>
      <c r="F65" s="85">
        <v>2802</v>
      </c>
      <c r="G65" s="80">
        <f t="shared" si="57"/>
        <v>76130.340000000011</v>
      </c>
      <c r="H65" s="76" t="s">
        <v>57</v>
      </c>
      <c r="I65" s="83">
        <v>10</v>
      </c>
      <c r="J65" s="18">
        <v>3000</v>
      </c>
      <c r="K65" s="9">
        <f t="shared" si="52"/>
        <v>300</v>
      </c>
      <c r="L65" s="83">
        <v>10</v>
      </c>
      <c r="M65" s="10">
        <f t="shared" si="63"/>
        <v>2711.6129032258091</v>
      </c>
      <c r="N65" s="10">
        <f t="shared" si="59"/>
        <v>271.1612903225809</v>
      </c>
      <c r="O65" s="11">
        <f t="shared" si="60"/>
        <v>0</v>
      </c>
      <c r="P65" s="12">
        <f t="shared" si="49"/>
        <v>-28.838709677419104</v>
      </c>
      <c r="Q65" s="81">
        <f t="shared" si="64"/>
        <v>0.90387096774193632</v>
      </c>
      <c r="R65" s="494"/>
      <c r="S65" s="24">
        <v>0.58263888888888882</v>
      </c>
      <c r="T65" s="24">
        <v>0.62569444444444433</v>
      </c>
      <c r="U65" s="80">
        <f t="shared" si="62"/>
        <v>4.9999999999999822</v>
      </c>
      <c r="V65" s="84">
        <f t="shared" si="61"/>
        <v>61.999999999999943</v>
      </c>
      <c r="W65" s="14"/>
      <c r="X65" s="14"/>
      <c r="Y65" s="473"/>
      <c r="Z65" s="474"/>
      <c r="AA65" s="11">
        <f t="shared" si="2"/>
        <v>-288.38709677419092</v>
      </c>
      <c r="AB65" s="81">
        <f t="shared" si="55"/>
        <v>0.90387096774193632</v>
      </c>
      <c r="AC65" s="494"/>
    </row>
    <row r="66" spans="1:29" ht="15.75" customHeight="1">
      <c r="A66" s="489" t="s">
        <v>9</v>
      </c>
      <c r="B66" s="26" t="s">
        <v>33</v>
      </c>
      <c r="C66" s="491" t="s">
        <v>43</v>
      </c>
      <c r="D66" s="492"/>
      <c r="E66" s="26">
        <v>35.119999999999997</v>
      </c>
      <c r="F66" s="85">
        <v>2169</v>
      </c>
      <c r="G66" s="80">
        <f t="shared" si="57"/>
        <v>76175.28</v>
      </c>
      <c r="H66" s="76" t="s">
        <v>57</v>
      </c>
      <c r="I66" s="83">
        <v>10</v>
      </c>
      <c r="J66" s="18">
        <v>3000</v>
      </c>
      <c r="K66" s="9">
        <f t="shared" si="52"/>
        <v>300</v>
      </c>
      <c r="L66" s="83">
        <v>10</v>
      </c>
      <c r="M66" s="10">
        <f t="shared" si="63"/>
        <v>2711.2500000000009</v>
      </c>
      <c r="N66" s="10">
        <f t="shared" si="59"/>
        <v>271.12500000000011</v>
      </c>
      <c r="O66" s="11">
        <f t="shared" si="60"/>
        <v>0</v>
      </c>
      <c r="P66" s="12">
        <f t="shared" si="49"/>
        <v>-28.874999999999886</v>
      </c>
      <c r="Q66" s="81">
        <f t="shared" si="64"/>
        <v>0.90375000000000039</v>
      </c>
      <c r="R66" s="494"/>
      <c r="S66" s="24">
        <v>0.63124999999999987</v>
      </c>
      <c r="T66" s="24">
        <v>0.66458333333333319</v>
      </c>
      <c r="U66" s="80">
        <f t="shared" si="62"/>
        <v>7.9999999999999716</v>
      </c>
      <c r="V66" s="84">
        <f t="shared" si="61"/>
        <v>47.999999999999986</v>
      </c>
      <c r="W66" s="14"/>
      <c r="X66" s="14"/>
      <c r="Y66" s="473"/>
      <c r="Z66" s="474"/>
      <c r="AA66" s="11">
        <f t="shared" si="2"/>
        <v>-288.74999999999909</v>
      </c>
      <c r="AB66" s="81">
        <f t="shared" si="55"/>
        <v>0.90375000000000028</v>
      </c>
      <c r="AC66" s="494"/>
    </row>
    <row r="67" spans="1:29" ht="15.75" customHeight="1">
      <c r="A67" s="489" t="s">
        <v>9</v>
      </c>
      <c r="B67" s="26" t="s">
        <v>33</v>
      </c>
      <c r="C67" s="491" t="s">
        <v>67</v>
      </c>
      <c r="D67" s="492"/>
      <c r="E67" s="26">
        <v>40.18</v>
      </c>
      <c r="F67" s="85">
        <v>1002</v>
      </c>
      <c r="G67" s="80">
        <f t="shared" si="57"/>
        <v>40260.36</v>
      </c>
      <c r="H67" s="76" t="s">
        <v>57</v>
      </c>
      <c r="I67" s="83">
        <v>10</v>
      </c>
      <c r="J67" s="18">
        <v>3000</v>
      </c>
      <c r="K67" s="9">
        <f t="shared" si="52"/>
        <v>300</v>
      </c>
      <c r="L67" s="83">
        <v>10</v>
      </c>
      <c r="M67" s="10">
        <f t="shared" si="63"/>
        <v>2732.7272727272825</v>
      </c>
      <c r="N67" s="10">
        <f t="shared" si="59"/>
        <v>273.27272727272828</v>
      </c>
      <c r="O67" s="11">
        <f t="shared" si="60"/>
        <v>0</v>
      </c>
      <c r="P67" s="12">
        <f t="shared" si="49"/>
        <v>-26.727272727271725</v>
      </c>
      <c r="Q67" s="81">
        <f t="shared" si="64"/>
        <v>0.91090909090909422</v>
      </c>
      <c r="R67" s="494"/>
      <c r="S67" s="24">
        <v>0.66874999999999984</v>
      </c>
      <c r="T67" s="24">
        <v>0.68402777777777757</v>
      </c>
      <c r="U67" s="80">
        <f t="shared" si="62"/>
        <v>5.9999999999999787</v>
      </c>
      <c r="V67" s="84">
        <f t="shared" si="61"/>
        <v>21.999999999999922</v>
      </c>
      <c r="W67" s="14"/>
      <c r="X67" s="14"/>
      <c r="Y67" s="473"/>
      <c r="Z67" s="474"/>
      <c r="AA67" s="11">
        <f t="shared" si="2"/>
        <v>-267.27272727271747</v>
      </c>
      <c r="AB67" s="81">
        <f t="shared" si="55"/>
        <v>0.91090909090909422</v>
      </c>
      <c r="AC67" s="494"/>
    </row>
    <row r="68" spans="1:29" ht="15.75" customHeight="1">
      <c r="A68" s="489" t="s">
        <v>9</v>
      </c>
      <c r="B68" s="26" t="s">
        <v>33</v>
      </c>
      <c r="C68" s="491" t="s">
        <v>38</v>
      </c>
      <c r="D68" s="492"/>
      <c r="E68" s="26">
        <v>34.36</v>
      </c>
      <c r="F68" s="85">
        <v>1447</v>
      </c>
      <c r="G68" s="80">
        <f t="shared" si="57"/>
        <v>49718.92</v>
      </c>
      <c r="H68" s="76" t="s">
        <v>57</v>
      </c>
      <c r="I68" s="83">
        <v>10</v>
      </c>
      <c r="J68" s="18">
        <v>3000</v>
      </c>
      <c r="K68" s="9">
        <f t="shared" si="52"/>
        <v>300</v>
      </c>
      <c r="L68" s="83">
        <v>10</v>
      </c>
      <c r="M68" s="10">
        <f t="shared" si="63"/>
        <v>2713.1249999999964</v>
      </c>
      <c r="N68" s="10">
        <f t="shared" si="59"/>
        <v>271.31249999999966</v>
      </c>
      <c r="O68" s="11">
        <f t="shared" si="60"/>
        <v>0</v>
      </c>
      <c r="P68" s="12">
        <f t="shared" si="49"/>
        <v>-28.687500000000341</v>
      </c>
      <c r="Q68" s="81">
        <f t="shared" si="64"/>
        <v>0.90437499999999882</v>
      </c>
      <c r="R68" s="494"/>
      <c r="S68" s="24">
        <v>0.68749999999999978</v>
      </c>
      <c r="T68" s="24">
        <v>0.70972222222222203</v>
      </c>
      <c r="U68" s="80">
        <f t="shared" si="62"/>
        <v>4.9999999999999822</v>
      </c>
      <c r="V68" s="84">
        <f t="shared" si="61"/>
        <v>32.000000000000043</v>
      </c>
      <c r="W68" s="14"/>
      <c r="X68" s="14"/>
      <c r="Y68" s="473"/>
      <c r="Z68" s="474"/>
      <c r="AA68" s="11">
        <f t="shared" si="2"/>
        <v>-286.87500000000364</v>
      </c>
      <c r="AB68" s="81">
        <f t="shared" si="55"/>
        <v>0.90437499999999882</v>
      </c>
      <c r="AC68" s="494"/>
    </row>
    <row r="69" spans="1:29" ht="15.75" customHeight="1">
      <c r="A69" s="489" t="s">
        <v>9</v>
      </c>
      <c r="B69" s="26" t="s">
        <v>33</v>
      </c>
      <c r="C69" s="491" t="s">
        <v>37</v>
      </c>
      <c r="D69" s="492"/>
      <c r="E69" s="26">
        <v>34.36</v>
      </c>
      <c r="F69" s="85">
        <v>915</v>
      </c>
      <c r="G69" s="80">
        <f t="shared" si="57"/>
        <v>31439.399999999998</v>
      </c>
      <c r="H69" s="76" t="s">
        <v>57</v>
      </c>
      <c r="I69" s="83">
        <v>10</v>
      </c>
      <c r="J69" s="18">
        <v>3000</v>
      </c>
      <c r="K69" s="9">
        <f t="shared" si="52"/>
        <v>300</v>
      </c>
      <c r="L69" s="83">
        <v>10</v>
      </c>
      <c r="M69" s="10">
        <f t="shared" si="63"/>
        <v>2745.00000000001</v>
      </c>
      <c r="N69" s="10">
        <f t="shared" si="59"/>
        <v>274.50000000000102</v>
      </c>
      <c r="O69" s="11">
        <f t="shared" si="60"/>
        <v>0</v>
      </c>
      <c r="P69" s="12">
        <f t="shared" si="49"/>
        <v>-25.499999999998977</v>
      </c>
      <c r="Q69" s="81">
        <f t="shared" si="64"/>
        <v>0.91500000000000337</v>
      </c>
      <c r="R69" s="494"/>
      <c r="S69" s="24">
        <v>0.71458333333333313</v>
      </c>
      <c r="T69" s="24">
        <v>0.72847222222222197</v>
      </c>
      <c r="U69" s="80">
        <f t="shared" si="62"/>
        <v>6.9999999999999751</v>
      </c>
      <c r="V69" s="84">
        <f t="shared" si="61"/>
        <v>19.999999999999929</v>
      </c>
      <c r="W69" s="14"/>
      <c r="X69" s="14"/>
      <c r="Y69" s="473"/>
      <c r="Z69" s="474"/>
      <c r="AA69" s="11">
        <f t="shared" ref="AA69:AA88" si="65">M69-J69</f>
        <v>-254.99999999999</v>
      </c>
      <c r="AB69" s="81">
        <f t="shared" si="55"/>
        <v>0.91500000000000337</v>
      </c>
      <c r="AC69" s="494"/>
    </row>
    <row r="70" spans="1:29">
      <c r="A70" s="489" t="s">
        <v>9</v>
      </c>
      <c r="B70" s="26" t="s">
        <v>33</v>
      </c>
      <c r="C70" s="491" t="s">
        <v>36</v>
      </c>
      <c r="D70" s="492"/>
      <c r="E70" s="26">
        <v>26.78</v>
      </c>
      <c r="F70" s="85">
        <v>1000</v>
      </c>
      <c r="G70" s="80">
        <f t="shared" si="57"/>
        <v>26780</v>
      </c>
      <c r="H70" s="76" t="s">
        <v>57</v>
      </c>
      <c r="I70" s="83">
        <v>10</v>
      </c>
      <c r="J70" s="18">
        <v>3000</v>
      </c>
      <c r="K70" s="9">
        <f t="shared" si="52"/>
        <v>300</v>
      </c>
      <c r="L70" s="83">
        <v>10</v>
      </c>
      <c r="M70" s="10">
        <f t="shared" si="63"/>
        <v>2727.272727272737</v>
      </c>
      <c r="N70" s="10">
        <f t="shared" si="59"/>
        <v>272.72727272727371</v>
      </c>
      <c r="O70" s="11">
        <f t="shared" si="60"/>
        <v>0</v>
      </c>
      <c r="P70" s="12">
        <f t="shared" si="49"/>
        <v>-27.272727272726286</v>
      </c>
      <c r="Q70" s="81">
        <f t="shared" si="64"/>
        <v>0.90909090909091239</v>
      </c>
      <c r="R70" s="494"/>
      <c r="S70" s="24">
        <v>0.73333333333333306</v>
      </c>
      <c r="T70" s="24">
        <v>0.74861111111111078</v>
      </c>
      <c r="U70" s="80">
        <f t="shared" si="62"/>
        <v>6.9999999999999751</v>
      </c>
      <c r="V70" s="84">
        <f t="shared" si="61"/>
        <v>21.999999999999922</v>
      </c>
      <c r="W70" s="14"/>
      <c r="X70" s="14"/>
      <c r="Y70" s="473"/>
      <c r="Z70" s="474"/>
      <c r="AA70" s="11">
        <f t="shared" si="65"/>
        <v>-272.72727272726297</v>
      </c>
      <c r="AB70" s="81">
        <f t="shared" si="55"/>
        <v>0.90909090909091239</v>
      </c>
      <c r="AC70" s="494"/>
    </row>
    <row r="71" spans="1:29" ht="15.75" customHeight="1">
      <c r="A71" s="490" t="s">
        <v>9</v>
      </c>
      <c r="B71" s="26" t="s">
        <v>161</v>
      </c>
      <c r="C71" s="497"/>
      <c r="D71" s="498"/>
      <c r="E71" s="82"/>
      <c r="F71" s="85"/>
      <c r="G71" s="80"/>
      <c r="H71" s="85"/>
      <c r="I71" s="17">
        <v>10.25</v>
      </c>
      <c r="J71" s="18">
        <v>2937.5</v>
      </c>
      <c r="K71" s="9">
        <f>J71/I71</f>
        <v>286.58536585365852</v>
      </c>
      <c r="L71" s="17">
        <v>10.25</v>
      </c>
      <c r="M71" s="10">
        <f>AVERAGE(M55:M70)</f>
        <v>2653.152747239043</v>
      </c>
      <c r="N71" s="9">
        <f t="shared" si="59"/>
        <v>258.84417046234569</v>
      </c>
      <c r="O71" s="11">
        <f t="shared" si="60"/>
        <v>0</v>
      </c>
      <c r="P71" s="12">
        <f t="shared" si="49"/>
        <v>-27.741195391312829</v>
      </c>
      <c r="Q71" s="81">
        <f t="shared" si="64"/>
        <v>0.90320093523031264</v>
      </c>
      <c r="R71" s="495"/>
      <c r="S71" s="24"/>
      <c r="T71" s="24"/>
      <c r="U71" s="80"/>
      <c r="V71" s="84"/>
      <c r="W71" s="14"/>
      <c r="X71" s="14"/>
      <c r="Y71" s="473"/>
      <c r="Z71" s="474"/>
      <c r="AA71" s="11">
        <f t="shared" si="65"/>
        <v>-284.34725276095696</v>
      </c>
      <c r="AB71" s="81">
        <f t="shared" si="55"/>
        <v>0.90320093523031253</v>
      </c>
      <c r="AC71" s="495"/>
    </row>
    <row r="72" spans="1:29" ht="15.75" customHeight="1">
      <c r="A72" s="461" t="s">
        <v>125</v>
      </c>
      <c r="B72" s="26" t="s">
        <v>13</v>
      </c>
      <c r="C72" s="487" t="s">
        <v>65</v>
      </c>
      <c r="D72" s="487"/>
      <c r="E72" s="26">
        <v>55.56</v>
      </c>
      <c r="F72" s="27">
        <v>2277</v>
      </c>
      <c r="G72" s="80">
        <f t="shared" ref="G72:G73" si="66">E72*F72</f>
        <v>126510.12000000001</v>
      </c>
      <c r="H72" s="76" t="s">
        <v>57</v>
      </c>
      <c r="I72" s="83">
        <v>17</v>
      </c>
      <c r="J72" s="18">
        <v>1500</v>
      </c>
      <c r="K72" s="9">
        <f t="shared" ref="K72:K73" si="67">J72/I72</f>
        <v>88.235294117647058</v>
      </c>
      <c r="L72" s="83">
        <v>17</v>
      </c>
      <c r="M72" s="10">
        <f t="shared" ref="M72:M73" si="68">F72/V72*60</f>
        <v>1339.4117647058829</v>
      </c>
      <c r="N72" s="10">
        <f>M72/L72</f>
        <v>78.788927335640167</v>
      </c>
      <c r="O72" s="11">
        <f>L72-I72</f>
        <v>0</v>
      </c>
      <c r="P72" s="12">
        <f>N72-K72</f>
        <v>-9.4463667820068906</v>
      </c>
      <c r="Q72" s="81">
        <f>N72/K72</f>
        <v>0.89294117647058857</v>
      </c>
      <c r="R72" s="470">
        <f>Q74</f>
        <v>0.89735666418466109</v>
      </c>
      <c r="S72" s="24">
        <v>0.70833333333333337</v>
      </c>
      <c r="T72" s="24">
        <v>0.77916666666666667</v>
      </c>
      <c r="U72" s="15"/>
      <c r="V72" s="84">
        <f t="shared" ref="V72:V73" si="69">(T72-S72)*24*60</f>
        <v>101.99999999999996</v>
      </c>
      <c r="W72" s="15"/>
      <c r="X72" s="15"/>
      <c r="Y72" s="456"/>
      <c r="Z72" s="456"/>
      <c r="AA72" s="11">
        <f t="shared" si="65"/>
        <v>-160.58823529411711</v>
      </c>
      <c r="AB72" s="81">
        <f t="shared" si="55"/>
        <v>0.89294117647058857</v>
      </c>
      <c r="AC72" s="470">
        <f>AB74</f>
        <v>0.89735666418466109</v>
      </c>
    </row>
    <row r="73" spans="1:29" ht="15.75" customHeight="1">
      <c r="A73" s="461" t="s">
        <v>10</v>
      </c>
      <c r="B73" s="26" t="s">
        <v>13</v>
      </c>
      <c r="C73" s="487" t="s">
        <v>64</v>
      </c>
      <c r="D73" s="487"/>
      <c r="E73" s="26">
        <v>55.32</v>
      </c>
      <c r="F73" s="27">
        <v>1781</v>
      </c>
      <c r="G73" s="80">
        <f t="shared" si="66"/>
        <v>98524.92</v>
      </c>
      <c r="H73" s="76" t="s">
        <v>57</v>
      </c>
      <c r="I73" s="83">
        <v>15</v>
      </c>
      <c r="J73" s="18">
        <v>1500</v>
      </c>
      <c r="K73" s="9">
        <f t="shared" si="67"/>
        <v>100</v>
      </c>
      <c r="L73" s="83">
        <v>15</v>
      </c>
      <c r="M73" s="10">
        <f t="shared" si="68"/>
        <v>1352.6582278481005</v>
      </c>
      <c r="N73" s="10">
        <f t="shared" ref="N73" si="70">M73/L73</f>
        <v>90.177215189873365</v>
      </c>
      <c r="O73" s="11">
        <f t="shared" ref="O73" si="71">L73-I73</f>
        <v>0</v>
      </c>
      <c r="P73" s="12">
        <f t="shared" ref="P73" si="72">N73-K73</f>
        <v>-9.8227848101266346</v>
      </c>
      <c r="Q73" s="81">
        <f t="shared" ref="Q73" si="73">N73/K73</f>
        <v>0.90177215189873361</v>
      </c>
      <c r="R73" s="470"/>
      <c r="S73" s="24">
        <v>0.78402777777777777</v>
      </c>
      <c r="T73" s="24">
        <v>0.83888888888888891</v>
      </c>
      <c r="U73" s="80">
        <f t="shared" ref="U73" si="74">(S73-T72)*24*60</f>
        <v>6.9999999999999751</v>
      </c>
      <c r="V73" s="84">
        <f t="shared" si="69"/>
        <v>79.000000000000043</v>
      </c>
      <c r="W73" s="14"/>
      <c r="X73" s="14"/>
      <c r="Y73" s="456"/>
      <c r="Z73" s="456"/>
      <c r="AA73" s="11">
        <f t="shared" si="65"/>
        <v>-147.34177215189948</v>
      </c>
      <c r="AB73" s="81">
        <f t="shared" si="55"/>
        <v>0.90177215189873372</v>
      </c>
      <c r="AC73" s="470"/>
    </row>
    <row r="74" spans="1:29">
      <c r="A74" s="496" t="s">
        <v>10</v>
      </c>
      <c r="B74" s="26" t="s">
        <v>161</v>
      </c>
      <c r="C74" s="466"/>
      <c r="D74" s="466"/>
      <c r="E74" s="79"/>
      <c r="F74" s="16"/>
      <c r="G74" s="9"/>
      <c r="H74" s="85"/>
      <c r="I74" s="17">
        <v>16</v>
      </c>
      <c r="J74" s="18">
        <v>1500</v>
      </c>
      <c r="K74" s="9">
        <f>J74/I74</f>
        <v>93.75</v>
      </c>
      <c r="L74" s="17">
        <v>16</v>
      </c>
      <c r="M74" s="10">
        <f>AVERAGE(M72:M73)</f>
        <v>1346.0349962769917</v>
      </c>
      <c r="N74" s="9">
        <f>M74/L74</f>
        <v>84.127187267311982</v>
      </c>
      <c r="O74" s="11">
        <f>L74-I74</f>
        <v>0</v>
      </c>
      <c r="P74" s="12">
        <f>N74-K74</f>
        <v>-9.6228127326880184</v>
      </c>
      <c r="Q74" s="81">
        <f>N74/K74</f>
        <v>0.89735666418466109</v>
      </c>
      <c r="R74" s="470"/>
      <c r="S74" s="25"/>
      <c r="T74" s="24"/>
      <c r="U74" s="9"/>
      <c r="V74" s="84"/>
      <c r="W74" s="9"/>
      <c r="X74" s="9"/>
      <c r="Y74" s="456"/>
      <c r="Z74" s="456"/>
      <c r="AA74" s="11">
        <f t="shared" si="65"/>
        <v>-153.96500372300829</v>
      </c>
      <c r="AB74" s="81">
        <f t="shared" si="55"/>
        <v>0.89735666418466109</v>
      </c>
      <c r="AC74" s="470"/>
    </row>
    <row r="75" spans="1:29" ht="15.75" customHeight="1">
      <c r="A75" s="499" t="s">
        <v>163</v>
      </c>
      <c r="B75" s="85" t="s">
        <v>18</v>
      </c>
      <c r="C75" s="487" t="s">
        <v>19</v>
      </c>
      <c r="D75" s="487"/>
      <c r="E75" s="26">
        <v>41</v>
      </c>
      <c r="F75" s="27">
        <v>1604</v>
      </c>
      <c r="G75" s="80">
        <f t="shared" ref="G75:G79" si="75">E75*F75</f>
        <v>65764</v>
      </c>
      <c r="H75" s="76" t="s">
        <v>57</v>
      </c>
      <c r="I75" s="83">
        <v>21</v>
      </c>
      <c r="J75" s="18">
        <v>1286</v>
      </c>
      <c r="K75" s="9">
        <f t="shared" ref="K75:K79" si="76">J75/I75</f>
        <v>61.238095238095241</v>
      </c>
      <c r="L75" s="17">
        <v>21</v>
      </c>
      <c r="M75" s="10">
        <f t="shared" ref="M75:M79" si="77">F75/V75*60</f>
        <v>1159.5180722891562</v>
      </c>
      <c r="N75" s="9">
        <f>M75/L75</f>
        <v>55.215146299483628</v>
      </c>
      <c r="O75" s="11">
        <f t="shared" ref="O75:O79" si="78">L75-I75</f>
        <v>0</v>
      </c>
      <c r="P75" s="12">
        <f t="shared" ref="P75:P79" si="79">N75-K75</f>
        <v>-6.0229489386116128</v>
      </c>
      <c r="Q75" s="81">
        <f>N75/K75</f>
        <v>0.90164702355299853</v>
      </c>
      <c r="R75" s="470">
        <f>Q80</f>
        <v>0.8992794892008974</v>
      </c>
      <c r="S75" s="24">
        <v>0.29166666666666669</v>
      </c>
      <c r="T75" s="24">
        <v>0.34930555555555559</v>
      </c>
      <c r="U75" s="80"/>
      <c r="V75" s="84">
        <f t="shared" ref="V75:V79" si="80">(T75-S75)*24*60</f>
        <v>83.000000000000028</v>
      </c>
      <c r="W75" s="15"/>
      <c r="X75" s="15"/>
      <c r="Y75" s="456"/>
      <c r="Z75" s="456"/>
      <c r="AA75" s="11">
        <f t="shared" si="65"/>
        <v>-126.48192771084382</v>
      </c>
      <c r="AB75" s="81">
        <f t="shared" si="55"/>
        <v>0.90164702355299864</v>
      </c>
      <c r="AC75" s="470">
        <f>AB80</f>
        <v>0.8992794892008974</v>
      </c>
    </row>
    <row r="76" spans="1:29" ht="15.75" customHeight="1">
      <c r="A76" s="499" t="s">
        <v>11</v>
      </c>
      <c r="B76" s="85" t="s">
        <v>15</v>
      </c>
      <c r="C76" s="487" t="s">
        <v>39</v>
      </c>
      <c r="D76" s="487"/>
      <c r="E76" s="26">
        <v>26.97</v>
      </c>
      <c r="F76" s="27">
        <v>2000</v>
      </c>
      <c r="G76" s="80">
        <f t="shared" si="75"/>
        <v>53940</v>
      </c>
      <c r="H76" s="76">
        <v>2</v>
      </c>
      <c r="I76" s="83">
        <v>11</v>
      </c>
      <c r="J76" s="18">
        <v>1440</v>
      </c>
      <c r="K76" s="9">
        <f t="shared" si="76"/>
        <v>130.90909090909091</v>
      </c>
      <c r="L76" s="17">
        <v>11</v>
      </c>
      <c r="M76" s="10">
        <f t="shared" si="77"/>
        <v>1290.3225806451615</v>
      </c>
      <c r="N76" s="9">
        <f t="shared" ref="N76:N79" si="81">M76/L76</f>
        <v>117.30205278592376</v>
      </c>
      <c r="O76" s="11">
        <f t="shared" si="78"/>
        <v>0</v>
      </c>
      <c r="P76" s="12">
        <f t="shared" si="79"/>
        <v>-13.607038123167143</v>
      </c>
      <c r="Q76" s="81">
        <f t="shared" ref="Q76:Q79" si="82">N76/K76</f>
        <v>0.89605734767025103</v>
      </c>
      <c r="R76" s="470"/>
      <c r="S76" s="24">
        <v>0.35416666666666669</v>
      </c>
      <c r="T76" s="24">
        <v>0.41875000000000001</v>
      </c>
      <c r="U76" s="80">
        <f>(S76-T75)*24*60</f>
        <v>6.9999999999999751</v>
      </c>
      <c r="V76" s="84">
        <f t="shared" si="80"/>
        <v>92.999999999999986</v>
      </c>
      <c r="W76" s="80"/>
      <c r="X76" s="80"/>
      <c r="Y76" s="456"/>
      <c r="Z76" s="456"/>
      <c r="AA76" s="11">
        <f t="shared" si="65"/>
        <v>-149.67741935483855</v>
      </c>
      <c r="AB76" s="81">
        <f t="shared" si="55"/>
        <v>0.89605734767025103</v>
      </c>
      <c r="AC76" s="470"/>
    </row>
    <row r="77" spans="1:29" ht="15.75" customHeight="1">
      <c r="A77" s="499" t="s">
        <v>11</v>
      </c>
      <c r="B77" s="85" t="s">
        <v>33</v>
      </c>
      <c r="C77" s="487" t="s">
        <v>41</v>
      </c>
      <c r="D77" s="487"/>
      <c r="E77" s="26">
        <v>34.35</v>
      </c>
      <c r="F77" s="27">
        <v>1257</v>
      </c>
      <c r="G77" s="80">
        <f t="shared" si="75"/>
        <v>43177.950000000004</v>
      </c>
      <c r="H77" s="76" t="s">
        <v>57</v>
      </c>
      <c r="I77" s="83">
        <v>10</v>
      </c>
      <c r="J77" s="18">
        <v>3000</v>
      </c>
      <c r="K77" s="9">
        <f t="shared" si="76"/>
        <v>300</v>
      </c>
      <c r="L77" s="17">
        <v>10</v>
      </c>
      <c r="M77" s="10">
        <f t="shared" si="77"/>
        <v>2693.5714285714303</v>
      </c>
      <c r="N77" s="9">
        <f t="shared" si="81"/>
        <v>269.357142857143</v>
      </c>
      <c r="O77" s="11">
        <f t="shared" si="78"/>
        <v>0</v>
      </c>
      <c r="P77" s="12">
        <f t="shared" si="79"/>
        <v>-30.642857142856997</v>
      </c>
      <c r="Q77" s="81">
        <f t="shared" si="82"/>
        <v>0.89785714285714335</v>
      </c>
      <c r="R77" s="470"/>
      <c r="S77" s="24">
        <v>0.4236111111111111</v>
      </c>
      <c r="T77" s="24">
        <v>0.44305555555555554</v>
      </c>
      <c r="U77" s="80">
        <f t="shared" ref="U77:U79" si="83">(S77-T76)*24*60</f>
        <v>6.9999999999999751</v>
      </c>
      <c r="V77" s="84">
        <f t="shared" si="80"/>
        <v>27.999999999999979</v>
      </c>
      <c r="W77" s="80"/>
      <c r="X77" s="80"/>
      <c r="Y77" s="456"/>
      <c r="Z77" s="456"/>
      <c r="AA77" s="11">
        <f t="shared" si="65"/>
        <v>-306.42857142856974</v>
      </c>
      <c r="AB77" s="81">
        <f t="shared" si="55"/>
        <v>0.89785714285714346</v>
      </c>
      <c r="AC77" s="470"/>
    </row>
    <row r="78" spans="1:29" ht="15.75" customHeight="1">
      <c r="A78" s="499" t="s">
        <v>11</v>
      </c>
      <c r="B78" s="85" t="s">
        <v>33</v>
      </c>
      <c r="C78" s="487" t="s">
        <v>73</v>
      </c>
      <c r="D78" s="487"/>
      <c r="E78" s="26">
        <v>28.5</v>
      </c>
      <c r="F78" s="27">
        <v>2066</v>
      </c>
      <c r="G78" s="80">
        <f t="shared" si="75"/>
        <v>58881</v>
      </c>
      <c r="H78" s="76" t="s">
        <v>57</v>
      </c>
      <c r="I78" s="83">
        <v>10</v>
      </c>
      <c r="J78" s="18">
        <v>3000</v>
      </c>
      <c r="K78" s="9">
        <f t="shared" si="76"/>
        <v>300</v>
      </c>
      <c r="L78" s="17">
        <v>10</v>
      </c>
      <c r="M78" s="10">
        <f t="shared" si="77"/>
        <v>2694.782608695652</v>
      </c>
      <c r="N78" s="9">
        <f t="shared" si="81"/>
        <v>269.47826086956519</v>
      </c>
      <c r="O78" s="11">
        <f t="shared" si="78"/>
        <v>0</v>
      </c>
      <c r="P78" s="12">
        <f t="shared" si="79"/>
        <v>-30.52173913043481</v>
      </c>
      <c r="Q78" s="81">
        <f t="shared" si="82"/>
        <v>0.89826086956521733</v>
      </c>
      <c r="R78" s="470"/>
      <c r="S78" s="24">
        <v>0.44791666666666663</v>
      </c>
      <c r="T78" s="24">
        <v>0.47986111111111107</v>
      </c>
      <c r="U78" s="80">
        <f t="shared" si="83"/>
        <v>6.9999999999999751</v>
      </c>
      <c r="V78" s="84">
        <f t="shared" si="80"/>
        <v>46</v>
      </c>
      <c r="W78" s="80"/>
      <c r="X78" s="80"/>
      <c r="Y78" s="456"/>
      <c r="Z78" s="456"/>
      <c r="AA78" s="11">
        <f t="shared" si="65"/>
        <v>-305.21739130434798</v>
      </c>
      <c r="AB78" s="81">
        <f t="shared" si="55"/>
        <v>0.89826086956521733</v>
      </c>
      <c r="AC78" s="470"/>
    </row>
    <row r="79" spans="1:29">
      <c r="A79" s="500" t="s">
        <v>11</v>
      </c>
      <c r="B79" s="85" t="s">
        <v>15</v>
      </c>
      <c r="C79" s="487" t="s">
        <v>39</v>
      </c>
      <c r="D79" s="487"/>
      <c r="E79" s="26">
        <v>26.97</v>
      </c>
      <c r="F79" s="27">
        <v>1456</v>
      </c>
      <c r="G79" s="80">
        <f t="shared" si="75"/>
        <v>39268.32</v>
      </c>
      <c r="H79" s="76" t="s">
        <v>57</v>
      </c>
      <c r="I79" s="83">
        <v>11</v>
      </c>
      <c r="J79" s="18">
        <v>1440</v>
      </c>
      <c r="K79" s="9">
        <f t="shared" si="76"/>
        <v>130.90909090909091</v>
      </c>
      <c r="L79" s="17">
        <v>11</v>
      </c>
      <c r="M79" s="10">
        <f t="shared" si="77"/>
        <v>1303.8805970149238</v>
      </c>
      <c r="N79" s="9">
        <f t="shared" si="81"/>
        <v>118.53459972862943</v>
      </c>
      <c r="O79" s="11">
        <f t="shared" si="78"/>
        <v>0</v>
      </c>
      <c r="P79" s="12">
        <f t="shared" si="79"/>
        <v>-12.374491180461476</v>
      </c>
      <c r="Q79" s="81">
        <f t="shared" si="82"/>
        <v>0.90547263681591927</v>
      </c>
      <c r="R79" s="470"/>
      <c r="S79" s="24">
        <v>0.52013888888888882</v>
      </c>
      <c r="T79" s="24">
        <v>0.56666666666666665</v>
      </c>
      <c r="U79" s="80">
        <f t="shared" si="83"/>
        <v>57.999999999999957</v>
      </c>
      <c r="V79" s="84">
        <f t="shared" si="80"/>
        <v>67.000000000000085</v>
      </c>
      <c r="W79" s="14"/>
      <c r="X79" s="14"/>
      <c r="Y79" s="456"/>
      <c r="Z79" s="456"/>
      <c r="AA79" s="11">
        <f t="shared" si="65"/>
        <v>-136.11940298507625</v>
      </c>
      <c r="AB79" s="81">
        <f t="shared" si="55"/>
        <v>0.90547263681591927</v>
      </c>
      <c r="AC79" s="470"/>
    </row>
    <row r="80" spans="1:29">
      <c r="A80" s="500" t="s">
        <v>11</v>
      </c>
      <c r="B80" s="26" t="s">
        <v>161</v>
      </c>
      <c r="C80" s="466"/>
      <c r="D80" s="466"/>
      <c r="E80" s="79"/>
      <c r="F80" s="16"/>
      <c r="G80" s="9"/>
      <c r="H80" s="85"/>
      <c r="I80" s="17">
        <v>12.6</v>
      </c>
      <c r="J80" s="18">
        <v>2033.2</v>
      </c>
      <c r="K80" s="9">
        <f>J80/I80</f>
        <v>161.36507936507937</v>
      </c>
      <c r="L80" s="17">
        <v>12.6</v>
      </c>
      <c r="M80" s="10">
        <f>AVERAGE(M75:M79)</f>
        <v>1828.4150574432647</v>
      </c>
      <c r="N80" s="9">
        <f>M80/L80</f>
        <v>145.11230614629085</v>
      </c>
      <c r="O80" s="11">
        <f>L80-I80</f>
        <v>0</v>
      </c>
      <c r="P80" s="12">
        <f>N80-K80</f>
        <v>-16.252773218788519</v>
      </c>
      <c r="Q80" s="81">
        <f>N80/K80</f>
        <v>0.8992794892008974</v>
      </c>
      <c r="R80" s="470"/>
      <c r="S80" s="24"/>
      <c r="T80" s="24"/>
      <c r="U80" s="9"/>
      <c r="V80" s="84"/>
      <c r="W80" s="9"/>
      <c r="X80" s="9"/>
      <c r="Y80" s="456"/>
      <c r="Z80" s="456"/>
      <c r="AA80" s="11">
        <f t="shared" si="65"/>
        <v>-204.78494255673536</v>
      </c>
      <c r="AB80" s="81">
        <f t="shared" si="55"/>
        <v>0.8992794892008974</v>
      </c>
      <c r="AC80" s="470"/>
    </row>
    <row r="81" spans="1:29" ht="15.75" customHeight="1">
      <c r="A81" s="467" t="s">
        <v>164</v>
      </c>
      <c r="B81" s="85" t="s">
        <v>24</v>
      </c>
      <c r="C81" s="487" t="s">
        <v>44</v>
      </c>
      <c r="D81" s="487"/>
      <c r="E81" s="26">
        <v>29.58</v>
      </c>
      <c r="F81" s="85">
        <v>4000</v>
      </c>
      <c r="G81" s="80">
        <f t="shared" ref="G81:G87" si="84">E81*F81</f>
        <v>118320</v>
      </c>
      <c r="H81" s="76">
        <v>2</v>
      </c>
      <c r="I81" s="83">
        <v>17</v>
      </c>
      <c r="J81" s="18">
        <v>2400</v>
      </c>
      <c r="K81" s="9">
        <f t="shared" ref="K81:K83" si="85">J81/I81</f>
        <v>141.1764705882353</v>
      </c>
      <c r="L81" s="17">
        <v>17</v>
      </c>
      <c r="M81" s="10">
        <f>F81/V81*60</f>
        <v>2142.8571428571431</v>
      </c>
      <c r="N81" s="9">
        <f t="shared" ref="N81:N87" si="86">M81/L81</f>
        <v>126.05042016806725</v>
      </c>
      <c r="O81" s="11">
        <f t="shared" ref="O81:O87" si="87">L81-I81</f>
        <v>0</v>
      </c>
      <c r="P81" s="12">
        <f t="shared" ref="P81:P87" si="88">N81-K81</f>
        <v>-15.126050420168056</v>
      </c>
      <c r="Q81" s="81">
        <f>N81/K81</f>
        <v>0.8928571428571429</v>
      </c>
      <c r="R81" s="470">
        <f>Q88</f>
        <v>0.8943298314956224</v>
      </c>
      <c r="S81" s="24">
        <v>0.16666666666666666</v>
      </c>
      <c r="T81" s="24">
        <v>0.24444444444444444</v>
      </c>
      <c r="U81" s="15"/>
      <c r="V81" s="84">
        <f t="shared" ref="V81:V87" si="89">(T81-S81)*24*60</f>
        <v>112</v>
      </c>
      <c r="W81" s="14"/>
      <c r="X81" s="14"/>
      <c r="Y81" s="456"/>
      <c r="Z81" s="456"/>
      <c r="AA81" s="11">
        <f t="shared" si="65"/>
        <v>-257.14285714285688</v>
      </c>
      <c r="AB81" s="81">
        <f>M81/J81</f>
        <v>0.89285714285714302</v>
      </c>
      <c r="AC81" s="470">
        <f>AB88</f>
        <v>0.89432983149562228</v>
      </c>
    </row>
    <row r="82" spans="1:29" ht="15.75" customHeight="1">
      <c r="A82" s="467" t="s">
        <v>12</v>
      </c>
      <c r="B82" s="85" t="s">
        <v>24</v>
      </c>
      <c r="C82" s="487" t="s">
        <v>45</v>
      </c>
      <c r="D82" s="487"/>
      <c r="E82" s="26">
        <v>19.02</v>
      </c>
      <c r="F82" s="85">
        <v>5600</v>
      </c>
      <c r="G82" s="80">
        <f t="shared" si="84"/>
        <v>106512</v>
      </c>
      <c r="H82" s="76">
        <v>2</v>
      </c>
      <c r="I82" s="83">
        <v>16</v>
      </c>
      <c r="J82" s="18">
        <v>2400</v>
      </c>
      <c r="K82" s="9">
        <f t="shared" si="85"/>
        <v>150</v>
      </c>
      <c r="L82" s="17">
        <v>16</v>
      </c>
      <c r="M82" s="10">
        <f t="shared" ref="M82:M87" si="90">F82/V82*60</f>
        <v>2140.127388535032</v>
      </c>
      <c r="N82" s="9">
        <f t="shared" si="86"/>
        <v>133.7579617834395</v>
      </c>
      <c r="O82" s="11">
        <f t="shared" si="87"/>
        <v>0</v>
      </c>
      <c r="P82" s="12">
        <f t="shared" si="88"/>
        <v>-16.242038216560502</v>
      </c>
      <c r="Q82" s="81">
        <f t="shared" ref="Q82:Q88" si="91">N82/K82</f>
        <v>0.89171974522292996</v>
      </c>
      <c r="R82" s="470"/>
      <c r="S82" s="24">
        <v>0.24930555555555556</v>
      </c>
      <c r="T82" s="24">
        <v>0.35833333333333334</v>
      </c>
      <c r="U82" s="80">
        <f>(S82-T81)*24*60</f>
        <v>7.0000000000000151</v>
      </c>
      <c r="V82" s="84">
        <f t="shared" si="89"/>
        <v>157</v>
      </c>
      <c r="W82" s="14"/>
      <c r="X82" s="14"/>
      <c r="Y82" s="456"/>
      <c r="Z82" s="456"/>
      <c r="AA82" s="11">
        <f t="shared" si="65"/>
        <v>-259.87261146496803</v>
      </c>
      <c r="AB82" s="81">
        <f t="shared" ref="AB82:AB88" si="92">M82/J82</f>
        <v>0.89171974522292996</v>
      </c>
      <c r="AC82" s="470"/>
    </row>
    <row r="83" spans="1:29" ht="15.75" customHeight="1">
      <c r="A83" s="467" t="s">
        <v>12</v>
      </c>
      <c r="B83" s="85" t="s">
        <v>24</v>
      </c>
      <c r="C83" s="487" t="s">
        <v>56</v>
      </c>
      <c r="D83" s="487"/>
      <c r="E83" s="26">
        <v>20.2</v>
      </c>
      <c r="F83" s="85">
        <v>2815</v>
      </c>
      <c r="G83" s="80">
        <f t="shared" si="84"/>
        <v>56863</v>
      </c>
      <c r="H83" s="76" t="s">
        <v>57</v>
      </c>
      <c r="I83" s="83">
        <v>19</v>
      </c>
      <c r="J83" s="18">
        <v>2400</v>
      </c>
      <c r="K83" s="9">
        <f t="shared" si="85"/>
        <v>126.31578947368421</v>
      </c>
      <c r="L83" s="17">
        <v>19</v>
      </c>
      <c r="M83" s="10">
        <f t="shared" si="90"/>
        <v>2137.9746835443052</v>
      </c>
      <c r="N83" s="9">
        <f t="shared" si="86"/>
        <v>112.52498334443712</v>
      </c>
      <c r="O83" s="11">
        <f t="shared" si="87"/>
        <v>0</v>
      </c>
      <c r="P83" s="12">
        <f t="shared" si="88"/>
        <v>-13.790806129247088</v>
      </c>
      <c r="Q83" s="81">
        <f t="shared" si="91"/>
        <v>0.89082278481012722</v>
      </c>
      <c r="R83" s="470"/>
      <c r="S83" s="24">
        <v>0.36388888888888887</v>
      </c>
      <c r="T83" s="24">
        <v>0.41874999999999996</v>
      </c>
      <c r="U83" s="80">
        <f t="shared" ref="U83:U87" si="93">(S83-T82)*24*60</f>
        <v>7.9999999999999716</v>
      </c>
      <c r="V83" s="84">
        <f t="shared" si="89"/>
        <v>78.999999999999957</v>
      </c>
      <c r="W83" s="14"/>
      <c r="X83" s="14"/>
      <c r="Y83" s="456"/>
      <c r="Z83" s="456"/>
      <c r="AA83" s="11">
        <f t="shared" si="65"/>
        <v>-262.02531645569479</v>
      </c>
      <c r="AB83" s="81">
        <f t="shared" si="92"/>
        <v>0.89082278481012722</v>
      </c>
      <c r="AC83" s="470"/>
    </row>
    <row r="84" spans="1:29" ht="15.75" customHeight="1">
      <c r="A84" s="467" t="s">
        <v>12</v>
      </c>
      <c r="B84" s="85" t="s">
        <v>24</v>
      </c>
      <c r="C84" s="487" t="s">
        <v>83</v>
      </c>
      <c r="D84" s="487"/>
      <c r="E84" s="26">
        <v>32.03</v>
      </c>
      <c r="F84" s="85">
        <v>2457</v>
      </c>
      <c r="G84" s="80">
        <f t="shared" si="84"/>
        <v>78697.710000000006</v>
      </c>
      <c r="H84" s="76" t="s">
        <v>57</v>
      </c>
      <c r="I84" s="83">
        <v>19</v>
      </c>
      <c r="J84" s="18">
        <v>2400</v>
      </c>
      <c r="K84" s="9">
        <f>J84/I84</f>
        <v>126.31578947368421</v>
      </c>
      <c r="L84" s="17">
        <v>19</v>
      </c>
      <c r="M84" s="10">
        <f t="shared" si="90"/>
        <v>2167.9411764705883</v>
      </c>
      <c r="N84" s="9">
        <f t="shared" si="86"/>
        <v>114.10216718266254</v>
      </c>
      <c r="O84" s="11">
        <f t="shared" si="87"/>
        <v>0</v>
      </c>
      <c r="P84" s="12">
        <f t="shared" si="88"/>
        <v>-12.213622291021665</v>
      </c>
      <c r="Q84" s="81">
        <f t="shared" si="91"/>
        <v>0.90330882352941178</v>
      </c>
      <c r="R84" s="470"/>
      <c r="S84" s="24">
        <v>0.42430555555555549</v>
      </c>
      <c r="T84" s="24">
        <v>0.47152777777777771</v>
      </c>
      <c r="U84" s="80">
        <f t="shared" si="93"/>
        <v>7.9999999999999716</v>
      </c>
      <c r="V84" s="84">
        <f t="shared" si="89"/>
        <v>68</v>
      </c>
      <c r="W84" s="14"/>
      <c r="X84" s="14"/>
      <c r="Y84" s="456"/>
      <c r="Z84" s="456"/>
      <c r="AA84" s="11">
        <f t="shared" si="65"/>
        <v>-232.05882352941171</v>
      </c>
      <c r="AB84" s="81">
        <f t="shared" si="92"/>
        <v>0.90330882352941178</v>
      </c>
      <c r="AC84" s="470"/>
    </row>
    <row r="85" spans="1:29" ht="15.75" customHeight="1">
      <c r="A85" s="467" t="s">
        <v>12</v>
      </c>
      <c r="B85" s="85" t="s">
        <v>24</v>
      </c>
      <c r="C85" s="487" t="s">
        <v>44</v>
      </c>
      <c r="D85" s="487"/>
      <c r="E85" s="26">
        <v>29.58</v>
      </c>
      <c r="F85" s="85">
        <v>6178</v>
      </c>
      <c r="G85" s="80">
        <f t="shared" si="84"/>
        <v>182745.24</v>
      </c>
      <c r="H85" s="76" t="s">
        <v>57</v>
      </c>
      <c r="I85" s="83">
        <v>17</v>
      </c>
      <c r="J85" s="18">
        <v>2400</v>
      </c>
      <c r="K85" s="9">
        <f t="shared" ref="K85:K88" si="94">J85/I85</f>
        <v>141.1764705882353</v>
      </c>
      <c r="L85" s="17">
        <v>17</v>
      </c>
      <c r="M85" s="10">
        <f t="shared" si="90"/>
        <v>2142.6589595375717</v>
      </c>
      <c r="N85" s="9">
        <f t="shared" si="86"/>
        <v>126.03876232573951</v>
      </c>
      <c r="O85" s="11">
        <f t="shared" si="87"/>
        <v>0</v>
      </c>
      <c r="P85" s="12">
        <f t="shared" si="88"/>
        <v>-15.137708262495792</v>
      </c>
      <c r="Q85" s="81">
        <f t="shared" si="91"/>
        <v>0.89277456647398812</v>
      </c>
      <c r="R85" s="470"/>
      <c r="S85" s="24">
        <v>0.51319444444444429</v>
      </c>
      <c r="T85" s="24">
        <v>0.63333333333333319</v>
      </c>
      <c r="U85" s="80">
        <f t="shared" si="93"/>
        <v>59.999999999999865</v>
      </c>
      <c r="V85" s="84">
        <f t="shared" si="89"/>
        <v>173.00000000000003</v>
      </c>
      <c r="W85" s="14"/>
      <c r="X85" s="14"/>
      <c r="Y85" s="456"/>
      <c r="Z85" s="456"/>
      <c r="AA85" s="11">
        <f t="shared" si="65"/>
        <v>-257.34104046242828</v>
      </c>
      <c r="AB85" s="81">
        <f t="shared" si="92"/>
        <v>0.89277456647398823</v>
      </c>
      <c r="AC85" s="470"/>
    </row>
    <row r="86" spans="1:29" ht="15.75" customHeight="1">
      <c r="A86" s="467" t="s">
        <v>12</v>
      </c>
      <c r="B86" s="85" t="s">
        <v>24</v>
      </c>
      <c r="C86" s="487" t="s">
        <v>45</v>
      </c>
      <c r="D86" s="487"/>
      <c r="E86" s="26">
        <v>19.02</v>
      </c>
      <c r="F86" s="85">
        <v>4725</v>
      </c>
      <c r="G86" s="80">
        <f t="shared" si="84"/>
        <v>89869.5</v>
      </c>
      <c r="H86" s="76" t="s">
        <v>57</v>
      </c>
      <c r="I86" s="83">
        <v>16</v>
      </c>
      <c r="J86" s="18">
        <v>2400</v>
      </c>
      <c r="K86" s="9">
        <f t="shared" si="94"/>
        <v>150</v>
      </c>
      <c r="L86" s="17">
        <v>16</v>
      </c>
      <c r="M86" s="10">
        <f t="shared" si="90"/>
        <v>2147.727272727273</v>
      </c>
      <c r="N86" s="9">
        <f t="shared" si="86"/>
        <v>134.23295454545456</v>
      </c>
      <c r="O86" s="11">
        <f t="shared" si="87"/>
        <v>0</v>
      </c>
      <c r="P86" s="12">
        <f t="shared" si="88"/>
        <v>-15.767045454545439</v>
      </c>
      <c r="Q86" s="81">
        <f t="shared" si="91"/>
        <v>0.89488636363636376</v>
      </c>
      <c r="R86" s="470"/>
      <c r="S86" s="24">
        <v>0.63888888888888873</v>
      </c>
      <c r="T86" s="24">
        <v>0.7305555555555554</v>
      </c>
      <c r="U86" s="80">
        <f t="shared" si="93"/>
        <v>7.9999999999999716</v>
      </c>
      <c r="V86" s="84">
        <f t="shared" si="89"/>
        <v>132</v>
      </c>
      <c r="W86" s="14"/>
      <c r="X86" s="14"/>
      <c r="Y86" s="456"/>
      <c r="Z86" s="456"/>
      <c r="AA86" s="11">
        <f t="shared" si="65"/>
        <v>-252.27272727272702</v>
      </c>
      <c r="AB86" s="81">
        <f t="shared" si="92"/>
        <v>0.89488636363636376</v>
      </c>
      <c r="AC86" s="470"/>
    </row>
    <row r="87" spans="1:29" ht="15.75" customHeight="1">
      <c r="A87" s="467" t="s">
        <v>12</v>
      </c>
      <c r="B87" s="85" t="s">
        <v>24</v>
      </c>
      <c r="C87" s="491" t="s">
        <v>31</v>
      </c>
      <c r="D87" s="492"/>
      <c r="E87" s="26">
        <v>24.45</v>
      </c>
      <c r="F87" s="85">
        <v>1180</v>
      </c>
      <c r="G87" s="80">
        <f t="shared" si="84"/>
        <v>28851</v>
      </c>
      <c r="H87" s="76" t="s">
        <v>57</v>
      </c>
      <c r="I87" s="83">
        <v>20</v>
      </c>
      <c r="J87" s="18">
        <v>2400</v>
      </c>
      <c r="K87" s="9">
        <f t="shared" si="94"/>
        <v>120</v>
      </c>
      <c r="L87" s="17">
        <v>20</v>
      </c>
      <c r="M87" s="10">
        <f t="shared" si="90"/>
        <v>2145.4545454545423</v>
      </c>
      <c r="N87" s="9">
        <f t="shared" si="86"/>
        <v>107.27272727272711</v>
      </c>
      <c r="O87" s="11">
        <f t="shared" si="87"/>
        <v>0</v>
      </c>
      <c r="P87" s="12">
        <f t="shared" si="88"/>
        <v>-12.72727272727289</v>
      </c>
      <c r="Q87" s="81">
        <f t="shared" si="91"/>
        <v>0.89393939393939259</v>
      </c>
      <c r="R87" s="470"/>
      <c r="S87" s="24">
        <v>0.7354166666666665</v>
      </c>
      <c r="T87" s="24">
        <v>0.75833333333333319</v>
      </c>
      <c r="U87" s="80">
        <f t="shared" si="93"/>
        <v>6.9999999999999751</v>
      </c>
      <c r="V87" s="84">
        <f t="shared" si="89"/>
        <v>33.000000000000043</v>
      </c>
      <c r="W87" s="14"/>
      <c r="X87" s="14"/>
      <c r="Y87" s="473"/>
      <c r="Z87" s="474"/>
      <c r="AA87" s="11">
        <f t="shared" si="65"/>
        <v>-254.54545454545769</v>
      </c>
      <c r="AB87" s="81">
        <f t="shared" si="92"/>
        <v>0.89393939393939259</v>
      </c>
      <c r="AC87" s="470"/>
    </row>
    <row r="88" spans="1:29" ht="16.5" customHeight="1">
      <c r="A88" s="501" t="s">
        <v>12</v>
      </c>
      <c r="B88" s="26" t="s">
        <v>81</v>
      </c>
      <c r="C88" s="466"/>
      <c r="D88" s="466"/>
      <c r="E88" s="79"/>
      <c r="F88" s="16"/>
      <c r="G88" s="9"/>
      <c r="H88" s="85"/>
      <c r="I88" s="17">
        <v>17.714285714285715</v>
      </c>
      <c r="J88" s="18">
        <v>2400</v>
      </c>
      <c r="K88" s="9">
        <f t="shared" si="94"/>
        <v>135.48387096774192</v>
      </c>
      <c r="L88" s="17">
        <v>17.714285714285715</v>
      </c>
      <c r="M88" s="10">
        <f>AVERAGE(M81:M87)</f>
        <v>2146.3915955894936</v>
      </c>
      <c r="N88" s="9">
        <f>M88/L88</f>
        <v>121.16726749295528</v>
      </c>
      <c r="O88" s="11">
        <f>L88-I88</f>
        <v>0</v>
      </c>
      <c r="P88" s="12">
        <f>N88-K88</f>
        <v>-14.316603474786646</v>
      </c>
      <c r="Q88" s="81">
        <f t="shared" si="91"/>
        <v>0.8943298314956224</v>
      </c>
      <c r="R88" s="470"/>
      <c r="S88" s="24"/>
      <c r="T88" s="24"/>
      <c r="U88" s="9"/>
      <c r="V88" s="84"/>
      <c r="W88" s="9"/>
      <c r="X88" s="9"/>
      <c r="Y88" s="456"/>
      <c r="Z88" s="456"/>
      <c r="AA88" s="11">
        <f t="shared" si="65"/>
        <v>-253.60840441050641</v>
      </c>
      <c r="AB88" s="81">
        <f t="shared" si="92"/>
        <v>0.89432983149562228</v>
      </c>
      <c r="AC88" s="470"/>
    </row>
    <row r="89" spans="1:29">
      <c r="D89" s="19"/>
      <c r="E89" s="19"/>
    </row>
  </sheetData>
  <mergeCells count="229">
    <mergeCell ref="AC81:AC88"/>
    <mergeCell ref="C82:D82"/>
    <mergeCell ref="Y82:Z82"/>
    <mergeCell ref="C83:D83"/>
    <mergeCell ref="Y83:Z83"/>
    <mergeCell ref="C84:D84"/>
    <mergeCell ref="Y84:Z84"/>
    <mergeCell ref="C85:D85"/>
    <mergeCell ref="Y85:Z85"/>
    <mergeCell ref="C86:D86"/>
    <mergeCell ref="A81:A88"/>
    <mergeCell ref="C81:D81"/>
    <mergeCell ref="R81:R88"/>
    <mergeCell ref="Y81:Z81"/>
    <mergeCell ref="Y86:Z86"/>
    <mergeCell ref="C87:D87"/>
    <mergeCell ref="A75:A80"/>
    <mergeCell ref="Y87:Z87"/>
    <mergeCell ref="C88:D88"/>
    <mergeCell ref="Y88:Z88"/>
    <mergeCell ref="C76:D76"/>
    <mergeCell ref="Y76:Z76"/>
    <mergeCell ref="C77:D77"/>
    <mergeCell ref="Y77:Z77"/>
    <mergeCell ref="C78:D78"/>
    <mergeCell ref="Y78:Z78"/>
    <mergeCell ref="AC72:AC74"/>
    <mergeCell ref="C73:D73"/>
    <mergeCell ref="Y73:Z73"/>
    <mergeCell ref="C74:D74"/>
    <mergeCell ref="Y74:Z74"/>
    <mergeCell ref="C75:D75"/>
    <mergeCell ref="R75:R80"/>
    <mergeCell ref="Y75:Z75"/>
    <mergeCell ref="AC75:AC80"/>
    <mergeCell ref="C79:D79"/>
    <mergeCell ref="Y79:Z79"/>
    <mergeCell ref="C80:D80"/>
    <mergeCell ref="Y80:Z80"/>
    <mergeCell ref="A72:A74"/>
    <mergeCell ref="C72:D72"/>
    <mergeCell ref="R72:R74"/>
    <mergeCell ref="Y72:Z72"/>
    <mergeCell ref="C68:D68"/>
    <mergeCell ref="Y68:Z68"/>
    <mergeCell ref="C69:D69"/>
    <mergeCell ref="Y69:Z69"/>
    <mergeCell ref="C70:D70"/>
    <mergeCell ref="Y70:Z70"/>
    <mergeCell ref="A55:A71"/>
    <mergeCell ref="C55:D55"/>
    <mergeCell ref="R55:R71"/>
    <mergeCell ref="Y55:Z55"/>
    <mergeCell ref="C65:D65"/>
    <mergeCell ref="Y65:Z65"/>
    <mergeCell ref="C66:D66"/>
    <mergeCell ref="Y66:Z66"/>
    <mergeCell ref="C67:D67"/>
    <mergeCell ref="Y67:Z67"/>
    <mergeCell ref="C62:D62"/>
    <mergeCell ref="Y62:Z62"/>
    <mergeCell ref="C63:D63"/>
    <mergeCell ref="Y63:Z63"/>
    <mergeCell ref="AC45:AC54"/>
    <mergeCell ref="Y58:Z58"/>
    <mergeCell ref="C59:D59"/>
    <mergeCell ref="Y59:Z59"/>
    <mergeCell ref="C64:D64"/>
    <mergeCell ref="Y64:Z64"/>
    <mergeCell ref="C71:D71"/>
    <mergeCell ref="Y71:Z71"/>
    <mergeCell ref="AC55:AC71"/>
    <mergeCell ref="C56:D56"/>
    <mergeCell ref="Y56:Z56"/>
    <mergeCell ref="C57:D57"/>
    <mergeCell ref="Y57:Z57"/>
    <mergeCell ref="C58:D58"/>
    <mergeCell ref="C60:D60"/>
    <mergeCell ref="Y60:Z60"/>
    <mergeCell ref="C61:D61"/>
    <mergeCell ref="Y61:Z61"/>
    <mergeCell ref="A45:A54"/>
    <mergeCell ref="C45:D45"/>
    <mergeCell ref="R45:R54"/>
    <mergeCell ref="Y45:Z45"/>
    <mergeCell ref="C46:D46"/>
    <mergeCell ref="Y46:Z46"/>
    <mergeCell ref="C47:D47"/>
    <mergeCell ref="Y47:Z47"/>
    <mergeCell ref="C48:D48"/>
    <mergeCell ref="C52:D52"/>
    <mergeCell ref="Y52:Z52"/>
    <mergeCell ref="C53:D53"/>
    <mergeCell ref="Y53:Z53"/>
    <mergeCell ref="C54:D54"/>
    <mergeCell ref="Y54:Z54"/>
    <mergeCell ref="Y40:Z40"/>
    <mergeCell ref="C41:D41"/>
    <mergeCell ref="Y41:Z41"/>
    <mergeCell ref="Y48:Z48"/>
    <mergeCell ref="C49:D49"/>
    <mergeCell ref="Y49:Z49"/>
    <mergeCell ref="C50:D50"/>
    <mergeCell ref="Y50:Z50"/>
    <mergeCell ref="C51:D51"/>
    <mergeCell ref="Y51:Z51"/>
    <mergeCell ref="A33:A44"/>
    <mergeCell ref="C33:D33"/>
    <mergeCell ref="R33:R44"/>
    <mergeCell ref="Y33:Z33"/>
    <mergeCell ref="Y38:Z38"/>
    <mergeCell ref="AC33:AC44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C42:D42"/>
    <mergeCell ref="Y42:Z42"/>
    <mergeCell ref="C43:D43"/>
    <mergeCell ref="Y43:Z43"/>
    <mergeCell ref="C44:D44"/>
    <mergeCell ref="Y44:Z44"/>
    <mergeCell ref="C39:D39"/>
    <mergeCell ref="Y39:Z39"/>
    <mergeCell ref="C40:D40"/>
    <mergeCell ref="AC23:AC32"/>
    <mergeCell ref="C24:D24"/>
    <mergeCell ref="Y24:Z24"/>
    <mergeCell ref="C25:D25"/>
    <mergeCell ref="Y25:Z25"/>
    <mergeCell ref="C26:D26"/>
    <mergeCell ref="Y26:Z26"/>
    <mergeCell ref="C27:D27"/>
    <mergeCell ref="Y27:Z27"/>
    <mergeCell ref="C28:D28"/>
    <mergeCell ref="Y30:Z30"/>
    <mergeCell ref="C31:D31"/>
    <mergeCell ref="Y31:Z31"/>
    <mergeCell ref="C32:D32"/>
    <mergeCell ref="Y32:Z32"/>
    <mergeCell ref="A15:A22"/>
    <mergeCell ref="C15:D15"/>
    <mergeCell ref="R15:R22"/>
    <mergeCell ref="Y15:Z15"/>
    <mergeCell ref="C22:D22"/>
    <mergeCell ref="Y22:Z22"/>
    <mergeCell ref="A23:A32"/>
    <mergeCell ref="C23:D23"/>
    <mergeCell ref="R23:R32"/>
    <mergeCell ref="Y23:Z23"/>
    <mergeCell ref="Y28:Z28"/>
    <mergeCell ref="C29:D29"/>
    <mergeCell ref="Y29:Z29"/>
    <mergeCell ref="C30:D30"/>
    <mergeCell ref="AC15:AC22"/>
    <mergeCell ref="C16:D16"/>
    <mergeCell ref="Y16:Z16"/>
    <mergeCell ref="C17:D17"/>
    <mergeCell ref="Y17:Z17"/>
    <mergeCell ref="C18:D18"/>
    <mergeCell ref="Y11:Z11"/>
    <mergeCell ref="C12:D12"/>
    <mergeCell ref="Y12:Z12"/>
    <mergeCell ref="C13:D13"/>
    <mergeCell ref="Y13:Z13"/>
    <mergeCell ref="C14:D14"/>
    <mergeCell ref="Y14:Z14"/>
    <mergeCell ref="Y18:Z18"/>
    <mergeCell ref="C19:D19"/>
    <mergeCell ref="Y19:Z19"/>
    <mergeCell ref="C20:D20"/>
    <mergeCell ref="Y20:Z20"/>
    <mergeCell ref="C21:D21"/>
    <mergeCell ref="Y21:Z21"/>
    <mergeCell ref="A3:A4"/>
    <mergeCell ref="B3:B4"/>
    <mergeCell ref="C3:D4"/>
    <mergeCell ref="E3:E4"/>
    <mergeCell ref="F3:F4"/>
    <mergeCell ref="G3:G4"/>
    <mergeCell ref="AC3:AC4"/>
    <mergeCell ref="A5:A7"/>
    <mergeCell ref="C5:D5"/>
    <mergeCell ref="R5:R7"/>
    <mergeCell ref="Y5:Z5"/>
    <mergeCell ref="AC5:AC7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H3:H4"/>
    <mergeCell ref="I3:I4"/>
    <mergeCell ref="AB3:AB4"/>
    <mergeCell ref="A8:A14"/>
    <mergeCell ref="C8:D8"/>
    <mergeCell ref="R8:R14"/>
    <mergeCell ref="Y8:Z8"/>
    <mergeCell ref="AC8:AC14"/>
    <mergeCell ref="C9:D9"/>
    <mergeCell ref="Y9:Z9"/>
    <mergeCell ref="C10:D10"/>
    <mergeCell ref="Y10:Z10"/>
    <mergeCell ref="C11:D11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78:O86 O68 O88 O5:O8 O14:O16 O71:O75 O22:O40 O44:O60">
    <cfRule type="cellIs" dxfId="190" priority="121" operator="greaterThan">
      <formula>0</formula>
    </cfRule>
  </conditionalFormatting>
  <conditionalFormatting sqref="P5:P6 P78:P79 AA78:AA79 P81:P86 P33:P40 P75 P68 P8 P14:P16 P23:P31 P72:P73 P45:P60 AA5:AA75 AA81:AA88">
    <cfRule type="cellIs" dxfId="189" priority="125" operator="lessThan">
      <formula>0</formula>
    </cfRule>
  </conditionalFormatting>
  <conditionalFormatting sqref="AB78:AB79 Q78:Q86 Q68 Q88 Q5:Q8 Q14:Q16 Q71:Q75 Q22:Q40 Q44:Q60 AB5:AB75 AB81:AB88">
    <cfRule type="cellIs" dxfId="188" priority="122" operator="greaterThan">
      <formula>1</formula>
    </cfRule>
    <cfRule type="cellIs" dxfId="187" priority="123" operator="lessThan">
      <formula>0.8</formula>
    </cfRule>
  </conditionalFormatting>
  <conditionalFormatting sqref="AC15:AC16 R15:R16 AC78 R78:R86 R22:R28 AC22:AC28 AC32:AC40 R32:R40 R44:R52 AC44:AC52 R68 AC68 R88 AC5:AC8 R5:R8 R54:R60 AC54:AC60 AC71:AC75 R71:R75">
    <cfRule type="cellIs" dxfId="186" priority="127" operator="lessThan">
      <formula>0.8</formula>
    </cfRule>
  </conditionalFormatting>
  <conditionalFormatting sqref="AC55">
    <cfRule type="cellIs" dxfId="185" priority="129" operator="lessThan">
      <formula>0.8</formula>
    </cfRule>
  </conditionalFormatting>
  <conditionalFormatting sqref="AC23:AC28">
    <cfRule type="cellIs" dxfId="184" priority="126" operator="lessThan">
      <formula>0.8</formula>
    </cfRule>
  </conditionalFormatting>
  <conditionalFormatting sqref="AC33">
    <cfRule type="cellIs" dxfId="183" priority="128" operator="lessThan">
      <formula>0.8</formula>
    </cfRule>
  </conditionalFormatting>
  <conditionalFormatting sqref="AC45:AC52 AC68">
    <cfRule type="cellIs" dxfId="182" priority="124" operator="lessThan">
      <formula>0.8</formula>
    </cfRule>
  </conditionalFormatting>
  <conditionalFormatting sqref="AA80">
    <cfRule type="cellIs" dxfId="181" priority="120" operator="lessThan">
      <formula>0</formula>
    </cfRule>
  </conditionalFormatting>
  <conditionalFormatting sqref="AB80">
    <cfRule type="cellIs" dxfId="180" priority="118" operator="greaterThan">
      <formula>1</formula>
    </cfRule>
    <cfRule type="cellIs" dxfId="179" priority="119" operator="lessThan">
      <formula>0.8</formula>
    </cfRule>
  </conditionalFormatting>
  <conditionalFormatting sqref="O17:O18">
    <cfRule type="cellIs" dxfId="178" priority="113" operator="greaterThan">
      <formula>0</formula>
    </cfRule>
  </conditionalFormatting>
  <conditionalFormatting sqref="P17:P18">
    <cfRule type="cellIs" dxfId="177" priority="116" operator="lessThan">
      <formula>0</formula>
    </cfRule>
  </conditionalFormatting>
  <conditionalFormatting sqref="Q17:Q18">
    <cfRule type="cellIs" dxfId="176" priority="114" operator="greaterThan">
      <formula>1</formula>
    </cfRule>
    <cfRule type="cellIs" dxfId="175" priority="115" operator="lessThan">
      <formula>0.8</formula>
    </cfRule>
  </conditionalFormatting>
  <conditionalFormatting sqref="R17:R18 AC17:AC18">
    <cfRule type="cellIs" dxfId="174" priority="117" operator="lessThan">
      <formula>0.8</formula>
    </cfRule>
  </conditionalFormatting>
  <conditionalFormatting sqref="O9:O13">
    <cfRule type="cellIs" dxfId="173" priority="109" operator="greaterThan">
      <formula>0</formula>
    </cfRule>
  </conditionalFormatting>
  <conditionalFormatting sqref="P9:P13">
    <cfRule type="cellIs" dxfId="172" priority="112" operator="lessThan">
      <formula>0</formula>
    </cfRule>
  </conditionalFormatting>
  <conditionalFormatting sqref="Q9:Q13">
    <cfRule type="cellIs" dxfId="171" priority="110" operator="greaterThan">
      <formula>1</formula>
    </cfRule>
    <cfRule type="cellIs" dxfId="170" priority="111" operator="lessThan">
      <formula>0.8</formula>
    </cfRule>
  </conditionalFormatting>
  <conditionalFormatting sqref="AC30 R30">
    <cfRule type="cellIs" dxfId="169" priority="108" operator="lessThan">
      <formula>0.8</formula>
    </cfRule>
  </conditionalFormatting>
  <conditionalFormatting sqref="R53 AC53">
    <cfRule type="cellIs" dxfId="168" priority="107" operator="lessThan">
      <formula>0.8</formula>
    </cfRule>
  </conditionalFormatting>
  <conditionalFormatting sqref="AC53">
    <cfRule type="cellIs" dxfId="167" priority="106" operator="lessThan">
      <formula>0.8</formula>
    </cfRule>
  </conditionalFormatting>
  <conditionalFormatting sqref="O77">
    <cfRule type="cellIs" dxfId="166" priority="101" operator="greaterThan">
      <formula>0</formula>
    </cfRule>
  </conditionalFormatting>
  <conditionalFormatting sqref="P77 AA77">
    <cfRule type="cellIs" dxfId="165" priority="104" operator="lessThan">
      <formula>0</formula>
    </cfRule>
  </conditionalFormatting>
  <conditionalFormatting sqref="Q77 AB77">
    <cfRule type="cellIs" dxfId="164" priority="102" operator="greaterThan">
      <formula>1</formula>
    </cfRule>
    <cfRule type="cellIs" dxfId="163" priority="103" operator="lessThan">
      <formula>0.8</formula>
    </cfRule>
  </conditionalFormatting>
  <conditionalFormatting sqref="R77 AC77">
    <cfRule type="cellIs" dxfId="162" priority="105" operator="lessThan">
      <formula>0.8</formula>
    </cfRule>
  </conditionalFormatting>
  <conditionalFormatting sqref="O41">
    <cfRule type="cellIs" dxfId="161" priority="96" operator="greaterThan">
      <formula>0</formula>
    </cfRule>
  </conditionalFormatting>
  <conditionalFormatting sqref="P41">
    <cfRule type="cellIs" dxfId="160" priority="99" operator="lessThan">
      <formula>0</formula>
    </cfRule>
  </conditionalFormatting>
  <conditionalFormatting sqref="Q41">
    <cfRule type="cellIs" dxfId="159" priority="97" operator="greaterThan">
      <formula>1</formula>
    </cfRule>
    <cfRule type="cellIs" dxfId="158" priority="98" operator="lessThan">
      <formula>0.8</formula>
    </cfRule>
  </conditionalFormatting>
  <conditionalFormatting sqref="R41 AC41">
    <cfRule type="cellIs" dxfId="157" priority="100" operator="lessThan">
      <formula>0.8</formula>
    </cfRule>
  </conditionalFormatting>
  <conditionalFormatting sqref="O87">
    <cfRule type="cellIs" dxfId="156" priority="91" operator="greaterThan">
      <formula>0</formula>
    </cfRule>
  </conditionalFormatting>
  <conditionalFormatting sqref="P87">
    <cfRule type="cellIs" dxfId="155" priority="94" operator="lessThan">
      <formula>0</formula>
    </cfRule>
  </conditionalFormatting>
  <conditionalFormatting sqref="Q87">
    <cfRule type="cellIs" dxfId="154" priority="92" operator="greaterThan">
      <formula>1</formula>
    </cfRule>
    <cfRule type="cellIs" dxfId="153" priority="93" operator="lessThan">
      <formula>0.8</formula>
    </cfRule>
  </conditionalFormatting>
  <conditionalFormatting sqref="R87">
    <cfRule type="cellIs" dxfId="152" priority="95" operator="lessThan">
      <formula>0.8</formula>
    </cfRule>
  </conditionalFormatting>
  <conditionalFormatting sqref="O19:O20">
    <cfRule type="cellIs" dxfId="151" priority="86" operator="greaterThan">
      <formula>0</formula>
    </cfRule>
  </conditionalFormatting>
  <conditionalFormatting sqref="P19:P20">
    <cfRule type="cellIs" dxfId="150" priority="89" operator="lessThan">
      <formula>0</formula>
    </cfRule>
  </conditionalFormatting>
  <conditionalFormatting sqref="Q19:Q20">
    <cfRule type="cellIs" dxfId="149" priority="87" operator="greaterThan">
      <formula>1</formula>
    </cfRule>
    <cfRule type="cellIs" dxfId="148" priority="88" operator="lessThan">
      <formula>0.8</formula>
    </cfRule>
  </conditionalFormatting>
  <conditionalFormatting sqref="R19:R20 AC19:AC20">
    <cfRule type="cellIs" dxfId="147" priority="90" operator="lessThan">
      <formula>0.8</formula>
    </cfRule>
  </conditionalFormatting>
  <conditionalFormatting sqref="O42">
    <cfRule type="cellIs" dxfId="146" priority="81" operator="greaterThan">
      <formula>0</formula>
    </cfRule>
  </conditionalFormatting>
  <conditionalFormatting sqref="P42">
    <cfRule type="cellIs" dxfId="145" priority="84" operator="lessThan">
      <formula>0</formula>
    </cfRule>
  </conditionalFormatting>
  <conditionalFormatting sqref="Q42">
    <cfRule type="cellIs" dxfId="144" priority="82" operator="greaterThan">
      <formula>1</formula>
    </cfRule>
    <cfRule type="cellIs" dxfId="143" priority="83" operator="lessThan">
      <formula>0.8</formula>
    </cfRule>
  </conditionalFormatting>
  <conditionalFormatting sqref="R42 AC42">
    <cfRule type="cellIs" dxfId="142" priority="85" operator="lessThan">
      <formula>0.8</formula>
    </cfRule>
  </conditionalFormatting>
  <conditionalFormatting sqref="O61">
    <cfRule type="cellIs" dxfId="141" priority="75" operator="greaterThan">
      <formula>0</formula>
    </cfRule>
  </conditionalFormatting>
  <conditionalFormatting sqref="P61">
    <cfRule type="cellIs" dxfId="140" priority="79" operator="lessThan">
      <formula>0</formula>
    </cfRule>
  </conditionalFormatting>
  <conditionalFormatting sqref="Q61">
    <cfRule type="cellIs" dxfId="139" priority="76" operator="greaterThan">
      <formula>1</formula>
    </cfRule>
    <cfRule type="cellIs" dxfId="138" priority="77" operator="lessThan">
      <formula>0.8</formula>
    </cfRule>
  </conditionalFormatting>
  <conditionalFormatting sqref="R61 AC61">
    <cfRule type="cellIs" dxfId="137" priority="80" operator="lessThan">
      <formula>0.8</formula>
    </cfRule>
  </conditionalFormatting>
  <conditionalFormatting sqref="AC61">
    <cfRule type="cellIs" dxfId="136" priority="78" operator="lessThan">
      <formula>0.8</formula>
    </cfRule>
  </conditionalFormatting>
  <conditionalFormatting sqref="O62">
    <cfRule type="cellIs" dxfId="135" priority="69" operator="greaterThan">
      <formula>0</formula>
    </cfRule>
  </conditionalFormatting>
  <conditionalFormatting sqref="P62">
    <cfRule type="cellIs" dxfId="134" priority="73" operator="lessThan">
      <formula>0</formula>
    </cfRule>
  </conditionalFormatting>
  <conditionalFormatting sqref="Q62">
    <cfRule type="cellIs" dxfId="133" priority="70" operator="greaterThan">
      <formula>1</formula>
    </cfRule>
    <cfRule type="cellIs" dxfId="132" priority="71" operator="lessThan">
      <formula>0.8</formula>
    </cfRule>
  </conditionalFormatting>
  <conditionalFormatting sqref="R62 AC62">
    <cfRule type="cellIs" dxfId="131" priority="74" operator="lessThan">
      <formula>0.8</formula>
    </cfRule>
  </conditionalFormatting>
  <conditionalFormatting sqref="AC62">
    <cfRule type="cellIs" dxfId="130" priority="72" operator="lessThan">
      <formula>0.8</formula>
    </cfRule>
  </conditionalFormatting>
  <conditionalFormatting sqref="AC31 R31">
    <cfRule type="cellIs" dxfId="129" priority="68" operator="lessThan">
      <formula>0.8</formula>
    </cfRule>
  </conditionalFormatting>
  <conditionalFormatting sqref="R29 AC29">
    <cfRule type="cellIs" dxfId="128" priority="67" operator="lessThan">
      <formula>0.8</formula>
    </cfRule>
  </conditionalFormatting>
  <conditionalFormatting sqref="AC29">
    <cfRule type="cellIs" dxfId="127" priority="66" operator="lessThan">
      <formula>0.8</formula>
    </cfRule>
  </conditionalFormatting>
  <conditionalFormatting sqref="O63">
    <cfRule type="cellIs" dxfId="126" priority="60" operator="greaterThan">
      <formula>0</formula>
    </cfRule>
  </conditionalFormatting>
  <conditionalFormatting sqref="P63">
    <cfRule type="cellIs" dxfId="125" priority="64" operator="lessThan">
      <formula>0</formula>
    </cfRule>
  </conditionalFormatting>
  <conditionalFormatting sqref="Q63">
    <cfRule type="cellIs" dxfId="124" priority="61" operator="greaterThan">
      <formula>1</formula>
    </cfRule>
    <cfRule type="cellIs" dxfId="123" priority="62" operator="lessThan">
      <formula>0.8</formula>
    </cfRule>
  </conditionalFormatting>
  <conditionalFormatting sqref="R63 AC63">
    <cfRule type="cellIs" dxfId="122" priority="65" operator="lessThan">
      <formula>0.8</formula>
    </cfRule>
  </conditionalFormatting>
  <conditionalFormatting sqref="AC63">
    <cfRule type="cellIs" dxfId="121" priority="63" operator="lessThan">
      <formula>0.8</formula>
    </cfRule>
  </conditionalFormatting>
  <conditionalFormatting sqref="O64">
    <cfRule type="cellIs" dxfId="120" priority="54" operator="greaterThan">
      <formula>0</formula>
    </cfRule>
  </conditionalFormatting>
  <conditionalFormatting sqref="P64">
    <cfRule type="cellIs" dxfId="119" priority="58" operator="lessThan">
      <formula>0</formula>
    </cfRule>
  </conditionalFormatting>
  <conditionalFormatting sqref="Q64">
    <cfRule type="cellIs" dxfId="118" priority="55" operator="greaterThan">
      <formula>1</formula>
    </cfRule>
    <cfRule type="cellIs" dxfId="117" priority="56" operator="lessThan">
      <formula>0.8</formula>
    </cfRule>
  </conditionalFormatting>
  <conditionalFormatting sqref="R64 AC64">
    <cfRule type="cellIs" dxfId="116" priority="59" operator="lessThan">
      <formula>0.8</formula>
    </cfRule>
  </conditionalFormatting>
  <conditionalFormatting sqref="AC64">
    <cfRule type="cellIs" dxfId="115" priority="57" operator="lessThan">
      <formula>0.8</formula>
    </cfRule>
  </conditionalFormatting>
  <conditionalFormatting sqref="O65">
    <cfRule type="cellIs" dxfId="114" priority="48" operator="greaterThan">
      <formula>0</formula>
    </cfRule>
  </conditionalFormatting>
  <conditionalFormatting sqref="P65">
    <cfRule type="cellIs" dxfId="113" priority="52" operator="lessThan">
      <formula>0</formula>
    </cfRule>
  </conditionalFormatting>
  <conditionalFormatting sqref="Q65">
    <cfRule type="cellIs" dxfId="112" priority="49" operator="greaterThan">
      <formula>1</formula>
    </cfRule>
    <cfRule type="cellIs" dxfId="111" priority="50" operator="lessThan">
      <formula>0.8</formula>
    </cfRule>
  </conditionalFormatting>
  <conditionalFormatting sqref="R65 AC65">
    <cfRule type="cellIs" dxfId="110" priority="53" operator="lessThan">
      <formula>0.8</formula>
    </cfRule>
  </conditionalFormatting>
  <conditionalFormatting sqref="AC65">
    <cfRule type="cellIs" dxfId="109" priority="51" operator="lessThan">
      <formula>0.8</formula>
    </cfRule>
  </conditionalFormatting>
  <conditionalFormatting sqref="O76">
    <cfRule type="cellIs" dxfId="108" priority="43" operator="greaterThan">
      <formula>0</formula>
    </cfRule>
  </conditionalFormatting>
  <conditionalFormatting sqref="P76 AA76">
    <cfRule type="cellIs" dxfId="107" priority="46" operator="lessThan">
      <formula>0</formula>
    </cfRule>
  </conditionalFormatting>
  <conditionalFormatting sqref="Q76 AB76">
    <cfRule type="cellIs" dxfId="106" priority="44" operator="greaterThan">
      <formula>1</formula>
    </cfRule>
    <cfRule type="cellIs" dxfId="105" priority="45" operator="lessThan">
      <formula>0.8</formula>
    </cfRule>
  </conditionalFormatting>
  <conditionalFormatting sqref="R76 AC76">
    <cfRule type="cellIs" dxfId="104" priority="47" operator="lessThan">
      <formula>0.8</formula>
    </cfRule>
  </conditionalFormatting>
  <conditionalFormatting sqref="O21">
    <cfRule type="cellIs" dxfId="103" priority="38" operator="greaterThan">
      <formula>0</formula>
    </cfRule>
  </conditionalFormatting>
  <conditionalFormatting sqref="P21">
    <cfRule type="cellIs" dxfId="102" priority="41" operator="lessThan">
      <formula>0</formula>
    </cfRule>
  </conditionalFormatting>
  <conditionalFormatting sqref="Q21">
    <cfRule type="cellIs" dxfId="101" priority="39" operator="greaterThan">
      <formula>1</formula>
    </cfRule>
    <cfRule type="cellIs" dxfId="100" priority="40" operator="lessThan">
      <formula>0.8</formula>
    </cfRule>
  </conditionalFormatting>
  <conditionalFormatting sqref="AC21 R21">
    <cfRule type="cellIs" dxfId="99" priority="42" operator="lessThan">
      <formula>0.8</formula>
    </cfRule>
  </conditionalFormatting>
  <conditionalFormatting sqref="P7">
    <cfRule type="cellIs" dxfId="98" priority="37" operator="lessThan">
      <formula>0</formula>
    </cfRule>
  </conditionalFormatting>
  <conditionalFormatting sqref="P22">
    <cfRule type="cellIs" dxfId="97" priority="36" operator="lessThan">
      <formula>0</formula>
    </cfRule>
  </conditionalFormatting>
  <conditionalFormatting sqref="P32">
    <cfRule type="cellIs" dxfId="96" priority="35" operator="lessThan">
      <formula>0</formula>
    </cfRule>
  </conditionalFormatting>
  <conditionalFormatting sqref="P44">
    <cfRule type="cellIs" dxfId="95" priority="34" operator="lessThan">
      <formula>0</formula>
    </cfRule>
  </conditionalFormatting>
  <conditionalFormatting sqref="P71">
    <cfRule type="cellIs" dxfId="94" priority="33" operator="lessThan">
      <formula>0</formula>
    </cfRule>
  </conditionalFormatting>
  <conditionalFormatting sqref="P74">
    <cfRule type="cellIs" dxfId="93" priority="32" operator="lessThan">
      <formula>0</formula>
    </cfRule>
  </conditionalFormatting>
  <conditionalFormatting sqref="P80">
    <cfRule type="cellIs" dxfId="92" priority="31" operator="lessThan">
      <formula>0</formula>
    </cfRule>
  </conditionalFormatting>
  <conditionalFormatting sqref="P88">
    <cfRule type="cellIs" dxfId="91" priority="30" operator="lessThan">
      <formula>0</formula>
    </cfRule>
  </conditionalFormatting>
  <conditionalFormatting sqref="O43">
    <cfRule type="cellIs" dxfId="90" priority="25" operator="greaterThan">
      <formula>0</formula>
    </cfRule>
  </conditionalFormatting>
  <conditionalFormatting sqref="P43">
    <cfRule type="cellIs" dxfId="89" priority="28" operator="lessThan">
      <formula>0</formula>
    </cfRule>
  </conditionalFormatting>
  <conditionalFormatting sqref="Q43">
    <cfRule type="cellIs" dxfId="88" priority="26" operator="greaterThan">
      <formula>1</formula>
    </cfRule>
    <cfRule type="cellIs" dxfId="87" priority="27" operator="lessThan">
      <formula>0.8</formula>
    </cfRule>
  </conditionalFormatting>
  <conditionalFormatting sqref="R43 AC43">
    <cfRule type="cellIs" dxfId="86" priority="29" operator="lessThan">
      <formula>0.8</formula>
    </cfRule>
  </conditionalFormatting>
  <conditionalFormatting sqref="O69">
    <cfRule type="cellIs" dxfId="85" priority="19" operator="greaterThan">
      <formula>0</formula>
    </cfRule>
  </conditionalFormatting>
  <conditionalFormatting sqref="P69">
    <cfRule type="cellIs" dxfId="84" priority="23" operator="lessThan">
      <formula>0</formula>
    </cfRule>
  </conditionalFormatting>
  <conditionalFormatting sqref="Q69">
    <cfRule type="cellIs" dxfId="83" priority="20" operator="greaterThan">
      <formula>1</formula>
    </cfRule>
    <cfRule type="cellIs" dxfId="82" priority="21" operator="lessThan">
      <formula>0.8</formula>
    </cfRule>
  </conditionalFormatting>
  <conditionalFormatting sqref="R69 AC69">
    <cfRule type="cellIs" dxfId="81" priority="24" operator="lessThan">
      <formula>0.8</formula>
    </cfRule>
  </conditionalFormatting>
  <conditionalFormatting sqref="AC69">
    <cfRule type="cellIs" dxfId="80" priority="22" operator="lessThan">
      <formula>0.8</formula>
    </cfRule>
  </conditionalFormatting>
  <conditionalFormatting sqref="O66">
    <cfRule type="cellIs" dxfId="79" priority="13" operator="greaterThan">
      <formula>0</formula>
    </cfRule>
  </conditionalFormatting>
  <conditionalFormatting sqref="P66">
    <cfRule type="cellIs" dxfId="78" priority="17" operator="lessThan">
      <formula>0</formula>
    </cfRule>
  </conditionalFormatting>
  <conditionalFormatting sqref="Q66">
    <cfRule type="cellIs" dxfId="77" priority="14" operator="greaterThan">
      <formula>1</formula>
    </cfRule>
    <cfRule type="cellIs" dxfId="76" priority="15" operator="lessThan">
      <formula>0.8</formula>
    </cfRule>
  </conditionalFormatting>
  <conditionalFormatting sqref="R66 AC66">
    <cfRule type="cellIs" dxfId="75" priority="18" operator="lessThan">
      <formula>0.8</formula>
    </cfRule>
  </conditionalFormatting>
  <conditionalFormatting sqref="AC66">
    <cfRule type="cellIs" dxfId="74" priority="16" operator="lessThan">
      <formula>0.8</formula>
    </cfRule>
  </conditionalFormatting>
  <conditionalFormatting sqref="O67">
    <cfRule type="cellIs" dxfId="73" priority="7" operator="greaterThan">
      <formula>0</formula>
    </cfRule>
  </conditionalFormatting>
  <conditionalFormatting sqref="P67">
    <cfRule type="cellIs" dxfId="72" priority="11" operator="lessThan">
      <formula>0</formula>
    </cfRule>
  </conditionalFormatting>
  <conditionalFormatting sqref="Q67">
    <cfRule type="cellIs" dxfId="71" priority="8" operator="greaterThan">
      <formula>1</formula>
    </cfRule>
    <cfRule type="cellIs" dxfId="70" priority="9" operator="lessThan">
      <formula>0.8</formula>
    </cfRule>
  </conditionalFormatting>
  <conditionalFormatting sqref="R67 AC67">
    <cfRule type="cellIs" dxfId="69" priority="12" operator="lessThan">
      <formula>0.8</formula>
    </cfRule>
  </conditionalFormatting>
  <conditionalFormatting sqref="AC67">
    <cfRule type="cellIs" dxfId="68" priority="10" operator="lessThan">
      <formula>0.8</formula>
    </cfRule>
  </conditionalFormatting>
  <conditionalFormatting sqref="O70">
    <cfRule type="cellIs" dxfId="67" priority="1" operator="greaterThan">
      <formula>0</formula>
    </cfRule>
  </conditionalFormatting>
  <conditionalFormatting sqref="P70">
    <cfRule type="cellIs" dxfId="66" priority="5" operator="lessThan">
      <formula>0</formula>
    </cfRule>
  </conditionalFormatting>
  <conditionalFormatting sqref="Q70">
    <cfRule type="cellIs" dxfId="65" priority="2" operator="greaterThan">
      <formula>1</formula>
    </cfRule>
    <cfRule type="cellIs" dxfId="64" priority="3" operator="lessThan">
      <formula>0.8</formula>
    </cfRule>
  </conditionalFormatting>
  <conditionalFormatting sqref="R70 AC70">
    <cfRule type="cellIs" dxfId="63" priority="6" operator="lessThan">
      <formula>0.8</formula>
    </cfRule>
  </conditionalFormatting>
  <conditionalFormatting sqref="AC70">
    <cfRule type="cellIs" dxfId="62" priority="4" operator="lessThan">
      <formula>0.8</formula>
    </cfRule>
  </conditionalFormatting>
  <dataValidations count="1">
    <dataValidation type="list" allowBlank="1" showInputMessage="1" showErrorMessage="1" sqref="Z7 Z79 Y5:Z6 Y7:Y79 Z9:Z75 Y80:Z8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3" ma:contentTypeDescription="建立新的文件。" ma:contentTypeScope="" ma:versionID="3d637c11722f46e0af811419c8d3913a">
  <xsd:schema xmlns:xsd="http://www.w3.org/2001/XMLSchema" xmlns:xs="http://www.w3.org/2001/XMLSchema" xmlns:p="http://schemas.microsoft.com/office/2006/metadata/properties" xmlns:ns2="d017f4fe-1359-4419-afdf-e2560bdfb30b" targetNamespace="http://schemas.microsoft.com/office/2006/metadata/properties" ma:root="true" ma:fieldsID="ad7ef8666b878dde307bf7486d7339d9" ns2:_="">
    <xsd:import namespace="d017f4fe-1359-4419-afdf-e2560bdfb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4B3766-E6B9-45CF-8652-1BBDEA9F3AF9}"/>
</file>

<file path=customXml/itemProps2.xml><?xml version="1.0" encoding="utf-8"?>
<ds:datastoreItem xmlns:ds="http://schemas.openxmlformats.org/officeDocument/2006/customXml" ds:itemID="{4A64C049-2A24-45E7-ADA4-2446142A26C2}"/>
</file>

<file path=customXml/itemProps3.xml><?xml version="1.0" encoding="utf-8"?>
<ds:datastoreItem xmlns:ds="http://schemas.openxmlformats.org/officeDocument/2006/customXml" ds:itemID="{B4CF5ECF-5DD8-4A3E-BC96-456700421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0731</vt:lpstr>
      <vt:lpstr>0731 4度C</vt:lpstr>
      <vt:lpstr>0730</vt:lpstr>
      <vt:lpstr>0730 4度C</vt:lpstr>
      <vt:lpstr>0729</vt:lpstr>
      <vt:lpstr>0729 4度C</vt:lpstr>
      <vt:lpstr>0728</vt:lpstr>
      <vt:lpstr>0728 4度C</vt:lpstr>
      <vt:lpstr>0727</vt:lpstr>
      <vt:lpstr>0727 4度C</vt:lpstr>
      <vt:lpstr>0726</vt:lpstr>
      <vt:lpstr>0726 4度C</vt:lpstr>
      <vt:lpstr>0725</vt:lpstr>
      <vt:lpstr>0725 4度C</vt:lpstr>
      <vt:lpstr>0724</vt:lpstr>
      <vt:lpstr>0724 4度C</vt:lpstr>
      <vt:lpstr>0723</vt:lpstr>
      <vt:lpstr>0723 4度C</vt:lpstr>
      <vt:lpstr>0722</vt:lpstr>
      <vt:lpstr>0722 4度C</vt:lpstr>
      <vt:lpstr>0721</vt:lpstr>
      <vt:lpstr>0721 4度C</vt:lpstr>
      <vt:lpstr>0720</vt:lpstr>
      <vt:lpstr>0720 4度C</vt:lpstr>
      <vt:lpstr>0719</vt:lpstr>
      <vt:lpstr>0719 4度C</vt:lpstr>
      <vt:lpstr>0718</vt:lpstr>
      <vt:lpstr>0718 4度C</vt:lpstr>
      <vt:lpstr>0717</vt:lpstr>
      <vt:lpstr>0717 4度C</vt:lpstr>
      <vt:lpstr>0716</vt:lpstr>
      <vt:lpstr>0716 4度C</vt:lpstr>
      <vt:lpstr>0715</vt:lpstr>
      <vt:lpstr>0715 4度C</vt:lpstr>
      <vt:lpstr>0714</vt:lpstr>
      <vt:lpstr>0714 4度C</vt:lpstr>
      <vt:lpstr>0713</vt:lpstr>
      <vt:lpstr>0713 4度C</vt:lpstr>
      <vt:lpstr>0712</vt:lpstr>
      <vt:lpstr>0712 4度C</vt:lpstr>
      <vt:lpstr>0711</vt:lpstr>
      <vt:lpstr>0711 4度C</vt:lpstr>
      <vt:lpstr>0710</vt:lpstr>
      <vt:lpstr>0710 4度C</vt:lpstr>
      <vt:lpstr>0709</vt:lpstr>
      <vt:lpstr>0709 4度C</vt:lpstr>
      <vt:lpstr>0708</vt:lpstr>
      <vt:lpstr>0708 4度C</vt:lpstr>
      <vt:lpstr>0707</vt:lpstr>
      <vt:lpstr>0707 4度C</vt:lpstr>
      <vt:lpstr>0706</vt:lpstr>
      <vt:lpstr>0706 4度C</vt:lpstr>
      <vt:lpstr>0705</vt:lpstr>
      <vt:lpstr>0705 4度C</vt:lpstr>
      <vt:lpstr>0704</vt:lpstr>
      <vt:lpstr>0704 4度C</vt:lpstr>
      <vt:lpstr>0703</vt:lpstr>
      <vt:lpstr>0703 4度C</vt:lpstr>
      <vt:lpstr>0702</vt:lpstr>
      <vt:lpstr>0702 4度C</vt:lpstr>
      <vt:lpstr>0701</vt:lpstr>
      <vt:lpstr>0701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新豐生管01</dc:creator>
  <cp:lastModifiedBy>新豐生管01</cp:lastModifiedBy>
  <dcterms:created xsi:type="dcterms:W3CDTF">2025-03-31T05:45:46Z</dcterms:created>
  <dcterms:modified xsi:type="dcterms:W3CDTF">2025-08-01T09:29:33Z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